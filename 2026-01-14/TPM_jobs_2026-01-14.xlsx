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in-2515b7e35463d2a5</t>
        </is>
      </c>
      <c r="B2" t="inlineStr">
        <is>
          <t>Program Manager</t>
        </is>
      </c>
      <c r="C2" t="inlineStr">
        <is>
          <t>Alachua County Board of County Commissioners</t>
        </is>
      </c>
      <c r="D2" t="inlineStr">
        <is>
          <t>indeed</t>
        </is>
      </c>
      <c r="E2">
        <f>HYPERLINK("https://www.indeed.com/viewjob?jk=2515b7e35463d2a5", "https://www.indeed.com/viewjob?jk=2515b7e35463d2a5")</f>
        <v/>
      </c>
      <c r="F2">
        <f>HYPERLINK("http://www.indeed.com/job/program-manager-2515b7e35463d2a5", "http://www.indeed.com/job/program-manager-2515b7e35463d2a5")</f>
        <v/>
      </c>
      <c r="G2" t="inlineStr">
        <is>
          <t>Gainesville, FL, US</t>
        </is>
      </c>
      <c r="H2" s="2" t="n">
        <v>46036</v>
      </c>
      <c r="I2" t="inlineStr">
        <is>
          <t>**NOTE: TO BE CONSIDERED FOR THIS VACANCY, ALL APPLICANTS MUST APPLY ONLINE AT: https://www.governmentjobs.com/careers/alachua**
**SALARY: $22\.88 Hourly**
Bachelor's degree in business administration, public administration, real estate, human services or related field and one year of experience in housing and community development, social services, grants or project management, or any equivalent combination of related training and experience. Applicants within six months of meeting the education/ experience requirement may be considered for trainee status.
Successful completion of all applicable background checks pre\-hire and ongoing are required.**This is a grant funded position. Employees are eligible for benefits but have no guarantee of permanent employment.**
Position Summary: This is responsible administrative work coordinating a program to ensure that implementation and prescribed activities are carried out in accordance with specified departmental objectives.  
An employee assigned to this classification coordinates program activities to ensure administrative efficiency and compliance with departmental standards.
Work is performed under the direction of a higher level supervisor and is reviewed through conferences, reports, and observation of results obtained.
Examples of Duties: ESSENTIAL JOB FUNCTIONS
This is an emergency essential classification. Upon declaration of a disaster and/or emergency, all employees in this classification are required to work.
Exudes a positive customer service focus.
Advocates building organizational culture through aligning decisions with the County's core values.
Selects employees and/or volunteers according to knowledge and experience in area with which program is concerned.
Confers with staff to explain program and individual responsibilities for functions and phases of program.
Reviews reports and records of program activity to ensure progress is being accomplished toward specified program objective.
Modifies and/or changes program methodology as required to redirect activities and to attain program objectives.
Prepares program reports for higher level supervisors.
Controls expenditures in accordance with program budget allocations.
Develops policies and procedures for the program's operation in conjunction with department director or immediate supervisor.
Develops and/or assists in the development, implementation and maintenance of related computer programs.
Responds to inquiries and/or complaints regarding the operation of the program.
Assists in monitoring contracts related to the operation of the program.
Coordinates all activities dealing with federal, state and local agencies.
Ensures efficient and effective daily operations of the program.  
Drives a County and/or personal vehicle to perform required duties. (Specific to Ag. Extension (UF/IFAS) and Community Support Services)
Performs the duties listed, as well as those assigned, with professionalism and a sense of urgency.
NOTE: These examples are intended only as illustrations of the various kinds of work performed in positions allocated to this class. The omission of specific statements of duties does not exclude them from the position if the work is similar, related or a logical assignment to the position.
KNOWLEDGE, SKILLS AND ABILITIES
Thorough knowledge of current practices and principles of the program or program area.
Knowledge of federal, state and local regulations related to the program or program area.
Ability to develop and implement operating policies and procedures.
Ability to establish and maintain a good working relationship with the public, contractors local business owners and Constitutional Officers.  
Ability to attain proficiency in the operation of computer hardware, software and related programs.
Ability to communicate effectively, both orally and in writing and to prepare and organize written reports.
Ability to generate necessary paperwork in accordance with state and local ordinances.
Ability to plan and organize work and manage time.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and hear. The employee is occasionally required to reach and to be mobile.  
The employee must occasionally lift and/or move up to 10 pounds. Specific vision abilities required by this job include close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Pay: From $22\.88 per hour
Benefits:
* 401(k)
* Dental insurance
* Employee discount
* Flexible schedule
* Health insurance
* Life insurance
* Paid time off
* Professional development assistance
* Retirement plan
* Tuition reimbursement
* Vision insurance
People with a criminal record are encouraged to apply
Work Location: Hybrid remote in Gainesville, FL 32601</t>
        </is>
      </c>
    </row>
    <row r="3">
      <c r="A3" t="inlineStr">
        <is>
          <t>in-0f9b7c892118269e</t>
        </is>
      </c>
      <c r="B3" t="inlineStr">
        <is>
          <t>Day Hab Program Manager</t>
        </is>
      </c>
      <c r="C3" t="inlineStr">
        <is>
          <t>TILL, Inc.</t>
        </is>
      </c>
      <c r="D3" t="inlineStr">
        <is>
          <t>indeed</t>
        </is>
      </c>
      <c r="E3">
        <f>HYPERLINK("https://www.indeed.com/viewjob?jk=0f9b7c892118269e", "https://www.indeed.com/viewjob?jk=0f9b7c892118269e")</f>
        <v/>
      </c>
      <c r="F3">
        <f>HYPERLINK("http://www.indeed.com/job/day-hab-program-manager-0f9b7c892118269e", "http://www.indeed.com/job/day-hab-program-manager-0f9b7c892118269e")</f>
        <v/>
      </c>
      <c r="G3" t="inlineStr">
        <is>
          <t>Billerica, MA, US</t>
        </is>
      </c>
      <c r="H3" s="2" t="n">
        <v>46036</v>
      </c>
      <c r="I3" t="inlineStr">
        <is>
          <t>**Day Hab Program Manager \-** The primary responsibility of this position is to maintain a quality day habilitation program, which includes directing administrative, staffing, programmatic, and physical plant policies. Other personnel are available to be delegated the responsibilities of the implementation of some of these policies; however, establishing the policies and systems necessary to operate a sound facility is the responsibility of the Manager.
**Position available at the Billerica Day Hab!**
**Mon\-Fri 8:30am \- 4:30pm!**
**Qualifications/Preferred:**
\*Minimum BA/BS in Human Services, Psychology or related field and three years’ experience in a position with progressive responsibilities in areas of administration, writing and implementing individual objectives and goals, and supervision.\*
\*Valid driver’s license and vehicle is required.\*
\*Must possess good writing and oral skills to effectively communicate individuals’ needs and objectives as well as providing training and supervision to staff.\*
***TOWARD INDEPENDENT LIVING AND LEARNING (TILL), INC****. is an innovative human services agency dedicated to providing quality community\-based services to individuals who have developmental disabilities.*
Job Type: Full\-time
Pay: $60,000\.00 \- $70,000\.00 per year
Benefits:
* 401(k)
* 401(k) matching
* Dental insurance
* Employee assistance program
* Employee discount
* Health insurance
* Life insurance
* Paid time off
* Parental leave
* Tuition reimbursement
* Vision insurance
Work Location: In person</t>
        </is>
      </c>
    </row>
    <row r="4">
      <c r="A4" t="inlineStr">
        <is>
          <t>in-01621cba319f1186</t>
        </is>
      </c>
      <c r="B4" t="inlineStr">
        <is>
          <t>Program Manager</t>
        </is>
      </c>
      <c r="C4" t="inlineStr">
        <is>
          <t>Pioneers</t>
        </is>
      </c>
      <c r="D4" t="inlineStr">
        <is>
          <t>indeed</t>
        </is>
      </c>
      <c r="E4">
        <f>HYPERLINK("https://www.indeed.com/viewjob?jk=01621cba319f1186", "https://www.indeed.com/viewjob?jk=01621cba319f1186")</f>
        <v/>
      </c>
      <c r="F4">
        <f>HYPERLINK("http://www.indeed.com/job/program-manager-01621cba319f1186", "http://www.indeed.com/job/program-manager-01621cba319f1186")</f>
        <v/>
      </c>
      <c r="G4" t="inlineStr">
        <is>
          <t>San Jose, CA, US</t>
        </is>
      </c>
      <c r="H4" s="2" t="n">
        <v>46036</v>
      </c>
      <c r="I4" t="inlineStr">
        <is>
          <t>**“You’ll be joining Adobe on a contract opportunity, employed through NextDeavor.”**
**Benefits You’ll Love**
NextDeavor offers health, vision and dental benefits for contract employees
Paid sick leave eligibility is contingent on state of residence
Optional 401k Plan (excludes employer match)
Opportunity to get your foot in the door at a well\-established corporation, with potential for extended or permanent full\-time employment
**Become a Key Player as a Program Manager 3**
As a Program Manager 3, you will lead technical programs that deliver end\-to\-end web and platform capabilities for the client, driving improvements to visitor experience and internal systems. You will collaborate with product, engineering, and cross\-functional stakeholders to ensure on\-time, on\-budget delivery and adoption. Work model: Hybrid; TH, every other W.
**Here’s How You’ll Make an Impact on the Team**
Manage development and implementation of web platform products and services, focusing on cross\-platform tools and services
Coordinate departmental and cross\-functional teams to deliver new or upgraded platform capabilities
Own projects from initiation through delivery, including planning, schedule management, and risk mitigation
Lead change control, scope analysis, resource assessment, and release planning
Develop detailed cross\-team program plans that account for requirements, constraints, and results
Aggregate and synthesize program information to communicate status to extended teams and leadership
Coordinate and run operational, project, and executive check\-in meetings
Work with Product and Engineering Managers to build and maintain roadmaps and reduce critical path
Continually evaluate and improve processes and procedures
Identify, analyze, and control risks; resolve project\-specific issues and partner concerns
**Here’s What You’ll Need to Be Successful in This Role**
Minimum of 7 years of program/project management experience and technical leadership, preferably with large enterprise web projects
Hands\-on experience with Agile and project management methodologies and demonstrated leadership capability
Solid understanding of web technologies and web content management systems
Experience with Microsoft Excel, Project, SharePoint, JIRA, and Wiki (experience with Adobe Workfront highly desired)
Excellent business partner management and presentation skills
**Here’s What Else Might Help You Out**
Proven ability to operate autonomously and drive results in a matrixed organization
Strong organizational skills and attention to detail for delivering complex global projects
Excellent verbal and written communication skills for working with technical and non\-technical stakeholders
Ability to juggle multiple projects, shift priorities, and execute amid ambiguity
High emotional intelligence and effective risk management and resolution skills
**Pay Range**
$70\.42 \- $88\.03/hour
**Ready to Make Your Mark?**
This role may fill quickly. Submit your resume to be considered.
Pay: $70\.42 \- $88\.03 per hour
Benefits:
* 401(k)
* Dental insurance
* Health insurance
* Vision insurance
Work Location: Hybrid remote in San Jose, CA</t>
        </is>
      </c>
    </row>
    <row r="5">
      <c r="A5" t="inlineStr">
        <is>
          <t>in-2c27a7e2a4cdeac2</t>
        </is>
      </c>
      <c r="B5" t="inlineStr">
        <is>
          <t>Program Manager</t>
        </is>
      </c>
      <c r="C5" t="inlineStr">
        <is>
          <t>Hope &amp; Healing Addiction Treatment Centers</t>
        </is>
      </c>
      <c r="D5" t="inlineStr">
        <is>
          <t>indeed</t>
        </is>
      </c>
      <c r="E5">
        <f>HYPERLINK("https://www.indeed.com/viewjob?jk=2c27a7e2a4cdeac2", "https://www.indeed.com/viewjob?jk=2c27a7e2a4cdeac2")</f>
        <v/>
      </c>
      <c r="F5">
        <f>HYPERLINK("http://www.indeed.com/job/program-manager-2c27a7e2a4cdeac2", "http://www.indeed.com/job/program-manager-2c27a7e2a4cdeac2")</f>
        <v/>
      </c>
      <c r="G5" t="inlineStr">
        <is>
          <t>Phoenix, AZ, US</t>
        </is>
      </c>
      <c r="H5" s="2" t="n">
        <v>46036</v>
      </c>
      <c r="I5" t="inlineStr">
        <is>
          <t>**Job Summary**  
We are seeking an experienced and dynamic Program Manager to lead and oversee. The ideal candidate will possess strong leadership, organizational, and communication skills, with expertise in project and program management and must be able to multitask. This role involves managing, coordinating, training and ensuring the successful delivery of programs aligned with organizational goals. The Program Manager will also be responsible for implementing process improvements frameworks to optimize efficiency and quality.
**Duties**
* Lead the planning, execution, and delivery of multiple projects within a cohesive program framework, ensuring alignment with strategic objectives.
* Facilitate requirements gathering, scope management, risk assessment, and stakeholder engagement.
* Oversee scheduling, training, day to day operations.
* Implement change management strategies to support organizational transformation initiatives.
* Conduct root cause analysis and leverage data analysis skills to identify issues and develop effective solutions.
* Facilitate meetings, trainings and directly manage team.
* Drive continuous improvement initiatives to enhance operational efficiency.
* Lead team through tasks while fostering a collaborative environment focused on quality management.
**Experience**
* Proven experience in supervising teams and managing programs in a fast\-paced environment.
* Extensive knowledge of behavioral health environments.
* Demonstrated expertise in program development, scope management, risk management, scheduling.
* Strong background in business process modeling, analysis \&amp; gathering, process mapping, and documentation timed requirements.
* Excellent leadership capabilities with strong communication skills to influence stakeholders at all levels; adept at conflict resolution \&amp; meeting facilitation.
* This role offers an opportunity to lead and be impactful, shape organizational success while working within a collaborative team environment committed to excellence in program delivery.
MUST HAVE A FINGERPRINT CLEARANCE CARD
DRUG FREE ENVIRONMENT
Pay: $52,000\.00 \- $60,000\.00 per year
Benefits:
* Employee assistance program
* Health insurance
* Paid time off
* Referral program
* Vision insurance
Work Location: In person</t>
        </is>
      </c>
    </row>
    <row r="6">
      <c r="A6" t="inlineStr">
        <is>
          <t>in-974cfd13c99b4bf3</t>
        </is>
      </c>
      <c r="B6" t="inlineStr">
        <is>
          <t>Program Manager - Digital Product Operations</t>
        </is>
      </c>
      <c r="C6" t="inlineStr">
        <is>
          <t>Resourznet Consulting</t>
        </is>
      </c>
      <c r="D6" t="inlineStr">
        <is>
          <t>indeed</t>
        </is>
      </c>
      <c r="E6">
        <f>HYPERLINK("https://www.indeed.com/viewjob?jk=974cfd13c99b4bf3", "https://www.indeed.com/viewjob?jk=974cfd13c99b4bf3")</f>
        <v/>
      </c>
      <c r="F6">
        <f>HYPERLINK("http://www.indeed.com/job/program-manager-digital-product-operations-974cfd13c99b4bf3", "http://www.indeed.com/job/program-manager-digital-product-operations-974cfd13c99b4bf3")</f>
        <v/>
      </c>
      <c r="G6" t="inlineStr">
        <is>
          <t>New York, NY, US</t>
        </is>
      </c>
      <c r="H6" s="2" t="n">
        <v>46036</v>
      </c>
      <c r="I6" t="inlineStr">
        <is>
          <t>**Senior Associate\- Program Manager, Digital Product Operations (Hybrid Role/ New York)**
* Program Management
* Skills: Product Management, Jira, Microsoft Office Suite
**Job Description:**
We're looking for a talented and passionate Senior Associate\- Program Manager in Digital Product Operations to join the Enterprise Digital Experiences (EDX) Product Operations team.
The Senior Associate\- Program Manager in Digital Product Operations will develop a broad understanding of all digital features and support Product Operations Managers in bringing efficiencies and organization to EDX Product team.
* Support manage JIRA reporting and contribute to the evolution of JIRA standards/best practices in collaboration with Product and Engineering teams.
* Develop and maintain robust communication across teams throughout the product development lifecycle.
* Support Product Directors and Managers in prioritization and ensuring capacity assessments and current prioritization statuses are captured accurately.
* Facilitate PI ceremonies and other forums to develop and maintain robust communication across teams throughout the product development lifecycle.
* Contribute to continual process improvement across the EDX Product team, including identifying process gaps and actively working on fixes/resolutions.
* Support governance process ensuring all releases are compliant with legal, fraud, risk, etc. policies and meet our best practices.
**Collaborative** – our role is largely relationship\-driven, working internally with Product, Design, and Engineering, and externally with partners and stakeholders.
**Results**\-minded \&amp; resourceful – with an appreciation of how to build products.
**Analytical** – ability to synthesize data relating to features, themes, and capacity.
**Proactive and enthusiastic** – must be excited about the digital space and the external environment and a self\-starter with a strong affinity to bring projects to a close quickly.
**Strategic thinker** – ability to see both the big picture and the details and to translate business requirements into an actionable delivery plan
**Detail oriented \&amp; organized –** active involvement in backlog development requires a process\-driven mindset with a strong attention to detail and ability to manage details in an environment with changing priorities.
**Fun and outgoing –** we’re looking for someone who can contribute to the strong team culture of our co\-located and diverse team.
Advanced of knowledge of JIRA, PowerPoint, Excel, Word
1\-3 years of product, product operations, or related experience is preferred.
Job Type: Contract
Pay: $70\.00 \- $75\.00 per hour
Work Location: On the road</t>
        </is>
      </c>
    </row>
    <row r="7">
      <c r="A7" t="inlineStr">
        <is>
          <t>in-558782f7273e4ed3</t>
        </is>
      </c>
      <c r="B7" t="inlineStr">
        <is>
          <t>Mindset Development Program Manager (Remote)</t>
        </is>
      </c>
      <c r="C7" t="inlineStr">
        <is>
          <t>The Path to Aliveness</t>
        </is>
      </c>
      <c r="D7" t="inlineStr">
        <is>
          <t>indeed</t>
        </is>
      </c>
      <c r="E7">
        <f>HYPERLINK("https://www.indeed.com/viewjob?jk=558782f7273e4ed3", "https://www.indeed.com/viewjob?jk=558782f7273e4ed3")</f>
        <v/>
      </c>
      <c r="F7">
        <f>HYPERLINK("http://www.indeed.com/job/mindset-development-program-manager-remote-558782f7273e4ed3", "http://www.indeed.com/job/mindset-development-program-manager-remote-558782f7273e4ed3")</f>
        <v/>
      </c>
      <c r="G7" t="inlineStr">
        <is>
          <t>Tampa, FL, US</t>
        </is>
      </c>
      <c r="H7" s="2" t="n">
        <v>46036</v>
      </c>
      <c r="I7" t="inlineStr">
        <is>
          <t>**Job Overview**
We’re an expanding global company with over 17 years of proven success — and we’re continuing to stretch our impact worldwide! We're seeking a dedicated and enthusiastic **Mindset Development Program Manager (Remote)** to share our enrichment programs aimed at assisting individuals with personal growth through our educational seminars and classes.
The ideal candidate will have a strong background in program and business management, as well as a high interest in connecting directly with individuals within North America and across the globe. This role requires excellent relationship management skills, a high level of organization, leadership and a passion for making a positive impact with those you speak to.
**Duties**
* Promote award\-winning personal enrichment programs to individuals globally.
* Apply a simple, effective 3\-step marketing system to engage clients.
* Communicate the value of these transformative resources and programs that assist individuals in reaching their goals.
* Build relationships with team members, helping them align their professional / personal growth goals with industry\-leading solutions.
* Work autonomously but with support and training always available to assist your success from this global company.
* Maintain effective communication and support with team members you are coordinating with.
* Manage your marketing budget
* Facilitate an orientation with new team members
**Skills**
* Strong management skills with the ability to lead a team effectively
* Experience in program development tailored to individuals that appreciate our core value of personal growth and ongoing development.
* Proficient in relationship management to build strong connections with clients
* Proven program management skills with a focus on achieving positive outcomes
* Supervising experience that demonstrates an ability to mentor
* A high level of appreciation for personal awareness, growth and development
* Background in leadership, social work, mentoring, education, human resources, marketing or coaching that will enhance one's understanding of client needs and empowering listening skills.
**What we offer:**
* Connect with a purpose\-driven company distributing programs that inspire and empower individuals.
* Enjoy the autonomy of setting your own schedule
* Leverage a proven process that takes the guesswork out of success.
* Work within a performance\-based compensation
* Access ongoing resources, support and training to grow both personally and professionally.
Apply today and join this expanding global company that is shaping the future of personal and professional growth initiatives! We look forward to connecting with you.
Job Types: Part\-time, Contract
Pay: $100,000\.00 \- $120,000\.00 per year
Expected hours: 12\.0 – 15\.0 per week
Benefits:
* Flexible schedule
Work Location: Remote</t>
        </is>
      </c>
    </row>
    <row r="8">
      <c r="A8" t="inlineStr">
        <is>
          <t>in-425ac6ce259d37d8</t>
        </is>
      </c>
      <c r="B8" t="inlineStr">
        <is>
          <t>Day Service Program Manager for Adults with Disabilities</t>
        </is>
      </c>
      <c r="C8" t="inlineStr">
        <is>
          <t>Unity Care Group LLC</t>
        </is>
      </c>
      <c r="D8" t="inlineStr">
        <is>
          <t>indeed</t>
        </is>
      </c>
      <c r="E8">
        <f>HYPERLINK("https://www.indeed.com/viewjob?jk=425ac6ce259d37d8", "https://www.indeed.com/viewjob?jk=425ac6ce259d37d8")</f>
        <v/>
      </c>
      <c r="F8">
        <f>HYPERLINK("http://www.indeed.com/job/day-service-program-manager-adults-disabilities-425ac6ce259d37d8", "http://www.indeed.com/job/day-service-program-manager-adults-disabilities-425ac6ce259d37d8")</f>
        <v/>
      </c>
      <c r="G8" t="inlineStr">
        <is>
          <t>Springdale, OH, US</t>
        </is>
      </c>
      <c r="H8" s="2" t="n">
        <v>46036</v>
      </c>
      <c r="I8" t="inlineStr">
        <is>
          <t>**Job Summary**
Day Services Program Manager \- Springdale Location
Unity Care Group, LLC (UCG) is a premier service provider dedicated to making a difference in the lives of those with intellectual and developmental disabilities in the State of Ohio. Passionate about helping our clients live full, inclusive lives that break the mold, we are expanding and adding new roles. We are looking for movers \&amp; shakers, advocates, initiative takers, and life changers. Whether your title is administrative, management or direct support, we believe every role is important and we couldn't enable our clients to achieve their best lives without everyone on our team.
Unity Care Group is seeking an experienced Program Manager to oversee its newest Day Service Program in the Springdale Area. This newest addition to the Unity Care Group team will build this program from the ground up with collaboration from our team of leaders. We're looking for someone who is comfortable building programs, meeting strenuous deadlines, and creating a replacement leadership structure and leading by example.
This means we need someone dynamic, independent and has a go\-getter attitude. This is someone who understands the industry, has relationships with SSA's and is familiar with the Board of DD processes and expectations. We want someone who is driven with a sales\-focused attitude that understands we are looking to build this program up as the powerhouse of our company. This means we need people comfortable marketing the location to SSA's, clients and the general public. Who seek to justify their role and prove themselves.
This is someone who realizes they may be asked to do anything to keep the program functioning at the necessary level. That can include driving vehicles to pick\-up clients or take to locations, caring for the client's daily needs, taking the clients out into the community, giving tours, leading intake meetings, and even cleaning.
**Responsibilities May Include, But Are Not Limited To:** 
* Oversee the operations onsite, including management, staff, property management and relationship with the community.
* Will ensure all staff and procedures maintain compliance with regulatory standards, including hiring, training, certifications, care of clients, community outings, and ISP's.
* Ensures accurate and timely program documentation is completed.
* Will partner with CEO on creating a core growth strategy to retain and increase new clients to meet occupancy goals and assist with new development.
* Will maintain and foster new relationships with SSA's, Caseworkers, Guardians and other individuals to lobby on behalf of individuals receiving services.
* Direct and supervise DSP's and other staff to ensure tasks, routines, schedules and expectations are met daily.
* Partners with HR to ensure the hiring, training and management of staff is effectively resulting in a positive work environment.
* Partners with HR on employment decisions related to interviewing, hiring, transfers, promotions, discipline, terminations, evaluations and performance issues.
* Leverage the financial performance of individual programs like Community Integration to the benefit of their success. Including the purchasing of program supplies and review and submit billing compliance documentation.
* Provide comprehensive information to the appropriate staff regarding all new participants prior to admission including demographic and diagnostic information.
* Align and contribute to the vision for an exemplary ADS program and creates a culture and initiatives that reinforce that vision.
* Ability to step in wherever needed to ensure the success of the program.
**Qualifications:**
* Bachelors in Psychology, Social Work, Public Health or related field
* Minimum of two years' experience as a Program Manager or Director of an Adult Day Center.
* Driver's License with clean driving record
* Ability to pass a background check, drug test and physical
* Willingness to fill in wherever to meet the needs of the clients and program
Job Type: Full\-time
Pay: $40,000\.00 \- $55,000\.00 per year
Benefits:
* 401(k)
* 401(k) matching
* Dental insurance
* Life insurance
* Paid time off
* Vision insurance
Application Question(s):
* As a leadership role, are you aware that this may mean you're providing direct care, driving vehicles, or doing whatever is necessary for the care of clients and for the program to run smoothly?
Education:
* Associate (Preferred)
Experience:
* Program Manager in Day Services: 2 years (Required)
License/Certification:
* Driver's License (Preferred)
* CPR \&amp; First Aid Certification (Preferred)
Location:
* Springdale, OH 45246 (Preferred)
Work Location: In person</t>
        </is>
      </c>
    </row>
    <row r="9">
      <c r="A9" t="inlineStr">
        <is>
          <t>in-2c9dbfb59a07a89a</t>
        </is>
      </c>
      <c r="B9" t="inlineStr">
        <is>
          <t>Senior Environmental Health and Safety Program Manager</t>
        </is>
      </c>
      <c r="C9" t="inlineStr">
        <is>
          <t>Forterra</t>
        </is>
      </c>
      <c r="D9" t="inlineStr">
        <is>
          <t>indeed</t>
        </is>
      </c>
      <c r="E9">
        <f>HYPERLINK("https://www.indeed.com/viewjob?jk=2c9dbfb59a07a89a", "https://www.indeed.com/viewjob?jk=2c9dbfb59a07a89a")</f>
        <v/>
      </c>
      <c r="F9">
        <f>HYPERLINK("https://ats.rippling.com/forterra/jobs/215943bf-187c-4fec-98a0-74ea5fa45aa9?jobSite=Indeed", "https://ats.rippling.com/forterra/jobs/215943bf-187c-4fec-98a0-74ea5fa45aa9?jobSite=Indeed")</f>
        <v/>
      </c>
      <c r="G9" t="inlineStr">
        <is>
          <t>Clarksburg, MD, US</t>
        </is>
      </c>
      <c r="H9" s="2" t="n">
        <v>46036</v>
      </c>
      <c r="I9"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The EHS Program Manager is responsible for setting the strategic direction and overseeing all environmental, health, and safety programs across the organization. As a senior leader in operations, the EHS Program Manager will be responsible for establishing a strong culture of safety and sustainability, ensuring compliance with regulatory requirements, and driving down operational risk.
The EHS Program Manager will oversee the EHS department, developing policies to drive proactive risk management, training, and innovation, guiding incident prevention and response, and partnering with leadership to align safety and environmental practices with the company’s operational and strategic goals.
 **What you'll do**
 **Program Leadership \&amp; Compliance**
* + Lead and manage all aspects of environmental, health, and safety compliance across manufacturing and integration operations.
* + Develop, implement, and maintain EHS programs, management systems, and best practices aligned with OSHA, EPA, DOT, and other regulatory requirements.
* + Ensure compliance with environmental permitting and reporting, including air emissions, hazardous/industrial waste, stormwater, and spill prevention.
* + Oversee internal and external audits, inspections, regulatory reports, and information requests.
* + Collaborate with management team to review and adapt Emergency Action Plan (EAP).
* + Maintain a written log of safety inspection activities, reports, and correspondence.
* + Manage workers' compensation claims and insurance.
**Risk Management \&amp; Continuous Improvement**
* + Conduct hazard assessments, risk analyses, and process safety reviews; maintain OSHA\-required documentation and site\-specific risk registers.
* + Lead accident/incident investigations, root cause analyses, and corrective/preventive action programs.
* + Monitor and analyze EHS performance metrics, trends, and KPIs to drive data\-informed decision\-making.
**Culture \&amp; Training**
* + Build and reinforce a strong safety\-first culture across the organization.
* + Design and deliver EHS training programs for all levels of the workforce, from frontline staff to executives.
* + Lead safety committees, drills, and regular meetings to promote engagement, transparency, and accountability.
* + Provide expert guidance to leadership on equipment selection, facility design, and workflow planning with a safety and environmental lens.
**Team \&amp; Resource Management**
* + Manage and develop EHS team members, ensuring high performance and professional growth.
* + Oversee department budgets, resources, and tools to optimize program effectiveness.
* + Collaborate with cross\-functional leaders to integrate EHS considerations into broader organizational strategies and projects.
 **Minimum Qualifications**
* Bachelor’s degree in occupational health and safety, environmental science, engineering, public health, or a related field.
* 5\+ years of progressive experience in EHS roles within manufacturing, industrial, aerospace, maritime, or similar environments.
* Strong knowledge of federal, state, and local EHS regulations (OSHA, EPA, DOT).
* Proven experience developing and implementing effective EHS programs and management systems.
* Demonstrated ability to lead investigations, audits, and continuous improvement initiatives.
* Strong analytical, organizational, and communication skills with the ability to influence across levels of the organization.
 **Preferred Qualifications**
* Professional certifications such as CSP, CIH, CHMM, or PMP.
* Experience with ISO 14001 and ISO 45001 implementation and auditing
* Experience managing workers’ compensation claims and insurance programs.
* Proven ability to engage teams, build culture, and manage multiple priorities in a fast\-paced environment.
US Salary Range  
 $120,000 \- $140,000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t>
        </is>
      </c>
    </row>
    <row r="10">
      <c r="A10" t="inlineStr">
        <is>
          <t>in-0a7c0d5cffb25d02</t>
        </is>
      </c>
      <c r="B10" t="inlineStr">
        <is>
          <t>Swim School Program Manager</t>
        </is>
      </c>
      <c r="C10" t="inlineStr">
        <is>
          <t>Dallas Swim Kids</t>
        </is>
      </c>
      <c r="D10" t="inlineStr">
        <is>
          <t>indeed</t>
        </is>
      </c>
      <c r="E10">
        <f>HYPERLINK("https://www.indeed.com/viewjob?jk=0a7c0d5cffb25d02", "https://www.indeed.com/viewjob?jk=0a7c0d5cffb25d02")</f>
        <v/>
      </c>
      <c r="F10">
        <f>HYPERLINK("https://dallas-swim-kids.careerplug.com/j/02uvzzr", "https://dallas-swim-kids.careerplug.com/j/02uvzzr")</f>
        <v/>
      </c>
      <c r="G10" t="inlineStr">
        <is>
          <t>Dallas, TX, US</t>
        </is>
      </c>
      <c r="H10" s="2" t="n">
        <v>46036</v>
      </c>
      <c r="I10" t="inlineStr">
        <is>
          <t>**Benefits:**
* Employee discounts
* Free uniforms
* Health insurance
* Paid time off
* Stock options plan
* Training \&amp; development
**Job Summary**  
We are seeking a dedicated and organized Swim School Program Manager to oversee the training and curriculum at our swim school. The ideal candidate will be responsible for onboarding and training staff, coordinating swim programs, and ensuring a safe and welcoming environment for all students. This role requires strong leadership skills, excellent time management, and a passion for aquatic education.  
**Position Overview**  
The Program Manager plays a vital role in delivering an exceptional swim lesson experience by supporting, developing, and leading our team of instructors. This role is responsible for upholding instructional quality and consistency, managing program operations, and ensuring our curriculum is delivered to standard. The ideal candidate is passionate about water safety education, thrives in a team environment, and leads by example through hands\-on involvement.  
**Responsibilities**  
* Lead the onboarding and training of new swim instructors, ensuring they are confident and prepared to deliver our curriculum.
* Provide ongoing coaching, mentorship, and professional development to tenured team members to support continued growth.
* Regularly observe classes to ensure instructional quality and adherence to curriculum standards; deliver actionable feedback to instructors.
* Collaborate with supervisors to monitor and support curriculum delivery across all classes and levels.
* Plan and lead in\-service trainings to reinforce teaching techniques, safety protocols, and class management best practices.
* Oversee and maintain accuracy within the skill tracking system, ensuring proper documentation of swimmer progress.
* Serve as a key point of contact for members by providing guidance on class placement, program structure, and swimmer progression.
* Regularly teach classes to stay connected to the program and provide leadership from the deck.
* Assist with scheduling, staffing, and other program operations as needed.
* Ensure compliance with all safety regulations and maintain a clean, safe environment for students and staff.
* Foster a positive community atmosphere by engaging with parents and students regularly.
**Requirements**  
* Excellent time management skills with the ability to prioritize tasks effectively.
* Strong interpersonal skills with the ability to communicate effectively with diverse groups of people.
* A passion for swimming and aquatic education is essential; prior experience in swim instruction is required.
* Previous experience in a swim school or aquatics program, preferably in a supervisory or training role.
* Strong knowledge of swim instruction techniques and curriculum delivery for children.
* Passion for mentoring and developing others
* CPR/First Aid and Lifeguard certifications (or ability to obtain within 30 days of hire
Join our team as a Dallas Swim Kids Program Manager and contribute to fostering a love for swimming while ensuring operational excellence!</t>
        </is>
      </c>
    </row>
    <row r="11">
      <c r="A11" t="inlineStr">
        <is>
          <t>in-e9ad83c2f891b1f9</t>
        </is>
      </c>
      <c r="B11" t="inlineStr">
        <is>
          <t>Senior Technical Program Manager – Odessa Platform</t>
        </is>
      </c>
      <c r="C11" t="inlineStr">
        <is>
          <t>ClickLease</t>
        </is>
      </c>
      <c r="D11" t="inlineStr">
        <is>
          <t>indeed</t>
        </is>
      </c>
      <c r="E11">
        <f>HYPERLINK("https://www.indeed.com/viewjob?jk=e9ad83c2f891b1f9", "https://www.indeed.com/viewjob?jk=e9ad83c2f891b1f9")</f>
        <v/>
      </c>
      <c r="F11">
        <f>HYPERLINK("https://ats.rippling.com/clicklease/jobs/5a39f07a-030d-4852-8cef-57574d4e2468?jobSite=Indeed", "https://ats.rippling.com/clicklease/jobs/5a39f07a-030d-4852-8cef-57574d4e2468?jobSite=Indeed")</f>
        <v/>
      </c>
      <c r="G11" t="inlineStr">
        <is>
          <t>Remote, US</t>
        </is>
      </c>
      <c r="H11" s="2" t="n">
        <v>46036</v>
      </c>
      <c r="I11" t="inlineStr">
        <is>
          <t>**Established in 2018, Clicklease is dedicated to empowering small business owners frequently overlooked by traditional lenders. Our headquarters are located in the vibrant city of West Valley City, UT, with operations extending to Radial, Alajuela, Costa Rica. We've cultivated a dynamic environment where equipment financing goes beyond being a mere service; it acts as the gateway to realizing entrepreneurial dreams.**
======================================================================================================================================================================================================================================================================================================================================================================================================================================
**Our Core Values:**
====================
**1\. We Are A Happy Company:**  
At Clicklease, happiness is not just a byproduct; it's a fundamental value. Join a workplace where positivity and joy are cultivated, creating an environment where you can bring your best self to work every day.
 **2\. We Celebrate Collective Intelligence:**  
We thrive on the brilliance of collaboration. Clicklease is a space where diverse minds come together, combining their intelligence to create solutions that matter. Your ideas are not just heard; they're celebrated.
 **3\. We Practice Empathy:**  
Empathy isn't just a word in our dictionary; it's a daily practice. Join a team that values understanding and compassion. At Clicklease, we recognize the human side of business and foster a culture where empathy is a guiding principle.
 **4\. We Listen \&amp; Learn:**  
Growth is a continuous journey at Clicklease. We believe in listening and learning from one another. Your insights and experiences contribute to our collective knowledge, making us stronger as a team.
**Our Mission:**
----------------
**At Clicklease, we have a clear purpose \-** ***to fulfill the capital needs of underserved entrepreneurs and their Main Street Businesses. We achieve this mission through simple, fast, and innovative equipment leasing solutions.*** **This is not just a statement; it's the driving force behind everything we do.**
---------------------------------------------------------------------------------------------------------------------------------------------------------------------------------------------------------------------------------------------------------------------------------------------------------------------------
 **Compensation**
$150,000 – $180,000 base salary (USD), based on experience
 **Modality**
Remote (United States only). Strong preference for candidates based in Utah or willing to relocate to Utah. Candidates must be authorized to work in the United States and reside within the U.S.; remote candidates outside of Utah will be considered based on role fit and business needs.
 **Schedule**
Full\-time position with a standard weekday schedule and some flexibility. Overtime may be required during peak business periods, and availability during evenings, weekends, or holidays may be necessary in the event of critical business needs or system\-related emergencies.
 **Role Overview**
Clicklease is seeking a **Senior Technical Program Manager** with deep **Odessa platform expertise** to lead and support complex leasing system initiatives. This role serves as a critical bridge between Product, Technology, Finance, Accounting, and Operations, ensuring the Odessa platform is implemented, configured, and enhanced to meet business, accounting, and operational requirements.
The ideal candidate brings hands\-on Odessa experience—preferably from enterprise implementations or direct Odessa platform work—paired with strong technical program management capabilities and the ability to translate complex business needs into effective system execution.
 **What you’ll be doing**
* Serving as a senior subject\-matter expert on the Odessa platform, including configuration, integrations, and end\-to\-end lifecycle workflows
* Translating business, accounting, and operational requirements into scalable Odessa system designs
* Partnering closely with Finance and Accounting to ensure system outputs align with GAAP and internal control requirements
* Supporting and strengthening internal Odessa knowledge to reduce key\-person dependency
* Leading and managing complex technology initiatives involving Odessa and related enterprise systems
* Coordinating cross\-functional teams across Product, Technology, Finance, Accounting, Operations, and external vendors
* Owning project plans, timelines, dependencies, risks, and delivery outcomes
* Driving disciplined execution across multiple concurrent initiatives
* Supporting new feature rollouts, system enhancements, and configuration changes within Odessa
* Overseeing testing, validation, and deployment activities to ensure high\-quality releases
* Identifying opportunities to improve system efficiency, automation, and overall utilization
* Ensuring system changes are thoroughly documented and clearly communicated to stakeholders
* Acting as a primary liaison between technical teams and business partners
* Facilitating requirements\-gathering sessions and solution design discussions
* Providing clear status updates, risk escalation, and decision support to leadership
 **What you have**
* 5 or more years of experience in technical project or program management
* Hands\-on experience with the Odessa platform through client implementations, configuration, or internal product development
* Strong understanding of leasing or asset\-based finance workflows
* Proven experience leading cross\-functional, enterprise\-scale technology initiatives
* Demonstrated ability to translate complex business and accounting requirements into system solutions
* Strong documentation and technical writing skills
* Experience managing system implementations, enhancements, and change management initiatives
* Ability to communicate effectively with both technical and non\-technical audiences
 **What will make you stand out**
* Prior experience as an Odessa employee or consultant
* Direct experience partnering with Finance and Accounting teams
* Familiarity with ERP, CRM, or adjacent systems such as Salesforce, tax engines, or reporting tools
* Experience working in Agile, Scrum, or hybrid delivery environments
* Background in SaaS, FinTech, or financial services organizations
 **Why Work for Clicklease**
At Clicklease, we’re transforming how equipment financing works for small businesses. We combine technology, data, and a people\-first culture to deliver fast, flexible financing solutions that help our customers grow. You’ll work alongside collaborative, mission\-driven teammates who value ownership, transparency, and continuous improvement.
 **What We Offer (U.S.)**
* Competitive compensation and performance\-based incentives
* Comprehensive medical, dental, and vision coverage
* 401(k) with company match
* Generous paid time off and paid holidays
* Paid parental leave
* Professional development and growth opportunities
* Remote\-friendly work environment with supportive, people\-first culture
 *\*\*Clicklease only accepts resumes* *submitted* *in English\*\**  
\#LI\-Remote</t>
        </is>
      </c>
    </row>
    <row r="12">
      <c r="A12" t="inlineStr">
        <is>
          <t>in-977a20992a149d5b</t>
        </is>
      </c>
      <c r="B12" t="inlineStr">
        <is>
          <t>Senior Technical Program Manager – Odessa Platform</t>
        </is>
      </c>
      <c r="C12" t="inlineStr">
        <is>
          <t>ClickLease</t>
        </is>
      </c>
      <c r="D12" t="inlineStr">
        <is>
          <t>indeed</t>
        </is>
      </c>
      <c r="E12">
        <f>HYPERLINK("https://www.indeed.com/viewjob?jk=977a20992a149d5b", "https://www.indeed.com/viewjob?jk=977a20992a149d5b")</f>
        <v/>
      </c>
      <c r="F12">
        <f>HYPERLINK("https://ats.rippling.com/clicklease/jobs/5a39f07a-030d-4852-8cef-57574d4e2468?jobSite=Indeed", "https://ats.rippling.com/clicklease/jobs/5a39f07a-030d-4852-8cef-57574d4e2468?jobSite=Indeed")</f>
        <v/>
      </c>
      <c r="G12" t="inlineStr">
        <is>
          <t>West Valley City, UT, US</t>
        </is>
      </c>
      <c r="H12" s="2" t="n">
        <v>46036</v>
      </c>
      <c r="I12" t="inlineStr">
        <is>
          <t>**Established in 2018, Clicklease is dedicated to empowering small business owners frequently overlooked by traditional lenders. Our headquarters are located in the vibrant city of West Valley City, UT, with operations extending to Radial, Alajuela, Costa Rica. We've cultivated a dynamic environment where equipment financing goes beyond being a mere service; it acts as the gateway to realizing entrepreneurial dreams.**
======================================================================================================================================================================================================================================================================================================================================================================================================================================
**Our Core Values:**
====================
**1\. We Are A Happy Company:**  
At Clicklease, happiness is not just a byproduct; it's a fundamental value. Join a workplace where positivity and joy are cultivated, creating an environment where you can bring your best self to work every day.
 **2\. We Celebrate Collective Intelligence:**  
We thrive on the brilliance of collaboration. Clicklease is a space where diverse minds come together, combining their intelligence to create solutions that matter. Your ideas are not just heard; they're celebrated.
 **3\. We Practice Empathy:**  
Empathy isn't just a word in our dictionary; it's a daily practice. Join a team that values understanding and compassion. At Clicklease, we recognize the human side of business and foster a culture where empathy is a guiding principle.
 **4\. We Listen \&amp; Learn:**  
Growth is a continuous journey at Clicklease. We believe in listening and learning from one another. Your insights and experiences contribute to our collective knowledge, making us stronger as a team.
**Our Mission:**
----------------
**At Clicklease, we have a clear purpose \-** ***to fulfill the capital needs of underserved entrepreneurs and their Main Street Businesses. We achieve this mission through simple, fast, and innovative equipment leasing solutions.*** **This is not just a statement; it's the driving force behind everything we do.**
---------------------------------------------------------------------------------------------------------------------------------------------------------------------------------------------------------------------------------------------------------------------------------------------------------------------------
 **Compensation**
$150,000 – $180,000 base salary (USD), based on experience
 **Modality**
Remote (United States only). Strong preference for candidates based in Utah or willing to relocate to Utah. Candidates must be authorized to work in the United States and reside within the U.S.; remote candidates outside of Utah will be considered based on role fit and business needs.
 **Schedule**
Full\-time position with a standard weekday schedule and some flexibility. Overtime may be required during peak business periods, and availability during evenings, weekends, or holidays may be necessary in the event of critical business needs or system\-related emergencies.
 **Role Overview**
Clicklease is seeking a **Senior Technical Program Manager** with deep **Odessa platform expertise** to lead and support complex leasing system initiatives. This role serves as a critical bridge between Product, Technology, Finance, Accounting, and Operations, ensuring the Odessa platform is implemented, configured, and enhanced to meet business, accounting, and operational requirements.
The ideal candidate brings hands\-on Odessa experience—preferably from enterprise implementations or direct Odessa platform work—paired with strong technical program management capabilities and the ability to translate complex business needs into effective system execution.
 **What you’ll be doing**
* Serving as a senior subject\-matter expert on the Odessa platform, including configuration, integrations, and end\-to\-end lifecycle workflows
* Translating business, accounting, and operational requirements into scalable Odessa system designs
* Partnering closely with Finance and Accounting to ensure system outputs align with GAAP and internal control requirements
* Supporting and strengthening internal Odessa knowledge to reduce key\-person dependency
* Leading and managing complex technology initiatives involving Odessa and related enterprise systems
* Coordinating cross\-functional teams across Product, Technology, Finance, Accounting, Operations, and external vendors
* Owning project plans, timelines, dependencies, risks, and delivery outcomes
* Driving disciplined execution across multiple concurrent initiatives
* Supporting new feature rollouts, system enhancements, and configuration changes within Odessa
* Overseeing testing, validation, and deployment activities to ensure high\-quality releases
* Identifying opportunities to improve system efficiency, automation, and overall utilization
* Ensuring system changes are thoroughly documented and clearly communicated to stakeholders
* Acting as a primary liaison between technical teams and business partners
* Facilitating requirements\-gathering sessions and solution design discussions
* Providing clear status updates, risk escalation, and decision support to leadership
 **What you have**
* 5 or more years of experience in technical project or program management
* Hands\-on experience with the Odessa platform through client implementations, configuration, or internal product development
* Strong understanding of leasing or asset\-based finance workflows
* Proven experience leading cross\-functional, enterprise\-scale technology initiatives
* Demonstrated ability to translate complex business and accounting requirements into system solutions
* Strong documentation and technical writing skills
* Experience managing system implementations, enhancements, and change management initiatives
* Ability to communicate effectively with both technical and non\-technical audiences
 **What will make you stand out**
* Prior experience as an Odessa employee or consultant
* Direct experience partnering with Finance and Accounting teams
* Familiarity with ERP, CRM, or adjacent systems such as Salesforce, tax engines, or reporting tools
* Experience working in Agile, Scrum, or hybrid delivery environments
* Background in SaaS, FinTech, or financial services organizations
 **Why Work for Clicklease**
At Clicklease, we’re transforming how equipment financing works for small businesses. We combine technology, data, and a people\-first culture to deliver fast, flexible financing solutions that help our customers grow. You’ll work alongside collaborative, mission\-driven teammates who value ownership, transparency, and continuous improvement.
 **What We Offer (U.S.)**
* Competitive compensation and performance\-based incentives
* Comprehensive medical, dental, and vision coverage
* 401(k) with company match
* Generous paid time off and paid holidays
* Paid parental leave
* Professional development and growth opportunities
* Remote\-friendly work environment with supportive, people\-first culture
 *\*\*Clicklease only accepts resumes* *submitted* *in English\*\**  
\#LI\-Remote</t>
        </is>
      </c>
    </row>
    <row r="13">
      <c r="A13" t="inlineStr">
        <is>
          <t>in-6e5b5d02b0d22d44</t>
        </is>
      </c>
      <c r="B13" t="inlineStr">
        <is>
          <t>Program Manager: Urban Main Streets</t>
        </is>
      </c>
      <c r="C13" t="inlineStr">
        <is>
          <t>SB Works</t>
        </is>
      </c>
      <c r="D13" t="inlineStr">
        <is>
          <t>indeed</t>
        </is>
      </c>
      <c r="E13">
        <f>HYPERLINK("https://www.indeed.com/viewjob?jk=6e5b5d02b0d22d44", "https://www.indeed.com/viewjob?jk=6e5b5d02b0d22d44")</f>
        <v/>
      </c>
      <c r="F13">
        <f>HYPERLINK("http://www.indeed.com/job/program-manager-urban-main-streets-6e5b5d02b0d22d44", "http://www.indeed.com/job/program-manager-urban-main-streets-6e5b5d02b0d22d44")</f>
        <v/>
      </c>
      <c r="G13" t="inlineStr">
        <is>
          <t>Washington, DC, US</t>
        </is>
      </c>
      <c r="H13" s="2" t="n">
        <v>46036</v>
      </c>
      <c r="I13" t="inlineStr">
        <is>
          <t>**Program Manager: Urban Main Streets**
**SB Works**
SB Works is a 501(c)(3\) nonprofit organization committed to advancing equitable economic development by protecting and promoting the contributions of small businesses and the character of the communities they serve. We believe that thriving commercial corridors are essential to strong, inclusive neighborhoods: places where long\-standing residents, immigrant entrepreneurs, and community\-serving organizations can build wealth, connections, and shared prosperity.
Our programs support local small business communities through culturally responsive, place\-based strategies, including specialized training, on\-demand advising, experienced consultants, subsidized physical improvements, and community\-centered project management.
**About the Organization**
Founded in 2015, SB Works was created to support small business growth and neighborhood revitalization in Washington, DC: particularly in communities that have experienced historic disinvestment and systemic barriers to opportunity. Drawing on best practices from urban Main Street programs across the country, SB Works works in partnership with residents, entrepreneurs, and local institutions to strengthen neighborhood\-scale economies.
Since its founding, SB Works has driven more than $10 million in investment across Washington, DC, with a strong focus on Wards 4 and 5, serving hundreds of small businesses—many of them owned by people of color, immigrants, and women. In addition to its local impact, SB Works’ leadership supports community development organizations throughout the Mid\-Atlantic region.
SB Works currently manages the Upper Georgia Avenue Main Street and North Capitol Main Street programs, supporting businesses and community engagement along:
* Georgia Avenue between Missouri Avenue and Eastern Avenue (Maryland border), and
* North Capitol Street between Florida Avenue and Rhode Island Avenue, including the Bloomingdale commercial district.
**About the Role**
Reporting to the Executive Director, The Program Manager, Urban Main Streets plays a key role in advancing SB Works’ commitment to inclusive, community\-led economic development. This is a highly visible, relationship\-driven position that centers trust\-building with small business owners, residents, and neighborhood partners.
The Program Manager serves as a primary point of contact for corridor stakeholders, conducts intentional outreach to ensure equitable access to programs and resources, plans and executes inclusive community events, and manages additional projects aligned with neighborhood priorities. This role is well\-suited for someone who values lived experience, collaboration, and place\-based work.
**Key Responsibilities**
**Upper Georgia Avenue Program Management** 
* Maintain a strong and consistent presence in the Upper Georgia Avenue commercial corridor by visiting businesses, engaging entrepreneurs, and attending community events
* Plan, coordinate, and promote inclusive, accessible events that strengthen community relationships and support local businesses, with the goal of increasing sales, visibility, and reinvestment in the corridor
* Develop and implement a social media strategy that reflects the diversity of corridor businesses and helps drive foot traffic and community pride
* Convene and support committees of business owners and resident volunteers—ensuring diverse representation—to guide program priorities and decision\-making
* Evaluate programs using surveys, feedback, and other tools to ensure continuous learning and responsiveness to community needs
**Small and Local Business Program Development** 
* Support and manage small business assistance projects across Washington, DC, with an equity lens, including: Marketing and branding support for small and micro\-businesses, Business planning and technical assistance, Coordination of physical improvements and construction projects, Navigation of regulatory and permitting processes, with attention to reducing barriers for under\-resourced entrepreneurs
**Additional Organizational Support** 
* Contribute to cross\-organizational initiatives and evolving priorities outlined in SB Works’ strategic plan, particularly those advancing racial, economic, and neighborhood equity.
**Required Skills and Experience**
SB Works values a range of professional and lived experiences and encourages candidates whose backgrounds align with the communities we serve to apply.
**Experience**
* Bachelor’s degree preferred but not required; relevant lived, community, or professional experience will be strongly considered.
* Knowledge of Washington, DC neighborhoods and familiarity with DC government agencies is highly valued.
**Skills \&amp; Competencies**
* Demonstrated cultural humility and the ability to work effectively with people from diverse racial, ethnic, linguistic, and socio\-economic backgrounds.
* Experience or strong interest in one or more of the following: Equitable economic or neighborhood development, Small business support or entrepreneurship, Program or project management, Community engagement or organizing, Volunteer management, Event planning, Marketing and communications
* Strong relationship\-building and customer\-service skills, with the ability to communicate clearly and respectfully with stakeholders across identities and experiences.
* Ability to work independently in a community\-based setting while aligning with organizational strategy, goals, and budgets.
* Comfort using social media platforms; familiarity with Adobe Acrobat, Asana, and Canva preferred.
* Experience with Mailchimp, Wix, and electronic newsletters is a plus.
* Strong organizational skills, attention to detail, and the ability to adapt in a dynamic, people\-centered environment.
**Application Details**
* **Posting Date:** January 13, 2026
* **Application Deadline:** Friday, February 6, 2026
* **Compensation:** $60,000 annually (up to $70,000 based on skills and experience)
* **Location:** Primarily based in Washington, DC, with regular on\-site work along Georgia Avenue; some remote work possible
* **Schedule:** Flexible, generally centered on 10:00 a.m.–6:00 p.m.; includes occasional evening meetings and weekend events
Applications will be reviewed on a rolling basis. Early applications are encouraged.
To apply, please email your resume and cover letter to jobs@sbworksdc.org . Questions may also be directed to this address.
**Equal Opportunity Statement**
SB Works is an equal opportunity employer and is committed to building a diverse and inclusive team. We strongly encourage applications from people of color, women, immigrants, LGBTQ\+ individuals, people with disabilities, and others who have been historically underrepresented in community development and nonprofit leadership.
Pay: $60,000\.00 \- $70,000\.00 per year
Benefits:
* Flexible schedule
People with a criminal record are encouraged to apply
Work Location: Hybrid remote in Washington, DC 20012</t>
        </is>
      </c>
    </row>
    <row r="14">
      <c r="A14" t="inlineStr">
        <is>
          <t>in-5387428413105d4e</t>
        </is>
      </c>
      <c r="B14" t="inlineStr">
        <is>
          <t>Program Manager (DoD Secret Clearance)</t>
        </is>
      </c>
      <c r="C14" t="inlineStr"/>
      <c r="D14" t="inlineStr">
        <is>
          <t>indeed</t>
        </is>
      </c>
      <c r="E14">
        <f>HYPERLINK("https://www.indeed.com/viewjob?jk=5387428413105d4e", "https://www.indeed.com/viewjob?jk=5387428413105d4e")</f>
        <v/>
      </c>
      <c r="F14">
        <f>HYPERLINK("https://www.applicantpro.com/openings/martinfed/jobs/3961585-459460", "https://www.applicantpro.com/openings/martinfed/jobs/3961585-459460")</f>
        <v/>
      </c>
      <c r="G14" t="inlineStr">
        <is>
          <t>New Orleans, LA, US</t>
        </is>
      </c>
      <c r="H14" s="2" t="n">
        <v>46035</v>
      </c>
      <c r="I14" t="inlineStr">
        <is>
          <t>**COMPANY OVERVIEW**
Founded in 2007 in Huntsville, AL, MartinFed provides the U.S. government with customer\-focused, performance\-based solutions using technology and an empowered workforce as an engine to drive its customers' missions. Our goal is to attract the best and brightest within their field.
We invest in our people because they are our greatest asset. They cultivate our purpose, embody and reflect our core values, and define our culture. MartinFed's core values that set us apart are the following:
* *Be Driven* \- We are fueled by the hunger to learn more and do more.
* *Be Curious* \- We engage in continuous improvement \- never accepting the status quo.
* *Be Humble* \- We seek honest feedback to strengthen our relationships.
* *Pursue Excellence* \- We strive to achieve extraordinary results and do not settle for mediocrity.
Strive for excellence and consider joining our growing team today!
**JOB OVERVIEW**
================
MartinFed has an opening for a Program Manager to support Department of Defense (DoD) programs across complex, mission‑critical environments. This role provides leadership and oversight for technical, programmatic, and acquisition activities, ensuring alignment with federal regulations, DoD policies, and organizational objectives. The Program Manager will guide multidisciplinary teams, manage program performance, and support engineering‑related functions including equipment support, systems support, and programmatic planning.
**Please Note: This position is contingent upon award**
**ESSENTIAL FUNCTIONS**
=======================
* Lead program planning and execution across technical DoD initiatives, ensuring alignment with mission objectives
* Oversee equipment, system, and programmatic support activities in engineering‑focused environment
* Conduct technology assessments to evaluate system capabilities, risks, and modernization opportunities
* Support systems design and systems analysis efforts in collaboration with engineering and technical teams
* Manage acquisition planning activities in accordance with FAR and DoD procurement policies
* Develop and oversee budget planning to ensure cost‑effective program execution
* Provide leadership for technical DoD programs, including performance monitoring and reporting
* Coordinate with government and contractor stakeholders to ensure compliance, performance, and mission success
* Ensure adherence to DoD policies, procedures, and security requirements
* Apply program management best practices to enhance efficiency, reliability, and mission readiness
**QUALIFICATIONS**
* Bachelor's degree in Engineering, Physical Sciences, Mathematics, Management Information Systems, or Business
* Active Secret Security Clearance
* 8 years of program management experience in technology assessments, systems design/analysis, acquisition, and budgeting
* 5 years managing technical DoD programs
* Experience in the following areas:
	+ Equipment Support
	+ System Support
	+ Programmatic Support
	+ Technology Assessments
	+ Systems Design
	+ Systems Analysis
	+ Acquisition Planning
	+ Budget Planning
* Strong analytical, organizational, and communication skills
* Knowledge of Federal Acquisition Regulation (FAR) and DoD procurement policies and procedures
**DESIRED QUALIFICATIONS**
* Certifications like the following: PMP, DAWIA, ITIL or equivalent
* Familiarity with C4ISR environments and terminology
* Understanding the systems engineering lifecycle process
* Ability to lead and integrate teams and work independently
**PHYSICAL REQUIREMENTS \&amp; ENVIRONMENTAL CONDITIONS**
* Work must be performed on\-site
* Working on a computer for long periods of time.
* May involve long period of sitting at a desk.
* The work environment is fast\-paced and sometimes involves extreme deadline pressures.
**OTHER DUTIES**
This job description is not designed to cover or contain a comprehensive listing of activities, duties or responsibilities that are required of the employee for this job. Duties, responsibilities, and activities may change at any time with or without notice.</t>
        </is>
      </c>
    </row>
    <row r="15">
      <c r="A15" t="inlineStr">
        <is>
          <t>in-c0601f55f5e31d41</t>
        </is>
      </c>
      <c r="B15" t="inlineStr">
        <is>
          <t>Product Manager Human Resources Products</t>
        </is>
      </c>
      <c r="C15" t="inlineStr">
        <is>
          <t>HCA Healthcare</t>
        </is>
      </c>
      <c r="D15" t="inlineStr">
        <is>
          <t>indeed</t>
        </is>
      </c>
      <c r="E15">
        <f>HYPERLINK("https://www.indeed.com/viewjob?jk=c0601f55f5e31d41", "https://www.indeed.com/viewjob?jk=c0601f55f5e31d41")</f>
        <v/>
      </c>
      <c r="F15">
        <f>HYPERLINK("https://careers.hcahealthcare.com/en/jobs/17100796-manager-human-resources-products?tm_job=1-INFOR-4036779&amp;tm_event=view&amp;tm_company=2537", "https://careers.hcahealthcare.com/en/jobs/17100796-manager-human-resources-products?tm_job=1-INFOR-4036779&amp;tm_event=view&amp;tm_company=2537")</f>
        <v/>
      </c>
      <c r="G15" t="inlineStr">
        <is>
          <t>Nashville, TN, US</t>
        </is>
      </c>
      <c r="H15" s="2" t="n">
        <v>46035</v>
      </c>
      <c r="I15" t="inlineStr">
        <is>
          <t>##### **Introduction**
Do you have the career opportunities as a Manager Human Resources Products you want with your current employer? We have an exciting opportunity for you to join HCA Healthcare which is part of the nation's leading provider of healthcare services,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Human Resources Products where your passion for creating positive patient interactions is valued? If you are dedicated to caring for the well\-being of others, this could be your next opportunity. We want your knowledge and expertise!
##### **Job Summary and Qualifications**
The Product Manager: Digital HR Transformation will lead the design, development, and adoption of digital products that modernize enterprise workflows, enhance employee experience, and unlock data\-driven decision\-making across the organization.
This role bridges strategy, technology, and user experience, owning the end\-to\-end lifecycle of digital products that drive measurable business impact. The Product Manager will define vision, build roadmaps, and lead cross\-functional pods of engineers, data scientists, and business SMEs to deliver transformation at scale.
**Major Responsibility:**
Strategy \&amp; Vision
* Define and communicate a clear digital product vision and roadmap aligned with enterprise transformation goals.
* Translate organizational goals into North Star metrics (e.g., automation %, cycle time reduction, adoption rates).
* Partner with business and technology leaders to identify opportunities for automation, analytics, and experience improvement.
* Develop business cases and ROI models quantifying efficiency, cost savings, or workforce impact from digital initiatives.
Product Discovery \&amp; Design
* Lead discovery workshops to understand pain points and map end\-to\-end workflows.
* Gather insights from stakeholders and users to shape digital product requirements.
* Apply design thinking and journey mapping to reimagine processes and experiences.
* Benchmark solutions against best\-in\-class digital transformation frameworks and industry innovations.
Product Delivery
* Create and maintain the digital transformation roadmap with clear milestones, dependencies, and priorities.
* Write epics, features, and user stories with measurable acceptance criteria.
* Partner with technology and data teams to ensure alignment with enterprise architecture, data governance, and security standards.
* Lead Agile ceremonies (backlog grooming, sprint planning, demos, retrospectives) to ensure continuous delivery.
Change Enablement \&amp; Adoption
* Partner with communications, operations, and training teams to drive user adoption and cultural change.
* Define success metrics for adoption, engagement, and performance; monitor progress through dashboards.
* Act as the voice of the customer, ensuring the product continuously evolves to meet user needs.
* Celebrate and communicate success stories to reinforce the value of digital transformation.
Measurement \&amp; Continuous Improvement
* Define and track KPIs such as digital adoption, efficiency gains, and automation rate.
* Leverage analytics to measure business impact and inform product enhancements.
* Establish post\-launch feedback loops to iterate and scale successful solutions across the enterprise.
**Education \&amp; Experience:**
* 5\+ years of experience in AI/ML development.
* 7\+ years of experience in product management or engineering leadership.
* Experience in the HR technology space is a plus.
* Bachelor's degree in Computer Science, Engineering, Data Science, or a related field.
* Master's degree preferred.
**Licenses, Certifications \&amp; Training:**
* AI/ML related certifications are a plus.
**Knowledge, Skills, Abilities, Behaviors:**
* Strong understanding of AI/ML concepts and techniques.
* Experience with HR processes and data.
* Excellent leadership and communication skills.
* Proven ability to manage and motivate a team.
* Strong problem\-solving and analytical skills.
* Experience with cloud computing platforms (e.g., AWS, Azure, GCP).
* Proficiency in programming languages such as Python or R.
* Knowledge of data visualization tools (e.g., Tableau, Power BI).
* Familiarity with Agile development methodologies.
* Understanding of data privacy and security principles.
HCA Healthcare has been named one of the World's Most Ethical Companies by Ethisphere Institute for ten consecutive years (2010\-2019\). In 2019,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Human Resources Products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16">
      <c r="A16" t="inlineStr">
        <is>
          <t>in-d7d0c846edb105f5</t>
        </is>
      </c>
      <c r="B16" t="inlineStr">
        <is>
          <t>Data Program Manager, Data Stream</t>
        </is>
      </c>
      <c r="C16" t="inlineStr">
        <is>
          <t>DataArt</t>
        </is>
      </c>
      <c r="D16" t="inlineStr">
        <is>
          <t>indeed</t>
        </is>
      </c>
      <c r="E16">
        <f>HYPERLINK("https://www.indeed.com/viewjob?jk=d7d0c846edb105f5", "https://www.indeed.com/viewjob?jk=d7d0c846edb105f5")</f>
        <v/>
      </c>
      <c r="F16">
        <f>HYPERLINK("https://www.dataart.team/vacancies/PMN00019", "https://www.dataart.team/vacancies/PMN00019")</f>
        <v/>
      </c>
      <c r="G16" t="inlineStr">
        <is>
          <t>Dallas, TX, US</t>
        </is>
      </c>
      <c r="H16" s="2" t="n">
        <v>46035</v>
      </c>
      <c r="I16" t="inlineStr">
        <is>
          <t>Client: Our client is an international association of financial industry professionals, bringing together over 200,000 investment experts worldwide. The organization operates more than one hundred applications and is embarking on a major initiative to modernize and upgrade its systems.
* Position overview: The Data Program Manager will be responsible for overseeing governance, execution, and coordination across all workstreams of the Data Strategy Program. This role ensures disciplined delivery, transparent reporting, and alignment with enterprise priorities and related initiatives.
* The estimated salary range is from 180,000 to 220,000 USD per year.
* Occasional travel required to client sites within the Central Virginia region.
* Responsibilities: Establish and manage the program governance framework, cadence, and communication plan
* Maintain the integrated program plan, including milestones, risks, dependencies, and financial tracking
* Coordinate activities across data governance, data quality, data lifecycle, data products, data enrichment, and insights workstreams
* Engage stakeholders across business, product, IT, analytics, and enterprise PMO teams
* Track deliverables, KPIs, budget, and vendor resource allocation
* Identify risks proactively and implement mitigation strategies and escalation pathways
* 7\+ years of experience managing multi\-workstream data or digital transformation programs
* Proven success in implementing PMO best practices within enterprise technology environments
* Strong knowledge of data governance, analytics programs, and data engineering workflows
* Excellent stakeholder management, facilitation, and executive reporting skills</t>
        </is>
      </c>
    </row>
    <row r="17">
      <c r="A17" t="inlineStr">
        <is>
          <t>in-2fc8249ccc226472</t>
        </is>
      </c>
      <c r="B17" t="inlineStr">
        <is>
          <t>Repositioning Program Manager</t>
        </is>
      </c>
      <c r="C17" t="inlineStr">
        <is>
          <t>MAA</t>
        </is>
      </c>
      <c r="D17" t="inlineStr">
        <is>
          <t>indeed</t>
        </is>
      </c>
      <c r="E17">
        <f>HYPERLINK("https://www.indeed.com/viewjob?jk=2fc8249ccc226472", "https://www.indeed.com/viewjob?jk=2fc8249ccc226472")</f>
        <v/>
      </c>
      <c r="F17">
        <f>HYPERLINK("https://careers.maac.com/us/en/job/MACMUSR0019083EXTERNALENUS/Repositioning-Program-Manager?utm_source=indeed&amp;utm_medium=phenom-feeds", "https://careers.maac.com/us/en/job/MACMUSR0019083EXTERNALENUS/Repositioning-Program-Manager?utm_source=indeed&amp;utm_medium=phenom-feeds")</f>
        <v/>
      </c>
      <c r="G17" t="inlineStr">
        <is>
          <t>Germantown, TN, US</t>
        </is>
      </c>
      <c r="H17" s="2" t="n">
        <v>46035</v>
      </c>
      <c r="I17" t="inlineStr">
        <is>
          <t>Job Summary
The Repositioning Program Manager works under the general supervision of the Senior Vice President of Redevelopment with the primary responsibility of oversight and coordination of the property repositioning program. Responsibilities include identifying, underwriting, and managing the entirety of value\-add repositioning opportunities within MAA’s portfolio of multifamily properties. Collaborates across the company as well as externally with architects, engineer and designers and architects to create project scopes, budgets, and schedules. Ensures successful capital investment returns through monitoring and reporting on the financial operating results of the repositioning projects to support management decisions based on key performance indicators.
Duties and Responsibilities
Coordinates the property repositioning program, MAA’s value\-add renovation initiative focusing on amenity, common area, and exterior improvements.
Underwrites potential repositioning projects through property and market investment analysis utilizing macroeconomic market data, property financials, and comparable property characteristics to help determine optimal portfolio capital investment strategy.
Develops financial projections based on a combination of historical performance and future expectations for potential redevelopment targets. Prepares summary investment reports for senior management with investment highlights and recommendations.
Monitors MAA markets for understanding of multifamily construction pipeline, rental rate trends, other real estate development (retail, office, single\-family, entertainment, etc.), and macroeconomic trends.
Prepares and distributes reports (weekly, monthly, and ad\-hoc) on key metrics to help produce optimum results for the return on investment.
Uses project management tools, including financial and budget management, project scheduling, and documented plans to ensure projects complete on schedule and budget.
Collaborates with other departments to ensure required rent returns are being effectively met and support efforts to achieve premiums required for successful ROI.
Analyzes issues on a daily and weekly basis to gauge status and identify needed corrections. Proactively identifies and evaluates opportunities to improve performance within redevelopment programs with management.
Frequently interacts with property management to verify information to ensure accuracy in reports and to properly support each of the programs for success.
Provides advice to supervisors and managers to resolve redevelopment problems.
Performs other related duties as assigned to meet the needs of the business.
Required Qualifications
Bachelor’s degree in accounting, finance, real estate or a related field and 5 to 7 years of professional experience in real estate development, asset management, financial planning and analysis required, or an equivalent combination of education and experience
Financial modeling experience (ROI, IRR, payback, cash flow) required
Proficiency with Microsoft Excel and Access applications required
Preferred Qualifications
Real estate market analysis and research experience within the multifamily industry strongly preferred
Technical knowledge and experience with SQL, Essbase, Yardi or related applications preferred
Technical knowledge of RealPage, Yardi Matrix, CoStar, or other multifamily market analytics platform preferred
Master s degree preferred
Knowledge, Skills, and Abilities
Financial modeling and reporting (ROI, IRR, payback, cash flow) knowledge and expertise
Proficiency in Microsoft Excel and Access applications (e.g., table structures, data types, link tables) and other Microsoft Office applications (e.g., Word, Outlook, PowerPoint)
Knowledge of Hyperion and other financial reporting software and/or related financial reporting and accounting systems
Technical knowledge of property management operating systems (e. g., Yardi)
Quantitative and qualitative analytical skills and attention to detail to identify trends, anomalies, and/or deficiencies
Initiative and flexibility to continuously improve quality and processes and manage change
Project management knowledge and skills to coordinate projects, organize, prioritize, and meet deadlines
Skill and ability to operate and execute within a fast\-paced and complex environment
Business and financial acumen
Skill and ability to communicate verbally clearly and concisely and in writing
Critical thinking, problem\-solving and decision\-making skills
Physical and Environmental Requirements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This position requires the ability to occasionally lift office products and supplies, up to 20 pounds.
This job operates in a professional office environment. This role routinely uses standard office equipment such as computers, phones, photocopiers, filing cabinets and fax machines.
Disclaimer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8">
      <c r="A18" t="inlineStr">
        <is>
          <t>in-c392690bd888c279</t>
        </is>
      </c>
      <c r="B18" t="inlineStr">
        <is>
          <t>Program Manager, Classroom Services</t>
        </is>
      </c>
      <c r="C18" t="inlineStr">
        <is>
          <t>University of Texas Medical Branch</t>
        </is>
      </c>
      <c r="D18" t="inlineStr">
        <is>
          <t>indeed</t>
        </is>
      </c>
      <c r="E18">
        <f>HYPERLINK("https://www.indeed.com/viewjob?jk=c392690bd888c279", "https://www.indeed.com/viewjob?jk=c392690bd888c279")</f>
        <v/>
      </c>
      <c r="F18">
        <f>HYPERLINK("https://jsv3.recruitics.com/redirect?rx_cid=3724&amp;rx_jobId=2600185&amp;rx_url=https%3A%2F%2Fapplyjobs.utmb.edu%2Fjobs%2Fprogram-manager-classroom-services-31313%3Frx_a%3D0%26rx_c%3D%26rx_ch%3Djobp4p%26rx_group%3D502805%26rx_id%3D41a43e2b-f117-11f0-a26e-13f6e24c63ec%26rx_job%3D2600185%26rx_medium%3Dcpc%26rx_r%3Dnone%26rx_source%3Dindeed%26rx_ts%3D20260114T160410Z%26rx_vp%3Dcpc", "https://jsv3.recruitics.com/redirect?rx_cid=3724&amp;rx_jobId=2600185&amp;rx_url=https%3A%2F%2Fapplyjobs.utmb.edu%2Fjobs%2Fprogram-manager-classroom-services-31313%3Frx_a%3D0%26rx_c%3D%26rx_ch%3Djobp4p%26rx_group%3D502805%26rx_id%3D41a43e2b-f117-11f0-a26e-13f6e24c63ec%26rx_job%3D2600185%26rx_medium%3Dcpc%26rx_r%3Dnone%26rx_source%3Dindeed%26rx_ts%3D20260114T160410Z%26rx_vp%3Dcpc")</f>
        <v/>
      </c>
      <c r="G18" t="inlineStr">
        <is>
          <t>Galveston, TX, US</t>
        </is>
      </c>
      <c r="H18" s="2" t="n">
        <v>46035</v>
      </c>
      <c r="I18" t="inlineStr">
        <is>
          <t>**Minimum Qualifications:**
Bachelor’s degree from an accredited university or equivalent, with 5 years of experience in program management.
**Preferred**: Audiovisual (AV) Technology Management experience.
**Job Summary:**
The Program Manager is accountable for the personnel, operational and financial management of assigned program(s) that may cross multiple departments and/or services, to ensure optimal quality, cost, and or service/outcomes.
 **Job Duties:**
* Oversees and supervises all business and administrative activities relating to program operations and budget.
* Provides leadership for the program and promotes teamwork.
* Serves as a liaison between institutional departments and local area groups to assess need and develop project plans and budgets.
* Leads/participates in collaborative interdepartmental approaches to develop and enhance an integrated system of care, as appropriate.
* Coordinates all joint operations for the program with both internal and external sources. Works with other campus departments to establish collaborative programs.
* Assists in identifying potential funding sources for the program, and prepares/monitors budgets to ensure services are provided in a cost\-effective manner.
* Evaluates services to maintain compliance with contracts.
* Reviews existing contracts for renewal.
* Recommends hiring and termination of all supervised employees.
* Facilitates development of goals, performance standards, and objectives of the program.
* Works with other campus departments to establish collaborative programs.
* Responsible for identifying and evaluating the need for new equipment, supplies, communication services, and information services for all areas of the program.
* Initiates implementation plans for new projects and services within the program.
* Adheres to internal controls and reporting structure.
 **Additional Duties:**
* Manage, operate, and troubleshoot AV systems, including cameras, microphones, speakers, streaming tools, and classroom conferencing technologies.
* Coordinate AV setups for meetings, classes, recordings, simulations, and special events.
* Oversee maintenance, equipment upgrades, and device lifecycle planning.
* Collaborate with IT to ensure system compatibility, cybersecurity standards, and technical support.
* Maintain inventory of AV and technology equipment, including tracking, repairs, and replacements.
* Train faculty and staff on AV tools, technology, and best practices.
 **KNOWLEDGE/SKILLS/ABILITIES**
* Knowledge of program management principles, project planning, and workflow development.
* Understanding of organizational operations, budgeting, procurement, and financial tracking.
* Knowledge of strategic planning, performance measurement, and process improvement methodologies.
* Working knowledge of audiovisual (AV) systems, classroom technology, event support operations, and equipment maintenance (if applicable).
* Ability to lead teams, manage complex workflows, and coordinate interdepartmental operations.
* Knowledge of stakeholder engagement practices, customer service standards, and communication strategies.
* Knowledge of compliance requirements, institutional policies, and documentation standards relevant to the program.
* Familiarity with data reporting, analytics, dashboards, and evaluation tools.
 **Salary Range:**
Commensurate with experience.
**EQUAL EMPLOYMENT OPPORTUNITY:**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t>
        </is>
      </c>
    </row>
    <row r="19">
      <c r="A19" t="inlineStr">
        <is>
          <t>in-3c78993f051c1a4b</t>
        </is>
      </c>
      <c r="B19" t="inlineStr">
        <is>
          <t>TSSC Program Manager</t>
        </is>
      </c>
      <c r="C19" t="inlineStr">
        <is>
          <t>CAE</t>
        </is>
      </c>
      <c r="D19" t="inlineStr">
        <is>
          <t>indeed</t>
        </is>
      </c>
      <c r="E19">
        <f>HYPERLINK("https://www.indeed.com/viewjob?jk=3c78993f051c1a4b", "https://www.indeed.com/viewjob?jk=3c78993f051c1a4b")</f>
        <v/>
      </c>
      <c r="F19">
        <f>HYPERLINK("https://cae.wd3.myworkdayjobs.com/en-US/career/job/Altus/TSSC-Program-Manager_119939-1", "https://cae.wd3.myworkdayjobs.com/en-US/career/job/Altus/TSSC-Program-Manager_119939-1")</f>
        <v/>
      </c>
      <c r="G19" t="inlineStr">
        <is>
          <t>Altus, OK, US</t>
        </is>
      </c>
      <c r="H19" s="2" t="n">
        <v>46035</v>
      </c>
      <c r="I19" t="inlineStr">
        <is>
          <t>About This Role  
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Manages the KC\-135 Training System (TS) Training System Support Center (TSSC). The TSSC Manager is responsible for overseeing the following TSSC departments: Instructional System Design (ISD), Integrated Logistics System (ILS), Information Technology (IT), Configuration \&amp; Data Management (C\&amp;DM), and Engineering ensuring standardized training, consistent operations, and contract compliance throughout the TS.  
Essential Duties and Responsibilities *include, but are not limited to the following:** In coordination with the Altus Site Manager, Manages all TSSC program operations.
* Coordinates and schedules TSSC activities to include hardware, software and visual database design, modifications, code and test, configuration management functions, master library functions, and ISD development/maintenance.
* Coordinates and assigns functions to subordinates and reviews completed technical work for compliance with requirements; ensures necessary documentation associated with TSSC modification activity is completed.
* Collaborates with a wide variety of functional areas such as engineering, program management, marketing, manufacturing, and operations to develop and produce proposals responsive to customer needs, as well as recognizing unidentified market opportunities.
* Monitors costs, progress and quality of work and determines solutions to problems encountered.
* Answers complex technical questions escalated from team members and from government counterparts.
* Acts as alternate contractor point of contact for the monthly Training System Configuration Working Group (TSCWG).
* Acts as alternate liaison between assigned government Contractor Representatives (CORs) within the Training Squadron (TRS) and Detachment 2 AMCAOS, and the appropriate CAE USA Program Manager.
* Contract diplomat, liaison and COR Point of contact for the USAF customer for all TSSC issues.
* Ensures contract compliance for all TSSC operations and maintains good working relationships with all customers.
* Coordinates with TSSC department managers/leads and Altus Site Manager to ensure adequate resources and personnel are available to meet contract requirements.
* Oversees the TSSC quality assurance program to ensure AS: 9100 compliance.
* Coordinates monthly submittals of status reports to meet CDRL requirements.
* Attends necessary weekly, monthly, and quarterly meetings as required or directed by the Program Manager or Altus Site Manager
* Other duties as assigned
Education and/or Experience
A Bachelor’s degree in a technical field with strong hardware/software experience. Six (4\) years of simulation\-related experience and a minimum of four (3\) years of previous management experience.* Extensive knowledge of military configuration management requirements and SEI Capability Maturity Model Integrated is preferred
Supervisory Responsibilities
Manage day\-to\-day progress of TSSC efforts through constant interaction with teams of department managers/leads, instructors, engineers, technicians, subcontractors, government representatives and training support personnel. Responsible for scheduling personnel, managing labor and material expenditures. Attends meetings, manages delivery schedules and coordinates configuration management activities. Ensures a safe and secure work environment is established and maintained.  
Security Responsibilities
Compliance with all company Information Systems security policies and procedures. Personally responsible for proper classification and marking of all information and materials, in any form, produced by the incumbent. Shall be assigned specific responsibility for Information Security by immediate supervisor or department management. Shall not divulge any information, or afford access, to other employees not having a need\-to\-know. Shall not divulge information outside company without management approval. Incumbent shall execute company non\-disclosure agreement prior to access to any controlled information.  
Qualifications*Candidate must be able to perform each duty* *satisfactorily.* *The requirements listed below are representative of the knowledge, skill, and/or ability* *required.* *Reasonable accommodations may be made to enable individuals with disabilities to perform the essential functions.** Must exhibit high performance and capability to work in a team environment.
* Must be proficient in Microsoft Excel, PowerPoint, Project, and Word.
* Must be able to effectively deliver oral presentations to management and customers.
* Must be able to work independently and direct subordinates.
* Must be able to work overtime as required.
* Must be willing to work any shift or day of the week as required.
* Understanding of military protocols and customs is essential.
* Incumbent must be eligible for DoD Personal Security Clearance.
Language Skills
Must have the ability to read, analyze, and interpret the most complex documents. Will be required to respond effectively to sensitive inquiries and complaints. Must be able to generate effective oral and written presentations and proposals on complex subjects.  
Mathematical Skills
Must be able to calculate figures and amounts, prices, commissions, and percentages, and to draw and interpret graphs.  
Reasoning Ability
Must be able to define problems, collect data, establish facts, and draw valid conclusions. Ability to interpret complex customer requirements and attitudes from verbal, non\-verbal, and written communication is desirable.  
Certificates, Licenses, Registrations
N/A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Extensive domestic and international travel as required.
* Must be able to walk and/or climb stairs and ladder into a simulator or airplane cockpit.
* Must be able to stoop, bend, and crawl on top of or under machinery.
* Must be able to detect odors or hear noises, bangs, etc., or other sounds to detect problems or flaws in the functioning of simulators and its surrounding environment.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Work in a regular office environment; communicate via personal computer, telephone and virtual meetings.
* Will be working in areas with risk of electrical shock and from moving mechanical parts driven by hydraulics under high pressure.
* Will at times be exposed to the following conditions: extreme heat, airborne particles, and loud noises.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t>
        </is>
      </c>
    </row>
    <row r="20">
      <c r="A20" t="inlineStr">
        <is>
          <t>in-74ed56d9d04b6b71</t>
        </is>
      </c>
      <c r="B20" t="inlineStr">
        <is>
          <t>TSSC Program Manager</t>
        </is>
      </c>
      <c r="C20" t="inlineStr">
        <is>
          <t>CAE</t>
        </is>
      </c>
      <c r="D20" t="inlineStr">
        <is>
          <t>indeed</t>
        </is>
      </c>
      <c r="E20">
        <f>HYPERLINK("https://www.indeed.com/viewjob?jk=74ed56d9d04b6b71", "https://www.indeed.com/viewjob?jk=74ed56d9d04b6b71")</f>
        <v/>
      </c>
      <c r="F20">
        <f>HYPERLINK("https://cae.wd3.myworkdayjobs.com/fr-CA/career/job/Altus/TSSC-Program-Manager_119939-1", "https://cae.wd3.myworkdayjobs.com/fr-CA/career/job/Altus/TSSC-Program-Manager_119939-1")</f>
        <v/>
      </c>
      <c r="G20" t="inlineStr">
        <is>
          <t>Altus, OK, US</t>
        </is>
      </c>
      <c r="H20" s="2" t="n">
        <v>46035</v>
      </c>
      <c r="I20" t="inlineStr">
        <is>
          <t>About This Role  
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Manages the KC\-135 Training System (TS) Training System Support Center (TSSC). The TSSC Manager is responsible for overseeing the following TSSC departments: Instructional System Design (ISD), Integrated Logistics System (ILS), Information Technology (IT), Configuration \&amp; Data Management (C\&amp;DM), and Engineering ensuring standardized training, consistent operations, and contract compliance throughout the TS.  
Essential Duties and Responsibilities *include, but are not limited to the following:** In coordination with the Altus Site Manager, Manages all TSSC program operations.
* Coordinates and schedules TSSC activities to include hardware, software and visual database design, modifications, code and test, configuration management functions, master library functions, and ISD development/maintenance.
* Coordinates and assigns functions to subordinates and reviews completed technical work for compliance with requirements; ensures necessary documentation associated with TSSC modification activity is completed.
* Collaborates with a wide variety of functional areas such as engineering, program management, marketing, manufacturing, and operations to develop and produce proposals responsive to customer needs, as well as recognizing unidentified market opportunities.
* Monitors costs, progress and quality of work and determines solutions to problems encountered.
* Answers complex technical questions escalated from team members and from government counterparts.
* Acts as alternate contractor point of contact for the monthly Training System Configuration Working Group (TSCWG).
* Acts as alternate liaison between assigned government Contractor Representatives (CORs) within the Training Squadron (TRS) and Detachment 2 AMCAOS, and the appropriate CAE USA Program Manager.
* Contract diplomat, liaison and COR Point of contact for the USAF customer for all TSSC issues.
* Ensures contract compliance for all TSSC operations and maintains good working relationships with all customers.
* Coordinates with TSSC department managers/leads and Altus Site Manager to ensure adequate resources and personnel are available to meet contract requirements.
* Oversees the TSSC quality assurance program to ensure AS: 9100 compliance.
* Coordinates monthly submittals of status reports to meet CDRL requirements.
* Attends necessary weekly, monthly, and quarterly meetings as required or directed by the Program Manager or Altus Site Manager
* Other duties as assigned
Education and/or Experience
A Bachelor’s degree in a technical field with strong hardware/software experience. Six (4\) years of simulation\-related experience and a minimum of four (3\) years of previous management experience.* Extensive knowledge of military configuration management requirements and SEI Capability Maturity Model Integrated is preferred
Supervisory Responsibilities
Manage day\-to\-day progress of TSSC efforts through constant interaction with teams of department managers/leads, instructors, engineers, technicians, subcontractors, government representatives and training support personnel. Responsible for scheduling personnel, managing labor and material expenditures. Attends meetings, manages delivery schedules and coordinates configuration management activities. Ensures a safe and secure work environment is established and maintained.  
Security Responsibilities
Compliance with all company Information Systems security policies and procedures. Personally responsible for proper classification and marking of all information and materials, in any form, produced by the incumbent. Shall be assigned specific responsibility for Information Security by immediate supervisor or department management. Shall not divulge any information, or afford access, to other employees not having a need\-to\-know. Shall not divulge information outside company without management approval. Incumbent shall execute company non\-disclosure agreement prior to access to any controlled information.  
Qualifications*Candidate must be able to perform each duty* *satisfactorily.* *The requirements listed below are representative of the knowledge, skill, and/or ability* *required.* *Reasonable accommodations may be made to enable individuals with disabilities to perform the essential functions.** Must exhibit high performance and capability to work in a team environment.
* Must be proficient in Microsoft Excel, PowerPoint, Project, and Word.
* Must be able to effectively deliver oral presentations to management and customers.
* Must be able to work independently and direct subordinates.
* Must be able to work overtime as required.
* Must be willing to work any shift or day of the week as required.
* Understanding of military protocols and customs is essential.
* Incumbent must be eligible for DoD Personal Security Clearance.
Language Skills
Must have the ability to read, analyze, and interpret the most complex documents. Will be required to respond effectively to sensitive inquiries and complaints. Must be able to generate effective oral and written presentations and proposals on complex subjects.  
Mathematical Skills
Must be able to calculate figures and amounts, prices, commissions, and percentages, and to draw and interpret graphs.  
Reasoning Ability
Must be able to define problems, collect data, establish facts, and draw valid conclusions. Ability to interpret complex customer requirements and attitudes from verbal, non\-verbal, and written communication is desirable.  
Certificates, Licenses, Registrations
N/A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Extensive domestic and international travel as required.
* Must be able to walk and/or climb stairs and ladder into a simulator or airplane cockpit.
* Must be able to stoop, bend, and crawl on top of or under machinery.
* Must be able to detect odors or hear noises, bangs, etc., or other sounds to detect problems or flaws in the functioning of simulators and its surrounding environment.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Work in a regular office environment; communicate via personal computer, telephone and virtual meetings.
* Will be working in areas with risk of electrical shock and from moving mechanical parts driven by hydraulics under high pressure.
* Will at times be exposed to the following conditions: extreme heat, airborne particles, and loud noises.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Régulier
CAE thanks all applicants for their interest. However, only those whose background and experience match the requirements of the role will be contacted.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t>
        </is>
      </c>
    </row>
    <row r="21">
      <c r="A21" t="inlineStr">
        <is>
          <t>in-0b92b33854954e40</t>
        </is>
      </c>
      <c r="B21" t="inlineStr">
        <is>
          <t>Sr Product Manager - Advanced Wound Care</t>
        </is>
      </c>
      <c r="C21" t="inlineStr">
        <is>
          <t>Medline Industries</t>
        </is>
      </c>
      <c r="D21" t="inlineStr">
        <is>
          <t>indeed</t>
        </is>
      </c>
      <c r="E21">
        <f>HYPERLINK("https://www.indeed.com/viewjob?jk=0b92b33854954e40", "https://www.indeed.com/viewjob?jk=0b92b33854954e40")</f>
        <v/>
      </c>
      <c r="F21">
        <f>HYPERLINK("https://medline.wd5.myworkdayjobs.com/en-US/Medline/job/Northfield-Illinois/Sr-Product-Manager---Advanced-Wound-Care_R2521235", "https://medline.wd5.myworkdayjobs.com/en-US/Medline/job/Northfield-Illinois/Sr-Product-Manager---Advanced-Wound-Care_R2521235")</f>
        <v/>
      </c>
      <c r="G21" t="inlineStr">
        <is>
          <t>Northfield, IL, US</t>
        </is>
      </c>
      <c r="H21" s="2" t="n">
        <v>46035</v>
      </c>
      <c r="I21" t="inlineStr">
        <is>
          <t>**Job Summary**
Under minimal supervision, manage the full product lifecycle including the sourcing, marketing, new product development, sales support and financial growth of assigned products for a small (or stand\-alone business unit).
Work with and train sales forces to be able to confidently sell product to customers. May have one or more Manager level direct reports.
**Job Description**
**Responsibilities:**
* Negotiate pricing with vendors for raw materials and finished goods. Visit vendors to develop products and train personnel in all aspects of each product and usages. Coordinate materials with vendors and develop finished custom items.
* Provide coaching and training to product management team. Service as a resource and provide project oversight.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 Develop and deliver training materials for internal stakeholders, sales forces and customers. Create sales tools.
* Conduct effective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 Develop and mentor staff through on\-boarding, open communication, training and development opportunities and performance management processes; build and maintain employee morale and motivation; ensure the team is appropriately staffed with required competencies.
**Required Experience:**
**Education**
* Bachelor’s degree.
**MINIMUM JOB REQUIREMENTS:**
* At least 4 years experience in marketing, sales, product management or clinical practice in the healthcare industry.
* Experience negotiating with outside vendors and internal resources.
* Experience collecting and analyzing financial data.
**Knowledge / Skills / Abilities**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$92,000\.00 \- $138,000\.00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2">
      <c r="A22" t="inlineStr">
        <is>
          <t>in-518a7e991ae674f4</t>
        </is>
      </c>
      <c r="B22" t="inlineStr">
        <is>
          <t>Licensed Professional Mental Health Counselor (Program Manager)</t>
        </is>
      </c>
      <c r="C22" t="inlineStr">
        <is>
          <t>US Department of Veterans Affairs</t>
        </is>
      </c>
      <c r="D22" t="inlineStr">
        <is>
          <t>indeed</t>
        </is>
      </c>
      <c r="E22">
        <f>HYPERLINK("https://www.indeed.com/viewjob?jk=518a7e991ae674f4", "https://www.indeed.com/viewjob?jk=518a7e991ae674f4")</f>
        <v/>
      </c>
      <c r="F22">
        <f>HYPERLINK("https://www.usajobs.gov:443/job/854422500", "https://www.usajobs.gov:443/job/854422500")</f>
        <v/>
      </c>
      <c r="G22" t="inlineStr">
        <is>
          <t>Augusta, GA, US</t>
        </is>
      </c>
      <c r="H22" s="2" t="n">
        <v>46035</v>
      </c>
      <c r="I22" t="inlineStr">
        <is>
          <t>**Summary**
-----------
This position is eligible for **the Education Debt Reduction Program (EDRP),** a student loan payment reimbursement program. You must meet specific eligibility requirements per VHA policy and submit your EDRP application within four months of appointment. *Program Approval, award amount (up to $200,000\) \&amp; eligibility period (one to five years) are determined by the VHA Education Loan Repayment Services program office after review of the EDRP application. Former EDRP participants ineligible to apply.*
**This job is open to**
-----------------------
### **The public**
U.S. Citizens, Nationals or those who owe allegiance to the U.S.
### **Internal to an agency**
Current federal employees of the hiring agency that posted the job announcement.
### **Clarification from the agency**
NOTE: The 2\-page Resume requirement does not apply to this position. For more information, refer to Required Documents below.
**Duties**
----------
This position is multidisciplinary and maybe filled as a Marriage and Family Therapist, Licensed Professional Mental Health Counselor, or a Social Worker at the Program Manager/Coordinator level.  
Serves as a Licensed Professional Mental Health Counselor Program Manager, RCS Vet Center Director (VCD) and is responsible for the professional and administrative supervision and oversight of all readjustment counseling, outreach, referrals and follow\-up care coordination services provided to eligible individuals within the designated Vet Center Service Area (VSA).
* The VCD supervises both professional and nonprofessional staff including multi\-disciplinary team of mental health professionals of various performance levels who work in multiple locations (Vet Centers, Vet Center Outstations and Community Access Points) and in communities distant from the Vet Center through planned outreach, often in conjunction with a Mobile Vet Center
* Administrative and outreach staff service functions are also the responsibility of the VCD
* The LPMHC Program Manager VCD oversees the fiscal, contractual, and operational obligations of the community\-based Vet Center
* Leads the coordination and briefing during meetings with Congressional representatives and their staff
* VCD takes the lead in planning, establishing and implementing Vet Center policies and procedures, developing staff goals and objectives, monitoring, coordinating and evaluating the work of all Vet Center staff, including social workers, other Hybrid Title 38 Mental Health professionals, Title 5 Readjustment counselors, outreach workers and office Managers
* Provides direct readjustment counseling services within and outside of the Vet Center to include in\-person and virtual services
* Perform other duties as assigned
**Work Schedule**: Mon\-Fri; 8:00am \- 4:30pm  
**Telework**: Not Available  
**Virtual:** This is not a virtual position.  
**Functional Statement \#**: 50586A  
**Relocation/Recruitment Incentives**: Not Authorized  
**EDRP Authorized:** *Former EDRP participants ineligible to apply for incentive.*Contact VHA.ELRSProgramSupport@va.gov, the EDRP Coordinator for questions/assistance. Learn more  
**Permanent Change of Station (PCS):** Not Authorized
**Requirements**
----------------
### **Conditions of employment**
* You must be a U.S. Citizen to apply for this job.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Hold a master's or doctoral degree in: Clinical Mental Health Counseling; Clinical Rehabilitation Counseling; Clinical Mental Health Counseling and Clinical Rehabilitation Counseling; or a related field, from a program accredited by the Council on Accreditation of Counseling and Related Educational Programs (CACREP). Examples of related mental health counseling fields include, but are not limited to Addiction Counseling; Community Counseling; Gerontology Counseling; Marital, Couple, and Family Counseling. CACREP defines the date when graduates are considered to have graduated from a CACREP accredited program. Additional information may be obtained from http://www.cacrep.org/directory/. NOTE: Traditional Rehabilitation counseling programs that are accredited by CACREP do not meet the LPMHC qualification standards as Traditional Rehabilitation counseling differs from Clinical Rehabilitation counseling.
* **Licensure.** Persons hired or reassigned to LPMHC positions in the GS\-0183 series in VHA must hold a full, current, and unrestricted license to independently practice as a Licensed Professional Mental Health Counselor, which includes diagnosis and treatment. NOTE: It is VHA policy that a LPMHC who does not yet have a license that allows independent practice must be supervised by a licensed independent practitioner of the same discipline who is a VA staff member and who has access to the electronic health record.
* **English Language Proficiency:** Candidates must be proficient in spoken and written English to be appointed as authorized by 38 U.S.C. 7403(f).
**Grade Determinations**: In addition to the basic requirements for employment, the following criteria must be met when determining the grade of candidates.  
**Licensed Professional Mental Health Counselor (Program Manager), GS\-13**  
(a) **Experience, Education and Licensure.** In addition to the basic requirements, candidates must have at least one year of progressively complex experience equivalent to the GS\-12 grade level. The experience must demonstrate possession of advanced practice skills and judgment, demonstrating progressively more professional competency.  
(b) Assignments. LPMHCs manage the daily operations of multiple programs, develop and implement program policies and procedures, or serve as chief or principal counselor to a number of LPHMCs. They are responsible for oversight of administrative and programmatic resources and monitoring of outcomes. They prepare reports and statistics for facility, VISN, and national leadership. Decisions may affect staff and other resources associated with the programs managed and are made while exercising wide latitude and independent judgment. They may be responsible for the program's budget. They may also supervise employees assigned to the program.  
**Demonstrated Knowledge, Skills, and Abilities.** The candidate must demonstrate the KSAs below:  
1\. Ability to make judgments and decisions associated with program management.  
2\. Ability to monitor program outcomes using data driven quality assurance process.  
3\. Ability to develop productivity standards appropriate to each service provided.  
4\. Ability to manage a wide range of programs which include the operation and management of key clinical, training or administrative programs.  
**Reference:** VA Handbook 5005\-106, Part II, Appendix G43, dated April 3, 2018\.  
The full performance level of this vacancy is GS\-13\.  
**Physical Requirements:** The work does not inherently include physical requirements essential for successful job performance that could not otherwise be performed with a workplace accommodation. A pre\-placement exam is not required  
**NOTE: Readjustment Counselors are multi\-disciplinary and can be filled by: Social Worker, Psychologist, Licensed Professional Mental Health Counselor, and Marriage \&amp; Family Therapist. Each discipline is announced separately, and applicants must apply to the announcement for which they are qualified.**
###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Additional CV/Resume
* Performance Appraisal
* Professional Certification
* Resume
* SF\-15
* SF\-50/ Notification of Personnel Action
*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Veterans' preference does not apply for internal or other current permanent Federal agency employees.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01/21/2026 to receive consideration. To preview the questionnaire click https://apply.usastaffing.gov/ViewQuestionnaire/12849339\.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VHA National Recruitment Center
Phone
(844\)456\-5208
Email
VHANationalRecruitmentCenter@va.gov
Address
*Readjustment Counseling Service*  
*120 SE 6th Avenue, Ste. 102*  
*Topeka, KS 66603*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01/14/2026 to 01/21/2026
Salary
$106,437 to \- $138,370 per year
Pay scale \&amp; grade
GS 13
Location
Augusta, GA
1 vacancy
Remote job
No
Telework eligible
No
Travel Required
25% or less \- You may be expected to travel for this position.
Relocation expenses reimbursed
No
Appointment type
Permanent
Work schedule
Full\-time
Service
Excepted
Promotion potential
None
Job family (Series)
* 0183 Licensed Professional Mental Health Counselor
Supervisory status
Yes
Security clearance
Other
Drug test
No
Position sensitivity and risk
Non\-sensitive (NS)/Low Risk
Trust determination process
* Credentialing
* Suitability/Fitness
Financial disclosure
No
Bargaining unit status
No
Announcement number
CBZY\-12849339\-26\-KLC
Control number
854422500</t>
        </is>
      </c>
    </row>
    <row r="23">
      <c r="A23" t="inlineStr">
        <is>
          <t>in-8859edb348036241</t>
        </is>
      </c>
      <c r="B23" t="inlineStr">
        <is>
          <t>Licensed Marriage and Family Therapist (Program Manager)</t>
        </is>
      </c>
      <c r="C23" t="inlineStr">
        <is>
          <t>US Department of Veterans Affairs</t>
        </is>
      </c>
      <c r="D23" t="inlineStr">
        <is>
          <t>indeed</t>
        </is>
      </c>
      <c r="E23">
        <f>HYPERLINK("https://www.indeed.com/viewjob?jk=8859edb348036241", "https://www.indeed.com/viewjob?jk=8859edb348036241")</f>
        <v/>
      </c>
      <c r="F23">
        <f>HYPERLINK("https://www.usajobs.gov:443/job/854422200", "https://www.usajobs.gov:443/job/854422200")</f>
        <v/>
      </c>
      <c r="G23" t="inlineStr">
        <is>
          <t>Augusta, GA, US</t>
        </is>
      </c>
      <c r="H23" s="2" t="n">
        <v>46035</v>
      </c>
      <c r="I23" t="inlineStr">
        <is>
          <t>**Summary**
-----------
This position is eligible for **the Education Debt Reduction Program (EDRP),** a student loan payment reimbursement program. You must meet specific eligibility requirements per VHA policy and submit your EDRP application within four months of appointment. *Program Approval, award amount (up to $200,000\) \&amp; eligibility period (one to five years) are determined by the VHA Education Loan Repayment Services program office after review of the EDRP application. Former EDRP participants ineligible to apply.*
**This job is open to**
-----------------------
### **The public**
U.S. Citizens, Nationals or those who owe allegiance to the U.S.
### **Internal to an agency**
Current federal employees of the hiring agency that posted the job announcement.
### **Clarification from the agency**
NOTE: The 2\-page Resume requirement does not apply to this position. For more information, refer to Required Documents below.
**Duties**
----------
This position is multidisciplinary and maybe filled as a Social Worker, Marriage and Family Therapist, or a Licensed Professional Mental Health Counselor, at the Program Manager/Coordinator level.  
Duties of the Supervisory Marriage and Family Therapist (MFT) Program Manager and licensed professional with advance practical experience using evidence based family therapy model while demonstrating progressive professional competency and expertise include but are not limited to:
* Supervising a multidisciplinary staff composed of clinical and administrative team members, whose primary mission is to provide direct readjustment counseling to eligible individuals in the areas of suicide prevention, crisis intervention, short\- and long\-term treatment for symptoms associated with Post\-Traumatic Stress Disorder, and readjustment issues;
* Planning, developing, implementing, coordinating, monitoring, and evaluating professional services rendered by subordinates;
* Setting guidelines and establishing intervention strategies/treatment priorities for individual, group, conjoint and families employing varying clinical and therapeutic modalities;
* Conducting Performance Based Interviews (PBI) and determining selection processes to ensure fair and equitable recruitment of qualified, high achieving, and well prepared applicants;
* Developing networks and working relationships external to the St. Louis Vet Center Director and the Department of Veteran Affairs with Veteran service organizations, community based agencies, and mental health organizations to enhance service delivery and develop referrals of Veteran clients to appropriate care;
* Serving as a consultant and subject matter expert to programs and resources external to the Vet Center on matters of readjustment needs of Veterans;
* Creating, implementing, and measuring market penetration of Vet Center services through a comprehensive outreach plan for the primary service area;
* Ensuring fiscal/budget management, in compliance with applicable RCS and VHA policies and procedures as an approving official for time \&amp; attendance reports, leases/contracts management, staff local travel, Government Purchase Card (GPC) purchases, etc.; and
* Screening/assessing of Veteran clients, treatment planning and goal setting, referral to service providers, development of a resource file, Veteran advocacy, crisis intervention, education/health promotion, coordination of non\-institutional and institutional services, and individual/group counseling.
* Perform other duties as assigned.
**Work Schedule**: Monday \- Friday, 8:00 am to 4:30 pm; however, candidate may be subject to working evenings, weekends, and holidays  
**Telework**: Not Available  
**Virtual:** This is not a virtual position.  
**Functional Statement \#**: 78047A  
**Relocation/Recruitment Incentives**: Not Authorized  
**EDRP Authorized:** *Former EDRP participants ineligible to apply for incentive.*Contact VHA.ELRSProgramSupport@va.gov, the EDRP Coordinator for questions/assistance. Learn more  
**Permanent Change of Station (PCS):** Not Authorized
**Requirements**
----------------
### **Conditions of employment**
* You must be a U.S. Citizen to apply for this job.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Candidates must meet one of the following:
	+ (1\) Hold a master's degree or doctoral degree in marriage and family therapy from a program approved by COAMFTE,
	+ (2\) Hold a master's degree or doctoral degree in marriage and family therapy from a MFT program from a regionally accredited institution, OR,
	+ (3\) Hold a master's degree or doctoral degree in a comparable mental health degree(Licensed Professional Mental Health Counselor, Social Work, Psychiatric Nursing, Psychology, and Psychiatry) that meets the current VA qualification standard of that profession.
* **Licensure:** Persons hired or reassigned to MFT positions in the GS\-0182 series in VHA must hold a full, current, and unrestricted MFT license to independently practice marriage and family therapy in a State.
* **English Language Proficiency.** MFTs must be proficient in spoken and written English in accordance with VA Handbook 5005, Part II, Chapter 3, Section A, paragraph 3j.
**Grade Determinations**: In addition to the basic requirements for employment, the following criteria must be met when determining the grade of candidates.  
**Marriage and Family Therapist (Program Manager),GS\-13**  
**Experience, Education and Licensure**. In addition to the basic requirements, candidates must have at least one year of progressively complex experience equivalent to the GS\-12 grade level which demonstrates knowledge, skills, and abilities that are directly related to the specific assignment. MFT Program Manager must have graduated from a COAMFTE approved program OR have passed the AMFTRB examination. MFT Program Manager must have five years of post\- licensed clinical experience in family systems theory/therapy and must demonstrate possession of advanced practice skills and judgment, demonstrating progressive professional competency and expertise. **MFT Program Manager must have an AAMFT Approved Supervisor credential.**  
**Demonstrated KSAs.** In addition to the experience above, candidates must demonstrate all of the following Knowledge, Skills, and Abilities (KSAs):
* Skill in assessing qualifications and abilities of current and prospective employees to include staff performance evaluation and may include evaluations of lower level assignments and support staff.
* Ability to facilitate professional development of other MFTs across programs/or locations (i.e. CBOC, outpatient clinics, etc.) and guide them in current practice guidelines.
* Ability to collaborate with leaders of other disciplines within facilities, the community, VISN, and VACO.
* Skill in managing and directing the work of others to accomplish program goals and objectives, reporting requirements and the ability to devise ways to adapt work operations to new and changing programs, staffing and budget requirements. This includes knowledge of VA policy and procedures as well as fair, principled and decisive leadership practices.
* Ability to analyze organizational and operational problems and to develop and implement solutions that result in sound operation of the program.
* Ability to clinically supervise in areas related to the provision of marital and family therapy services to accomplish organizational goals and objectives.
**Reference:** VA Handbook 5005, Part II, Appendix G44, Marriage and Family Therapy Qualification standard, dated September 28, 2010  
The full performance level of this vacancy is GS\-13\.  
**Physical Requirements:** The work does not inherently include physical requirements essential for successful job performance that could not otherwise be performed with a workplace accommodation.
###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AAMFT Credential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Additional CV/Resume
* AAMFT Credential
* Performance Appraisal
* Professional Certification
* Resume
* SF\-15
* SF\-50/ Notification of Personnel Action
*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Veterans' preference does not apply for internal or other current permanent Federal agency employees.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01/21/2026 to receive consideration. To preview the questionnaire click https://apply.usastaffing.gov/ViewQuestionnaire/12849338\.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VHA National Recruitment Center
Phone
(844\)456\-5208
Email
VHANationalRecruitmentCenter@va.gov
Address
*Readjustment Counseling Service*  
*120 SE 6th Avenue, Ste. 102*  
*Topeka, KS 66603*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01/14/2026 to 01/21/2026
Salary
$106,437 to \- $138,370 per year
Pay scale \&amp; grade
GS 13
Location
Augusta, GA
1 vacancy
Remote job
No
Telework eligible
No
Travel Required
25% or less \- You may be expected to travel for this position.
Relocation expenses reimbursed
No
Appointment type
Permanent
Work schedule
Full\-time
Service
Excepted
Promotion potential
None
Job family (Series)
* 0182 Marriage and Family Therapist
Supervisory status
Yes
Security clearance
Other
Drug test
No
Position sensitivity and risk
Non\-sensitive (NS)/Low Risk
Trust determination process
* Credentialing
* Suitability/Fitness
Financial disclosure
No
Bargaining unit status
No
Announcement number
CBZY\-12849338\-26\-KLC
Control number
854422200</t>
        </is>
      </c>
    </row>
    <row r="24">
      <c r="A24" t="inlineStr">
        <is>
          <t>in-264cd2d4019b69d8</t>
        </is>
      </c>
      <c r="B24" t="inlineStr">
        <is>
          <t>Identity and Platform Security Product Manager – Vice President</t>
        </is>
      </c>
      <c r="C24" t="inlineStr">
        <is>
          <t>Morgan Stanley</t>
        </is>
      </c>
      <c r="D24" t="inlineStr">
        <is>
          <t>indeed</t>
        </is>
      </c>
      <c r="E24">
        <f>HYPERLINK("https://www.indeed.com/viewjob?jk=264cd2d4019b69d8", "https://www.indeed.com/viewjob?jk=264cd2d4019b69d8")</f>
        <v/>
      </c>
      <c r="F24">
        <f>HYPERLINK("https://morganstanley.eightfold.ai/careers/job?domain=morganstanley.com&amp;pid=549795430604", "https://morganstanley.eightfold.ai/careers/job?domain=morganstanley.com&amp;pid=549795430604")</f>
        <v/>
      </c>
      <c r="G24" t="inlineStr">
        <is>
          <t>New York, NY, US</t>
        </is>
      </c>
      <c r="H24" s="2" t="n">
        <v>46035</v>
      </c>
      <c r="I24" t="inlineStr">
        <is>
          <t>Identity and Platform Security Product Manager – Vice President
Wealth Management Platforms
Purchase, NY
In this role you will be a vital part of a dynamic team responsible for delivering the client\-facing authentication and security experience for our digital platforms, including Morgan Stanley Online/Morgan Stanley Mobile, E\*TRADE web, E\*TRADE Mobile, and Power E\*TRADE Mobile. As a smart, passionate, detail\-oriented team player who loves interacting with a diverse set of people solving tough problems and challenging the status quo, this is an amazing opportunity to forge a new digital direction for a highly respected company that is deeply committed to reinventing itself. Strong performing individuals will be supported in further professional development.
About Morgan Stanley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Morgan Stanley is committed to helping its employees build meaningful careers and we strive to be a place for people to learn, achieve and grow.
Department Overview
In the Wealth Management division, we help people, businesses and institutions build, preserve, and manage wealth so they can pursue their financial goals
Wealth Management (WM) Platforms manages industry\-leading platforms, across all WM channels and client segments, to provide a unified digital experience, unlock growth, and deliver efficiencies for Advisors, Clients, and Institutions. WM Platforms consists of nine sub\-teams including: Field Experience \&amp; Platforms, Digital Client Experience \&amp; Platforms, Workplace Platforms, Automation \&amp; Workflow Solutions, Digital Trading \&amp; Investing, UX Design \&amp; Research, Strategy \&amp; Execution. Business Control \&amp; Support, and the Chief Operating Office.
The Digital Client Experience \&amp; Platforms Team is responsible for all aspects of the digital client experience with focus on self directed bank, brokerage, and advised accounts. Consists of Mobile, Retail Web and Bank Platforms, Portfolio Analytics, Digital Advice \&amp; Transactions, and Account Opening teams.
What you’ll do in the role:
* Product Manager for a digital agile squad responsible for definition and delivery of core product features and experiences to meet target audience needs consistent with product strategy and vision
* Areas of focus include:
	+ Managing the Identity Provider (IDP) for our wealth management client facing platforms
	+ Identity proofing tools used to onboard our platform users
	+ SSO/federated authentication with internal and external partner platforms
	+ Integration with our fraud management and decisioning systems.
* Identify and elaborate on critical user journeys, use cases, workflows, and business processes that align with the product vision/goals and address critical user and control needs
* Build and maintain prioritized product backlog – identify, groom, and validate epics and user stories for agile sprints; Lead backlog refinement and sprint planning ceremonies to communicate requirements and drive consensus with squad and program stakeholders
* Work closely with the technology team to assure effective communication of requirements and rapid delivery of key product releases
* Facilitate product development lifecycle from defining product vision/scope to launching MVP to ongoing management of product to meet KPIs; Drive definition and prioritization of product roadmap, release planning, and development and communication of business requirements
* Collaborate with key stakeholders from the Wealth Management field and client service teams, Risk, Fraud, Cybersecurity, legal and compliance to develop requirements for the products and features managed.
* Prepare presentations, user demos, and status updates
* Gather, organize, and assimilate internal and external feedback to identify and prioritize product gaps, enhancements, and new features
* Collaborate with UI/UX team to develop information/interaction architecture, user flows, wireframes, and visual design comps
* Team up with program management office to effectively organize and plan product releases
* Define and track KPIs and product/program adoption and usage metrics – evangelize adoption
Skills / Experience Required:
* Minimum 9\.5 Years of applicable experience across work and higher education
* 5 to 7 years of professional experience as a product manager, product owner, or business analyst in consumer or B2B web or mobile apps, identity and access management or cybersecurity, within financial services or another industry operating in a highly regulated environment.
* Independent and motivated self\-starter who can manage multiple parallel work streams and initiatives to aggressive deadlines
* Detail\-oriented, highly organized and results\-driven professional with a desire for learning opportunities and career development
* Outstanding verbal and written communication skills, including ability to create polished presentations suitable for senior management
* Ability to think critically, solve problems, assist with decision support and build rapport across the organization
* Strong ability to represent and document business requirements, process flows, use cases, user stories and epics
* Experience with Agile software development methodologies, including direct experience with JIRA and Figma tools.
* Ability to work effectively in a fast paced, high energy, team\-oriented environment
* Proficiency using the Microsoft Office Suite, with a focus on key Excel functionality (i.e., pivot tables and lookup functions), along with PowerPoint for building impactful presentations.BS/BA degree or equivalent work experience required. Advanced degree a plus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$110,000 and $190,000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5">
      <c r="A25" t="inlineStr">
        <is>
          <t>in-f596ad1d976c1852</t>
        </is>
      </c>
      <c r="B25" t="inlineStr">
        <is>
          <t>Registered Nurse Women Veteran Program Manager</t>
        </is>
      </c>
      <c r="C25" t="inlineStr">
        <is>
          <t>US Department of Veterans Affairs</t>
        </is>
      </c>
      <c r="D25" t="inlineStr">
        <is>
          <t>indeed</t>
        </is>
      </c>
      <c r="E25">
        <f>HYPERLINK("https://www.indeed.com/viewjob?jk=f596ad1d976c1852", "https://www.indeed.com/viewjob?jk=f596ad1d976c1852")</f>
        <v/>
      </c>
      <c r="F25">
        <f>HYPERLINK("https://www.usajobs.gov:443/job/854324100", "https://www.usajobs.gov:443/job/854324100")</f>
        <v/>
      </c>
      <c r="G25" t="inlineStr">
        <is>
          <t>Lexington, KY, US</t>
        </is>
      </c>
      <c r="H25" s="2" t="n">
        <v>46034</v>
      </c>
      <c r="I25" t="inlineStr">
        <is>
          <t>**Summary**
-----------
Executes comprehensive planning for Women's Health (WH) issues that improves the overall quality of care provided to women Veterans and achieves program goals and outcomes. Provides facility guidance regarding change implementations as directed by Veterans Affairs Central Office (VACO) while working across multiple service lines and disciplines.
**This job is open to**
-----------------------
### **The public**
U.S. Citizens, Nationals or those who owe allegiance to the U.S.
### **Internal to an agency**
Current federal employees of the hiring agency that posted the job announcement.
### **Clarification from the agency**
NOTE: The 2\-page Resume requirement does not apply to this position. For more information, refer to Required Documents below
**Duties**
----------
* The Nurse Ill Women Veterans Program Manager (WVPM) Registered Nurse (RN) executes position responsibilities that demonstrate leadership, experience and creative approaches to the management program aspects.
* Demonstrates programmatic performance and leadership that is broad enough to impact the standard of care and safety of staff while caring for all women Veteran patients throughout the continuum of care.
* Demonstrates leadership in delivering and improving holistic care through collaborative strategies with others.
* Evaluates practice in an ongoing process, based on best evidence.
* Provides peers with informal constructive feedback for improvement.
* Fosters a safe and supportive environment conducive to the professional development of healthcare professionals.
* Contributes professional nursing perspective in discussions with the interdisciplinary team, conducting knowledge sharing to provide safe, quality nursing care.
VA offers a comprehensive total rewards package: VA Nurse Total Rewards  
**Pay:** Competitive salary, regular salary increases, potential for performance awards  
**Paid Time Off:** 50 days of paid time off per year (26 days of annual leave, 13 days of sick leave, 11 paid Federal holidays per year)  
**Retirement:** Traditional federal pension (5 years vesting) and federal 401K with up to 5% in contributions by VA  
**Insurance:** Federal health/vision/dental/term life/long\-term care (many federal insurance programs can be carried into retirement)  
**Licensure:** 1 full and unrestricted license from any US State or territory  
**Pay Scale**: NF 23  
**Work Schedule:** 0730\-1600 or 8\-1630 Administrative hours  
**Telework:** Not available  
**Virtual:** This is not a virtual position.  
**Relocation/Recruitment Incentives:** Not Authorized  
**Permanent Change of Station (PCS)**: Not Authorized
**Requirements**
----------------
### **Conditions of employment**
* U.S. Citizenship; non\-citizens may only be appointed when it is not possible to recruit qualified citizens in accordance with VA Policy.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identification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You may be required to serve a probationary period.
* Complete all application requirements detailed in the "Required Documents" section of this announcement.
### **Qualifications**
**Basic Requirements**:
* **English Language Proficiency.** In accordance with 38 U.S.C. 7403(f), no person shall serve in direct patient care positions unless they are proficient in basic written and spoken English.
* **Graduate of a school of professional nursing** approved by the appropriate accrediting agency and accredited by one of the following accrediting bodies at the time the program was completed by the applicant: The Accreditation Commission for Education in Nursing (ACEN) or The Commission on Collegiate Nursing Education (CCNE); **OR** Individuals attending a master's level bridge program in nursing who have completed coursework equivalent to a bachelor's level degree in Nursing may have opportunity to become registered as a nurse with a state licensing board prior to completion of the bridge program. Upon achievement of a State license, the individual may be appointed on temporary basis and later converted to a permanent appointment upon successful completion and graduation from the bridge program. (Reference VA Handbook 5005, Appendix G6\); **OR** In cases of graduates of foreign schools of professional nursing, possession of a current, full, active, and unrestricted registration will meet the requirement for graduation from an approved school of professional nursing to warrant an appointment as a Nurse who has completed an associated degree/entry level Nursing education program. Credit for foreign nursing education higher that associate degree/entry level requires a formal degree equivalency validation from a recognized equivalency evaluation accepted by VA such as International Consultants of Delaware (ICD).
* **Current, full, active, and unrestricted registration** as a graduate professional nurse in a State, Territory or Commonwealth (i.e., Puerto Rico) of the United States, or the District of Columbia. Graduate Nurse Technician (GNT) Exception: Candidates who otherwise meet the basic education requirements, but do not possess the required licensure, may be appointed at the entry step of the grade and level applicable to the completed nursing education as a GNT on a 120\-day temporary appointment while actively pursuing licensure (may be extended up to two years on a case\-by\-case\-basis.)
**NOTE:** Grandfathering Provision \- All persons currently employed in VHA in 0610 series and performing the duties as described in the qualification standard on the effective date of the standard (1/29/2024\) are considered to have met all qualification requirements for the grade held including positive education and licensure/certification.  
**Grade Determinations:** The following Scope, Education and Dimension criteria must be met in determining the grade assignment of candidates, and if appropriate, the level within a grade. The Dimension requirements (Practice, Veteran/Patient Driven Care, Leadership, Professional Development and Evidence\-Based Practice/Research) are detailed for each grade and level within the online assessment: https://apply.usastaffing.gov/ViewQuestionnaire/12864543\.
**Grade/Level** **Scope** **Education**
Nurse I, Level I Delivers fundamental, knowledge\-based care to assigned clients while developing technical competencies. An Associate Degree (ADN) or Diploma in Nursing, with no additional professional nursing required.
Nurse I, Level II Demonstrates integration of biopsychosocial concepts, cognitive skills and technically competent practice in providing care to clients with basic or complex. An ADN or Diploma in Nursing **AND** 1 year of specialized nursing experience equivalent to Nurse I, Level 1 ;**OR** a Bachelor of Science in Nursing (BSN) with no additional professional nursing experience required.
Nurse I, Level III Demonstrates proficiency in practice based on conscious and deliberate planning. Self\-directed in goal setting for managing complex client situations. An ADN or Diploma in Nursing **AND** 2 years of professional nursing experience in which one year is equivalent to Nurse I, Level 2; **OR** a BSN and 1 year of professional nursing experience equivalent to the Nurse I, Level 2; **OR** a Master's degree in nursing (MSN) and no additional professional nursing experience; **OR** a Master's degree in a \*related field with a BSN and no additional professional nursing experience.
Nurse II Demonstrates leadership in delivering and improving holistic care through collaborative strategies with others. A BSN with 2 years of professional nursing equivalent to Nurse I, Level 3; **OR** an MSN with one year of specialized nursing experience equivalent to Nurse I, Level 3; **OR** a Master's degree in a \*related field with a BSN and one year of specialized nursing experience equivalent to Nurse I, Level 3; **OR** a Doctoral degree in Nursing with no professional nursing experience; **OR** a Doctoral degree in a \*related field with a BSN with no additional professional nursing experience.
Nurse III Executes position responsibilities that demonstrate leadership, experience and creative approaches to management of complex client care beyond the immediate practice setting. MSN and 2 years of specialized nursing experience, one of which is equivalent to Nurse II and meets all dimension requirements for Nurse III; **OR** a Master's degree in \*related field with BSN and two years of specialized nursing experience, one of which is equivalent to Nurse II and meets all dimension requirements for Nurse III; **OR** a Doctoral degree in Nursing with and one year of specialized nursing experience equivalent to Nurse II and meets all dimension requirements for Nurse III; **OR** a Doctoral degree in a \*related field with a BSN and one year of specialized nursing experience equivalent to Nurse II and meets all dimension requirements for Nurse III.
**\***Note: Foreign education programs/degrees are not creditable as related degrees.  
Preferred Experience: Experience with working with female veteran population.  
**Reference:** For more information on this qualification standard, please visit https://www.va.gov/ohrm/QualificationStandards/.  
**Physical Requirements:** This position requires visual acuity, keen hearing, clear distinctive speech, and manual dexterity. This position requires potentially long periods of continued walking, standing, stooping, sitting, bending, pulling, and pushing. Transferring patients and objects may be required. The incumbent may be exposed to infected patients and contaminated materials and may be required to don protective clothing in isolation situations or operative/invasive procedures. The incumbent may occasionally be exposed to patients who are combative secondary to delirium, dementia, or psychiatric disorders. The incumbent must be a mature, flexible, sensible individual capable of working effectively in stressful situations, able to shift priorities based on patient needs.
###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
### **Additional information**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Experience as an RN will be evaluated to determine if the experience is of an acceptable level of quality with regard to the following five dimensions of nursing: Practice, Veteran/Patient Driven Care, Leadership, Professional Development, and Evidence/Based Practice/Research. Each dimension of practice has criteria that demonstrate essential core competencies for VHA Nursing Personnel.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Resume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 Cover Letter
* DD\-214/ Statement of Service
* Disability Letter (VA)
* License
* Other (1\)
* Performance Appraisal
* Professional Certification
* Resume
* Separation Notice (RIF)
* SF\-15
* SF\-50/ Notification of Personnel Action
* Transcript
**Veterans' Preference Note:** Preference eligible candidates and other Veterans will be given preference when qualification of candidates are approximately equal for Title 38 positions in VHA.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01/20/2026 to receive consideration. To preview the questionnaire click https://apply.usastaffing.gov/ViewQuestionnaire/12864543\.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 **Agency contact information**
Lisa Purnell
Phone
224\-389\-0007
Email
lisa.purnell@va.gov
Address
*Lexington VA Health Care System*  
*2250 Leestown Road*  
*Lexington, KY 40511*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01/13/2026 to 01/20/2026
Salary
$62,921 to \- $124,006 per year
Pay scale \&amp; grade
VN 00
Location
1 vacancy in the following location:
Lexington, KY
1 vacancy
Remote job
No
Telework eligible
No
Travel Required
25% or less \- You may be expected to travel for this position.
Relocation expenses reimbursed
No
Appointment type
Permanent
Work schedule
Full\-time
Service
Excepted
Promotion potential
None
Job family (Series)
* 0610 Nurse
Supervisory status
No
Security clearance
Not Required
Drug test
Yes
Position sensitivity and risk
Non\-sensitive (NS)/Low Risk
Trust determination process
* Credentialing
* Suitability/Fitness
Financial disclosure
No
Bargaining unit status
No
Announcement number
CBTG\-12864543\-26\-LAP
Control number
854324100</t>
        </is>
      </c>
    </row>
    <row r="26">
      <c r="A26" t="inlineStr">
        <is>
          <t>in-6218ed943acc9064</t>
        </is>
      </c>
      <c r="B26" t="inlineStr">
        <is>
          <t>Program Manager II</t>
        </is>
      </c>
      <c r="C26" t="inlineStr">
        <is>
          <t>Centene</t>
        </is>
      </c>
      <c r="D26" t="inlineStr">
        <is>
          <t>indeed</t>
        </is>
      </c>
      <c r="E26">
        <f>HYPERLINK("https://www.indeed.com/viewjob?jk=6218ed943acc9064", "https://www.indeed.com/viewjob?jk=6218ed943acc9064")</f>
        <v/>
      </c>
      <c r="F26">
        <f>HYPERLINK("https://jobs.centene.com/us/en/jobs/1626407/program-manager-ii/", "https://jobs.centene.com/us/en/jobs/1626407/program-manager-ii/")</f>
        <v/>
      </c>
      <c r="G26" t="inlineStr">
        <is>
          <t>TX, US</t>
        </is>
      </c>
      <c r="H26" s="2" t="n">
        <v>46034</v>
      </c>
      <c r="I26"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27">
      <c r="A27" t="inlineStr">
        <is>
          <t>in-d09932e23acf3c0d</t>
        </is>
      </c>
      <c r="B27" t="inlineStr">
        <is>
          <t>Program Manager II</t>
        </is>
      </c>
      <c r="C27" t="inlineStr">
        <is>
          <t>Centene</t>
        </is>
      </c>
      <c r="D27" t="inlineStr">
        <is>
          <t>indeed</t>
        </is>
      </c>
      <c r="E27">
        <f>HYPERLINK("https://www.indeed.com/viewjob?jk=d09932e23acf3c0d", "https://www.indeed.com/viewjob?jk=d09932e23acf3c0d")</f>
        <v/>
      </c>
      <c r="F27">
        <f>HYPERLINK("https://jobs.centene.com/us/en/jobs/1626407/program-manager-ii/", "https://jobs.centene.com/us/en/jobs/1626407/program-manager-ii/")</f>
        <v/>
      </c>
      <c r="G27" t="inlineStr">
        <is>
          <t>IL, US</t>
        </is>
      </c>
      <c r="H27" s="2" t="n">
        <v>46034</v>
      </c>
      <c r="I2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28">
      <c r="A28" t="inlineStr">
        <is>
          <t>in-3086a491cfcc0ed0</t>
        </is>
      </c>
      <c r="B28" t="inlineStr">
        <is>
          <t>Program Manager II</t>
        </is>
      </c>
      <c r="C28" t="inlineStr">
        <is>
          <t>Centene</t>
        </is>
      </c>
      <c r="D28" t="inlineStr">
        <is>
          <t>indeed</t>
        </is>
      </c>
      <c r="E28">
        <f>HYPERLINK("https://www.indeed.com/viewjob?jk=3086a491cfcc0ed0", "https://www.indeed.com/viewjob?jk=3086a491cfcc0ed0")</f>
        <v/>
      </c>
      <c r="F28">
        <f>HYPERLINK("https://jobs.centene.com/us/en/jobs/1626407/program-manager-ii/", "https://jobs.centene.com/us/en/jobs/1626407/program-manager-ii/")</f>
        <v/>
      </c>
      <c r="G28" t="inlineStr">
        <is>
          <t>MO, US</t>
        </is>
      </c>
      <c r="H28" s="2" t="n">
        <v>46034</v>
      </c>
      <c r="I28"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29">
      <c r="A29" t="inlineStr">
        <is>
          <t>in-17499c2ea96dca9c</t>
        </is>
      </c>
      <c r="B29" t="inlineStr">
        <is>
          <t>Program Manager II</t>
        </is>
      </c>
      <c r="C29" t="inlineStr">
        <is>
          <t>Centene</t>
        </is>
      </c>
      <c r="D29" t="inlineStr">
        <is>
          <t>indeed</t>
        </is>
      </c>
      <c r="E29">
        <f>HYPERLINK("https://www.indeed.com/viewjob?jk=17499c2ea96dca9c", "https://www.indeed.com/viewjob?jk=17499c2ea96dca9c")</f>
        <v/>
      </c>
      <c r="F29">
        <f>HYPERLINK("https://jobs.centene.com/us/en/jobs/1626407/program-manager-ii/", "https://jobs.centene.com/us/en/jobs/1626407/program-manager-ii/")</f>
        <v/>
      </c>
      <c r="G29" t="inlineStr">
        <is>
          <t>CA, US</t>
        </is>
      </c>
      <c r="H29" s="2" t="n">
        <v>46034</v>
      </c>
      <c r="I2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0">
      <c r="A30" t="inlineStr">
        <is>
          <t>in-d46af212d242cb01</t>
        </is>
      </c>
      <c r="B30" t="inlineStr">
        <is>
          <t>Program Manager II</t>
        </is>
      </c>
      <c r="C30" t="inlineStr">
        <is>
          <t>Centene</t>
        </is>
      </c>
      <c r="D30" t="inlineStr">
        <is>
          <t>indeed</t>
        </is>
      </c>
      <c r="E30">
        <f>HYPERLINK("https://www.indeed.com/viewjob?jk=d46af212d242cb01", "https://www.indeed.com/viewjob?jk=d46af212d242cb01")</f>
        <v/>
      </c>
      <c r="F30">
        <f>HYPERLINK("https://jobs.centene.com/us/en/jobs/1626407/program-manager-ii/", "https://jobs.centene.com/us/en/jobs/1626407/program-manager-ii/")</f>
        <v/>
      </c>
      <c r="G30" t="inlineStr">
        <is>
          <t>FL, US</t>
        </is>
      </c>
      <c r="H30" s="2" t="n">
        <v>46034</v>
      </c>
      <c r="I30"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1">
      <c r="A31" t="inlineStr">
        <is>
          <t>in-88612ba1f5295107</t>
        </is>
      </c>
      <c r="B31" t="inlineStr">
        <is>
          <t>Program Manager II</t>
        </is>
      </c>
      <c r="C31" t="inlineStr">
        <is>
          <t>Centene</t>
        </is>
      </c>
      <c r="D31" t="inlineStr">
        <is>
          <t>indeed</t>
        </is>
      </c>
      <c r="E31">
        <f>HYPERLINK("https://www.indeed.com/viewjob?jk=88612ba1f5295107", "https://www.indeed.com/viewjob?jk=88612ba1f5295107")</f>
        <v/>
      </c>
      <c r="F31">
        <f>HYPERLINK("https://jobs.centene.com/us/en/jobs/1626407/program-manager-ii/", "https://jobs.centene.com/us/en/jobs/1626407/program-manager-ii/")</f>
        <v/>
      </c>
      <c r="G31" t="inlineStr">
        <is>
          <t>GA, US</t>
        </is>
      </c>
      <c r="H31" s="2" t="n">
        <v>46034</v>
      </c>
      <c r="I31"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2">
      <c r="A32" t="inlineStr">
        <is>
          <t>in-002bfdb81a0734bb</t>
        </is>
      </c>
      <c r="B32" t="inlineStr">
        <is>
          <t>Program Manager II</t>
        </is>
      </c>
      <c r="C32" t="inlineStr">
        <is>
          <t>Centene</t>
        </is>
      </c>
      <c r="D32" t="inlineStr">
        <is>
          <t>indeed</t>
        </is>
      </c>
      <c r="E32">
        <f>HYPERLINK("https://www.indeed.com/viewjob?jk=002bfdb81a0734bb", "https://www.indeed.com/viewjob?jk=002bfdb81a0734bb")</f>
        <v/>
      </c>
      <c r="F32">
        <f>HYPERLINK("https://jobs.centene.com/us/en/jobs/1626407/program-manager-ii/", "https://jobs.centene.com/us/en/jobs/1626407/program-manager-ii/")</f>
        <v/>
      </c>
      <c r="G32" t="inlineStr">
        <is>
          <t>NC, US</t>
        </is>
      </c>
      <c r="H32" s="2" t="n">
        <v>46034</v>
      </c>
      <c r="I32"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3">
      <c r="A33" t="inlineStr">
        <is>
          <t>in-6d42305bfb4df64f</t>
        </is>
      </c>
      <c r="B33" t="inlineStr">
        <is>
          <t>Program Manager II</t>
        </is>
      </c>
      <c r="C33" t="inlineStr">
        <is>
          <t>Centene</t>
        </is>
      </c>
      <c r="D33" t="inlineStr">
        <is>
          <t>indeed</t>
        </is>
      </c>
      <c r="E33">
        <f>HYPERLINK("https://www.indeed.com/viewjob?jk=6d42305bfb4df64f", "https://www.indeed.com/viewjob?jk=6d42305bfb4df64f")</f>
        <v/>
      </c>
      <c r="F33">
        <f>HYPERLINK("https://jobs.centene.com/us/en/jobs/1626407/program-manager-ii/", "https://jobs.centene.com/us/en/jobs/1626407/program-manager-ii/")</f>
        <v/>
      </c>
      <c r="G33" t="inlineStr">
        <is>
          <t>AZ, US</t>
        </is>
      </c>
      <c r="H33" s="2" t="n">
        <v>46034</v>
      </c>
      <c r="I33"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4">
      <c r="A34" t="inlineStr">
        <is>
          <t>in-0169de67d0cd419a</t>
        </is>
      </c>
      <c r="B34" t="inlineStr">
        <is>
          <t>Senior Technical Program Manager</t>
        </is>
      </c>
      <c r="C34" t="inlineStr">
        <is>
          <t>Microsoft</t>
        </is>
      </c>
      <c r="D34" t="inlineStr">
        <is>
          <t>indeed</t>
        </is>
      </c>
      <c r="E34">
        <f>HYPERLINK("https://www.indeed.com/viewjob?jk=0169de67d0cd419a", "https://www.indeed.com/viewjob?jk=0169de67d0cd419a")</f>
        <v/>
      </c>
      <c r="F34">
        <f>HYPERLINK("https://apply.careers.microsoft.com/careers/job/1970393556659059?utm_source=indeed&amp;domain=microsoft.com", "https://apply.careers.microsoft.com/careers/job/1970393556659059?utm_source=indeed&amp;domain=microsoft.com")</f>
        <v/>
      </c>
      <c r="G34" t="inlineStr">
        <is>
          <t>Redmond, WA, US</t>
        </is>
      </c>
      <c r="H34" s="2" t="n">
        <v>46033</v>
      </c>
      <c r="I34" t="inlineStr">
        <is>
          <t>**Overview**  
Our culture is centered on embracing a growth mindset, a theme of inspiring excellence, and encouraging teams and leaders to bring their best each day. In doing so, we create life\-changing innovations that impact billions of lives around the world. You can help us to achieve our mission.
**FastTrack for Microsoft 365** is looking for a **Senior Technical Program Manager** to work with architects, product engineering, PMO, and service delivery teams to create programs that assist customers migrating to Microsoft 365\. This person will ensure the success of these programs by having deep customer empathy, building solutions for enterprise scale and world\-class support, using telemetry and feedback to optimize process, and embodying the growth mindset.
Microsoft has a tremendous opportunity to exceed customer expectations and drive greater customer loyalty and trust, which leads to greater satisfaction, retention, and growth. **The G\+E organization is looking for people with a passion for delivering customer success** to help us build a future where customers come to us, not only because we provide industry\-leading products and services, and because we provide a differentiated and connected customer experience that is rooted in our commitment to delivering on customer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and manage programs aimed at helping customers migrate to Microsoft 365\.
* Work with other program managers and service engineers to create the framework of technology and IP and oversee the delivery of the migration benefit as part of the FastTrack program.
* Lead multiple areas: product development, service delivery, customer support.
* Engage with technical leaders at Microsoft, its partner ecosystem, and its customers to listen to and evaluate feedback.
* Provide direction during ambiguous challenges and customer escalations, effectively communicating with senior management.
* Use the lessons learned to help drive improvements and build solutions for the service and Microsoft products.
**Qualifications** **Required Qualifications:**
* Bachelor's Degree AND 4\+ years experience in engineering, product/technical program management, data analysis, or product development
	+ OR equivalent experience.
* 2\+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8\+ years experience in engineering, product/technical program management, data analysis, OR product development
	+ OR equivalent experience.
* 6\+ years of experience managing cross\-functional and/or cross\-team projects.
* 3\+ years communicating directly with senior/executive leadership while driving customer facing projects or escalations in Microsoft 365 technologies.
* 1\+ year(s) of experience reading and/or writing code (e.g., sample documentation, product demos).
* Experience with migration technologies (1st party \&amp; 3rd party) with Microsoft 365 applications.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5">
      <c r="A35" t="inlineStr">
        <is>
          <t>in-c6cc7a483e8ada7e</t>
        </is>
      </c>
      <c r="B35" t="inlineStr">
        <is>
          <t>ITSO Sr. Program Manager</t>
        </is>
      </c>
      <c r="C35" t="inlineStr">
        <is>
          <t>Duke Health</t>
        </is>
      </c>
      <c r="D35" t="inlineStr">
        <is>
          <t>indeed</t>
        </is>
      </c>
      <c r="E35">
        <f>HYPERLINK("https://www.indeed.com/viewjob?jk=c6cc7a483e8ada7e", "https://www.indeed.com/viewjob?jk=c6cc7a483e8ada7e")</f>
        <v/>
      </c>
      <c r="F35">
        <f>HYPERLINK("https://careers.dukehealth.org/us/en/job/DUHDUHUS265173EXTERNALENUS/ITSO-Sr-Program-Manager?utm_source=indeed&amp;utm_medium=phenom-feeds", "https://careers.dukehealth.org/us/en/job/DUHDUHUS265173EXTERNALENUS/ITSO-Sr-Program-Manager?utm_source=indeed&amp;utm_medium=phenom-feeds")</f>
        <v/>
      </c>
      <c r="G35" t="inlineStr">
        <is>
          <t>Durham, NC, US</t>
        </is>
      </c>
      <c r="H35" s="2" t="n">
        <v>46030</v>
      </c>
      <c r="I35" t="inlineStr">
        <is>
          <t>**Be You**
==========
Duke University’s IT Security Office (ITSO) is seeking a skilled Senior Program Manager to help shape, communicate, and advance Duke’s cybersecurity strategy. This role focuses on quantifying, contextualizing, and managing cyber risk across Duke University. You will partner closely with leadership, including the CISO and other Security Office leaders, to craft and communicate standards, practices, and program direction.  
This position is ideal for someone who thrives in a fast\-paced, analytical environment and enjoys translating complex information into clear guidance for diverse audiences. While prior security experience is helpful, candidates with strong backgrounds in analytics, risk, or strategic program management are encouraged to apply.
**Minimum Requirements**
------------------------
* Bachelor’s degree in a related field plus 3 or more years of experience in security, audit, analytics, or related areas.
OR
* 5\+ years of combined education/experience in a related field.
**Preferred Qualifications**
----------------------------
* Certifications such as SANS/GIAC, CISSP, CISA, CISM.
* Experience with cybersecurity, risk analytics, or security program development.
* Proficiency with quantitative and qualitative analysis supporting data‑driven decisions.
**Other Requirements**
----------------------
* Strong verbal, written, and analytical communication skills.
* Ability to collaborate across diverse teams and influence through clarity and insight.
* Ability to work independently and in team settings on complex, fast‑moving projects.
**Be Bold**
===========
As Senior Program Manager, you will help drive the strategic maturity of Duke’s information security program guided by the CI Security Critical Controls. This means providing insight into cyber risk trends, enabling data‑driven decision‑making, and ensuring the security program evolves with the regulatory landscape, including NIST SP 800\-171\.
* Assess the cyber risk landscape using metrics dashboards and advise on enhancements to improve clarity and risk quantification.
* Advise on development of inventory, tracking, and measurement tools, including dashboards covering accounts, devices, servers, network activity, websites, and adoption of key controls such as MFA, endpoint management, patching, and automated IP blocking.
* Identify strategic priorities for ITSO initiatives based on metrics, analysis, potential impact, and risk.
* Provide briefings to the security community, highlighting trends and implications for operational and strategic decisions.
* Lead project work to align the program with actionable industry best practices.
* Manage embedded security roles to ensure alignment with program priorities.
* Develop materials articulating policies, positions, and security guidance.
* Create innovative approaches to enhance the efficiency and value of ITSO’s risk management programs—including vendor reviews.
* Coordinate response efforts on cross‑functional issues involving groups such as Privacy and Audit, the Duke Health Information Security Office, and other departmental IT groups.
**Supervisory Responsibilities**
--------------------------------
* Manage a team of 3–7 direct reports, 5 indirect reports, and graduate student interns.
* Perform all aspects of staff management including hiring, performance management, professional development, recognition, and staffing alignment for services provided by the team.
**Choose Duke**
===============
Join an innovative, mission‑driven security organization supporting a world‑class research university. At Duke, your work will directly enhance the resilience of the institution while contributing to a collaborative and intellectually rich environment.
**Why Duke?**
-------------
* Reputation: Duke is a global leader in research, education, and cybersecurity, offering an environment committed to excellence.
* Professional Growth: Opportunities to shape strategy, influence outcomes, and work with cutting‑edge technologies.
* Work‑Life Balance: A supportive culture that values flexibility and well‑being.
* Benefits: A competitive benefits package including health insurance, retirement plans, and additional perks.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t>
        </is>
      </c>
    </row>
    <row r="36">
      <c r="A36" t="inlineStr">
        <is>
          <t>in-e7bfa14448122b1d</t>
        </is>
      </c>
      <c r="B36" t="inlineStr">
        <is>
          <t>Principal Product Manager, Agentic Experiences</t>
        </is>
      </c>
      <c r="C36" t="inlineStr">
        <is>
          <t>Microsoft</t>
        </is>
      </c>
      <c r="D36" t="inlineStr">
        <is>
          <t>indeed</t>
        </is>
      </c>
      <c r="E36">
        <f>HYPERLINK("https://www.indeed.com/viewjob?jk=e7bfa14448122b1d", "https://www.indeed.com/viewjob?jk=e7bfa14448122b1d")</f>
        <v/>
      </c>
      <c r="F36">
        <f>HYPERLINK("https://apply.careers.microsoft.com/careers/job/1970393556657928?utm_source=indeed&amp;domain=microsoft.com", "https://apply.careers.microsoft.com/careers/job/1970393556657928?utm_source=indeed&amp;domain=microsoft.com")</f>
        <v/>
      </c>
      <c r="G36" t="inlineStr">
        <is>
          <t>Mountain View, CA, US</t>
        </is>
      </c>
      <c r="H36" s="2" t="n">
        <v>46029</v>
      </c>
      <c r="I36" t="inlineStr">
        <is>
          <t>**Overview**  
Lead the vision and execution for next\-generation agentic AI products—designing generative experiences that go far beyond chatbots and simple agents. As a Principal Product Manager (PM) for the Agentic AI team, you’ll architect solutions that reason, plan, and act across applications, the web, and the OS, empowering users to accomplish complex tasks with intelligence and reliability.
You’ll join a high\-impact team dedicated to translating breakthrough model research into transformative products for Copilot, Bing, Edge, M365, and Azure. The Agentic Experiences team thrives on rapid innovation, cross\-functional collaboration, and a culture that values curiosity, autonomy, and bold problem\-solving. We seek PMs who have shipped 0\-to\-1 agentic products at leading AI startups or labs, driven growth or mindshare in the AI space, and excel in fast\-paced, ambiguous environments.
If you’re energized by building the future of generative AI experiences and want to shape how intelligent agents empower millions, we want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Identify user workflows where AI adds clear value, basing decisions on data and user feedback.
* Turn model capabilities into specific product features, define MVPs, and refine them using user and business metrics.
* Work directly with research, engineering, and design to turn AI research into practical products that scale and serve users well.
* Create and use evaluation methods to track product quality, user experience, and safety throughout development.
* Set up data processes for sourcing, labeling, and using data to boost model and product performance.
* Work with infrastructure and platform teams to balance capability, speed, cost, and reliability for scalable products.
* Write clear documents to keep stakeholders aligned on product goals, priorities, and decisions.
* Promote adoption by showing how technical features translate into user benefits and growth.
* Make informed decisions in uncertain situations, manage risks and incidents, and support continuous improvement through postmortem review
**Qualifications**  
**Required Qualifications*** Bachelor's Degree AND 8\+ years’ experience in product management or software development OR equivalent experience.
**Preferred Qualifications*** 5\+ years of experience launching 0\-to\-1 products (from concept to market) in a consumer\-facing product environment.
* 3\+ years of experience building products that leverage AI/ML technologies.
* Experience managing and shipping 0\-to\-1 agentic products in an AI lab or an AI\-focused startup.
* Proven track record of collaborating with cross\-functional teams (engineering, design, research) to deliver user\-facing features.
* Familiarity with experimentation tools, data analytics, and working knowledge of SQL or coding (Python, JavaScript).
* Effective collaboration and communication skills with a bias for action and inclusion.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
      <c r="A37" t="inlineStr">
        <is>
          <t>in-4f492cec761dc6b8</t>
        </is>
      </c>
      <c r="B37" t="inlineStr">
        <is>
          <t>Digital Crimes Unit Technical Program Manager</t>
        </is>
      </c>
      <c r="C37" t="inlineStr">
        <is>
          <t>Microsoft</t>
        </is>
      </c>
      <c r="D37" t="inlineStr">
        <is>
          <t>indeed</t>
        </is>
      </c>
      <c r="E37">
        <f>HYPERLINK("https://www.indeed.com/viewjob?jk=4f492cec761dc6b8", "https://www.indeed.com/viewjob?jk=4f492cec761dc6b8")</f>
        <v/>
      </c>
      <c r="F37">
        <f>HYPERLINK("https://apply.careers.microsoft.com/careers/job/1970393556657924?utm_source=indeed&amp;domain=microsoft.com", "https://apply.careers.microsoft.com/careers/job/1970393556657924?utm_source=indeed&amp;domain=microsoft.com")</f>
        <v/>
      </c>
      <c r="G37" t="inlineStr">
        <is>
          <t>Redmond, WA, US</t>
        </is>
      </c>
      <c r="H37" s="2" t="n">
        <v>46029</v>
      </c>
      <c r="I37" t="inlineStr">
        <is>
          <t>**Overview**  
Microsoft’s Digital Crimes Unit (DCU), part of Corporate, External \&amp; Legal Affairs (CELA), leads the global fight against cybercrime to protect customers and strengthen trust in Microsoft. We combat global cyber threats through the innovative use of technology, civil litigation, criminal referrals, and strategic public\-private partnerships—all while safeguarding customer security and privacy. Leveraging advanced analytics and AI, we identify, investigate, and dismantle sophisticated cybercriminal networks to disrupt their operations and protect the digital ecosystem.
The DCU Technical Program Manager (TPM) role will lead and coordinate the execution of the DCU’s highest\-priority fraud initiatives, ensuring alignment with strategic objectives, OKRs and timely delivery of impactful outcomes. This role is responsible for orchestrating cross\-team collaboration, managing project plans, and proactively removing barriers to accelerate progress on fraud\-related initiatives. The TPM will also play a key role in shaping and communicating compelling narratives that highlight the DCU’s impact on combating fraud, with an eye towards building trust with fraud\-focused stakeholders and external audiences.
 **Responsibilities**  
* Coordinate and drive the execution of DCU’s prioritized fraud initiatives, ensuring clear ownership, accountability, and progress tracking across workstreams.
* Develop and maintain comprehensive project plans, timelines, dashboards, and visualizations to monitor initiative status, risks, dependencies, and represent the DCU fraud story.
* Facilitate regular check\-ins and collaboration with initiative owners and stakeholders to identify challenges, escalate issues, ensure alignment on goals and deliverables, and communicate progress, outcomes, and impact to DCU leadership and broader stakeholders.
* Partner with leadership to ensure prioritized initiatives are resourced appropriately, aligned with Microsoft’s data privacy standards, and adapt to shifting priorities in a dynamic environment.
* Proactively identify, develop and maintain impactful dashboards, reports, visualizations, and self\-service platforms for on\-demand access to fraud\-related insights and content, leveraging innovative solutions and best practices.
* Leverage data and insights to inform prioritization, measure success, identify opportunities for continuous improvement, and use technical expertise to pull and explore data, test hypotheses, and spot issues, gaps, or inconsistencies.
* Support the adoption of Copilot/AI and other innovative tools to streamline workflows and enhance effectiveness, where appropriate.
**Qualifications**  
### **Required / Minimum Qualifications**
* Bachelor's Degree AND 2\+ years experience in engineering, product/technical program management, data analysis, or product development OR equivalent experience.
* 1\+ year(s) of experience managing cross\-functional and/or cross\-team projects.
### **Additional or Preferred Qualifications**
* Bachelor’s Degree AND 5\+ years of experience in technical program management, data analysis, or engineering OR equivalent experience.
* 4\+ years of experience managing cross\-functional and/or cross\-team projects.
* Experience with fraud detection, prevention, or investigations preferred.
* Familiarity with project management tools such as Azure DevOps (ADO), Jira, or equivalent for tracking work items and managing workflows.
* Experience building dashboards and writing queries using Kusto Query Language (KQL) for data visualization and operational insights.
* Experience collaborating with legal teams or law enforcement on cybercrime or fraud\-related initiatives.
* Proficiency in ADO or similar Project Management tools for agile planning, backlog management, and reporting.
* Familiarity with Python to manage, process, and query complex datasets.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8">
      <c r="A38" t="inlineStr">
        <is>
          <t>in-d5bf70cb72d25660</t>
        </is>
      </c>
      <c r="B38" t="inlineStr">
        <is>
          <t>Principal Technical Program Manager</t>
        </is>
      </c>
      <c r="C38" t="inlineStr">
        <is>
          <t>Microsoft</t>
        </is>
      </c>
      <c r="D38" t="inlineStr">
        <is>
          <t>indeed</t>
        </is>
      </c>
      <c r="E38">
        <f>HYPERLINK("https://www.indeed.com/viewjob?jk=d5bf70cb72d25660", "https://www.indeed.com/viewjob?jk=d5bf70cb72d25660")</f>
        <v/>
      </c>
      <c r="F38">
        <f>HYPERLINK("https://apply.careers.microsoft.com/careers/job/1970393556657499?utm_source=indeed&amp;domain=microsoft.com", "https://apply.careers.microsoft.com/careers/job/1970393556657499?utm_source=indeed&amp;domain=microsoft.com")</f>
        <v/>
      </c>
      <c r="G38" t="inlineStr">
        <is>
          <t>US</t>
        </is>
      </c>
      <c r="H38" s="2" t="n">
        <v>46028</v>
      </c>
      <c r="I38"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CE\&amp;S Customer Experience Architecture (CXA) team is dedicated to applying our technical depth and subject matter expertise to deliver keystone innovations that transform customer experience and accelerate business value. The CXA Architecture Programs, Strategy \&amp; Execution (APSE) team drives strategic, cross\-functional customer architecture cloud program initiatives that drive business impact through collaboration, technical depth, and operational rigor. By aligning with customer experience goals and Microsoft priorities, we ensure quality execution, transparent engagement with stakeholders, and timely delivery of durable innovation.  
As the Principal Technical Program Manager in CE\&amp;S CX Architecture team, you will drive critical engineering focused rhythms as part of our commitment to customer experience. This opportunity will allow you to demonstrate cross team collaboration skills, understanding of the product lifecycle and deep technical acumen, and ability to deliver against key initiatives. You will gain a unique perspective of what we do and how it impacts customer outcomes. You will work closely with leaders across the organization as you play a critical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serve as technical program manager supporting cross\-company initiative.
* You will create relationships with stakeholders and executives to drive strategy, orchestration and integration efforts across program initiatives.
* You will provide technical oversight in development of initiative tracking and execution against roadmap.
* You will track initiative governance programs and processes to ensure that specific performance requirements and standards are met throughout the development lifecycle (e.g., quality, compliance privacy, security, safety, accessibility).
* You will be a partner with Software and Hardware Engineering to implement complex technical solutions across feature areas. You’ll also give key stakeholders data\-driven recommendations based on identified risks.
* You’ll author success criteria and create relationships for implementing multiple feature areas for highly complex cross\-functional projects. You’ll coordinate and ensure alignment across the business.
* You will develop and deliver on roadmaps for multiple feature groups across divisions, track project schedules, drive development of staging and implementation plans, and manage governance programs.
 **Qualifications** **Required Qualifications:**
* Bachelor's Degree AND 6\+ years experience in engineering, technical product/technical program management, data analysis, or technical product development  
o OR equivalent experience.
* 3\+ years of experience managing cross\-functional and/or cross\-team technical or technology programs.
**Other Requirements:**
* Microsoft is unable to sponsor a work visa for this role due to the nature of the role’s job duties.
*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**Preferred Qualifications:**
* Bachelor's Degree AND 10\+ years experience in engineering, technical product/technical program management, data analysis,  
o OR technical product development  
o OR equivalent experience.
* 8\+ years of experience managing cross\-functional and/or cross\-team technical or technology programs.
* 1\+ year(s) of experience reading and/or writing code (e.g., sample documentation, product demos).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9">
      <c r="A39" t="inlineStr">
        <is>
          <t>in-25336a36090fada2</t>
        </is>
      </c>
      <c r="B39" t="inlineStr">
        <is>
          <t>Senior Technical Program Manager</t>
        </is>
      </c>
      <c r="C39" t="inlineStr">
        <is>
          <t>Microsoft</t>
        </is>
      </c>
      <c r="D39" t="inlineStr">
        <is>
          <t>indeed</t>
        </is>
      </c>
      <c r="E39">
        <f>HYPERLINK("https://www.indeed.com/viewjob?jk=25336a36090fada2", "https://www.indeed.com/viewjob?jk=25336a36090fada2")</f>
        <v/>
      </c>
      <c r="F39">
        <f>HYPERLINK("https://apply.careers.microsoft.com/careers/job/1970393556657513?utm_source=indeed&amp;domain=microsoft.com", "https://apply.careers.microsoft.com/careers/job/1970393556657513?utm_source=indeed&amp;domain=microsoft.com")</f>
        <v/>
      </c>
      <c r="G39" t="inlineStr">
        <is>
          <t>Redmond, WA, US</t>
        </is>
      </c>
      <c r="H39" s="2" t="n">
        <v>46028</v>
      </c>
      <c r="I39"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Success Digital Experience (CSDE) team creates compelling digital experiences by leveraging the full breadth of Microsoft technology and solutions to realize business outcomes and results, across CE\&amp;S teams and dependencies.
As a Senior Technical Program Manager on the Business Innovation Services team in CSDE, you will drive the delivery of innovative digital customer engagement experiences. You will orchestrate cross\-functional initiatives that bring new customer offerings to market, working across CE\&amp;S teams and dependencies. Your work will directly impact on how customers interact with Microsoft’s digital solutions, focusing on business outcomes and continuous improvement.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Drive proactive customer success by architecting and executing customer facing delivery strategies that anticipate evolving customer needs, deliver measurable business outcomes, and foster deep adoption of Microsoft solutions.
* Drive CoE of citizen development community program, including intake, prioritisation, and manage program metrics and KPIs to measure innovation impact and adoption.
* Coordinate citizen development community to innovate scalable AI/Agentic solutions and community engagement events (e.g. showcases, hackathons, office hours) to sustain momentum and visibility.
* Gather and synthesize technical requirements from stakeholders, translating business objectives into actionable program goals.
* Manage complex cross\-functional projects, building relationships and driving integration efforts across internal teams and external partners.
* Partner with engineering teams to contribute to and deliver on product roadmaps, ensuring alignment with business outcomes.
* Lead the development of staging and implementation plans for piloting and releasing new digital experiences.
* Drive customer supportability, including documentation, troubleshooting guidelines, and best practices.
* Act as a technical advisor and evangelist, educating stakeholders and customers about new digital engagement capabilities.
* Continuously seek opportunities to improve processes, validate use cases, and ensure delivery excellence.
 **Qualifications**  
Required Qualifications
* Bachelor’s Degree (or equivalent) AND 4\+ years experience in engineering, technical programme management, data analysis, or product development.
* 3\+ years managing and delivering technical solutions (e.g. business intelligence projects), with data\-driven analysis provided to senior leadership and team members.
* 3\+ years leading cross\-functional and multi\-team projects, demonstrating effective collaboration across diverse groups.
* Hands\-on experience architecting solutions using Microsoft Dynamics 365, Power Platform (Power Apps, Power Automate, Power BI), and Microsoft Copilot Studio.
* Strong leadership and communication skills – able to influence without direct authority and communicate effectively with both technical teams and executives.
Preferred Qualifications
* Bachelor’s Degree (or equivalent) AND 8\+ years experience in engineering, technical programme management, data analysis, or product development.
* 6\+ years experience managing cross\-team programmes or large\-scale projects, especially in high\-ambiguity or matrixed environments.
* Demonstrated experience driving citizen development initiatives – enabling or governing low\-code solutions built by non\-developers within an organisation.
* 1\+ years experience reading and/or writing code (e.g. building prototype apps or scripts), indicating ability to engage with technical details when needed.
* 2\+ years experience with Customer Success processes, including reactive support and designing customer enablement programmes (service offerings, adoption training, etc.).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in-3a58623a24ddf6b8</t>
        </is>
      </c>
      <c r="B40" t="inlineStr">
        <is>
          <t>Principal Technical Program Manager</t>
        </is>
      </c>
      <c r="C40" t="inlineStr">
        <is>
          <t>Microsoft</t>
        </is>
      </c>
      <c r="D40" t="inlineStr">
        <is>
          <t>indeed</t>
        </is>
      </c>
      <c r="E40">
        <f>HYPERLINK("https://www.indeed.com/viewjob?jk=3a58623a24ddf6b8", "https://www.indeed.com/viewjob?jk=3a58623a24ddf6b8")</f>
        <v/>
      </c>
      <c r="F40">
        <f>HYPERLINK("https://apply.careers.microsoft.com/careers/job/1970393556657487?utm_source=indeed&amp;domain=microsoft.com", "https://apply.careers.microsoft.com/careers/job/1970393556657487?utm_source=indeed&amp;domain=microsoft.com")</f>
        <v/>
      </c>
      <c r="G40" t="inlineStr">
        <is>
          <t>Redmond, WA, US</t>
        </is>
      </c>
      <c r="H40" s="2" t="n">
        <v>46028</v>
      </c>
      <c r="I4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Our culture is centered on embracing a growth mindset, a theme of inspiring excellence, and encouraging teams and leaders to bring their best each day. In doing so, we create life\-changing innovations that impact billions of lives around the world.
We are looking for a Principal Technical Program Manager to lead and drive large\-scale credential scanning security and credential redaction initiatives across cloud services. This role is pivotal in ensuring the resilience and compliance of Microsoft services, enabling our customers to operate securely at scale. As a Principal TPM, you will partner with engineering, security, services, and compliance teams to define strategy, align roadmaps, and deliver secure\-by\-design solutions that span Microsoft’s global cloud infrastructure.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strategic programs to improve security posture, including redaction and prevention of credential leaks across Microsoft cloud services.
* Define program vision, strategy, and execution plans in collaboration with security, services, engineering, and compliance teams.
* Own the delivery of complex, cross\-team initiatives that span multiple division.
* Track and mitigate risks, manage dependencies, and ensure timely delivery of program milestones.
* Build and manage program\-level dashboards and KPIs, ensuring leadership visibility and data\-driven decision\-making.
* Embody our culture and values
**Qualifications** **Qualifications**
* Bachelor's Degree AND 6\+ years' experience in engineering, product/technical program management, data analysis,
	+ OR product development
	+ OR equivalent experience.
* 3\+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 **Citizenship \&amp; Citizenship Verification:** This position requires verification of citizenship due to citizenship\-based legal restrictions. Specifically, this position supports United States federal, state, and/or local government agency customers and is subject to certain citizenship\-based restrictions where required or permitted by applicable law. To meet this legal requirement, and as a condition of employment, the successful candidate’s citizenship will be verified with a valid passport
**Preferred Qualifcations**
* Bachelor's Degree AND 10\+ years experience in engineering, product/technical program management, data analysis,
	+ OR product development
	+ OR equivalent experience.
* 8\+ years of experience managing cross\-functional and/or cross\-team projects.
* 1\+ year(s) of experience reading and/or writing code (e.g., sample documentation, product demos).
* Experience leading multi\-disciplinary programs involving credential scanning technologies and redaction methodologies.
* Experience with container security, especially scanning container image manifests for secrets
* Familiarity with risk scoring models, severity classification, and remediation ownership delegation.
* Communication and stakeholder management skills, with a track record of influencing across orgs.
* Ability to drive alignment and execution across engineering, operations, and leadership teams.
* Familiarity with security compliance standards (FedRAMP, NIST, ISO 27001, etc.).  
Experience working in large\-scale, distributed cloud environments.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1">
      <c r="A41" t="inlineStr">
        <is>
          <t>in-eb4ac97bc98e6e3c</t>
        </is>
      </c>
      <c r="B41" t="inlineStr">
        <is>
          <t>Senior Hardware Technical Program Manager</t>
        </is>
      </c>
      <c r="C41" t="inlineStr">
        <is>
          <t>Microsoft</t>
        </is>
      </c>
      <c r="D41" t="inlineStr">
        <is>
          <t>indeed</t>
        </is>
      </c>
      <c r="E41">
        <f>HYPERLINK("https://www.indeed.com/viewjob?jk=eb4ac97bc98e6e3c", "https://www.indeed.com/viewjob?jk=eb4ac97bc98e6e3c")</f>
        <v/>
      </c>
      <c r="F41">
        <f>HYPERLINK("https://apply.careers.microsoft.com/careers/job/1970393556656753?utm_source=indeed&amp;domain=microsoft.com", "https://apply.careers.microsoft.com/careers/job/1970393556656753?utm_source=indeed&amp;domain=microsoft.com")</f>
        <v/>
      </c>
      <c r="G41" t="inlineStr">
        <is>
          <t>Redmond, WA, US</t>
        </is>
      </c>
      <c r="H41" s="2" t="n">
        <v>46026</v>
      </c>
      <c r="I41" t="inlineStr">
        <is>
          <t>**Overview**  
Microsoft Silicon, Cloud Hardware, and Infrastructure Engineering (SCHIE) is looking for a Technical Program Manager to lead Hardware Server Platform development and delivery for Azure’s cloud technologies and services. You will have the opportunity to build cross\-team partnerships to transform new hardware concepts into the final, scalable solution to be introduced to Microsoft’s Cloud (‘Concept to Live’).
Microsoft Azure is experiencing explosive growth and innovation connecting people, services, and devices around the world. Do you want to be at the forefront of innovating the latest hardware designs to propel Microsoft’s cloud growth? Are you seeking a unique career opportunity that combines your cross\-team collaboration and technical capabilities with business insight and strategy? As Microsoft's cloud business continues to grow the ability to deploy new hardware infrastructure on time, with high quality and in high volume is of paramount importance.
SCHIE is the team behind Microsoft’s expanding Silicon and Cloud Infrastructure and responsible for powering Microsoft’s “Intelligent Cloud” mission. SCHIE delivers the core infrastructure and foundational technologies for Microsoft's 200\+ online businesses including Office 365, Bing, Xbox Live, Teams, OneDrive and the Microsoft Azure cloud services, including AI, compute, storage and networking.
Successful candidates will have a proven capability for technical program management, strong organizational skills and experience leading culture and change management. This role requires someone who has a strategic mindset with a deep understanding of hardware development and manufacturing processes, as well as a bias for action and ability to partner successfully with a wide group of stakeholders, from senior leaders to individual contributors and support staff.
Come join this exciting and growing team on our monumental evolution of Azure cloud hardware and Microsoft!
\#azurehwjobs \#CHIE \#NICE
 **Responsibilities*** Lead a virtual team of functional leads including members from hardware and software engineering, sourcing, supply chain, networking and datacenter operations for documenting a clear Plan\-of\-Record (POR) for the new product development and leading the project team to meet stated milestones
* Technical Program Management for new Cloud hardware development. Drive the development, planning \&amp; execution of a holistic cross functional product development and/or launch strategy. Provides technical leadership and identify technical risks.
* Collaborate with internal and external technology development partners to form a cohesive development plan.
* Have an in\-depth understanding of the product technical requirements, milestones, deliverables and interdependencies for establishing an accurate and effective project infrastructure. Leverage experience and engineering skills to solve problems, fill gaps and achieve objectives through a cross functional team.
* Responsible for effective communication and escalation of risks and dependencies while ensuring timely decisions are being made.
* Hold accountability for team and most or all portions of the work to deliver best in class architecture solutions
* Conducts risk management efforts in new product introduction, scenario planning and mitigation of risks, recovery from risks.
* Communicate to and regularly interact with senior management, highlighting risks across functional teams and providing recommendations to support product level decisions
* Operate effectively in ambiguity. Apply process where it creates value, and design process where it’s needed. Recognize the situations where each approach is most appropriate.
* Ensure cross functional alignment: generating clarity, tracking towards development milestones and overall readiness for all new Data Center infrastructure development, launch, and deployments.
* Use program management tools and communication methods to ensure common understanding of program plan of record to stakeholders
 **Qualifications** **Required Qualifications**
Bachelor's Degree AND 4\+ years experience in engineering, product/technical program management, data analysis, or product development OR equivalent experience.
2\+ years of experience managing cross\-functional and/or cross\-team projects.
**Other**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BS in Engineering preferably in Electrical Engineering/Computer Engineering/Mechanical Engineering or equivalent experience. Engineering degree preferred but not required.
* 5\+ years of experience in a leadership role driving technical HW \+ SW projects from requirements through launch, including managing complex project schedules, removing roadblocks and keeping processes running smoothly.
* 3\+ years of experience providing communications and program updates at an executive level
* Ability to partner closely with cross\-functional teams to define, prioritize, and implement features, infrastructure, processes, and workflows.
* Ability to create and operationalize processes to transform the effectiveness of the organization with respect to meeting business goals. Coach, enable and grow Program Managers within the team and our partners.
* Can align key stakeholders, and manage projects through milestones to completion on schedule and in budget
* Ability to monitor and measure engineering impact and performance results by tracking key performance indicators
* Excellent technical design, problem solving, debugging and communication skills
* Ability to deal with ambiguity, assess opportunities and develop principles to prioritize multiple strategic and tactical options, and drive issues to closure with a high bar on quality
* Proven ability to work and collaborate with a wide range of business stakeholders to achieve results and impact
* Presentation skills with a high degree of comfort with both large and small audiences (Senior Executives, IT management, etc.)
* Supplier management experience for ODMs, SIs, and IHVs
\#azurehwjobs \#SCHIE \#NICE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in-bd1dd5dcca1add5e</t>
        </is>
      </c>
      <c r="B42" t="inlineStr">
        <is>
          <t>Senior Product Manager - Excel Core AI</t>
        </is>
      </c>
      <c r="C42" t="inlineStr">
        <is>
          <t>Microsoft</t>
        </is>
      </c>
      <c r="D42" t="inlineStr">
        <is>
          <t>indeed</t>
        </is>
      </c>
      <c r="E42">
        <f>HYPERLINK("https://www.indeed.com/viewjob?jk=bd1dd5dcca1add5e", "https://www.indeed.com/viewjob?jk=bd1dd5dcca1add5e")</f>
        <v/>
      </c>
      <c r="F42">
        <f>HYPERLINK("https://apply.careers.microsoft.com/careers/job/1970393556655928?utm_source=indeed&amp;domain=microsoft.com", "https://apply.careers.microsoft.com/careers/job/1970393556655928?utm_source=indeed&amp;domain=microsoft.com")</f>
        <v/>
      </c>
      <c r="G42" t="inlineStr">
        <is>
          <t>Redmond, WA, US</t>
        </is>
      </c>
      <c r="H42" s="2" t="n">
        <v>46021</v>
      </c>
      <c r="I42" t="inlineStr">
        <is>
          <t>**Overview**  
Microsoft 365 Copilot is redefining how people create, analyze, and collaborate across work. As a core part of Microsoft 365, Office applications like Excel power mission\-critical workflows for hundreds of millions of users worldwide—from everyday decision\-making to the most complex financial, operational, and analytical tasks. Excel, in particular, has long been a trusted pillar of how people and enterprises work with data, supporting everyday analysis as well as the critical decision\-making that many of the world’s largest companies rely on.
We are at a transformative moment with **AI and Copilot**. Advances in large language and multimodal models now make it possible to move beyond assistive features toward truly agentic experiences: systems that can plan, reason, take action, and adapt over time. Agentic Excel experiences have the potential to fundamentally change how users work with data: not just by answering questions, but by understanding intent, performing multi\-step analysis, using tools effectively, and earning user trust through reliable reasoning and transparent behavior.
We are looking for a **Senior Product Manager** to help shape the core reasoning of our agentic Excel experiences.
A successful candidate brings well‑developed product judgment, experience working with LLMs and AI/ML systems, comfort operating in ambiguous spaces, and an appreciation for user workflows and mental models.
They are energized by working at the intersection of product, applied AI, and research, can define quality bars and make principled decisions and are motivated by the opportunity to build intelligent systems that are powerful, transparent, and steerable.
This role offers a unique opportunity to help shape the future of productivity for one of the most widely used products in the history of software.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Identify and prioritize agent reasoning and model capability opportunities to improve agentic Excel capabilities.
* Define the quality bar for agent reasoning, making informed tradeoffs across capability, latency, cost, and reliability.
* Translate real user workflows and mental models into reasoning requirements and evaluation criteria.
* Define success metrics and evaluation frameworks to measure reasoning quality, correctness, and robustness.
* Design data collection and labeling tasks to evaluate models and generate training data for fine\-tuning and alignment.
* Prototype and validate new agent behaviors, reasoning patterns, and feature directions.
* Develop and iterate on prompts and policies to guide consistent, high\-quality model behavior across scenarios.
* Deploy, monitor, and analyze A/B experiments for model and reasoning changes in production.
* Incorporate user feedback and telemetry to continuously improve model behavior and reliability.
* Collaborate cross\-functionally with research, applied ML, data, infrastructure, and product teams.
* Advance the AI frontier responsibly while embodying Microsoft’s culture and values.
**Qualifications** **Required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in product/service/program management or software development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3\+ years of experience leading ambiguous product areas, defining requirements, setting direction, and partnering with cross\-functional teams to deliver outcomes.
* 2\+ years of experience building or shipping ML\-powered or LLM\-powered products.
* Hands\-on experience working with LLM APIs (e.g., OpenAI, Anthropic, Azure OpenAI), embeddings, vector databases, and tool\-based systems.
* Hands\-on experience with prompt design, context management, and model evaluation techniques.
* Demonstrated analytical and problem‑solving ability, with the capacity to reason about complex systems and diverse user workflows.
* Excellent communication and collaboration skills, including the ability to work effectively with engineering, research, and data partners.
* Experience translating user intent and behavior into product strategy, and partnering closely with engineering and ML teams to deliver scalable, personalized experiences.
* 1\+ years of hands\-on experience building LLM\-powered applications, including familiarity with agent and orchestration frameworks, tool use, model evaluation, and efficiency optimization.
* Demonstrated technical depth in software development, data science, or machine learning, with the ability to reason over complex systems and large datasets.
* Comfort defining and executing zero\-to\-one prototypes to validate ideas and inform product direction, even when not writing production code.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3">
      <c r="A43" t="inlineStr">
        <is>
          <t>in-2ecf839f61accfad</t>
        </is>
      </c>
      <c r="B43" t="inlineStr">
        <is>
          <t>Product Manager</t>
        </is>
      </c>
      <c r="C43" t="inlineStr">
        <is>
          <t>Microsoft</t>
        </is>
      </c>
      <c r="D43" t="inlineStr">
        <is>
          <t>indeed</t>
        </is>
      </c>
      <c r="E43">
        <f>HYPERLINK("https://www.indeed.com/viewjob?jk=2ecf839f61accfad", "https://www.indeed.com/viewjob?jk=2ecf839f61accfad")</f>
        <v/>
      </c>
      <c r="F43">
        <f>HYPERLINK("https://apply.careers.microsoft.com/careers/job/1970393556654682?utm_source=indeed&amp;domain=microsoft.com", "https://apply.careers.microsoft.com/careers/job/1970393556654682?utm_source=indeed&amp;domain=microsoft.com")</f>
        <v/>
      </c>
      <c r="G43" t="inlineStr">
        <is>
          <t>US</t>
        </is>
      </c>
      <c r="H43" s="2" t="n">
        <v>46016</v>
      </c>
      <c r="I43" t="inlineStr">
        <is>
          <t>**Overview**  
Digital transformation is accelerating cloud adoption across every industry, making secure, scalable networking critical. **Azure Networking** provides the foundational connectivity and security services—from Virtual Networks and ExpressRoute to **Azure Firewall**—that enable customers to build, protect, and scale with confidence.Azure Firewall delivers intelligent, cloud‑native network protection against evolving threats and is a core pillar of Azure’s security platform. This role contributes to advancing Azure Firewall’s capabilities as part of the broader Azure Networking foundation that powers customer digital transformation.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 strong understanding of Azure Firewall features and customer scenarios, applying AI‑driven insights to identify opportunities for feature enhancements.
* Contribute to market research and competitive analysis to ensure strong product‑market fit.
* Participate in scenario walkthroughs, feature previews, and strategy discussions to drive customer and partner engagement.
* Track product performance metrics, customer feedback, and support signals to help inform product improvements.
* Support community engagement and contribute to product launch planning and execution.
**Qualifications** **Required qualifications:**
* Bachelor's Degree
	+ OR equivalent experience.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2\+ years experience in product/service/program management or software development
	+ OR equivalent experience.
* 1\+ year(s) experience improving product metrics for a product, feature, or experience in a market (e.g., growing customer base, expanding customer usage, avoiding customer churn).
* 1\+ year(s) experience disrupting a market for a product, feature, or experience (e.g., competitive disruption, taking the place of an established competing product).
* Knowledge of L3–L7 networking, including routing, NAT, load balancing, TLS, and traffic inspection
* 1\+ year(s) experience designing and operating enterprise‑scale network security platforms, such as Firewall, WAF, DDoS, in cloud environments
Product Management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4">
      <c r="A44" t="inlineStr">
        <is>
          <t>in-942cd19906dbabb0</t>
        </is>
      </c>
      <c r="B44" t="inlineStr">
        <is>
          <t>Technical Program Manager</t>
        </is>
      </c>
      <c r="C44" t="inlineStr">
        <is>
          <t>Microsoft</t>
        </is>
      </c>
      <c r="D44" t="inlineStr">
        <is>
          <t>indeed</t>
        </is>
      </c>
      <c r="E44">
        <f>HYPERLINK("https://www.indeed.com/viewjob?jk=942cd19906dbabb0", "https://www.indeed.com/viewjob?jk=942cd19906dbabb0")</f>
        <v/>
      </c>
      <c r="F44">
        <f>HYPERLINK("https://apply.careers.microsoft.com/careers/job/1970393556639917?utm_source=indeed&amp;domain=microsoft.com", "https://apply.careers.microsoft.com/careers/job/1970393556639917?utm_source=indeed&amp;domain=microsoft.com")</f>
        <v/>
      </c>
      <c r="G44" t="inlineStr">
        <is>
          <t>Redmond, WA, US</t>
        </is>
      </c>
      <c r="H44" s="2" t="n">
        <v>45998</v>
      </c>
      <c r="I44" t="inlineStr">
        <is>
          <t>**Overview**  
Are you passionate about solving complex challenges and delivering innovative solutions that make a real impact? Do you thrive on collaborating with customers to reimagine possibilities and drive transformation? If you’re excited by the opportunity to identify trends, create unique business solutions, and continuously learn new technologies, we want you on our team.
The Industry Solutions Delivery (ISD) Engineering \&amp; Architecture Group (EAG) is a global consulting and engineering organization that partners with customers on their most advanced and strategic engagements. As the **Technical Program Manager**, you will lead early\-stage deliveries, strengthen ISD’s technical capabilities, and collaborate across teams to develop cutting\-edge approaches, solutions, and engineering standards that enable success. Guided by the principles of Model, Care, and Coach, we deliver exceptional customer experience through technical and AI leadership, intellectual property development, and a commitment to delivery excellence.
 **Responsibilities** **Analysis of Customer and Market Signals**
* Identifies highly complex opportunities and gaps in the implementation of multiple feature areas (e.g., product, service) across divisional boundaries including comparison of various quality and performance metrics to various solutions. May define and lead customer engagements to solicit feedback and understand their experiences with Microsoft’s products and services.
* Acts as a subject matter expert in performing highly complex market research in collaboration with other teams, conducting competitive analyses, and examining customer and technology\-related industry trends, as well as industry\-specific requirements or regulations.
* Brings product usage, product telemetry, and service data together to identify highly complex patterns, generate hypotheses, and build a plan to have an impact on the product.
* Demonstrates and builds experiences across multiple groups or divisions.
* Coaches internal team to develop problem statements and form hypotheses of multiple feature areas (e.g., product, service) across divisional boundaries to address highly complex business, program, and customer needs, and/or market opportunities; identifies all dependencies of other features.
* Owns and performs experiments to test hypotheses and inform decisions on what multiple feature areas (e.g., product, service) to introduce across divisional boundaries.
* Establishes clarity of patterns of root problem and how it relates with previously seen trends across customers; determines the customers/sectors impacted and uses research evidence to influence feature prioritization. Determines and leads large process improvements to quickly scope insights.
* Leads and drives alignment between the customer, the market, internal stakeholders, senior leadership, and the goals and strategy of Microsoft.
* Collaborates with others (e.g., Engineering, Marketing, Design) to ensure that they can satisfy customer requirements.
* Evaluates the market size and explores new opportunities to determine for greatest value to the business.
* Defines solution options and proposed solution roadmap across multiple feature areas within multiple stages.
 **Product/Service Definition**
* Works with Software and Hardware Engineering to design architecture and integrated customer solutions to highly complex technical needs for multiple feature areas (e.g., product, service) across divisional boundaries.
* Reviews design documents and architecture proposals and may provide approvals.
* Understands what options are available and leads others to identify and select best option for needs and creates new solutions if needed.
* Works with architects and technical partners to develop future proof architecture.
* Works with internal and external technical partners and/or architects to represent technical solutions to customers.
* Defines the program(s) goals and prioritization for the multiple feature areas (e.g., product, service) they own across divisional boundaries.
* Translates the needs of the organization and other teams into program goals and prioritized deliverables based on data insights.
* Provides solutions or recommendations to key stakeholders to make complex decisions based on data\-driven identified risks and tradeoffs.
* Defines success criteria and performance metrics (e.g., Objectives and Key Results \[OKRs], Key Performance Indicators \[KPIs] such as quality and performance) of multiple feature areas (e.g., product, service) across divisional boundaries and works with Software and Hardware Engineering to ensure needed telemetry is developed.
* Mentors' others on how to define success and performance metrics. Deeply understands the return on investment and presents it to senior leadership.
 **Product/Service Development**
* Creates relationships to drive orchestration and integration efforts for the development and implementation process of multiple features areas (e.g., product, services) for large and highly complex cross functional projects with internal teams and external partners.
* Influences leadership on objectives.
* Collaborates and coordinates across the business to ensure alignment and gain buy in on product management and release, including tradeoffs, adjustments, and improvements as feasible.
* Partners with the engineering team to contribute, prioritize, and deliver on the roadmap for multiple feature areas (e.g., product, service) across divisional boundaries.
* Understands the value proposition for the multiple feature areas across divisional boundaries and answers technical questions on the multiple feature areas they own across divisional boundaries.
* Justifies capacity requirements and advocates for the right resource allocation.
* Tracks, coordinates, and communicates end\-to\-end project schedules (e.g., epics, sprint/semester plans, milestones, timelines, releases) for multiple feature areas (e.g., product, service) across divisional boundaries.
* Establishes and monitors processes and drives accountability with stakeholders for following the established schedule and processes.
* Tracks and manages dependencies to enable cohesive, connected user scenarios, and to identify potential risk areas and escalate appropriately.
* Makes adjustments or course corrections when projects are not aligned to schedules or goals.
* Drives the development of the staging and implementation plan for piloting/release in alignment with Objectives and Key Results (OKRs) and Key Performance Indicators (KPIs) for multiple feature areas (e.g., product, service) across divisional boundaries, it's development timeline, and the introduction to the different programs.
* Collaborates with stakeholders to monitor progress and adjust as needed.
* Leads governance programs and processes to ensure that specific performance requirements and standards are met throughout the development lifecycle (e.g., quality, compliance privacy, security, safety, accessibility).
* Validates use\-case and scenario outcomes, and performance targets that are being achieved. Drives continuous quality improvements of the delivery.
* Writes readable and extensible test cases from scratch to test code and improve quality.
**Product/Service Performance**
* Provides expertise to partner with others (e.g., Data Science, Software and Hardware Engineering) to collect performance metrics (e.g., Key Performance Indicators \[KPIs] such as usage, quality, speed and, cost and performance), monitor and report on progress (e.g., business reviews), and derive deep insights that lead to productive courses of action to improve development, iteration, and implementation of multiple feature areas (e.g., product, service) across divisional boundaries.
* Leverages customer listening systems, telemetry, engagements (e.g., interviews, surveys), etc., to develop insights on product and/or service performance and customer needs.
* Shares insights with Engineering and other partners.
* Forms hypotheses to highly complex technical needs, performs experiments, and iterates to drive improvement in specific performance metrics that have measurable impact.
* Leads the customer supportability experience and provides documentation (e.g., troubleshooting guidelines, best practices, blogs).
* Monitors how products and/or services are being used; tracks and understands a root\-cause analysis for live\-site incidents with little guidance from others. Understands and drives improvements in the support process, including both forums and communities.
* Collaborates with and provides deep insight to Software and Hardware Engineering, Customer Service and Support (CSS), and other partners (e.g., business\-process owners) on broad live\-site improvement opportunities.
* Acts as a technical advisor to educate and evangelize the feature areas (e.g., product, service) across divisional boundaries they work on with customers via meetings, presentations, and other forums.
* Defines and leads direct customer (internal and/or external) engagements to solicit feedback and understand their experiences with the feature areas (e.g., product, service) across divisional boundaries.
* Helps deliver sales enablement and field support.
* Participates in business deals, creates strategic partnerships, and participates in pre\-sales meetings with customers.
**Other**
* Embody our culture and values.
 **Qualifications** **Required/Minimum Qualifications**
* Bachelor's Degree AND 8\+ years experience in engineering, product/technical program management, data analysis, or product development OR equivalent experience.
* 6\+ years of experience managing cross\-functional and/or cross\-team projects
 **Preferred Qualifications**
* Bachelor's Degree AND 10\+ years' experience in engineering, product/technical program management, data analysis, or product development OR equivalent experience.
* 8\+ years' experience managing cross\-functional and/or cross\-team projects.
* 1\+ year(s) experience reading and/or writing code (e.g., sample documentation, product demos).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5">
      <c r="A45" t="inlineStr">
        <is>
          <t>in-6ad80438add2a9b1</t>
        </is>
      </c>
      <c r="B45" t="inlineStr">
        <is>
          <t>Senior Customer Program Manager</t>
        </is>
      </c>
      <c r="C45" t="inlineStr">
        <is>
          <t>Microsoft</t>
        </is>
      </c>
      <c r="D45" t="inlineStr">
        <is>
          <t>indeed</t>
        </is>
      </c>
      <c r="E45">
        <f>HYPERLINK("https://www.indeed.com/viewjob?jk=6ad80438add2a9b1", "https://www.indeed.com/viewjob?jk=6ad80438add2a9b1")</f>
        <v/>
      </c>
      <c r="F45">
        <f>HYPERLINK("https://apply.careers.microsoft.com/careers/job/1970393556620804?utm_source=indeed&amp;domain=microsoft.com", "https://apply.careers.microsoft.com/careers/job/1970393556620804?utm_source=indeed&amp;domain=microsoft.com")</f>
        <v/>
      </c>
      <c r="G45" t="inlineStr">
        <is>
          <t>Redmond, WA, US</t>
        </is>
      </c>
      <c r="H45" s="2" t="n">
        <v>45963</v>
      </c>
      <c r="I45" t="inlineStr">
        <is>
          <t>**Overview**  
We are seeking a Senior Customer Program Manager (CPM) to join the Copilot Agents \+ Platform Ecosystem (CAPE) team in the Redmond, WA area.
The candidate will help us deliver world class Copilot extensibility, showcase solutions at leading enterprise customers through scenario development, solution envisioning, architecture, and build the realization of Copilot agents and extensibility\-based solutions.
 As the bridge between customer experience and Copilot engineering, this role requires technical expertise as well as close collaboration across a wide range of engineering and field teams to drive successful customer outcomes with the latest production and pre\-production Copilot features and capabilities. It rewards program managers with agility and requires rapid iteration and working in dynamic and fast\-paced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Qualify, develop and maintain relationships with a portfolio of enterprise customers, understanding their business needs, objectives and implementation challenges to unblock the adoption of Copilot agents and extensibility.
* Through regular product briefings, roadmap sessions, discovery and envisioning activities, land the value and opportunity of agents and extensibility, helping inform customer strategy to maximize value realization.
* Lead and manage customer engagements focused on the development, deployment and integration of Copilot agents, ensuring projects meet business needs.
* Provide deep technical guidance, solutioning and assistance to customers, helping them to leverage Copilot agents and extensibility through the entire lifecycle from scenario discovery to build and implementation.
* Gather customer feedback and work closely with the product and engineering teams to triage, prioritize and drive continuous improvement in Copilot solutions.
* Monitor and report on the adoption and performance of Copilot agents, providing insights and recommendations to both customers and engineering stakeholders.
* Work collaboratively with internal teams, including sales, marketing, and engineering, to align customer needs with product development and go\-to\-market strategies.
* Measurements include the quality, the breadth, the repeatability and the number of successful deployments; customer satisfaction; and the quality and the number of public references, and how you help colleagues succeed.
* Ability to propose tech architecture and design based on customer/scenario requirements. Ability to develop a prototype to demonstrate the value of Copilot agents and extensibility.
* Core understanding of Copilot architecture and agent models for extensibility, such as the ability to customize UI, Orchestrator, or BYO foundational models/LLMs to help customers understand the key differentiations of Copilot \&amp; extensibility versus competitors.
* Hands on experience developing extensibility solutions for Microsoft Copilot using Graph Connectors, Copilot Studio, Teams Toolkit, Visual Studio Code, Azure AI Foundry, with experience in deploying and managing AI solutions in an enterprise environment.
**Qualifications** **Required Qualifications:**
* Bachelor's Degree in Computer Science, Engineering, Data Science, Math, Business, or related field AND 4\+ years experience in engineering, product/technical program management, data analysis, or product development
	+ OR equivalent experience.
* 4\+ years of experience in a customer\-facing role, preferably in program management, solution architecture, consulting or technical strategy within Microsoft365\.
* 2\+ years of experience with low code platforms like Copilot Studio and Power Platform.
* 2\+ years of experience with AI solutions (ex: Microsoft365 Copilot) \- envisioning and building enterprise grade solutions using low code/no code platforms.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Engineering, Data Science, Math, Business, or related field AND 6\+ years experience in engineering, product/technical program management, data analysis, or product development
	+ OR Bachelor's Degree in Computer Science, Engineering, Data Science, Math, Business, or related field AND 8\+ years experience in engineering, product/technical program management, data analysis, or product development
	+ OR equivalent experience.
* 6\+ years of experience in a customer\-facing role, preferably in program management, solution architecture, consulting or technical strategy within Microsoft365\.
* 3\+ years of experience with low code platforms like Copilot Studio and Power Platform.
* 3\+ years of experience with AI solutions (ex: Microsoft365 Copilot) \- envisioning and building enterprise grade solutions using low code/no code platforms.
Customer Experience Program Mgmt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6">
      <c r="A46" t="inlineStr">
        <is>
          <t>in-3e0b28fd4a14c588</t>
        </is>
      </c>
      <c r="B46" t="inlineStr">
        <is>
          <t>Sr. Product Manager, AWS Server Supply Chain</t>
        </is>
      </c>
      <c r="C46" t="inlineStr">
        <is>
          <t>Amazon.com</t>
        </is>
      </c>
      <c r="D46" t="inlineStr">
        <is>
          <t>indeed</t>
        </is>
      </c>
      <c r="E46">
        <f>HYPERLINK("https://www.indeed.com/viewjob?jk=3e0b28fd4a14c588", "https://www.indeed.com/viewjob?jk=3e0b28fd4a14c588")</f>
        <v/>
      </c>
      <c r="F46">
        <f>HYPERLINK("https://www.amazon.jobs/jobs/3117342/sr-product-manager-aws-server-supply-chain?cmpid=DA_INAD200785B", "https://www.amazon.jobs/jobs/3117342/sr-product-manager-aws-server-supply-chain?cmpid=DA_INAD200785B")</f>
        <v/>
      </c>
      <c r="G46" t="inlineStr">
        <is>
          <t>Cupertino, CA, US</t>
        </is>
      </c>
      <c r="H46" s="2" t="n">
        <v>45956</v>
      </c>
      <c r="I4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in-8845a524313f50f5</t>
        </is>
      </c>
      <c r="B47" t="inlineStr">
        <is>
          <t>Sr. Product Manager, AWS Server Supply Chain</t>
        </is>
      </c>
      <c r="C47" t="inlineStr">
        <is>
          <t>Amazon.com</t>
        </is>
      </c>
      <c r="D47" t="inlineStr">
        <is>
          <t>indeed</t>
        </is>
      </c>
      <c r="E47">
        <f>HYPERLINK("https://www.indeed.com/viewjob?jk=8845a524313f50f5", "https://www.indeed.com/viewjob?jk=8845a524313f50f5")</f>
        <v/>
      </c>
      <c r="F47">
        <f>HYPERLINK("https://www.amazon.jobs/jobs/3117342/sr-product-manager-aws-server-supply-chain?cmpid=DA_INAD200785B", "https://www.amazon.jobs/jobs/3117342/sr-product-manager-aws-server-supply-chain?cmpid=DA_INAD200785B")</f>
        <v/>
      </c>
      <c r="G47" t="inlineStr">
        <is>
          <t>Austin, TX, US</t>
        </is>
      </c>
      <c r="H47" s="2" t="n">
        <v>45956</v>
      </c>
      <c r="I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in-096be25bdd9a0b97</t>
        </is>
      </c>
      <c r="B48" t="inlineStr">
        <is>
          <t>Sr. Product Manager, AWS Server Supply Chain</t>
        </is>
      </c>
      <c r="C48" t="inlineStr">
        <is>
          <t>Amazon.com</t>
        </is>
      </c>
      <c r="D48" t="inlineStr">
        <is>
          <t>indeed</t>
        </is>
      </c>
      <c r="E48">
        <f>HYPERLINK("https://www.indeed.com/viewjob?jk=096be25bdd9a0b97", "https://www.indeed.com/viewjob?jk=096be25bdd9a0b97")</f>
        <v/>
      </c>
      <c r="F48">
        <f>HYPERLINK("https://www.amazon.jobs/jobs/3117342/sr-product-manager-aws-server-supply-chain?cmpid=DA_INAD200785B", "https://www.amazon.jobs/jobs/3117342/sr-product-manager-aws-server-supply-chain?cmpid=DA_INAD200785B")</f>
        <v/>
      </c>
      <c r="G48" t="inlineStr">
        <is>
          <t>Seattle, WA, US</t>
        </is>
      </c>
      <c r="H48" s="2" t="n">
        <v>45956</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in-0e75bafe118c32d4</t>
        </is>
      </c>
      <c r="B49" t="inlineStr">
        <is>
          <t>Sr. Supply Chain Product Manager, Amazon Custom Modules</t>
        </is>
      </c>
      <c r="C49" t="inlineStr">
        <is>
          <t>Amazon.com</t>
        </is>
      </c>
      <c r="D49" t="inlineStr">
        <is>
          <t>indeed</t>
        </is>
      </c>
      <c r="E49">
        <f>HYPERLINK("https://www.indeed.com/viewjob?jk=0e75bafe118c32d4", "https://www.indeed.com/viewjob?jk=0e75bafe118c32d4")</f>
        <v/>
      </c>
      <c r="F49">
        <f>HYPERLINK("https://www.amazon.jobs/jobs/3109372/sr-supply-chain-product-manager-amazon-custom-modules?cmpid=DA_INAD200785B", "https://www.amazon.jobs/jobs/3109372/sr-supply-chain-product-manager-amazon-custom-modules?cmpid=DA_INAD200785B")</f>
        <v/>
      </c>
      <c r="G49" t="inlineStr">
        <is>
          <t>Seattle, WA, US</t>
        </is>
      </c>
      <c r="H49" s="2" t="n">
        <v>45935</v>
      </c>
      <c r="I4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in-65d4c27e2e7615cc</t>
        </is>
      </c>
      <c r="B50" t="inlineStr">
        <is>
          <t>Sr. Supply Chain Product Manager, Amazon Custom Modules</t>
        </is>
      </c>
      <c r="C50" t="inlineStr">
        <is>
          <t>Amazon.com</t>
        </is>
      </c>
      <c r="D50" t="inlineStr">
        <is>
          <t>indeed</t>
        </is>
      </c>
      <c r="E50">
        <f>HYPERLINK("https://www.indeed.com/viewjob?jk=65d4c27e2e7615cc", "https://www.indeed.com/viewjob?jk=65d4c27e2e7615cc")</f>
        <v/>
      </c>
      <c r="F50">
        <f>HYPERLINK("https://www.amazon.jobs/jobs/3109372/sr-supply-chain-product-manager-amazon-custom-modules?cmpid=DA_INAD200785B", "https://www.amazon.jobs/jobs/3109372/sr-supply-chain-product-manager-amazon-custom-modules?cmpid=DA_INAD200785B")</f>
        <v/>
      </c>
      <c r="G50" t="inlineStr">
        <is>
          <t>Austin, TX, US</t>
        </is>
      </c>
      <c r="H50" s="2" t="n">
        <v>45935</v>
      </c>
      <c r="I5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in-701ac60e33ff3f35</t>
        </is>
      </c>
      <c r="B51" t="inlineStr">
        <is>
          <t>Sr. Supply Chain Product Manager, Amazon Custom Modules</t>
        </is>
      </c>
      <c r="C51" t="inlineStr">
        <is>
          <t>Amazon.com</t>
        </is>
      </c>
      <c r="D51" t="inlineStr">
        <is>
          <t>indeed</t>
        </is>
      </c>
      <c r="E51">
        <f>HYPERLINK("https://www.indeed.com/viewjob?jk=701ac60e33ff3f35", "https://www.indeed.com/viewjob?jk=701ac60e33ff3f35")</f>
        <v/>
      </c>
      <c r="F51">
        <f>HYPERLINK("https://www.amazon.jobs/jobs/3109372/sr-supply-chain-product-manager-amazon-custom-modules?cmpid=DA_INAD200785B", "https://www.amazon.jobs/jobs/3109372/sr-supply-chain-product-manager-amazon-custom-modules?cmpid=DA_INAD200785B")</f>
        <v/>
      </c>
      <c r="G51" t="inlineStr">
        <is>
          <t>Cupertino, CA, US</t>
        </is>
      </c>
      <c r="H51" s="2" t="n">
        <v>45935</v>
      </c>
      <c r="I5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in-1c1d688898a65828</t>
        </is>
      </c>
      <c r="B52" t="inlineStr">
        <is>
          <t>Amazon Last Mile Fleet Program Manager, In Life Services-Recalls, Retrofits, and Tires</t>
        </is>
      </c>
      <c r="C52" t="inlineStr">
        <is>
          <t>Amazon.com</t>
        </is>
      </c>
      <c r="D52" t="inlineStr">
        <is>
          <t>indeed</t>
        </is>
      </c>
      <c r="E52">
        <f>HYPERLINK("https://www.indeed.com/viewjob?jk=1c1d688898a65828", "https://www.indeed.com/viewjob?jk=1c1d688898a65828")</f>
        <v/>
      </c>
      <c r="F52">
        <f>HYPERLINK("https://www.amazon.jobs/jobs/3083275/amazon-last-mile-fleet-program-manager-in-life-servicesrecalls-retrofits-and-tires?cmpid=DA_INAD200785B", "https://www.amazon.jobs/jobs/3083275/amazon-last-mile-fleet-program-manager-in-life-servicesrecalls-retrofits-and-tires?cmpid=DA_INAD200785B")</f>
        <v/>
      </c>
      <c r="G52" t="inlineStr">
        <is>
          <t>Bellevue, WA, US</t>
        </is>
      </c>
      <c r="H52" s="2" t="n">
        <v>45911</v>
      </c>
      <c r="I5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in-76168d27f3dc9d01</t>
        </is>
      </c>
      <c r="B53" t="inlineStr">
        <is>
          <t>Amazon Last Mile Fleet Program Manager, In Life Services-Recalls, Retrofits, and Tires</t>
        </is>
      </c>
      <c r="C53" t="inlineStr">
        <is>
          <t>Amazon.com</t>
        </is>
      </c>
      <c r="D53" t="inlineStr">
        <is>
          <t>indeed</t>
        </is>
      </c>
      <c r="E53">
        <f>HYPERLINK("https://www.indeed.com/viewjob?jk=76168d27f3dc9d01", "https://www.indeed.com/viewjob?jk=76168d27f3dc9d01")</f>
        <v/>
      </c>
      <c r="F53">
        <f>HYPERLINK("https://www.amazon.jobs/jobs/3083275/amazon-last-mile-fleet-program-manager-in-life-servicesrecalls-retrofits-and-tires?cmpid=DA_INAD200785B", "https://www.amazon.jobs/jobs/3083275/amazon-last-mile-fleet-program-manager-in-life-servicesrecalls-retrofits-and-tires?cmpid=DA_INAD200785B")</f>
        <v/>
      </c>
      <c r="G53" t="inlineStr">
        <is>
          <t>Nashville, TN, US</t>
        </is>
      </c>
      <c r="H53" s="2" t="n">
        <v>45911</v>
      </c>
      <c r="I5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in-f09efd0dbed96fa1</t>
        </is>
      </c>
      <c r="B54" t="inlineStr">
        <is>
          <t>Sr Materials Program Manager, Ring Supply Chain and Operations</t>
        </is>
      </c>
      <c r="C54" t="inlineStr">
        <is>
          <t>Amazon.com</t>
        </is>
      </c>
      <c r="D54" t="inlineStr">
        <is>
          <t>indeed</t>
        </is>
      </c>
      <c r="E54">
        <f>HYPERLINK("https://www.indeed.com/viewjob?jk=f09efd0dbed96fa1", "https://www.indeed.com/viewjob?jk=f09efd0dbed96fa1")</f>
        <v/>
      </c>
      <c r="F54">
        <f>HYPERLINK("https://www.amazon.jobs/jobs/3076487/sr-materials-program-manager-ring-supply-chain-and-operations?cmpid=DA_INAD200785B", "https://www.amazon.jobs/jobs/3076487/sr-materials-program-manager-ring-supply-chain-and-operations?cmpid=DA_INAD200785B")</f>
        <v/>
      </c>
      <c r="G54" t="inlineStr">
        <is>
          <t>Sunnyvale, CA, US</t>
        </is>
      </c>
      <c r="H54" s="2" t="n">
        <v>45898</v>
      </c>
      <c r="I54"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in-7f7511354f7fb714</t>
        </is>
      </c>
      <c r="B55" t="inlineStr">
        <is>
          <t>Sr Materials Program Manager, Ring Supply Chain and Operations</t>
        </is>
      </c>
      <c r="C55" t="inlineStr">
        <is>
          <t>Amazon.com</t>
        </is>
      </c>
      <c r="D55" t="inlineStr">
        <is>
          <t>indeed</t>
        </is>
      </c>
      <c r="E55">
        <f>HYPERLINK("https://www.indeed.com/viewjob?jk=7f7511354f7fb714", "https://www.indeed.com/viewjob?jk=7f7511354f7fb714")</f>
        <v/>
      </c>
      <c r="F55">
        <f>HYPERLINK("https://www.amazon.jobs/jobs/3076487/sr-materials-program-manager-ring-supply-chain-and-operations?cmpid=DA_INAD200785B", "https://www.amazon.jobs/jobs/3076487/sr-materials-program-manager-ring-supply-chain-and-operations?cmpid=DA_INAD200785B")</f>
        <v/>
      </c>
      <c r="G55" t="inlineStr">
        <is>
          <t>Hawthorne, CA, US</t>
        </is>
      </c>
      <c r="H55" s="2" t="n">
        <v>45898</v>
      </c>
      <c r="I5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in-e4626ac1e1cfdff7</t>
        </is>
      </c>
      <c r="B56" t="inlineStr">
        <is>
          <t>Senior Product Manager - Tech, Fire TV</t>
        </is>
      </c>
      <c r="C56" t="inlineStr">
        <is>
          <t>Amazon.com</t>
        </is>
      </c>
      <c r="D56" t="inlineStr">
        <is>
          <t>indeed</t>
        </is>
      </c>
      <c r="E56">
        <f>HYPERLINK("https://www.indeed.com/viewjob?jk=e4626ac1e1cfdff7", "https://www.indeed.com/viewjob?jk=e4626ac1e1cfdff7")</f>
        <v/>
      </c>
      <c r="F56">
        <f>HYPERLINK("https://www.amazon.jobs/jobs/3058473/senior-product-manager--tech-fire-tv?cmpid=DA_INAD200785B", "https://www.amazon.jobs/jobs/3058473/senior-product-manager--tech-fire-tv?cmpid=DA_INAD200785B")</f>
        <v/>
      </c>
      <c r="G56" t="inlineStr">
        <is>
          <t>Seattle, WA, US</t>
        </is>
      </c>
      <c r="H56" s="2" t="n">
        <v>45855</v>
      </c>
      <c r="I56"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in-88175f14946d4da5</t>
        </is>
      </c>
      <c r="B57" t="inlineStr">
        <is>
          <t>Senior Product Manager - Tech, Fire TV</t>
        </is>
      </c>
      <c r="C57" t="inlineStr">
        <is>
          <t>Amazon.com</t>
        </is>
      </c>
      <c r="D57" t="inlineStr">
        <is>
          <t>indeed</t>
        </is>
      </c>
      <c r="E57">
        <f>HYPERLINK("https://www.indeed.com/viewjob?jk=88175f14946d4da5", "https://www.indeed.com/viewjob?jk=88175f14946d4da5")</f>
        <v/>
      </c>
      <c r="F57">
        <f>HYPERLINK("https://www.amazon.jobs/jobs/3058473/senior-product-manager--tech-fire-tv?cmpid=DA_INAD200785B", "https://www.amazon.jobs/jobs/3058473/senior-product-manager--tech-fire-tv?cmpid=DA_INAD200785B")</f>
        <v/>
      </c>
      <c r="G57" t="inlineStr">
        <is>
          <t>Sunnyvale, CA, US</t>
        </is>
      </c>
      <c r="H57" s="2" t="n">
        <v>45855</v>
      </c>
      <c r="I5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in-fb8f01e5d913b8dc</t>
        </is>
      </c>
      <c r="B58" t="inlineStr">
        <is>
          <t>Principal Product Manager Tech - Devices, Fire TV Devices</t>
        </is>
      </c>
      <c r="C58" t="inlineStr">
        <is>
          <t>Amazon.com</t>
        </is>
      </c>
      <c r="D58" t="inlineStr">
        <is>
          <t>indeed</t>
        </is>
      </c>
      <c r="E58">
        <f>HYPERLINK("https://www.indeed.com/viewjob?jk=fb8f01e5d913b8dc", "https://www.indeed.com/viewjob?jk=fb8f01e5d913b8dc")</f>
        <v/>
      </c>
      <c r="F58">
        <f>HYPERLINK("https://www.amazon.jobs/jobs/3029783/principal-product-manager-tech--devices-fire-tv-devices?cmpid=DA_INAD200785B", "https://www.amazon.jobs/jobs/3029783/principal-product-manager-tech--devices-fire-tv-devices?cmpid=DA_INAD200785B")</f>
        <v/>
      </c>
      <c r="G58" t="inlineStr">
        <is>
          <t>Seattle, WA, US</t>
        </is>
      </c>
      <c r="H58" s="2" t="n">
        <v>45844</v>
      </c>
      <c r="I5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in-19a358c4f633a678</t>
        </is>
      </c>
      <c r="B59" t="inlineStr">
        <is>
          <t>Principal Product Manager Tech - Devices, Fire TV Devices</t>
        </is>
      </c>
      <c r="C59" t="inlineStr">
        <is>
          <t>Amazon.com</t>
        </is>
      </c>
      <c r="D59" t="inlineStr">
        <is>
          <t>indeed</t>
        </is>
      </c>
      <c r="E59">
        <f>HYPERLINK("https://www.indeed.com/viewjob?jk=19a358c4f633a678", "https://www.indeed.com/viewjob?jk=19a358c4f633a678")</f>
        <v/>
      </c>
      <c r="F59">
        <f>HYPERLINK("https://www.amazon.jobs/jobs/3029783/principal-product-manager-tech--devices-fire-tv-devices?cmpid=DA_INAD200785B", "https://www.amazon.jobs/jobs/3029783/principal-product-manager-tech--devices-fire-tv-devices?cmpid=DA_INAD200785B")</f>
        <v/>
      </c>
      <c r="G59" t="inlineStr">
        <is>
          <t>Sunnyvale, CA, US</t>
        </is>
      </c>
      <c r="H59" s="2" t="n">
        <v>45844</v>
      </c>
      <c r="I5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in-991bb08b3348ef76</t>
        </is>
      </c>
      <c r="B60" t="inlineStr">
        <is>
          <t>Sr. Product Manager Technical, Deal Tooling &amp; Insights, Strategic Customer Engagements</t>
        </is>
      </c>
      <c r="C60" t="inlineStr">
        <is>
          <t>Amazon Web Services</t>
        </is>
      </c>
      <c r="D60" t="inlineStr">
        <is>
          <t>indeed</t>
        </is>
      </c>
      <c r="E60">
        <f>HYPERLINK("https://www.indeed.com/viewjob?jk=991bb08b3348ef76", "https://www.indeed.com/viewjob?jk=991bb08b3348ef76")</f>
        <v/>
      </c>
      <c r="F60">
        <f>HYPERLINK("https://www.amazon.jobs/jobs/3138889/sr-product-manager-technical-deal-tooling--insights-strategic-customer-engagements?cmpid=DA_INAD200785B", "https://www.amazon.jobs/jobs/3138889/sr-product-manager-technical-deal-tooling--insights-strategic-customer-engagements?cmpid=DA_INAD200785B")</f>
        <v/>
      </c>
      <c r="G60" t="inlineStr">
        <is>
          <t>Dallas, TX, US</t>
        </is>
      </c>
      <c r="H60" s="2" t="n">
        <v>45994</v>
      </c>
      <c r="I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1">
      <c r="A61" t="inlineStr">
        <is>
          <t>in-e79e9d1220c11401</t>
        </is>
      </c>
      <c r="B61" t="inlineStr">
        <is>
          <t>Sr. Product Manager Technical, Deal Tooling &amp; Insights, Strategic Customer Engagements</t>
        </is>
      </c>
      <c r="C61" t="inlineStr">
        <is>
          <t>Amazon Web Services</t>
        </is>
      </c>
      <c r="D61" t="inlineStr">
        <is>
          <t>indeed</t>
        </is>
      </c>
      <c r="E61">
        <f>HYPERLINK("https://www.indeed.com/viewjob?jk=e79e9d1220c11401", "https://www.indeed.com/viewjob?jk=e79e9d1220c11401")</f>
        <v/>
      </c>
      <c r="F61">
        <f>HYPERLINK("https://www.amazon.jobs/jobs/3138889/sr-product-manager-technical-deal-tooling--insights-strategic-customer-engagements?cmpid=DA_INAD200785B", "https://www.amazon.jobs/jobs/3138889/sr-product-manager-technical-deal-tooling--insights-strategic-customer-engagements?cmpid=DA_INAD200785B")</f>
        <v/>
      </c>
      <c r="G61" t="inlineStr">
        <is>
          <t>Seattle, WA, US</t>
        </is>
      </c>
      <c r="H61" s="2" t="n">
        <v>45994</v>
      </c>
      <c r="I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2">
      <c r="A62" t="inlineStr">
        <is>
          <t>in-1edb9cfdc8e6a123</t>
        </is>
      </c>
      <c r="B62" t="inlineStr">
        <is>
          <t>Sr. Product Manager Technical, Deal Tooling &amp; Insights, Strategic Customer Engagements</t>
        </is>
      </c>
      <c r="C62" t="inlineStr">
        <is>
          <t>Amazon Web Services</t>
        </is>
      </c>
      <c r="D62" t="inlineStr">
        <is>
          <t>indeed</t>
        </is>
      </c>
      <c r="E62">
        <f>HYPERLINK("https://www.indeed.com/viewjob?jk=1edb9cfdc8e6a123", "https://www.indeed.com/viewjob?jk=1edb9cfdc8e6a123")</f>
        <v/>
      </c>
      <c r="F62">
        <f>HYPERLINK("https://www.amazon.jobs/jobs/3138889/sr-product-manager-technical-deal-tooling--insights-strategic-customer-engagements?cmpid=DA_INAD200785B", "https://www.amazon.jobs/jobs/3138889/sr-product-manager-technical-deal-tooling--insights-strategic-customer-engagements?cmpid=DA_INAD200785B")</f>
        <v/>
      </c>
      <c r="G62" t="inlineStr">
        <is>
          <t>New York, NY, US</t>
        </is>
      </c>
      <c r="H62" s="2" t="n">
        <v>45994</v>
      </c>
      <c r="I6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3">
      <c r="A63" t="inlineStr">
        <is>
          <t>in-1283c59894c7b025</t>
        </is>
      </c>
      <c r="B63" t="inlineStr">
        <is>
          <t>Sr. Product Manager Technical, Deal Tooling &amp; Insights, Strategic Customer Engagements</t>
        </is>
      </c>
      <c r="C63" t="inlineStr">
        <is>
          <t>Amazon Web Services</t>
        </is>
      </c>
      <c r="D63" t="inlineStr">
        <is>
          <t>indeed</t>
        </is>
      </c>
      <c r="E63">
        <f>HYPERLINK("https://www.indeed.com/viewjob?jk=1283c59894c7b025", "https://www.indeed.com/viewjob?jk=1283c59894c7b025")</f>
        <v/>
      </c>
      <c r="F63">
        <f>HYPERLINK("https://www.amazon.jobs/jobs/3138889/sr-product-manager-technical-deal-tooling--insights-strategic-customer-engagements?cmpid=DA_INAD200785B", "https://www.amazon.jobs/jobs/3138889/sr-product-manager-technical-deal-tooling--insights-strategic-customer-engagements?cmpid=DA_INAD200785B")</f>
        <v/>
      </c>
      <c r="G63" t="inlineStr">
        <is>
          <t>Arlington, VA, US</t>
        </is>
      </c>
      <c r="H63" s="2" t="n">
        <v>45994</v>
      </c>
      <c r="I6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4">
      <c r="A64" t="inlineStr">
        <is>
          <t>in-ee98efcea9d47b0e</t>
        </is>
      </c>
      <c r="B64" t="inlineStr">
        <is>
          <t>Sr. Product Manager Technical, Deal Tooling &amp; Insights, Strategic Customer Engagements</t>
        </is>
      </c>
      <c r="C64" t="inlineStr">
        <is>
          <t>Amazon Web Services</t>
        </is>
      </c>
      <c r="D64" t="inlineStr">
        <is>
          <t>indeed</t>
        </is>
      </c>
      <c r="E64">
        <f>HYPERLINK("https://www.indeed.com/viewjob?jk=ee98efcea9d47b0e", "https://www.indeed.com/viewjob?jk=ee98efcea9d47b0e")</f>
        <v/>
      </c>
      <c r="F64">
        <f>HYPERLINK("https://www.amazon.jobs/jobs/3138889/sr-product-manager-technical-deal-tooling--insights-strategic-customer-engagements?cmpid=DA_INAD200785B", "https://www.amazon.jobs/jobs/3138889/sr-product-manager-technical-deal-tooling--insights-strategic-customer-engagements?cmpid=DA_INAD200785B")</f>
        <v/>
      </c>
      <c r="G64" t="inlineStr">
        <is>
          <t>Austin, TX, US</t>
        </is>
      </c>
      <c r="H64" s="2" t="n">
        <v>45994</v>
      </c>
      <c r="I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5">
      <c r="A65" t="inlineStr">
        <is>
          <t>in-c2d63f9164be960f</t>
        </is>
      </c>
      <c r="B65" t="inlineStr">
        <is>
          <t>Sr. Product Manager Technical, Deal Tooling &amp; Insights, Strategic Customer Engagements</t>
        </is>
      </c>
      <c r="C65" t="inlineStr">
        <is>
          <t>Amazon Web Services</t>
        </is>
      </c>
      <c r="D65" t="inlineStr">
        <is>
          <t>indeed</t>
        </is>
      </c>
      <c r="E65">
        <f>HYPERLINK("https://www.indeed.com/viewjob?jk=c2d63f9164be960f", "https://www.indeed.com/viewjob?jk=c2d63f9164be960f")</f>
        <v/>
      </c>
      <c r="F65">
        <f>HYPERLINK("https://www.amazon.jobs/jobs/3138889/sr-product-manager-technical-deal-tooling--insights-strategic-customer-engagements?cmpid=DA_INAD200785B", "https://www.amazon.jobs/jobs/3138889/sr-product-manager-technical-deal-tooling--insights-strategic-customer-engagements?cmpid=DA_INAD200785B")</f>
        <v/>
      </c>
      <c r="G65" t="inlineStr">
        <is>
          <t>Herndon, VA, US</t>
        </is>
      </c>
      <c r="H65" s="2" t="n">
        <v>45994</v>
      </c>
      <c r="I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6">
      <c r="A66" t="inlineStr">
        <is>
          <t>in-5804001decdfc75a</t>
        </is>
      </c>
      <c r="B66" t="inlineStr">
        <is>
          <t>Principal Product Manager - Technical, Alexa Communications</t>
        </is>
      </c>
      <c r="C66" t="inlineStr">
        <is>
          <t>Amazon.com</t>
        </is>
      </c>
      <c r="D66" t="inlineStr">
        <is>
          <t>indeed</t>
        </is>
      </c>
      <c r="E66">
        <f>HYPERLINK("https://www.indeed.com/viewjob?jk=5804001decdfc75a", "https://www.indeed.com/viewjob?jk=5804001decdfc75a")</f>
        <v/>
      </c>
      <c r="F66">
        <f>HYPERLINK("https://www.amazon.jobs/jobs/3137022/principal-product-manager--technical-alexa-communications?cmpid=DA_INAD200785B", "https://www.amazon.jobs/jobs/3137022/principal-product-manager--technical-alexa-communications?cmpid=DA_INAD200785B")</f>
        <v/>
      </c>
      <c r="G66" t="inlineStr">
        <is>
          <t>Irvine, CA, US</t>
        </is>
      </c>
      <c r="H66" s="2" t="n">
        <v>45993</v>
      </c>
      <c r="I6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in-7ae916283de15e81</t>
        </is>
      </c>
      <c r="B67" t="inlineStr">
        <is>
          <t>Principal Product Manager - Technical, Alexa Communications</t>
        </is>
      </c>
      <c r="C67" t="inlineStr">
        <is>
          <t>Amazon.com</t>
        </is>
      </c>
      <c r="D67" t="inlineStr">
        <is>
          <t>indeed</t>
        </is>
      </c>
      <c r="E67">
        <f>HYPERLINK("https://www.indeed.com/viewjob?jk=7ae916283de15e81", "https://www.indeed.com/viewjob?jk=7ae916283de15e81")</f>
        <v/>
      </c>
      <c r="F67">
        <f>HYPERLINK("https://www.amazon.jobs/jobs/3137022/principal-product-manager--technical-alexa-communications?cmpid=DA_INAD200785B", "https://www.amazon.jobs/jobs/3137022/principal-product-manager--technical-alexa-communications?cmpid=DA_INAD200785B")</f>
        <v/>
      </c>
      <c r="G67" t="inlineStr">
        <is>
          <t>Seattle, WA, US</t>
        </is>
      </c>
      <c r="H67" s="2" t="n">
        <v>45993</v>
      </c>
      <c r="I6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in-d80a75e1700d6f6e</t>
        </is>
      </c>
      <c r="B68" t="inlineStr">
        <is>
          <t>Principal Product Manager - Technical, Alexa Communications</t>
        </is>
      </c>
      <c r="C68" t="inlineStr">
        <is>
          <t>Amazon.com</t>
        </is>
      </c>
      <c r="D68" t="inlineStr">
        <is>
          <t>indeed</t>
        </is>
      </c>
      <c r="E68">
        <f>HYPERLINK("https://www.indeed.com/viewjob?jk=d80a75e1700d6f6e", "https://www.indeed.com/viewjob?jk=d80a75e1700d6f6e")</f>
        <v/>
      </c>
      <c r="F68">
        <f>HYPERLINK("https://www.amazon.jobs/jobs/3137022/principal-product-manager--technical-alexa-communications?cmpid=DA_INAD200785B", "https://www.amazon.jobs/jobs/3137022/principal-product-manager--technical-alexa-communications?cmpid=DA_INAD200785B")</f>
        <v/>
      </c>
      <c r="G68" t="inlineStr">
        <is>
          <t>Sunnyvale, CA, US</t>
        </is>
      </c>
      <c r="H68" s="2" t="n">
        <v>45993</v>
      </c>
      <c r="I6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in-bb03107451b0c558</t>
        </is>
      </c>
      <c r="B69" t="inlineStr">
        <is>
          <t>Senior Product Manager - Technical, Alexa Communications</t>
        </is>
      </c>
      <c r="C69" t="inlineStr">
        <is>
          <t>Amazon.com</t>
        </is>
      </c>
      <c r="D69" t="inlineStr">
        <is>
          <t>indeed</t>
        </is>
      </c>
      <c r="E69">
        <f>HYPERLINK("https://www.indeed.com/viewjob?jk=bb03107451b0c558", "https://www.indeed.com/viewjob?jk=bb03107451b0c558")</f>
        <v/>
      </c>
      <c r="F69">
        <f>HYPERLINK("https://www.amazon.jobs/jobs/3034220/senior-product-manager--technical-alexa-communications?cmpid=DA_INAD200785B", "https://www.amazon.jobs/jobs/3034220/senior-product-manager--technical-alexa-communications?cmpid=DA_INAD200785B")</f>
        <v/>
      </c>
      <c r="G69" t="inlineStr">
        <is>
          <t>Sunnyvale, CA, US</t>
        </is>
      </c>
      <c r="H69" s="2" t="n">
        <v>45851</v>
      </c>
      <c r="I6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in-f6b7034455257d0d</t>
        </is>
      </c>
      <c r="B70" t="inlineStr">
        <is>
          <t>Senior Product Manager - Technical, Alexa Communications</t>
        </is>
      </c>
      <c r="C70" t="inlineStr">
        <is>
          <t>Amazon.com</t>
        </is>
      </c>
      <c r="D70" t="inlineStr">
        <is>
          <t>indeed</t>
        </is>
      </c>
      <c r="E70">
        <f>HYPERLINK("https://www.indeed.com/viewjob?jk=f6b7034455257d0d", "https://www.indeed.com/viewjob?jk=f6b7034455257d0d")</f>
        <v/>
      </c>
      <c r="F70">
        <f>HYPERLINK("https://www.amazon.jobs/jobs/3034220/senior-product-manager--technical-alexa-communications?cmpid=DA_INAD200785B", "https://www.amazon.jobs/jobs/3034220/senior-product-manager--technical-alexa-communications?cmpid=DA_INAD200785B")</f>
        <v/>
      </c>
      <c r="G70" t="inlineStr">
        <is>
          <t>Seattle, WA, US</t>
        </is>
      </c>
      <c r="H70" s="2" t="n">
        <v>45851</v>
      </c>
      <c r="I7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in-df3ed8c8c3aefe6e</t>
        </is>
      </c>
      <c r="B71" t="inlineStr">
        <is>
          <t>Principal Product Manager</t>
        </is>
      </c>
      <c r="C71" t="inlineStr">
        <is>
          <t>Oracle</t>
        </is>
      </c>
      <c r="D71" t="inlineStr">
        <is>
          <t>indeed</t>
        </is>
      </c>
      <c r="E71">
        <f>HYPERLINK("https://www.indeed.com/viewjob?jk=df3ed8c8c3aefe6e", "https://www.indeed.com/viewjob?jk=df3ed8c8c3aefe6e")</f>
        <v/>
      </c>
      <c r="F71">
        <f>HYPERLINK("https://eeho.fa.us2.oraclecloud.com/hcmUI/CandidateExperience/en/sites/CX_1/job/322274", "https://eeho.fa.us2.oraclecloud.com/hcmUI/CandidateExperience/en/sites/CX_1/job/322274")</f>
        <v/>
      </c>
      <c r="G71" t="inlineStr">
        <is>
          <t>Austin, TX, US</t>
        </is>
      </c>
      <c r="H71" s="2" t="n">
        <v>46034</v>
      </c>
      <c r="I71" t="inlineStr">
        <is>
          <t>In this role you will work with a set of ML engineers, Developers, cross functional marketing and partnership teams to launch new product MVP and iterate quickly to find a product market fit. You will be a vocal advocate for our customers within and outside OCI, defining requirements, making feature prioritization trade\-offs, collaborating with engineering teams. This role will be visible at the highest levels of the company and requires coordination across many internal and external teams and regular presentations to leadership teams. Good writing skills, and a good understanding of Generative AI landscape, current trends in the market and basic understanding of GPU compute and cloud computing is helpful.  
Who we’re looking for: an experienced PM leader with a proven ability to operate effectively at a strategic and tactical level; a self\-starter with bias to action who can lead new, highly visible projects with full autonomy. You will have a solid technical background – either gained through formal education or experience – and superlative communication skills. You will also have a demonstrable history of product development in the distributed systems and cloud technology domains. Past experience working with containers, Kubernetes, applied Gen AI applications, cloud computing and GPUs will help excel.
**What you'll do**
Identify feature gaps and innovation opportunities by establishing by understating current sales process. Friction to scaled adoption of OCI offerings and working with customers.
Put ideas on the paper, present to leadership teams to take the product to market and find a product\-market\-fit.
Define the vision, strategy and roadmap for existing offerings from OCI AI Incubations portfolio of products,
Work with partners managing partner relationships, growing adoption of partner offerings in OCI.
Manage the product feature backlog and drive the technical teams to quality execution of deliverables.  
Evangelize our product by building a GTM strategy and working with Marketing, Architects, and field teams are set up for success.  
**What you'll bring**
6\+ years in product management with at least 2\+ years of PM experience in cloud computing
Experience with full product lifecycle, from conception to go\-to\-market
Bachelor’s degree in computer science, engineering, analytics, mathematics, or statistics
4\+ years of experience working with engineering teams (technical product or program management or software engineering)  
**Preferred Qualifications**
Hands\-on experience with containers, Kubernetes, and basic experience with Generative AI applications.
Master's degree in computer science, information systems or business</t>
        </is>
      </c>
    </row>
    <row r="72">
      <c r="A72" t="inlineStr">
        <is>
          <t>in-a1c660ce21bfd375</t>
        </is>
      </c>
      <c r="B72" t="inlineStr">
        <is>
          <t>Principal Product Manager - Tech, Recommender Systems, Prime Video Personalization &amp; Discovery</t>
        </is>
      </c>
      <c r="C72" t="inlineStr">
        <is>
          <t>Amazon.com</t>
        </is>
      </c>
      <c r="D72" t="inlineStr">
        <is>
          <t>indeed</t>
        </is>
      </c>
      <c r="E72">
        <f>HYPERLINK("https://www.indeed.com/viewjob?jk=a1c660ce21bfd375", "https://www.indeed.com/viewjob?jk=a1c660ce21bfd375")</f>
        <v/>
      </c>
      <c r="F72">
        <f>HYPERLINK("https://www.amazon.jobs/jobs/2956622/principal-product-manager--tech-recommender-systems-prime-video-personalization--discovery-?cmpid=DA_INAD200785B", "https://www.amazon.jobs/jobs/2956622/principal-product-manager--tech-recommender-systems-prime-video-personalization--discovery-?cmpid=DA_INAD200785B")</f>
        <v/>
      </c>
      <c r="G72" t="inlineStr">
        <is>
          <t>Washington, DC, US</t>
        </is>
      </c>
      <c r="H72" s="2" t="n">
        <v>45753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in-5a807606dba9dd92</t>
        </is>
      </c>
      <c r="B73" t="inlineStr">
        <is>
          <t>Principal Product Manager - Tech, Recommender Systems, Prime Video Personalization &amp; Discovery</t>
        </is>
      </c>
      <c r="C73" t="inlineStr">
        <is>
          <t>Amazon.com</t>
        </is>
      </c>
      <c r="D73" t="inlineStr">
        <is>
          <t>indeed</t>
        </is>
      </c>
      <c r="E73">
        <f>HYPERLINK("https://www.indeed.com/viewjob?jk=5a807606dba9dd92", "https://www.indeed.com/viewjob?jk=5a807606dba9dd92")</f>
        <v/>
      </c>
      <c r="F73">
        <f>HYPERLINK("https://www.amazon.jobs/jobs/2956622/principal-product-manager--tech-recommender-systems-prime-video-personalization--discovery-?cmpid=DA_INAD200785B", "https://www.amazon.jobs/jobs/2956622/principal-product-manager--tech-recommender-systems-prime-video-personalization--discovery-?cmpid=DA_INAD200785B")</f>
        <v/>
      </c>
      <c r="G73" t="inlineStr">
        <is>
          <t>Seattle, WA, US</t>
        </is>
      </c>
      <c r="H73" s="2" t="n">
        <v>45753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li-4362421825</t>
        </is>
      </c>
      <c r="B2" t="inlineStr">
        <is>
          <t>Product Manager (Remote W2)</t>
        </is>
      </c>
      <c r="C2" t="inlineStr">
        <is>
          <t>Neighborhoods.com</t>
        </is>
      </c>
      <c r="D2" t="inlineStr">
        <is>
          <t>linkedin</t>
        </is>
      </c>
      <c r="E2">
        <f>HYPERLINK("https://www.linkedin.com/jobs/view/4362421825", "https://www.linkedin.com/jobs/view/4362421825")</f>
        <v/>
      </c>
      <c r="F2" t="inlineStr"/>
      <c r="G2" t="inlineStr"/>
      <c r="H2" t="inlineStr"/>
      <c r="I2" t="inlineStr">
        <is>
          <t>Neighborhoods.com is seeking a Product Manager to own the strategy and implementation of our products to drive company growth.
 In this role, you will be a hands\-on Product Manager who can understand the company’s strategy and translate that into product changes that will contribute to the growth and scalability of our organization. To fulfill the necessary responsibilities of the position, you must have helped an organization create and/or scale their web apps.
 Neighborhoods.com is a growth\-stage company, so you will have the ability to solve problems with fresh outside\-the\-box thinking and use your grit to improve and iterate when you run into roadblocks. You will work closely with your stakeholders in departments across the company, including product, sales, finance, marketing, people operations, and customer engagement.
 This role and all interviews will be 100% remote. We are interested in every qualified candidate who is eligible to work in the United States. However, we are not able to sponsor visas.
**Within three months, you will:**
* Establish rapport with your colleagues and the leadership team via daily and weekly Zoom meetings
* Collaborate with engineering and product team members, including development, quality assurance, user experience research, and more.
* Create a roadmap of initiatives that will help drive an exceptional user experience (internal and external).
* Drive KPIs which contribute to the growth of the organization.
* Deliver work that is production\-ready and meets or exceeds expectations.
**Within one year, you will:**
* Establish, implement, and iterate on a well\-refined product roadmap that seamlessly interfaces with critical stakeholders in the organization.
* Establish yourself as a product management strategist and owner for our web apps.
**Requirements to do the job:**
* A Bachelor’s degree or equivalent experience in an enterprise environment.
* 3\+ years in a Product Management role at an enterprise\-level Lead Generation or eCommerce organization.
* A strong understanding of how user experience is tied to company KPIs and decision making.
* Experience in business analysis, fact finding interviews, and synthesizing insights into a product roadmap that solves business problems.
* History of solving business problems with technology, tools, and systems.
* Collaborative approach by default.
**Our ideal candidate will have:**
* Comfort with ambiguity
* A willingness to push through imperfect data
* A preference for collaboration over isolation
**Salary Range**
 $100k\-$120k per year, Full\-Time, Exempt W\-2 position
**Why Neighborhoods.com?**
 Neighborhoods.com is the parent company of 55places.com and its product namesake: neighborhoods.com. Together, our specialized online real estate marketplaces make a difference in the way people buy and sell their home.
**Perks \&amp; Benefits**
* Medical, Dental, Vision, LTD, STD, and Life insurance, with generous company premium contributions for you and your family.
* Work 100% remote, with a one\-time home office setup reimbursement.
* Paid parental leave.
* Donation matching program.
* Transparent and approachable leadership and management.
* You will help people on the journey to making one of the single most significant decisions of their life!
 Neighborhoods.com is an equal opportunity employer of people from different backgrounds, ethnicities, races, colors, religions, sexual orientations, gender identities, and ages. We strive to foster an inclusive environment that is comfortable for everyone. We will not tolerate harassment or discrimination of any kind.
 We encourage candidates from marginalized or underrepresented communities to apply, as we value the unique insight and experiences you bring to the table. Like many companies, we still have work to do in creating a diverse and equitable workplace. We are actively working toward this goal through policies and training that foster a workplace where everyone has the same opportunities to contribute and be successful. If you have any questions about whether or not you should apply or whether your work experience matches a particular requirement, please reach out to us at careers@neighborhoods.com.
 Have a question not answered here? Check out our Application FAQ at: neighborhoods.com/careers/application\-faq.</t>
        </is>
      </c>
    </row>
    <row r="3">
      <c r="A3" t="inlineStr">
        <is>
          <t>li-4355180108</t>
        </is>
      </c>
      <c r="B3" t="inlineStr">
        <is>
          <t>Senior Product Manager - API/AI</t>
        </is>
      </c>
      <c r="C3" t="inlineStr">
        <is>
          <t>Zearch</t>
        </is>
      </c>
      <c r="D3" t="inlineStr">
        <is>
          <t>linkedin</t>
        </is>
      </c>
      <c r="E3">
        <f>HYPERLINK("https://www.linkedin.com/jobs/view/4355180108", "https://www.linkedin.com/jobs/view/4355180108")</f>
        <v/>
      </c>
      <c r="F3" t="inlineStr"/>
      <c r="G3" t="inlineStr">
        <is>
          <t>New York, NY</t>
        </is>
      </c>
      <c r="H3" t="inlineStr"/>
      <c r="I3" t="inlineStr">
        <is>
          <t>At Zearch we are delighted to be partnering with one of the fastest\-growing AI unicorns in the world.
 We are assisting in the search for their next Product Manager to lead the direction, expansion, and impact of their advanced AI platform and API offerings.
 The company is a global pioneer in AI\-driven products, empowering developers and enterprises to embed sophisticated AI functionality into their applications at scale. This role offers the chance to help shape the future of AI products that support real\-world use cases and influence how technology is experienced by millions worldwide.
 The Role
 As Product Manager for the API domain, you will take end\-to\-end ownership of the platform’s programmatic interfaces. Working closely with engineering, data science, and cross\-functional partners, you will define priorities and deliver high\-quality APIs that enable seamless AI integration for developers. This position plays a key role in scaling the AI platform and maximizing its value for customers.
 Responsibilities:
* Set the vision, strategy, and roadmap for the AI Platform APIs in line with company goals.
* Convert customer, developer, and business needs into clear product requirements and execution plans.
* Define and track success metrics to evaluate API usage, adoption, and overall impact.
* Discover and drive new product and feature opportunities using platform data and AI capabilities.
* Partner with engineering, design, and other teams to deliver reliable, high\-quality solutions.
* Own the full product lifecycle, from discovery and experimentation through launch and ongoing optimization.
* Clearly communicate product direction, insights, and outcomes to internal teams and external stakeholders.
 Qualifications:
* 3\+ years of experience in product management for technology\-driven products, preferably APIs or developer\-focused tools.
* Solid technical background, such as education in computer science, hands\-on development experience, or prior ownership of API products.
* Demonstrated success in shaping and executing product strategy informed by data and user insights.
* Experience building and scaling products with a global user base.
* Strong communication and storytelling skills, comfort with data\-driven decisions, and a highly collaborative approach.
 What’s on Offer:
* The opportunity to contribute to a globally used AI platform within a rapidly scaling, high\-impact organization.
* A diverse, international team environment that values collaboration and inclusion.
* Ongoing learning and professional growth supported by dedicated development resources.
* Competitive compensation, including equity.
 This role is well suited to someone excited by AI, developer platforms, and building scalable API products with real\-world impact. The company champions curiosity, creativity, and diversity, providing an environment where individuals can meaningfully shape the future of AI technology.</t>
        </is>
      </c>
    </row>
    <row r="4">
      <c r="A4" t="inlineStr">
        <is>
          <t>li-4354952974</t>
        </is>
      </c>
      <c r="B4" t="inlineStr">
        <is>
          <t>Sr Product Manager</t>
        </is>
      </c>
      <c r="C4" t="inlineStr">
        <is>
          <t>Disney Experiences</t>
        </is>
      </c>
      <c r="D4" t="inlineStr">
        <is>
          <t>linkedin</t>
        </is>
      </c>
      <c r="E4">
        <f>HYPERLINK("https://www.linkedin.com/jobs/view/4354952974", "https://www.linkedin.com/jobs/view/4354952974")</f>
        <v/>
      </c>
      <c r="F4">
        <f>HYPERLINK("https://www.disneycareers.com/job/-/-/391/90554366912&amp;urlHash=mZAb", "https://www.disneycareers.com/job/-/-/391/90554366912&amp;urlHash=mZAb")</f>
        <v/>
      </c>
      <c r="G4" t="inlineStr">
        <is>
          <t>Celebration, FL</t>
        </is>
      </c>
      <c r="H4" t="inlineStr"/>
      <c r="I4" t="inlineStr">
        <is>
          <t>Job Summary:
 At Disney Experiences Technology, we design and deliver more than 400 digital and physical products that bring Disney stories to life in unexpected ways. From theme parks and resorts to cruise ships and beyond, our global team of technologists, designers, and innovators creates seamless, immersive experiences that delight millions of Guests and Cast Members around the world.
 The Disney Signature Experiences and Data team delivers innovative technology solutions across Disney Cruise Line, Disney Vacation Club, and our global tour businesses. We support Guest and Crew experiences at sea, enable commercial growth through digital platforms, and lead the segment’s data strategy. With a strong focus on reliability, scalability, and strategic expansion, we build the systems that support immersive experiences and unlock new opportunities for growth.
 Disney Cruise Line – This role is on the Disney Cruise Line team, which delivers shipboard Guest and Crew systems, commercial platforms, web and app experiences, and infrastructure operations that support seamless journeys at sea.
 This Sr. Product Manager role will sit in the eCommerce \&amp; Reservation Management technology and digital segment of the Disney Cruise Line business. Reporting to the Sr. Manager of Product Management, the Sr. Product Manager will drive product strategy, concept development, and delivery of initiatives within the Cruise Shopping experience in collaboration with our Product Management, Technology, and Business Operation team partners.
 Key Responsibilities
* Contribute to the development of the product vision, strategy, and outcome\-based roadmaps for the commercial portfolio
* Define product strategy and present vision and strategic plans to executive leadership throughout the product lifecycle
* Collaborate cross\-functionally with technology and business leaders to establish commercial strategies that leverage technology to drive business growth
* Lead external vendor teams and internal squads to deliver high\-quality products on time and within scope
* Translate product concepts into actionable deliverables including user stories, epics, and detailed requirements and manage through backlog refinement, prioritization, and user acceptance testing
* Attend daily scrums, drive priority decisions, and resolve roadblocks to ensure smooth product rollouts
* Negotiate through blockers and influence decisions across technology and business teams
* Be data informed by using qualitative and quantitative research, analytics, documentation, and testing
* Stay informed on marketing technology trends and emerging technologies to inform product strategy
* Provide regular product and scorecard updates to business and technology leadership.
* Support ongoing documentation, reporting, and coordination of feature launches and enhancements
 It is key for this role to understand how to use product management models and technology to create an exceptional guest experience, support the growth in business operations, and optimize Cast processes in a financially constrained and rapidly changing environment.
**Basic Qualifications**
* Minimum of 5\+ years of product management experience with building and delivering quality solutions in a digital or eCommerce environment and/or customer self\-service/enablement environment.
* Bachelor’s degree in a relevant field preferred and/or equivalent work experience.
* Experience and comfort solving problems in an ambiguous environment where there is regular change. Have the tenacity to thrive in a dynamic and fast\-paced environment, inspire change, and collaborate with a variety of individuals and organizational partners.
* Ability to work within a diverse and cross\-functional teams in a meaningful way to produce quality results. Excellent communication and negotiation skills and proven experience driving alignment across multiple stakeholders.
* Deep commitment to curiosity \- conducting research, gathering metrics, proactively identifying \&amp; addressing issues or opportunities during requirements gathering processes.
* Understanding of the latest product management frameworks and theories and how to apply them to create impactful experiences.
* Experience writing user stories, writing requirements, and managing backlogs in tools like JIRA or Confluence.
* Planning acumen and proven ability to break down work and define an MVP, as well as subsequent iterations. Proficient skills in scope intake, requirements documentation,
* Excellent presentation skills and clear, logical communication style so you can represent our product strategy and roadmap to engineering, business, and product leadership. Partner with key stakeholders to build relationships and manage scope expectations.
**Preferred Qualifications**
* Experience working in an eCommerce space and/or reservation management systems and services supporting consumer\-facing products, ideally ecommerce booking, payments/general ledger/payment reconciliation, rules logic, and availability, rate, and inventory management. Fluent in industry best practices and can identify areas for optimization and innovation.
* Strong product sense for various users and what makes compelling consumer products and delightful user experiences \- ensuring new designs and enhancements can best support use cases of internal teams, agents, and direct\-to\-consumer users.
* Passionate about the end user experience and delivering quality results.
* Familiar with A/B experimentation methods and hypothesis\-driven development. Experience in running competitive and consumer analysis.
* Experience with leveraging Content square for end user behavior and insights. Including: zone mapping, heat maps, and session replays.
* Relevant agile certifications preferred.</t>
        </is>
      </c>
    </row>
    <row r="5">
      <c r="A5" t="inlineStr">
        <is>
          <t>li-4362442005</t>
        </is>
      </c>
      <c r="B5" t="inlineStr">
        <is>
          <t>Product Owner/Product Manager</t>
        </is>
      </c>
      <c r="C5" t="inlineStr">
        <is>
          <t>Prodware Solutions</t>
        </is>
      </c>
      <c r="D5" t="inlineStr">
        <is>
          <t>linkedin</t>
        </is>
      </c>
      <c r="E5">
        <f>HYPERLINK("https://www.linkedin.com/jobs/view/4362442005", "https://www.linkedin.com/jobs/view/4362442005")</f>
        <v/>
      </c>
      <c r="F5" t="inlineStr"/>
      <c r="G5" t="inlineStr"/>
      <c r="H5" t="inlineStr"/>
      <c r="I5" t="inlineStr">
        <is>
          <t>**Job Title: Product Owner/Product Manager** 
**Location: Remote** 
**Duration: Fulltime** 
**Roles\&amp; Responsibilities:** 
 · Own product vision and strategy for P\&amp;C insurance products and platforms, translating enterprise and portfolio strategy into a clear, value\-driven product roadmap.
 · Act as the voice of the business and customer, partnering with underwriting, actuarial, compliance, and technology teams to gather insights and define well\-scoped problems, desired outcomes, and measurable success criteria.
 · Own and continuously prioritize the product backlog, authoring clear, testable user stories and acceptance criteria.
 · Define, track, and be accountable for product KPIs, work with cross functional teams to meet the goals.
 · Collaborate daily with engineering teams, architects, actuaries, and data teams to clarify requirements, remove blockers, and ensure delivery aligns with business, regulatory, and underwriting outcomes.
 · Lead quarterly planning, sprint planning, and backlog refinement with cross\-functional squads and stakeholders, setting clear expectations on scope, timelines, and dependencies.
 · Coordinate across multiple portfolios and product teams to identify existing capabilities (rating engines, underwriting services, policy administration), promote reuse, and surface capability gaps to reduce duplication.
 · Coordinate production releases by managing the deployment of code to production, ensuring timely and accurate delivery of new features to business stakeholders.
 · Partner with enterprise and solution architects to understand system impacts, data flows, and dependencies across rating, underwriting, policy systems etc.
 · Assess feasibility, cost\-of\-delay, regulatory impact, and business value for
 proposed enhancements; influence prioritization decisions using data and insurance domain knowledge.
 · Setting priorities and actively participating in team planning and scrum ceremonies
 · Working daily with the agile working group, clarifying business requirements, removing roadblocks, constantly communicating, and supporting alignment around product strategy
 · Identify the relationships, dependencies and impacts of change (highlighting options) on multiple systems and processes
 · Contribute to the project as required to develop proposals, requirements or other project documentation.
 · Elicit further requirements and test / challenge assumptions using a variety of methods including interviews, document analysis, workshops and business process descriptions
 · Contribute to the Business Solutions Team development of standards / methodology for capturing and publishing business processes, requirements and other documentation
 · Defining and documenting epics, user stories, acceptance criteria, etc. for complex solutions
 · Work effectively as part of a project team alongside the Senior Product Owner, Scrum master and delivery team
 · Ensure product features and releases comply with P\&amp;C regulatory requirements, rate\-filing constraints, auditability, data privacy, and industry standards; negotiate priorities to maintain compliance without sacrificing value.
 · Contribute to team sprint planning and set expectations for delivery of new capabilities, features, and functionalities.
 · Participate in team demos, retrospectives, and all other ceremonies.
 · Accountable for developing and achieving product level KPIs. Manages product(s) (data products) with a moderate degree of strategy, scope, and complexity.
 · Collaborate with technology and business leadership to align system/application integrations in line with business goals and priorities. Resolve open issues/questions quickly and efficiently.
 · Set expectations with stakeholders for delivery of new capabilities, features, and functionalities. Participates in team demos, retrospectives, and all other ceremonies.
 · Monitor and maintain the product health, supporting long\-term product viability and efficiency, and balancing long and short term and costs with desired outcomes.
 · Analyze and report on feasibility, cost of delay ramifications, economies, or other aspects of planned or potential changes to the product.
**Required Experience:** 
 · Bachelor's degree in Computer Science, Business Administration, or related field; Master's degree preferred.
 · Considerable relevant industry or functional experience in P\&amp;C insurance
 · Proven experience (5\+ years) as a Product Owner, Product Manager, or similar role
 · Strong understanding of Agile methodologies, including Scrum and Kanban, and experience working in Agile environments.
 · Technical fluency to partner effectively with architects and engineers (systems thinking, dependencies, integration points).
 · Excellent analytical, problem\-solving, and decision\-making skills, with the ability to prioritize competing demands effectively.
 · Exceptional communication, negotiation, and interpersonal skills, with the ability to influence and collaborate across teams.
 · Strong Presentation and leadership skills
 · Experience with product management tools such as JIRA, Trello, or Asana, and proficiency in Microsoft Office Suite.
 · Agile practitioner capabilities and experience working with or in Agile teams
 · Strong team\-work, co\-ordination, organization and planning skills
 · Ability to capture complex requirements in a prioritized backlog</t>
        </is>
      </c>
    </row>
    <row r="6">
      <c r="A6" t="inlineStr">
        <is>
          <t>li-4355071877</t>
        </is>
      </c>
      <c r="B6" t="inlineStr">
        <is>
          <t>Sr Product Manager</t>
        </is>
      </c>
      <c r="C6" t="inlineStr">
        <is>
          <t>The Walt Disney Company</t>
        </is>
      </c>
      <c r="D6" t="inlineStr">
        <is>
          <t>linkedin</t>
        </is>
      </c>
      <c r="E6">
        <f>HYPERLINK("https://www.linkedin.com/jobs/view/4355071877", "https://www.linkedin.com/jobs/view/4355071877")</f>
        <v/>
      </c>
      <c r="F6">
        <f>HYPERLINK("https://www.disneycareers.com/job/-/-/391/90554366912?source=LINKEDIN_JOB_SLOTS&amp;urlHash=hLmb", "https://www.disneycareers.com/job/-/-/391/90554366912?source=LINKEDIN_JOB_SLOTS&amp;urlHash=hLmb")</f>
        <v/>
      </c>
      <c r="G6" t="inlineStr">
        <is>
          <t>Celebration, FL</t>
        </is>
      </c>
      <c r="H6" t="inlineStr"/>
      <c r="I6" t="inlineStr">
        <is>
          <t>**Job Summary**
 At Disney Experiences Technology, we design and deliver more than 400 digital and physical products that bring Disney stories to life in unexpected ways. From theme parks and resorts to cruise ships and beyond, our global team of technologists, designers, and innovators creates seamless, immersive experiences that delight millions of Guests and Cast Members around the world.
 The Disney Signature Experiences and Data team delivers innovative technology solutions across Disney Cruise Line, Disney Vacation Club, and our global tour businesses. We support Guest and Crew experiences at sea, enable commercial growth through digital platforms, and lead the segment’s data strategy. With a strong focus on reliability, scalability, and strategic expansion, we build the systems that support immersive experiences and unlock new opportunities for growth.
 Disney Cruise Line – This role is on the Disney Cruise Line team, which delivers shipboard Guest and Crew systems, commercial platforms, web and app experiences, and infrastructure operations that support seamless journeys at sea.
 This Sr. Product Manager role will sit in the eCommerce \&amp; Reservation Management technology and digital segment of the Disney Cruise Line business. Reporting to the Sr. Manager of Product Management, the Sr. Product Manager will drive product strategy, concept development, and delivery of initiatives within the Cruise Shopping experience in collaboration with our Product Management, Technology, and Business Operation team partners.
 Key Responsibilities
* Contribute to the development of the product vision, strategy, and outcome\-based roadmaps for the commercial portfolio
* Define product strategy and present vision and strategic plans to executive leadership throughout the product lifecycle
* Collaborate cross\-functionally with technology and business leaders to establish commercial strategies that leverage technology to drive business growth
* Lead external vendor teams and internal squads to deliver high\-quality products on time and within scope
* Translate product concepts into actionable deliverables including user stories, epics, and detailed requirements and manage through backlog refinement, prioritization, and user acceptance testing
* Attend daily scrums, drive priority decisions, and resolve roadblocks to ensure smooth product rollouts
* Negotiate through blockers and influence decisions across technology and business teams
* Be data informed by using qualitative and quantitative research, analytics, documentation, and testing
* Stay informed on marketing technology trends and emerging technologies to inform product strategy
* Provide regular product and scorecard updates to business and technology leadership.
* Support ongoing documentation, reporting, and coordination of feature launches and enhancements
 It is key for this role to understand how to use product management models and technology to create an exceptional guest experience, support the growth in business operations, and optimize Cast processes in a financially constrained and rapidly changing environment.
**Basic Qualifications**
* Minimum of 5\+ years of product management experience with building and delivering quality solutions in a digital or eCommerce environment and/or customer self\-service/enablement environment.
* Bachelor’s degree in a relevant field preferred and/or equivalent work experience.
* Experience and comfort solving problems in an ambiguous environment where there is regular change. Have the tenacity to thrive in a dynamic and fast\-paced environment, inspire change, and collaborate with a variety of individuals and organizational partners.
* Ability to work within a diverse and cross\-functional teams in a meaningful way to produce quality results. Excellent communication and negotiation skills and proven experience driving alignment across multiple stakeholders.
* Deep commitment to curiosity \- conducting research, gathering metrics, proactively identifying \&amp; addressing issues or opportunities during requirements gathering processes.
* Understanding of the latest product management frameworks and theories and how to apply them to create impactful experiences.
* Experience writing user stories, writing requirements, and managing backlogs in tools like JIRA or Confluence.
* Planning acumen and proven ability to break down work and define an MVP, as well as subsequent iterations. Proficient skills in scope intake, requirements documentation,
* Excellent presentation skills and clear, logical communication style so you can represent our product strategy and roadmap to engineering, business, and product leadership. Partner with key stakeholders to build relationships and manage scope expectations.
**Preferred Qualifications**
* Experience working in an eCommerce space and/or reservation management systems and services supporting consumer\-facing products, ideally ecommerce booking, payments/general ledger/payment reconciliation, rules logic, and availability, rate, and inventory management. Fluent in industry best practices and can identify areas for optimization and innovation.
* Strong product sense for various users and what makes compelling consumer products and delightful user experiences \- ensuring new designs and enhancements can best support use cases of internal teams, agents, and direct\-to\-consumer users.
* Passionate about the end user experience and delivering quality results.
* Familiar with A/B experimentation methods and hypothesis\-driven development. Experience in running competitive and consumer analysis.
* Experience with leveraging Content square for end user behavior and insights. Including: zone mapping, heat maps, and session replays.
* Relevant agile certifications preferred.</t>
        </is>
      </c>
    </row>
    <row r="7">
      <c r="A7" t="inlineStr">
        <is>
          <t>li-4361666497</t>
        </is>
      </c>
      <c r="B7" t="inlineStr">
        <is>
          <t>Principal Product Manager</t>
        </is>
      </c>
      <c r="C7" t="inlineStr">
        <is>
          <t>Strativ Group</t>
        </is>
      </c>
      <c r="D7" t="inlineStr">
        <is>
          <t>linkedin</t>
        </is>
      </c>
      <c r="E7">
        <f>HYPERLINK("https://www.linkedin.com/jobs/view/4361666497", "https://www.linkedin.com/jobs/view/4361666497")</f>
        <v/>
      </c>
      <c r="F7" t="inlineStr"/>
      <c r="G7" t="inlineStr"/>
      <c r="H7" t="inlineStr"/>
      <c r="I7" t="inlineStr">
        <is>
          <t>💼Principal Product Manager – Clinical Documentation AI
 📍 US Remote
 💰 Comp: $250k\-$275k base \+ Equity
 💸\&gt;$300m Funding
 Our client is a rapidly growing leader in AI\-powered clinical documentation and revenue cycle solutions, transforming how health systems capture and communicate the patient clinical journey. Backed by top investors, they've seen explosive growth and partner with prestigious health systems like Cleveland Clinic and Johns Hopkins.
 They are seeking a Principal PM to own one of their flagship clinical documentation and medical coding products. This role will collaborate cross\-functionally with engineering, machine learning, design, finance, and go\-to\-market teams to develop and deliver AI\-native products that improve physician documentation quality, identify missing diagnoses, and ensure financial integrity across health systems.
 Key Responsibilities:
* Define product strategy and roadmap for clinical documentation tools
* Lead cross\-functional teams to execute on new product ideas and scale offerings
* Collaborate with customers, design partners, and internal experts to ensure real\-world impact
* Present product vision and progress to executive leadership and partners
 Candidate Profile:
* 5\+ years of product management experience in software or startups, preferably with AI, healthcare, or revenue cycle focus
* Strong communicator, strategic thinker, and able to manage ambiguity
* Demonstrated ability to work collaboratively with technical teams and external stakeholders
* Entrepreneurial mindset with urgency, grit, and professionalism
 Our client has a benefits package that benchmarks well above a company of their size
 This is a unique opportunity to join a high\-impact, best\-in\-class AI healthcare company and drive innovation in one of the most critical areas of health system operations.
 \*\*\* To be considered for this role candidates must include examples of them spearheading a 0\-1 product launch and the revenue generated from this product. Please include in your resume or email\*\*\*
 Please apply above or contact a.benhsain@strativgroup.com to learn more. \*\*Please note due to high volume of applicants there may be a delay in response and/or inability to provide in\-depth feedback\*\*</t>
        </is>
      </c>
    </row>
    <row r="8">
      <c r="A8" t="inlineStr">
        <is>
          <t>li-4354953621</t>
        </is>
      </c>
      <c r="B8" t="inlineStr">
        <is>
          <t>Product Manager</t>
        </is>
      </c>
      <c r="C8" t="inlineStr">
        <is>
          <t>Robert Half</t>
        </is>
      </c>
      <c r="D8" t="inlineStr">
        <is>
          <t>linkedin</t>
        </is>
      </c>
      <c r="E8">
        <f>HYPERLINK("https://www.linkedin.com/jobs/view/4354953621", "https://www.linkedin.com/jobs/view/4354953621")</f>
        <v/>
      </c>
      <c r="F8" t="inlineStr"/>
      <c r="G8" t="inlineStr">
        <is>
          <t>Los Angeles, CA</t>
        </is>
      </c>
      <c r="H8" t="inlineStr"/>
      <c r="I8" t="inlineStr">
        <is>
          <t>Product Lead – Web \&amp; Mobile Platforms
 Location: Sherman Oaks, Los Angeles, CA (On\-site)
 Compensation: Up to $165,000 base salary (DOE)
 About the Role
 We are seeking an experienced Product Lead to own the strategy, development, and optimization of high\-impact web and mobile platforms used by millions of users. This role will define product vision, shape intuitive and engaging user experiences, and partner closely with Engineering, Design, Data, and Content teams to deliver scalable, mission\-driven digital products.
 This is a highly visible role requiring strong leadership, strategic thinking, and the ability to translate complex technical concepts into clear business value for senior stakeholders.
 Key Responsibilities
* Define and own the product strategy and roadmap for mobile (iOS/Android) and web platforms
* Drive end\-to\-end planning and execution of product initiatives, including milestones, releases, and dependencies
* Lead the product operating cadence across Product, Engineering, Design, Data, and Content (standups, sprint planning, retrospectives)
* Translate business goals into clear PRDs, user stories, acceptance criteria, and success metrics
* Prioritize initiatives based on user impact, technical feasibility, and strategic alignment
* Manage risks, scope, and change control to ensure on\-time, high\-quality delivery
* Coordinate QA, UAT, and release management across mobile and web platforms
* Maintain transparent stakeholder communication through dashboards, demos, and status reporting
* Partner with Data teams to analyze performance, run A/B tests, and improve user engagement, retention, and conversion
* Oversee operational excellence, including bug triage, performance monitoring, and issue resolution
* Ensure compliance with accessibility, privacy, and security standards
 Required Qualifications
* 5\+ years of Product Management experience, with a strong focus on web and mobile applications
* Hands\-on experience with JIRA, PRDs, roadmapping, and KPI dashboards
* Strong understanding of SDLC, Agile methodologies, and modern web development
* Big plus if you started your career as a web or mobile developer
* Proven experience designing and optimizing consumer user flows, including:
* Sign\-up and onboarding flows
* Subscription and paywall flows
* Exceptional communication skills, with experience presenting to and managing expectations of C\-suite and executive stakeholders
* Strategic, analytical thinker with a critical eye and the ability to think creatively and challenge assumptions
 Nice to Have
* Experience in digital media, or content platforms
* Familiarity with high\-scale consumer products and data\-driven experimentation
 Required Qualifications
* 5\+ years of Product Management experience, with a strong focus on web and mobile applications
* Hands\-on experience with JIRA, PRDs, roadmapping, and KPI dashboards
* Strong understanding of SDLC, Agile methodologies, and modern web development
* Big plus if you started your career as a web or mobile developer
* Proven experience designing and optimizing consumer user flows, including:
* Sign\-up and onboarding flows
* Subscription and paywall flows
* Exceptional communication skills, with experience presenting to and managing expectations of C\-suite and executive stakeholders
* Strategic, analytical thinker with a critical eye and the ability to think creatively and challenge assumptions
 Nice to Have
* Experience in digital media, or content platforms
* Familiarity with high\-scale consumer products and data\-driven experimentation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9">
      <c r="A9" t="inlineStr">
        <is>
          <t>li-4329150561</t>
        </is>
      </c>
      <c r="B9" t="inlineStr">
        <is>
          <t>Product Owner</t>
        </is>
      </c>
      <c r="C9" t="inlineStr">
        <is>
          <t>Boostlingo</t>
        </is>
      </c>
      <c r="D9" t="inlineStr">
        <is>
          <t>linkedin</t>
        </is>
      </c>
      <c r="E9">
        <f>HYPERLINK("https://www.linkedin.com/jobs/view/4329150561", "https://www.linkedin.com/jobs/view/4329150561")</f>
        <v/>
      </c>
      <c r="F9">
        <f>HYPERLINK("https://job-boards.greenhouse.io/boostlingo/jobs/5046169008&amp;urlHash=KHIw", "https://job-boards.greenhouse.io/boostlingo/jobs/5046169008&amp;urlHash=KHIw")</f>
        <v/>
      </c>
      <c r="G9" t="inlineStr"/>
      <c r="H9" t="inlineStr"/>
      <c r="I9" t="inlineStr">
        <is>
          <t>**ABOUT US** 
 Boostlingo is a mission\-driven, fast\-growing language technology company focused on defining and developing the next generation of interpretation technology solutions. Being at the forefront of this ground\-breaking technology enables us to connect people across the globe and break down communication barriers.
 Boostlingo’s technology innovation empowers our customers and the people they serve to communicate without barriers and increases language access for all. We offer products and tools for interpreter management, video remote Interpretation (VRI) and over the phone interpretation (OPI) delivery, interpreter scheduling, simultaneous interpretation, multilingual events, and monthly subscriptions for on\-demand interpretation.
 Headquartered in Austin, TX, our global, hybrid teams are distributed across offices in San Francisco, Austin, Copenhagen, Manila, and Ireland.
**WHAT IT MEANS TO BE A BOOSTIE** 
 At Boostlingo, we operate through the lens of our four Core Values. These Core Values drive everything we do; from how we approach identifying talent we invite to join the team, to the energy and contributions we bring to our amazing culture, to the decisions we make at both the tactical and strategic level. To be a Boostie means to embody these Core Values every day:
* **Positive Vibes** 
 : Bring positive energy and have a “solutions\-oriented” mindset
* **No Hide, Go Seek** 
 : Be accessible to colleagues, seek out what you need, ask others for help.
* **Be Bold, Stay Humble** 
 : Appreciate that every voice matters (and we want to hear yours) while remaining humble in the understanding that no one person is more important than the broader team.
* **Be Inclusive** 
 : Create and contribute to an environment where anyone can feel welcomed, supported, respected, and valued.
 Boostlingo is extremely honored to have been recognized as one of Inc. Magazine's Best Workplaces for the last three consecutive years (2022\-2025\). This esteemed recognition reflects the dedication that our incredible team has towards embodying our Core Values every day and we couldn’t be prouder of this team!
**THE OPPORTUNITY** 
 We are seeking a
 **strategic and visionary Product Owner** 
 to join our Product team at a pivotal time of growth and transformation. Reporting directly to the Chief Product Officer/ Senior Director of Product, this role will serve as a catalyst for
 **agile evolution, AI product integration, and customer\-driven innovation** 
 across our ecosystem.
 The Product Owner is responsible for managing and monitoring the product development process. Duties will include roadmap maintenance, delivery date tracking, and interfacing with the development team on behalf of the Product Managers. You will act as a bridge between strategy and execution—helping to operationalize Boostlingo’s ambitious roadmap, build alignment across teams, and guide the delivery of products that are intelligent, intuitive, and deeply customer\-focused.
 This is an opportunity to
 **drive meaningful change** 
 at the intersection of product, technology, and user experience.
**OBJECTIVES AS A PRODUCT OWNER** 
* Manage the product backlog (grooming, prioritization, and refinement), working day\-to\-day with the scrum team(s) to clarify requirements, balance business needs with technical requirements and recommend alternative approaches to meet design requirements when needed, translating the company’s strategic goals into actionable user stories and clear success metrics.
* Prepare story details ahead of refinement, ensure acceptance criteria reflect technical and business needs, and collaborate with engineering to break down work into estimable, deliverable increments.
* Serve as the primary point of contact for one or more engineering teams, ensuring work is ready for development and helping the team maintain momentum toward delivery.
* Foster collaboration and clarity, building bridges between departments to ensure unified goals, shared accountability, and transparent communication.
* Provide reliable status updates to product leadership, flag risks early, and ensure stakeholders have a clear understanding of what’s in progress, what’s blocked, and what’s coming next.
* Collaborate closely with engineering team on testing expectations, validation steps, edge cases, and release readiness.
* Work with the Senior PM to understand priority shifts, roadmap decisions, and business needs to drive backlog management and delivery oversight.
* Ensure user needs, feedback, and edge cases are incorporated into story details, acceptance criteria, and release decisions, using guidance from senior product leadership.
* Respond promptly to Support inquiries, reproduce reported issues when necessary, and help create internal documentation or support materials to clarify product behavior.
* Document requirements, workflows, release notes, and configuration details to ensure engineering and cross\-functional partners have accurate and up\-to\-date information.
**QUALIFICATIONS** 
* 4\+ years of experience as a Product Owner, Business Analyst, Junior PM, or similar role within SaaS, enterprise software, or AI\-driven technology environments.
* Strong communication skills—able to break down complex work clearly
* Demonstrated ability to work closely with engineering teams to accomplish project goals
* Experience writing requirements or user stories
* Comfortable working in fast\-paced Agile or kanban environments
* Highly organized and reliable with Excellent analytical, storytelling, and prioritization skills
* I also pulled together some notes to help with profile of the candidates
**WHAT MAKES BOOSTLINGO A GREAT COMPANY?** 
* Values and mission\-based ethos that drives our product development strategy
* Fun, energetic environment with an incredible culture (just ask about our eNPS scores!)
* Hybrid/Remote working arrangements
* Competitive compensation and robust benefits offerings, including 401(k) plan with match!
* Flexible PTO
 We are an equal opportunity employer and value diversity here at Boostlingo. Boostlingo does not discriminate on the basis of race, religion, color, national origin, gender, sexual orientation, age, marital status, veteran status, or disability status.
***This role is remote however, we can only hire in the following states at this time:***
 Arizona, California, Colorado, Florida, Georgia, Illinois, Maine, New Jersey, New York, Oregon, Pennsylvania, Tennessee and Texas.
**No Agencies Please, C2C candidates will not be utilized at this time.** 
**NO Relocation or Sponsorship are being offered for this position.**</t>
        </is>
      </c>
    </row>
    <row r="10">
      <c r="A10" t="inlineStr">
        <is>
          <t>li-4344387251</t>
        </is>
      </c>
      <c r="B10" t="inlineStr">
        <is>
          <t>Principal Product Manager</t>
        </is>
      </c>
      <c r="C10" t="inlineStr">
        <is>
          <t>Wilkins Hunter</t>
        </is>
      </c>
      <c r="D10" t="inlineStr">
        <is>
          <t>linkedin</t>
        </is>
      </c>
      <c r="E10">
        <f>HYPERLINK("https://www.linkedin.com/jobs/view/4344387251", "https://www.linkedin.com/jobs/view/4344387251")</f>
        <v/>
      </c>
      <c r="F10" t="inlineStr"/>
      <c r="G10" t="inlineStr"/>
      <c r="H10" t="inlineStr"/>
      <c r="I10" t="inlineStr">
        <is>
          <t>Help shape the future of defense technology with a global leader in
 **AI\-powered SaaS** 
 solutions, trusted worldwide and generating over
 **$1B in revenue** 
 .
 We’re seeking a
 **Lead Product Manager** 
 to drive strategy and growth of our
 **defense\-focused** 
 software portfolio. This
 **global** 
 role gives you the platform to define strategy, influence adoption, and bring transformative products to market.
 In this
 **outbound** 
 product management role, you’ll:
* Drive
 **product roadmaps** 
 and
 **business cases** 
 that unlock growth
* Engage with defense contractors and
 **DoD** 
 programs
* Represent solutions at
 **industry forums** 
 and customer meetings
* Ensure compliance with US defense
 **EVM** 
 (Earned Value Management),
 **DEFAC** 
 ,
 **Export Control** 
 , and
 **FedRAMP**
 You’ll partner with commercial and cross\-functional leaders to shape pricing, growth, and investment strategy.
 What you bring:
* Proven experience
 **building defense software products**
* Expertise in
 **product strategy, roadmaps,** 
 and
 **customer engagement** 
 (beyond IT/requirements gathering)
* Experience with
 **defense contractors** 
 or
 **DoD** 
 programs (prior military service a plus)
* Knowledge of
 **FedRAMP** 
 and government cloud compliance
* A strategic, entrepreneurial mindset with experience working in matrixed teams
 Help define the future of defense software on a global stage—driving readiness, operational excellence, and mission success.
**Salary:** 
 $180k – $240k base \+ Variable (15\-20%) \+ Comprehensive Benefits Package</t>
        </is>
      </c>
    </row>
    <row r="11">
      <c r="A11" t="inlineStr">
        <is>
          <t>li-4329460965</t>
        </is>
      </c>
      <c r="B11" t="inlineStr">
        <is>
          <t>Product Manager - Experience &amp; Optimization</t>
        </is>
      </c>
      <c r="C11" t="inlineStr">
        <is>
          <t>PERSUIT®</t>
        </is>
      </c>
      <c r="D11" t="inlineStr">
        <is>
          <t>linkedin</t>
        </is>
      </c>
      <c r="E11">
        <f>HYPERLINK("https://www.linkedin.com/jobs/view/4329460965", "https://www.linkedin.com/jobs/view/4329460965")</f>
        <v/>
      </c>
      <c r="F11" t="inlineStr"/>
      <c r="G11" t="inlineStr"/>
      <c r="H11" t="inlineStr"/>
      <c r="I11" t="inlineStr">
        <is>
          <t>**PURPOSE** 
 At PERSUIT, we're transforming how in\-house legal teams and law firms work together. As a Product Manager, you'll be responsible for shaping and delivering product capabilities, ranging from incremental enhancements to net\-new features that make our workflows simpler, faster, and more impactful.
 You'll sit at the intersection of product, design, and engineering, balancing tactical throughput (shipping improvements at pace) with strategic input into the long\-term roadmap. This role is ideal for a SaaS product manager who thrives in iterative environments, loves the craft of continuous improvement, and takes accountability for delivering measurable outcomes.
**KEY RESPONSIBILITIES** 
**PRODUCT DISCOVERY \&amp; STRATEGY** 
* Lead discovery to identify and validate customer problems through research, interviews, and data.
* Translate insights into a clear roadmap and prioritize initiatives based on impact and alignment.
* Implement and maintain product instrumentation (e.g., Pendo) to track adoption and surface opportunities.
* Contribute evidence\-backed insights into roadmap planning and domain strategy.
**CROSS FUNCTIONAL COLLABORATION** 
* Partner closely with Design and Engineering to ensure enhancements are intuitive, consistent, and technically feasible.
* Work asynchronously with distributed team members across multiple regions.
* Communicate roadmap, trade\-offs, and outcomes to stakeholders clearly and regularly.
**OWNERSHIP OF DELIVERY \&amp; OUTCOMES** 
* Manage backlog, epics, and acceptance criteria to ensure clarity for engineering teams.
* Track adoption and impact of shipped features, co\-creating success metrics with design and engineering.
* Proactively remove blockers and maintain high delivery throughput.
* Highlight improvements back to the business and clients with strong storytelling and go\-to\-market materials.
**THINGS YOU COULD BE WORKING ON** 
* Shaping and delivering new product capabilities in domains like intake, sourcing, engagement, or panel management.
* Shipping small but high\-impact optimizations that make complex workflows more seamless.
* Delivering measurable UX uplift across a workflow, tracked through adoption and client feedback.
* Implementing product analytics dashboards that democratize insights across the org.
* Partnering with stakeholders across Sales, Customer Success, and Marketing to ensure smooth go\-to\-market launches.
* Helping shape the long\-term roadmap for a domain while ensuring throughput on near\-term enhancements.
**We are looking for candidates based on the West Coast to ensure optimal alignment with teams and clients across the United States and Australia.** 
**Candidates must have current, valid work authorization in the country where the role is based. Unfortunately, we are not able to provide sponsorship for visas or work permits at this time.**
**Requirements**
**EXPERIENCE \&amp; QUALIFICATIONS** 
* 4\+ years of experience as a Product Manager (or equivalent product\-focused role).
* Proven success delivering enhancements in SaaS, ideally in B2B (B2C experience also considered).
* Demonstrated ability to collaborate cross\-functionally with engineering and design.
* Strong backlog management and prioritization skills.
* Familiarity with analytics instrumentation (e.g., Pendo, Amplitude, Mixpanel).
* Comfort engaging with APIs, data schemas, and technical documentation (not hands\-on coding).
* Experience with workflow, procurement, marketplace, or RFP platforms preferred.
**Benefits**
* Paid Time Off (Vacation, Sick \&amp; Public Holidays)
* Family Leave (Maternity, Paternity)
* Training \&amp; Development
* Wellness Resources</t>
        </is>
      </c>
    </row>
    <row r="12">
      <c r="A12" t="inlineStr">
        <is>
          <t>li-4355043395</t>
        </is>
      </c>
      <c r="B12" t="inlineStr">
        <is>
          <t>Product Manager</t>
        </is>
      </c>
      <c r="C12" t="inlineStr">
        <is>
          <t>LoanStreet Inc.</t>
        </is>
      </c>
      <c r="D12" t="inlineStr">
        <is>
          <t>linkedin</t>
        </is>
      </c>
      <c r="E12">
        <f>HYPERLINK("https://www.linkedin.com/jobs/view/4355043395", "https://www.linkedin.com/jobs/view/4355043395")</f>
        <v/>
      </c>
      <c r="F12" t="inlineStr"/>
      <c r="G12" t="inlineStr">
        <is>
          <t>New York, NY</t>
        </is>
      </c>
      <c r="H12" t="inlineStr"/>
      <c r="I12" t="inlineStr">
        <is>
          <t>**About Us:** 
 LoanStreet is a growing financial technology company that provides innovative solutions to institutional investors. We are committed to empowering our clients with cutting\-edge tools and insights to meet regulatory requirements, streamline cumbersome commercial lending services and effortlessly expand their loan participations programs. With over 1300 registered clients and emerging partnerships in Canada and the EU, LoanStreet is well positioned to become the dominant player in the industry.
**The Position:** 
 We are seeking a talented product manager to support our core loan servicing platform.
**Core Responsibilities:** 
* Gather and prioritize requirements from our clients and prospects.
* Partner with designers and engineers to define detailed product requirements, user stories and acceptance criteria.
* Complete functional testing and QA and provide product sign\-off when features are ready for a production release.
* Own product execution for assigned deliverables: defining scope, prioritizing work, driving decisions to resolution, and ensuring on\-time delivery.
* Validate and analyze features in the market to continually improve the product.
* Contribute to release notes and product documentation to support client communication.
* Collaborate closely with the Onboarding and Sales teams to ensure the product is aligned with our current projects and go\-to\-market initiatives.
* Develop deep expertise in LoanStreet's product offerings, the commercial/corporate lending market, and industry trends to anticipate emerging client needs.
* Understand LoanStreet's strategy and competitive position to ensure product capabilities are aligned. Contribute to product roadmap planning.
* Support customer\-facing teams with product expertise and escalations as needed to support existing customers.
 Candidate Profile:
* 3\-5\+ years of Product Management experience
* Demonstrated success in building client\-facing features in enterprise software.
* Strong documentation skills: translating business needs into detailed functional requirements, workflows, and use cases.
* Experience with Agile development methodologies and software development lifecycle.
* Excellent communication skills: able to convey complex business and technical concepts clearly to external clients, implementation teams, and internal stakeholders at all levels.
* Experience managing multiple concurrent priorities, operating in ambiguity and delivering on compressed timelines.
* Fintech or financial services background.
* Preferred: Commercial Lending experience especially in the Private Credit area.
* Preferred: Comfort with data\-driven decision making (including analytics tools and basic SQL) and working knowledge of APIs.</t>
        </is>
      </c>
    </row>
    <row r="13">
      <c r="A13" t="inlineStr">
        <is>
          <t>li-4329180771</t>
        </is>
      </c>
      <c r="B13" t="inlineStr">
        <is>
          <t>Principal Product Manager, Payments (B2B2C Vertical SaaS)</t>
        </is>
      </c>
      <c r="C13" t="inlineStr">
        <is>
          <t>SQUIRE</t>
        </is>
      </c>
      <c r="D13" t="inlineStr">
        <is>
          <t>linkedin</t>
        </is>
      </c>
      <c r="E13">
        <f>HYPERLINK("https://www.linkedin.com/jobs/view/4329180771", "https://www.linkedin.com/jobs/view/4329180771")</f>
        <v/>
      </c>
      <c r="F13" t="inlineStr"/>
      <c r="G13" t="inlineStr">
        <is>
          <t>New York, NY</t>
        </is>
      </c>
      <c r="H13" t="inlineStr"/>
      <c r="I13" t="inlineStr">
        <is>
          <t>**WHO WE ARE
 SQUIRE is the leading business management system designed for the needs of barbers, shop owners, and their communities. We believe the pursuit of artistry and autonomy should not be restricted by the complexities of running a business. With SQUIRE, we provide custom\-branded tools, resources, and guidance to help barbers of all stages and experience levels attract and retain more customers, efficiently manage their shop operations, and increase their revenue.
 Founded in 2015, SQUIRE is trusted by barbers in 4,000\+ shops in more than a thousand cities around the globe. From streamlined booking and opening new shops to real\-time earning dashboards and building lasting customer relationships, SQUIRE supports shop owners in seamlessly bridging the gap between their personal craft and business goals. SQUIRE enables barbers everywhere to unlock their full potential both as artists and as entrepreneurs.
 For more information, please visit
 getsquire.com
 or download the SQUIRE app from the App or Play Store.
**SUMMARY
 We are looking for a
**Principal Product Manager, Payments
 to lead the strategy and execution of our embedded payments platform within a
**B2B2C vertical SaaS ecosystem
 . Our platform enables businesses to seamlessly accept, manage, and reconcile payments from their end customers, processing
**$1B\+ in annual transaction volume
 .
 This role owns the full payments experience across our software, balancing
**merchant needs, end\-customer experience, compliance, and platform scalability
 . You’ll work across product, engineering, risk, compliance, and go\-to\-market teams to ensure payments are a growth engine—not just infrastructure.
**JOB DUTIES AND RESPONSIBILITIES** 
* **Product Strategy \&amp; Platform Ownership**
* Define and own the payments product vision and multi\-year roadmap for a B2B2C vertical SaaS platform
* Lead strategy across embedded payments, onboarding, pricing, settlement, payouts, refunds, disputes, and reconciliation
* Ensure payments are tightly integrated into core SaaS workflows, driving merchant adoption, retention, and ARPU
* Evaluate and launch new capabilities such as industry\-specific payment flows, financing, subscriptions, and value\-added services
* **Merchant \&amp; End\-Customer Experience**
* Deeply understand the needs of platform customers (businesses) and their end users (consumers)
* Design intuitive experiences for merchant onboarding, configuration, reporting, and cash flow visibility
* Optimize checkout and payment flows to maximize conversion, authorization rates, and customer satisfaction
* **Execution \&amp; Cross\-Functional Leadership**
* Partner with engineering to deliver highly reliable, scalable payment systems that support peak volumes and growth
* Translate complex platform requirements into clear PRDs, APIs, and success metrics
* Coordinate across risk, compliance, finance, operations, sales, and customer success to deliver end\-to\-end solutions
* Lead launches, migrations, and platform upgrades with minimal disruption to merchants
* **Risk, Compliance \&amp; Trust**
* Own the product partnership with Risk, Compliance, and Legal to meet requirements including PCI, AML, KYC/KYB, and card network rules
* Balance friction and fraud prevention across merchant onboarding and end\-customer payment flows
* Drive proactive improvements to disputes, chargebacks, and fraud tooling and processes
* **Growth, Data \&amp; Outcomes**
* Define and track KPIs including payment adoption, take rate, authorization rate, payment success rate, fraud loss, and settlement SLAs
* Use data, experimentation, and customer insights to prioritize roadmap decisions
* Partner with finance and GTM teams on pricing, monetization, and payments\-led growth strategies
* **Leadership \&amp; Influence**
* Serve as the payments domain expert within the product organization
* Mentor PMs and raise the bar for platform thinking and execution
* Influence senior leaders with clear narratives around tradeoffs, risk, and opportunity
 The duties and responsibilities outlined above are not a comprehensive list and additional tasks may be assigned from time to time based on business needs. 
**REQUIREMENTS AND QUALIFICATIONS** 
* **8\+ years of product management experience** 
 , including significant ownership of
 **embedded or platform payments**
* Proven experience building products in a
 **B2B2C, marketplace, or vertical SaaS environment**
* Hands\-on experience with
 **merchant onboarding, settlement, and reconciliation at scale**
* Strong understanding of the payments ecosystem (processors, networks, acquiring, issuing)
* Comfort operating in regulated environments and partnering closely with compliance and risk teams
* Ability to balance long\-term platform investments with near\-term revenue and customer needs
**Nice to Have** 
* Experience monetizing payments within vertical software
* Familiarity with small business payment workflows
* Experience expanding payments into new verticals or geographies
**WHAT WE OFFER** 
* Base Salary ($200,000 \- $220,000\)
* New hire stock grant
* 100% employer paid medical, dental, and vision insurance for you and your dependents
* 401K plan with company contribution
* Generous PTO and Parental Leave policies
**Interview Accommodations**
 SQUIRE is committed to working with and providing reasonable assistance to individuals with physical and mental disabilities. If you are an individual with a disability requiring an accommodation to apply for an open position, please email your request to recruiting@getsquire.com and someone on our team will respond to your request.
**EEO Provision**
 SQUIRE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Nondiscrimination Provision**
 SQUIRE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**E\-Verify Participation**
 SQUIRE participates in E\-Verify. Learn more about E\-verify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li-4353114441</t>
        </is>
      </c>
      <c r="B14" t="inlineStr">
        <is>
          <t>Junior Product Manager</t>
        </is>
      </c>
      <c r="C14" t="inlineStr">
        <is>
          <t>TPx</t>
        </is>
      </c>
      <c r="D14" t="inlineStr">
        <is>
          <t>linkedin</t>
        </is>
      </c>
      <c r="E14">
        <f>HYPERLINK("https://www.linkedin.com/jobs/view/4353114441", "https://www.linkedin.com/jobs/view/4353114441")</f>
        <v/>
      </c>
      <c r="F14">
        <f>HYPERLINK("https://myjobs.adp.com/tpxcareers/cx/job-details?reqId=5001168334106&amp;rb=LinkedIn&amp;urlHash=POxu", "https://myjobs.adp.com/tpxcareers/cx/job-details?reqId=5001168334106&amp;rb=LinkedIn&amp;urlHash=POxu")</f>
        <v/>
      </c>
      <c r="G14" t="inlineStr"/>
      <c r="H14" t="inlineStr"/>
      <c r="I14" t="inlineStr">
        <is>
          <t>**General Purpose:**
 The Junior Product Manager supports the development and delivery of products by assisting with market research, gathering customer requirements, and coordinating with cross\-functional teams. This role helps manage the product lifecycle, from concept to launch, ensuring alignment with business goals and customer needs.
**Direct Reports:**
 No
**Essential Duties and Responsibilities:**
* Shape Product Strategy: Contributes to overall product vision and service requirements to maximize revenue opportunities within TPx.
* Market \&amp; Competitive Analysis: Conducts research and analyzes competitors; collaborates with Sales, Technical Sales, Operations, Marketing, customers, and agents to inform decisions.
* Stakeholder Engagement: Builds strong relationships with internal teams, top customers, agents, and sales personnel to understand needs and influence the product roadmap.
* Go\-to\-Market Planning: Partners with Product Management to develop and recommend go\-to\-market strategies, product positioning, and messaging that differentiates TPx services.
* Competitive Documentation: Creates resources such as battle cards to highlight TPx’s advantages versus competitors and alternative technical approaches.
* Sales Enablement: Communicates product value propositions to training and sales teams; develops tools and materials to support the sales process.
* Data\-Driven Insights: Analyzes internal and external performance data to guide product development and business planning initiatives.
* Customer Experience: Ensure a seamless experience from pre\-sales through first invoice.
**Other Responsibilities:**
* Engage with Industry Communities: Actively participate in forums and user groups to stay informed on trends and customer feedback.
* Support Product Development: Contributes to the creation and ongoing management of TPx products and services.
* Enable Sales Success: Assists the sales team in competitive opportunities by providing product insights and positioning strategies.
**Required Qualifications:**
 Education \&amp; Experience
* Bachelor’s degree in marketing or a related field from an accredited institution, or an equivalent combination of education and experience.
* 3\-5 years’ experience in marketing products and managed networking services.
* Familiarity with telecommunications systems, network technology, IT services, and security is preferred.
**Knowledge, Skills \&amp; Abilities**
* Exceptional communication skills—verbal, written, and presentation.
* Strong attention to detail with a proactive, solution\-oriented mindset.
* Skilled in evidence\-based, data\-driven decision\-making and learning mindset. Curiosity in customer\-based needs.
* Ability to build effective working relationships and collaborate effectively with geographically dispersed teams.
* Highly motivated self\-starter with a strong sense of urgency and experience working in cross\-functional environments.
* Proven analytical and business acumen to support planning, prioritization, and performance measurement.
* Financial acumen preferred.
* Comfortable working in fast\-paced, ambiguous, and evolving environments.
* Adaptable and perceptive when engaging with diverse stakeholders.
* Strong problem\-solving and project management capabilities.
 TPx is an Equal Opportunity / Affirmative Action employer. Qualified applicants will receive consideration for employment without regard to race, color, religious creed, sex (including pregnancy, childbirth, breast\-feeding and related medical conditions), sexual orientation, gender identity, gender expression, national origin or ancestry, age, mental or physical disability (including medical condition), military or veteran status, political preference, marital status, citizenship, genetic information or other status protected by law or regulation.
 We are committed to providing reasonable accommodations for qualified individuals with disabilities. If you need assistance or an accommodation, please let us know during the application process.
 Req: \#25\-0099</t>
        </is>
      </c>
    </row>
    <row r="15">
      <c r="A15" t="inlineStr">
        <is>
          <t>li-4317559546</t>
        </is>
      </c>
      <c r="B15" t="inlineStr">
        <is>
          <t>Product Manager - Fraud</t>
        </is>
      </c>
      <c r="C15" t="inlineStr">
        <is>
          <t>Plaid</t>
        </is>
      </c>
      <c r="D15" t="inlineStr">
        <is>
          <t>linkedin</t>
        </is>
      </c>
      <c r="E15">
        <f>HYPERLINK("https://www.linkedin.com/jobs/view/4317559546", "https://www.linkedin.com/jobs/view/4317559546")</f>
        <v/>
      </c>
      <c r="F15">
        <f>HYPERLINK("https://jobs.lever.co/plaid/b66c4123-386a-46c0-93ef-842b92a48a48/apply?lever-origin=applied&amp;lever-source=LinkedInPaid&amp;urlHash=9Nza", "https://jobs.lever.co/plaid/b66c4123-386a-46c0-93ef-842b92a48a48/apply?lever-origin=applied&amp;lever-source=LinkedInPaid&amp;urlHash=9Nza")</f>
        <v/>
      </c>
      <c r="G15" t="inlineStr">
        <is>
          <t>San Francisco, CA</t>
        </is>
      </c>
      <c r="H15" t="inlineStr"/>
      <c r="I1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Product team builds the network that powers the future of financial services. Our mission is to unlock financial freedom for everyone through open finance. Product Managers at Plaid are curious, customer\-obsessed, and move fast to deliver value. They take ownership, sweat the details, and make sound decisions with imperfect information.
 As a PM on our Fraud team, you’ll build trusted systems that detect and prevent fraud across our network. You’ll protect users and customers from bad actors while helping good users onboard with confidence. Partnering with engineering, data science, and go\-to\-market, you’ll define problems, ship scalable solutions, and make Plaid’s platform safer and more resilient.
 This role is for an early\-career PM who wants to learn fast, build impactful products, and collaborate across teams to protect the financial ecosystem.
**Responsibilities**
* Own a product surface: define problems, write requirements, and drive execution.
* Contribute to the roadmap using customer feedback and data insights.
* Build with excellence alongside Engineering and Data Science.
* Measure impact and iterate to improve detection accuracy and reliability.
* Communicate clearly, align stakeholders, and document tradeoffs.
* Take initiative, simplify complexity, and move fast in ambiguity.
* Seek feedback, stay humble, and help raise the bar.
**Qualifications**
* 1–4 years in a product role (PM, APM, startup operator, founder, or product analyst)
* Proven experience launching products end to end
* Strong product and analytical thinking; able to turn insights into features
* Skilled collaborator with Engineering and Data Science
* Clear communicator who simplifies complex ideas
* Comfortable in fast\-moving, ambiguous environments
* Passionate about technology, data, and protecting users from fraud
* \[Nice to Have] Experience in fraud, risk, or security products
* \[Nice to Have] Familiarity with ML systems, APIs, or data platforms
* \[Nice to Have] Basic data and design fluency (SQL, dashboards, Figma, Miro)
 $163,200 \- $223,200 a year
 The target base salary for this position ranges from $163,200/year to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6">
      <c r="A16" t="inlineStr">
        <is>
          <t>li-4354963383</t>
        </is>
      </c>
      <c r="B16" t="inlineStr">
        <is>
          <t>Product Manager</t>
        </is>
      </c>
      <c r="C16" t="inlineStr">
        <is>
          <t>Microsoft</t>
        </is>
      </c>
      <c r="D16" t="inlineStr">
        <is>
          <t>linkedin</t>
        </is>
      </c>
      <c r="E16">
        <f>HYPERLINK("https://www.linkedin.com/jobs/view/4354963383", "https://www.linkedin.com/jobs/view/4354963383")</f>
        <v/>
      </c>
      <c r="F16" t="inlineStr"/>
      <c r="G16" t="inlineStr"/>
      <c r="H16" t="inlineStr"/>
      <c r="I16" t="inlineStr">
        <is>
          <t>**Overview**
 Digital transformation is accelerating cloud adoption across every industry, making secure, scalable networking critical.
 **Azure Networking** 
 provides the foundational connectivity and security services—from Virtual Networks and ExpressRoute to
 **Azure Firewall** 
 —that enable customers to build, protect, and scale with confidence.Azure Firewall delivers intelligent, cloud‑native network protection against evolving threats and is a core pillar of Azure’s security platform. This role contributes to advancing Azure Firewall’s capabilities as part of the broader Azure Networking foundation that powers customer digital transformation.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 strong understanding of Azure Firewall features and customer scenarios, applying AI‑driven insights to identify opportunities for feature enhancements.
* Contribute to market research and competitive analysis to ensure strong product‑market fit.
* Participate in scenario walkthroughs, feature previews, and strategy discussions to drive customer and partner engagement.
* Track product performance metrics, customer feedback, and support signals to help inform product improvements.
* Support community engagement and contribute to product launch planning and execution.
**Qualifications**
**Required qualifications:**
* Bachelor's Degree
+ OR equivalent experience.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2\+ years experience in product/service/program management or software development
+ OR equivalent experience.
* 1\+ year(s) experience improving product metrics for a product, feature, or experience in a market (e.g., growing customer base, expanding customer usage, avoiding customer churn).
* 1\+ year(s) experience disrupting a market for a product, feature, or experience (e.g., competitive disruption, taking the place of an established competing product).
* Knowledge of L3–L7 networking, including routing, NAT, load balancing, TLS, and traffic inspection
* 1\+ year(s) experience designing and operating enterprise‑scale network security platforms, such as Firewall, WAF, DDoS, in cloud environments
 Product Management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
      <c r="A17" t="inlineStr">
        <is>
          <t>li-4362361549</t>
        </is>
      </c>
      <c r="B17" t="inlineStr">
        <is>
          <t>Product Owner</t>
        </is>
      </c>
      <c r="C17" t="inlineStr">
        <is>
          <t>Stelvio Inc.</t>
        </is>
      </c>
      <c r="D17" t="inlineStr">
        <is>
          <t>linkedin</t>
        </is>
      </c>
      <c r="E17">
        <f>HYPERLINK("https://www.linkedin.com/jobs/view/4362361549", "https://www.linkedin.com/jobs/view/4362361549")</f>
        <v/>
      </c>
      <c r="F17" t="inlineStr"/>
      <c r="G17" t="inlineStr">
        <is>
          <t>Phoenix, AZ</t>
        </is>
      </c>
      <c r="H17" t="inlineStr"/>
      <c r="I17" t="inlineStr">
        <is>
          <t>**Product Owner** 
**Hybrid \- Phoenix, Arizona** 
 We’re looking for a Product Owner with strong analytical and systems\-thinking skills to help build a brand\-new Web Platform from the ground up. This greenfield project offers the chance to rethink legacy systems, create scalable shared services, and deliver meaningful technology that users will love. You’ll work closely with product, engineering, UX, and stakeholders in a fast\-paced, highly collaborative environment.
**What You’ll Do** 
* Own and prioritize the product backlog; translate requirements into clear user stories
* Drive discovery, sprint planning, and Agile ceremonies
* Investigate problems, analyze scenarios and use cases, and shape system behavior—not just manage tickets
* Collaborate across teams to ensure quality and alignment with business goals
* Support a transition from waterfall to Agile and contribute to process improvement
* Work within a Microsoft/Azure/React/.NET tech stack and with large datasets
**What You Bring** 
* 5\+ years as a Product Owner, BA, or similar role
* Strong business analysis, requirements gathering, and problem\-solving skills
* Understanding of web and API development
* Proficiency with Agile methodologies and tools (Jira, Azure DevOps)
* Excellent communication, curiosity, and the ability to challenge respectfully
* Systems\-minded thinker with high ownership and accountability
**Benefits** 
 Medical, dental, and vision from day one · PTO \&amp; holidays · 401(k) match · Lifestyle account · Tuition reimbursement · Voluntary benefits · EAP · Culture \&amp; well\-being programs · Opportunities for growth and community involvement</t>
        </is>
      </c>
    </row>
    <row r="18">
      <c r="A18" t="inlineStr">
        <is>
          <t>li-4362383476</t>
        </is>
      </c>
      <c r="B18" t="inlineStr">
        <is>
          <t>Product Owner</t>
        </is>
      </c>
      <c r="C18" t="inlineStr">
        <is>
          <t>Gravity IT Resources</t>
        </is>
      </c>
      <c r="D18" t="inlineStr">
        <is>
          <t>linkedin</t>
        </is>
      </c>
      <c r="E18">
        <f>HYPERLINK("https://www.linkedin.com/jobs/view/4362383476", "https://www.linkedin.com/jobs/view/4362383476")</f>
        <v/>
      </c>
      <c r="F18" t="inlineStr"/>
      <c r="G18" t="inlineStr"/>
      <c r="H18" t="inlineStr"/>
      <c r="I18" t="inlineStr">
        <is>
          <t>**Job Title:** 
 Product Owner
**Location:** 
 Utah (onsite)
**Job\-Type:** 
 Contract
**Salary Range** 
 : $100K \- $125K
**Position Overview:**
 We are seeking a
 **Product Owner** 
 with a strong mobile background to join our Customer Experience team, focusing on our iOS and Android Products. This role will translate business needs into clear, actionable requirements and work closely with design and product management to deliver a seamless customer experience.
* **Duties \&amp; Responsibilities:**
* Partner with the Product Manager to define requirements and write user stories in Jira.
* Collaborate with the design team to ensure updates align with customer needs and product vision.
* Refine and manage technical tickets for a fully outsourced mobile development team, ensuring clarity and precision.
* Adapt to evolving requirements and prioritize effectively in a fast\-paced environment.
* Support delivery of enhancements and new features that improve customer engagement across mobile apps.
* **Required Experience \&amp; Skills:**
* Proven experience as a Product Owner or Business Analyst with a focus on mobile applications (iOS \&amp; Android).
* Strong ability to write clear, detailed user stories and technical requirements.
* Experience collaborating with design and cross\-functional teams.
* Fintech or consumer app experience is a plus.
* Flexible, detail\-oriented, and able to thrive in dynamic environments.
**Employment Eligibility:** 
 Gravity cannot transfer nor sponsor a work visa for this position. Applicants must be eligible to work in the U.S. for any employer directly (we are not open to contract or “corp to corp” agreements).</t>
        </is>
      </c>
    </row>
    <row r="19">
      <c r="A19" t="inlineStr">
        <is>
          <t>li-4325581138</t>
        </is>
      </c>
      <c r="B19" t="inlineStr">
        <is>
          <t>Product Manager</t>
        </is>
      </c>
      <c r="C19" t="inlineStr">
        <is>
          <t>Planned Parenthood Federation of America</t>
        </is>
      </c>
      <c r="D19" t="inlineStr">
        <is>
          <t>linkedin</t>
        </is>
      </c>
      <c r="E19">
        <f>HYPERLINK("https://www.linkedin.com/jobs/view/4325581138", "https://www.linkedin.com/jobs/view/4325581138")</f>
        <v/>
      </c>
      <c r="F19" t="inlineStr"/>
      <c r="G19" t="inlineStr">
        <is>
          <t>Washington, DC</t>
        </is>
      </c>
      <c r="H19" t="inlineStr"/>
      <c r="I19" t="inlineStr">
        <is>
          <t>Planned Parenthood is the nation’s leading provider and advocate of high\-quality, affordable sexual and reproductive health care for all people, as well as the nation’s largest provider of sex education. Planned Parenthood organizations serve all people with care and compassion, with respect, and without judgment, striving to create equitable access to health care. Through health centers, programs in schools and communities, and online resources, Planned Parenthood is a trusted source of reliable education and information that allows people to make informed health decisions. We do all this because we care passionately about helping people lead healthier lives.
 Planned Parenthood Federation of America (PPFA) is a 501(c)(3\) charitable organization that supports the independently incorporated Planned Parenthood affiliates, which operate non\-profit health centers across the U.S. PPFA also works to educate the public on and advocate for issues of sexual and reproductive health. Formed as the advocacy and political arm of Planned Parenthood Federation of America, Planned Parenthood Action Fund is a separate non\-profit membership organization tax\-exempt under section 501(c)(4\). The Action Fund engages in educational, advocacy, and limited electoral activity, including grassroots organizing, legislative advocacy, and voter education in furtherance of the Planned Parenthood mission.
 **Planned Parenthood Federation of America (PPFA) and Planned Parenthood Action Fund** 
 seek a Product Manager, Digital Strategy
 **.** 
 This job reports to the
 **Senior Director of Product Management** 
 and Design in the
 **External Affairs division** 
 of PPFA. ThePlanned Parenthood
 **Digital Strategy department** 
 provides reliable and scalable applications and technology programs and services in support of health care delivery, sex education, advocacy, fundraising, and internal operations, critical to achieving the organization’s mission
 **.** 
 Digital Strategy is part of the External Affairs division at PPFA.
**Purpose:**
* Innovate and execute product initiatives for our flagship website ecosystem, PlannedParenthood.org and PlannedParenthoodAction.org .
* Define product roadmaps, participate in agile sprints and team communications, partner with the team on other products and tasks as needed, given the changing priorities of the organization’s initiatives.
* Work within an agile team of designers, researchers and developers and will collaborate with key communications, marketing and content leads to build exceptional user experiences.
* Create innovative, engaging and delightful digital experiences within our portfolio of productsand effectively collaborate with a variety of stakeholders to nurture, validate, and execute the most impactful ideas within an agile team.
**Delivery:**
* Iterate and create new user experiences and features that increase the engagement of our diverse audiences: information seekers, patients, and supporters alike.
* Clear, strategic thought leadership around consumer\-facing digital products at Planned Parenthood. Driving consensus around the vision and the roadmap across team members and stakeholders.
* Leveraging a user\-centered approach that identifies opportunities based on user interviews, research, data, and market trends.
* Co\-creation of goals for Planned Parenthood’s flagship national websites and regular and ongoing data analysis to inform product evolution. Developing clear metrics of success that support effective decision making.
* Excellent written and verbal communication. The Product Manager will communicate broadly about the performance and functionality of our websites to relevant stakeholders and audiences, including executive leadership and Planned Parenthood affiliates.
* Establishing agile practices by collaborating seamlessly with facilitators, design, engineering, education and marketing colleagues. Driving product discovery and development processes collaboratively.
* Performs other duties as assigned.
**Engagement**
* Work within, and contribute to prioritization decisions for colleagues, including developers and designers.
* Collaborate with key stakeholders in the Planned Parenthood national office and across regional affiliates to build exceptional user experiences.
* Appetite for learning and becoming a subject matter expert on user engagement and conversion on a content rich ecosystem, scrum and other agile methodologies.
* An entrepreneurial mind\-set, an interest in emerging technology trends, and a passion for using technology and data to solve unmet user needs.
* Ability to communicate and coordinate work effectively with stakeholders and colleagues who hold various priorities.
**Knowledge, Skills and Abilities (KSAs):**
* Bachelors Degree in Business, Marketing or any related field is preferred.
* Minimum of 3 years experience in building consumer facing digital products as a product manager or product owner, is required.
* Minimum of 3 years experience working closely and collaboratively with UX designers, visual designers, developers, content creators, and other contributors across multiple internal groups, is required.
* Strong analytical and problem\-solving skills, matched with the ability to tell a story with the data preferred.
* Minimum of 2 years experience overseeing a product roadmap strategy and documenting product requirements/user stories, is required.
* Ability to demonstrate achievements defining, bringing to market, and scaling top\-notch digital products.
* Iterating on a mature product that is pushing to become a more equitable experience.
* Minimum of 3 years experience working in an agile, iterative product development process is required.
* Experience with JIRA, Asana, or other ticket and collaboration tools.
* Ability to manage multiple simultaneous projects in a highly\-matrixed environment.
* Ability to communicate and coordinate work effectively with stakeholders and colleagues who hold various priorities.
* Experience working with content management systems is a plus.
* We serve a diverse audience, so bilingual in English/Spanish is a plus.
* Experience working in technical product management, particularly in defining complex acceptance criteria for data\-heavy applications, is a plus.
 $100,000 \- $110,000 a year
 Travel: 0\-10% domestic
 Planned Parenthood's cultural ethos, "In This Together", reflects our commitment to building a workplace culture that fosters belonging, promotes learning throughout the employee lifecycle, and recognizes individual contributions to our mission.
 Planned Parenthood Federation of America participates in the E\-Verify program. Planned Parenthood Federation of America is an equal employment opportunity employer and is committed to maintaining a non\-discriminatory work environment, and does not discriminate against any employee or applicant for employment on the basis of race, color, religion, sex, national origin, age, disability, veteran status, marital status, sexual orientation, gender identity, or any other characteristic protected by applicable law. Planned Parenthood is committed to creating a dynamic work environment that values diversity and inclusion, respect and integrity, customer focus, and innovation.</t>
        </is>
      </c>
    </row>
    <row r="20">
      <c r="A20" t="inlineStr">
        <is>
          <t>li-4285950889</t>
        </is>
      </c>
      <c r="B20" t="inlineStr">
        <is>
          <t>Credit Technical Product Owner</t>
        </is>
      </c>
      <c r="C20" t="inlineStr">
        <is>
          <t>Tradeweb</t>
        </is>
      </c>
      <c r="D20" t="inlineStr">
        <is>
          <t>linkedin</t>
        </is>
      </c>
      <c r="E20">
        <f>HYPERLINK("https://www.linkedin.com/jobs/view/4285950889", "https://www.linkedin.com/jobs/view/4285950889")</f>
        <v/>
      </c>
      <c r="F20" t="inlineStr"/>
      <c r="G20" t="inlineStr">
        <is>
          <t>New York, NY</t>
        </is>
      </c>
      <c r="H20" t="inlineStr"/>
      <c r="I20" t="inlineStr">
        <is>
          <t>**Company Description**
**JOB DESCRIPTION**
 Tradeweb is a global leader in electronic trading for rates, credit, equities, and money markets. As financial markets become increasingly interconnected, our technology enables efficient, multi\-asset trading on a global scale. We serve more than 3,000 clients in more than 85 countries, including many of the world’s largest banks, asset managers, hedge funds, insurers, corporations, and wealth managers.
 Creative collaboration and sharp client focus have helped fuel our organic growth. We facilitated average daily trading volume (ADV) of more than $2\.2 trillion over the past four fiscal quarters, topping $2\.5 trillion in ADV for the first quarter of 2025\.
 Since our IPO in 2019, Tradeweb has completed four acquisitions and doubled our revenues – and 2024 was our 25th consecutive year of record revenues.
 Tradeweb is a great place to work, recognized in 2024 by Forbes as one of
 *America’s Best Companies* 
 (2024\) and by U.S. News \&amp; World Report as one of the
 *Best Financial Services Companies to Work For* 
 .
 Tradeweb Markets LLC ("Tradeweb") is proud to be an EEO Minorities/Females/Protected Veterans/Disabled/Affirmative Action Employer.
 Mission: Move first and never stop. Collaborate with clients to create and build solutions that drive efficiency, connectivity, and transparency in electronic trading.
 https://www.dol.gov/ofccp/regs/compliance/posters/pdf/eeopost.pdf
**Group Details**
 As the Tradeweb Technical Product Owner you will be working with cross\-functional teams of engineers, user experience designers, product managers, sales and client service team, and data scientists to build products. You are responsible for the end to end lifecycle of the product delivery, be accountable for user requirements gathering, product specification, coordination across delivery team matrix, and produce client facing product documentation, ranging from API documentation to product release notes.
**Job Responsibilities**
* Partners with stakeholders to maintains product vision, product roadmap and priority, defines product impact, outcome criteria, and success metrics based on the roadmap
* Responsible for analyzing, specifying, and validating product requirements from product managers, sales, and end users. It involves gathering and compiling user requirements to define engineering solutions that align with commercial objectives, and analyzes product requirements for completeness, consistency, and feasibility
* Drive technology decisions, optimize product development processes, and ensures engineering teams fully understanding product requirements and priorities
* Partners with user experience (UX) designers in developing desktop interface designs to deliver user requirements
* Responsible for product delivery quality through defining product acceptance criteria and participating in quality assurance (QA) testing
* Works with engineering team to plan and execute product releases, ensuring they meet quality standards and delivery value to users
* Makes informed decisions about the product, prioritizing features, and resolving conflict amount stakeholders
* Responsible for producing client facing documentations that improves product friendliness
**Qualifications**
* College graduate with a degree in Computer Science, Management Information Systems, or a related field
* 3\+ years related professional experience
* Strong understanding of project management principles
* Excellent analytical, and problem\-solving abilities
* Strong written and oral communication skills
* Keen attention to detail and logical thinking
* Ability to conduct research and effectively communicate findings
* Self\-motivated, customer service\-oriented, and team\-focused
* Financial markets and specifically fixed income knowledge/experience strongly desired
* FIX API and general application programming interface (API) design knowledge strongly desired
* SQL experience is required
**Additional Information**
 Tradeweb is committed to providing valuable and competitive benefits. In addition to working in our culture of innovation and collaboration, we offer:
* Health Insurance: Highly competitive medical, dental, and vision programs
* Hybrid Environment: Our employees have the flexibility of working in the office and from home.
* Health Care and Dependent Care Flexible Spending Accounts: You may elect to set aside pre\-tax earnings to pay for eligible health care and dependent day care expenses for you and your eligible family members.
* Maven Family Building Benefit: Maven offers support for fertility and preconception; pregnancy and post\-partum; adoption; surrogacy and pediatrics for children up to age 10\. Tradeweb provide a $10,000 lifetime reimbursement towards fertility, egg freezing, adoption and surrogacy expenses.
* Building Wealth \- 401(k) Savings Plan: Employees are immediately eligible for the 401(k) plan. Participants may contribute up to 75% of eligible compensation into a traditional 401(k) and/or Roth 401(k). Tradeweb will match 100% of the first 4% of compensation that you contribute.
* The current pay range for this role if performed in the city of New York is currently $150,000 to $250,000 per year, based on a regular, full\-time schedule. The amount of pay offered will be determined by a number of factors, including but not limited to qualifications, market data, geographic location, and internal guidelines.
**Other Benefit Programs**
* Pre\-Tax Commuter Benefits Program
* ARAG Legal Services
* Employee Assistance Program
* Tuition Reimbursement
* Financial Wellness Tools
* Travel Assistance Benefits
* Pet Insurance
* Corporate Gym Subsidies
* Wellness Perks
* Paid Time Off and Parental Leave</t>
        </is>
      </c>
    </row>
    <row r="21">
      <c r="A21" t="inlineStr">
        <is>
          <t>li-4345341431</t>
        </is>
      </c>
      <c r="B21" t="inlineStr">
        <is>
          <t>Senior Product Manager</t>
        </is>
      </c>
      <c r="C21" t="inlineStr">
        <is>
          <t>The Walt Disney Company</t>
        </is>
      </c>
      <c r="D21" t="inlineStr">
        <is>
          <t>linkedin</t>
        </is>
      </c>
      <c r="E21">
        <f>HYPERLINK("https://www.linkedin.com/jobs/view/4345341431", "https://www.linkedin.com/jobs/view/4345341431")</f>
        <v/>
      </c>
      <c r="F21" t="inlineStr"/>
      <c r="G21" t="inlineStr">
        <is>
          <t>Celebration, FL</t>
        </is>
      </c>
      <c r="H21" t="inlineStr"/>
      <c r="I21" t="inlineStr">
        <is>
          <t>**Department Description**
 At Disney Experiences Technology, we power the Magic! That’s our motto at Disney Parks, Experiences and Products Technology \&amp; Digital. Our team creates world\-class immersive digital experiences for the Company’s premier vacation brands including Disney’s Parks \&amp; Resorts worldwide, Disney Cruise Line, Aulani, A Disney Resort \&amp; Spa, and Disney Vacation Club.
**Team Description**
 We are responsible for the end\-to\-end digital and physical Guest and Cast experience for all technology \&amp; digital\-led initiatives across the Attractions \&amp; Entertainment, Food \&amp; Beverage, Resorts \&amp; Transportation, PhotoPass and Merchandise lines of business.
**What You'll Do**
 This Senior Product Manager role is a leader in the technology and digital segment of the Disney Cruise Line business. Reporting to the Sr. Manager of Product Management, the Senior Product Manager will drive product strategy, concept development, and delivery of initiatives in collaboration with our Product Management, Technology, and Business Operation team partners.
 As a Senior Technical Product Manager, you will understand the business and technical capabilities, identify gaps, and deliver product roadmaps for new capabilities. You are collaborative, able to work successfully in a matrix organization while wearing multiple hats and are comfortable working autonomously. As a leader, you act as a resource for colleagues and may mentor others. Adept at synthesizing a variety of technologies and capabilities into high quality, simple products, and applications. Be a liaison to development, implementation, and support teams as well as support multiple projects, improvements, backlog and prioritization of features and capabilities.
**Required Qualifications \&amp; Skills**
* Minimum of 5 years of product management experience with building and delivering quality reservation management and/or ecommerce products, services, and capabilities, or combination of 3 years of technical product management experience with additional 3 years of relevant engineering, data science, or analytic science experience, required.
* Experience and comfort solving problems in an ambiguous environment where there is regular change. Have the tenacity to thrive in a dynamic and fast\-paced environment, inspire change, and collaborate with a variety of individuals and organizational partners.
* Deep commitment to curiosity \- conducting research, gathering metrics, proactively identifying \&amp; addressing issues or opportunities during requirements gathering processes, and applying rigorous attention to detail during the creative and technical designs for high quality functionality and user experience.
* Data\-focused mindset and proven ability to use data to support and influence all aspects of impact, reach, effort, confidence, and cost when solving problems and analyze solutions.
* Highly organized and analytical with a collaborative attitude to influence strategy, optimization and feature delivery that relies on multiple cross\-team dependencies.
* Champion of Agile technical practices \&amp; testing concepts. Planning acumen and proven ability to break down work and define an MVP, as well as subsequent iterations. Proficient skills in scope intake, requirements documentation, valuation, and backlog management, through acceptance and validations.
* Excellent presentation skills and clear, logical communication style so you can represent our product strategy and roadmap to engineering, business, and product leadership. Partner with key stakeholders to build relationships and manage scope expectations.
**Preferred Qualifications**
* Experience working on reservation management systems and services supporting consumer\-facing products, ideally ecommerce booking, payments/general ledger/payment reconciliation, rules logic, and availability, rate, and inventory management. Fluent in industry best practices and can identify areas for optimization and innovation.
* Strong product sense for various users and what makes compelling consumer products and delightful user experiences \- ensuring new designs and enhancements can best support use cases of internal teams, agents, and direct\-to\-consumer users.
* Passionate about data integrity and the processes to manage the migration (or transition) of current data or services without outages or critical interruption to end users.
* Familiar with A/B experimentation methods and hypothesis\-driven development. Experience in running competitive and consumer analysis.
* Systems thinker \- proactive, structured, long\-term thinker rather than reactive.
**Required Education**
* Bachelor’s degree in a relevant field preferred and/or equivalent work experience.
* Master’s Degree in related field, MBA, or technical certifications preferred.</t>
        </is>
      </c>
    </row>
    <row r="22">
      <c r="A22" t="inlineStr">
        <is>
          <t>li-4335176720</t>
        </is>
      </c>
      <c r="B22" t="inlineStr">
        <is>
          <t>Product Manager, Banking Core</t>
        </is>
      </c>
      <c r="C22" t="inlineStr">
        <is>
          <t>Cash App</t>
        </is>
      </c>
      <c r="D22" t="inlineStr">
        <is>
          <t>linkedin</t>
        </is>
      </c>
      <c r="E22">
        <f>HYPERLINK("https://www.linkedin.com/jobs/view/4335176720", "https://www.linkedin.com/jobs/view/4335176720")</f>
        <v/>
      </c>
      <c r="F22" t="inlineStr"/>
      <c r="G22" t="inlineStr"/>
      <c r="H22" t="inlineStr"/>
      <c r="I22"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**You Will**
* Work with a full stack team (engineers, designers, researchers, data scientists, operations, customer support) to deliver experiences that drive adoption of Cash App as a primary banking platform
* Create \&amp; execute on strategy to help customers pay their most important bills from Cash App, including rent, utilities, and loans
* Continue accelerating banking inflows to Cash App, including through direct deposit, paper money deposit, check deposit
* Work with different product teams to weave banking experiences into the broader Cash App ecosystem
**You Have**
* Like us, you’ll be deeply committed to delivering positive outcomes for users and passionate about shaping the future of Cash App.
* Strong quantitative and analytical problem\-solving. Able to deeply understand financial, risk, and customer experience considerations to get to the best outcome across all.
* Comfort with ambiguity coupled with the ability to independently solve problems without well\-defined direction.
 Highly preferred: Experience working in a high growth consumer business, whether FinTech or other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3">
      <c r="A23" t="inlineStr">
        <is>
          <t>li-4325482076</t>
        </is>
      </c>
      <c r="B23" t="inlineStr">
        <is>
          <t>Product Manager, Enterprise and Commercial</t>
        </is>
      </c>
      <c r="C23" t="inlineStr">
        <is>
          <t>MeshyAI</t>
        </is>
      </c>
      <c r="D23" t="inlineStr">
        <is>
          <t>linkedin</t>
        </is>
      </c>
      <c r="E23">
        <f>HYPERLINK("https://www.linkedin.com/jobs/view/4325482076", "https://www.linkedin.com/jobs/view/4325482076")</f>
        <v/>
      </c>
      <c r="F23">
        <f>HYPERLINK("https://job-boards.greenhouse.io/meshy/jobs/5017224008?gh_src=6c33ccb28us&amp;urlHash=u0UK", "https://job-boards.greenhouse.io/meshy/jobs/5017224008?gh_src=6c33ccb28us&amp;urlHash=u0UK")</f>
        <v/>
      </c>
      <c r="G23" t="inlineStr">
        <is>
          <t>Sunnyvale, CA</t>
        </is>
      </c>
      <c r="H23" t="inlineStr"/>
      <c r="I23" t="inlineStr">
        <is>
          <t>**About Meshy**
 Headquartered in
 **Silicon Valley** 
 ,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 fostering a diverse and innovative multi\-regional culture focused on solving global 3D challenges. Meshy is trusted by top developers, backed by premiere venture capital firms like
 **Sequoia and GGV** 
 ,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 
**0 Million m** 
**odels** 
 .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
 Meshy is hiring a B2B\-focused Product Manager with a strong ownership mindset to help drive the adoption and success of our enterprise capabilities across commercial customers. You’ll own the end\-to\-end enterprise customer experience, from our internal GTM platforms and deployments to scaled product adoption, focusing on security, analytics, API capabilities, and collaboration features. This role is ideal for someone who is customer\-obssessed, technical, and excited to shape the world's leading 3D GenAI platform.
 What You’ll Do
* Own and drive key enterprise and commercial product areas including API, security, access control, and enterprise analytics, in partnership with our engineering and design teams
* Partner closely with sales, support, and marketing to understand enterprise requirements and support deal cycles
* Collaborate with platform teams to optimize our GTM workflows and platforms
* Identify and prioritize key enterprise workflows and integration points that drive organizational value and expansion
 What We’re Looking For
* 3–5 years of product management experience, with significant experience in enterprise software
* Strong track record of successfully launching, deploying, and scaling enterprise products with B2B customers
* Solid technical background and understanding \-\- comfortable discussing API design, backend constraints, and security requirements
* Customer\-obsessed and extensive experience collaborating with sales and GTM teams to unlock enterprise customer value
* Excellent cross\-functional collaboration, communication, and stakeholder management skills and capable of engaging with both technical and business peers
* "Always day one" attitude and able to learn new things on the fly, working relentlessly to achieve success
 Strong candidates may have
* Familiarity with GTM systems/tooling and hands\-on B2B sales experience
* Comfortable with ambiguity and extensive experience in startup / rapid\-growth environments
* Understanding of vertical\-specific compliance and security requirements in the B2B space
* Understanding of common 3d workflows and software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is>
      </c>
    </row>
    <row r="24">
      <c r="A24" t="inlineStr">
        <is>
          <t>li-4329183908</t>
        </is>
      </c>
      <c r="B24" t="inlineStr">
        <is>
          <t>Sr. Product Manager</t>
        </is>
      </c>
      <c r="C24" t="inlineStr">
        <is>
          <t>Revvity</t>
        </is>
      </c>
      <c r="D24" t="inlineStr">
        <is>
          <t>linkedin</t>
        </is>
      </c>
      <c r="E24">
        <f>HYPERLINK("https://www.linkedin.com/jobs/view/4329183908", "https://www.linkedin.com/jobs/view/4329183908")</f>
        <v/>
      </c>
      <c r="F24" t="inlineStr"/>
      <c r="G24" t="inlineStr">
        <is>
          <t>Lafayette, CO</t>
        </is>
      </c>
      <c r="H24" t="inlineStr"/>
      <c r="I24" t="inlineStr">
        <is>
          <t>Revvity has a rewarding and exciting opportunity for an experienced Product Manager to join our Mimix Reference Standards Business Unit, with a specific focus on human genomic reference standards. This is an exceptional opportunity to have global reach and influence through strategic portfolio management to drive the current business needs and set the direction of future new product introductions.
**Key Responsibilities**
 Align the needs of the customer with corporate objectives, the Product Manager will have key responsibilities that include, but are not limited to:
* Champion the future strategic direction of the Mimix portfolio, including updates to the product roadmap. Prepare annual strategic plan for the portfolio, including any changes to value positions and positioning statements based on market and competitor movement.
* Proactively gather \&amp; analyse reference standard market conditions, technical trends, VoC insights, and competitive landscape to drive the business strategy. Experience growing portfolios in a competitive, dynamic genomics market required.
* Define product requirements, launch differentiated new product offerings/application data to further grow our market leadership position over the next 3\-5 years.
* Leverage in\-depth knowledge and understanding of customer needs and buying behaviours to strengthen targeted segmentation strategies.
* Build relationships with key internal stakeholders (e.g., R\&amp;D, Sales, Customer Support, Marketing), external collaborators, and industry groups to gather intelligence that inform process improvement and product innovation.
* Work directly with sales, manufacturing, R\&amp;D, and project management teams for large scale custom reference standards projects, including feasibility and profitability for novel product offerings.
* Develop pricing models that align with revenue and margin goals. Experience in revenue forecasting strategies desired.
* In partnership with the marketing team, ensure consistent language and strategic narrative in marketing campaigns and collateral for continuity across internal and external stakeholders.
* Supporting the sales team through, trainings, collateral development, joint customer visits and regular communication.
* Work with the Technical Support team to identify how to resolve issues for unsatisfied customers
* Other duties as assigned
**Basic Qualifications**
* Bachelor's Degree in Molecular Biology or a related discipline.
* 5\+ years' experience working in R\&amp;D, Applications/Technical Sales or Support and/or Product Management with demonstrated evidence of support in the of products within the life science industry.
* A minimum of 2 years directly supporting a life science reagents portfolio with high technical complexity.
**Preferred Qualifications**
* Advanced Degree (MS, PhD) Molecular Biology
* Proven business leadership skills with 5 years between Product Management, Strategy, Commercial or Operation leadership roles in Life Sciences.
* Experience directly working with or managing reagents in the functional genomics space (CRISPR, siRNA, viral products, etc).
* Demonstrated ability to develop strategic plans that meet business and customer needs.
* Strong business acumen, analytical, decision making, communication and influencing skills.
* Strong business acumen.
* Excellent communication and presentation skills; capable of influencing.
* Excellent organizational skills especially around, project management, time management, and prioritization.
* Ability to travel locally and internationally up to 20% of the time.
* Ability to work in a fast\-paced environment and simultaneously manage multiple competing tasks.
* Ability to work independently, take initiative, act decisively, and complete tasks to deadlines.
* Ability to function as a team player with strong interpersonal skills.
 The base salary range for this full\-time position is $105,000 \- $140,000/yr. This range reflects the minimum and maximum target for a new hire in this position. The base pay actually offered to the successful candidate will take into account internal equity, work location, and additional factors, including job\-related skills, experience, and relevant education or training. Your recruiter can share more about the specific salary range for your preferred location during the hiring process.
 Please note that base pay is only one part of our total compensation package and is determined within a range. This range allows for the successful candidate to have an opportunity to progress within the position and develop at our company. This base pay range does not take into account bonuses, equity, or other benefits which may be applicable and are dependent on the level and position offered.
**What do we offer?**
 We provide competitive and comprehensive benefits to our employees. Below are some highlights of our benefits:
* Medical, Dental, and Vision Insurance Options
* Life and Disability Insurance
* Paid Time\-Off
* Parental Benefits
* Compassionate Care Leave
* 401k with Company Match
* Employee Stock Purchase Plan
 Learn more about Revvity’s benefits by visiting our Bswift page. Log\-In instructions are provided towards the bottom of the Bswift page.
*For benefit\-eligible roles only. Part\-time and temporary roles may not be eligible for all benefits listed. Please reach out to your recruiter for more information.*</t>
        </is>
      </c>
    </row>
    <row r="25">
      <c r="A25" t="inlineStr">
        <is>
          <t>li-4352850972</t>
        </is>
      </c>
      <c r="B25" t="inlineStr">
        <is>
          <t>Product Owner</t>
        </is>
      </c>
      <c r="C25" t="inlineStr">
        <is>
          <t>Ztek Consulting</t>
        </is>
      </c>
      <c r="D25" t="inlineStr">
        <is>
          <t>linkedin</t>
        </is>
      </c>
      <c r="E25">
        <f>HYPERLINK("https://www.linkedin.com/jobs/view/4352850972", "https://www.linkedin.com/jobs/view/4352850972")</f>
        <v/>
      </c>
      <c r="F25" t="inlineStr"/>
      <c r="G25" t="inlineStr"/>
      <c r="H25" t="inlineStr"/>
      <c r="I25" t="inlineStr">
        <is>
          <t>**Job Title: Product Owner** 
**Job Location: Remote** 
**Job Type: Fulltime** 
**Job Description** 
**Must Have Technical/Functional Skills** 
 1\. Prioritize, refine, and manage the product backlog
 2\. Interview users, stakeholders, and business leaders to understand key priorities, capabilities, limitations, and overall vision.
 3\. Technically competent in writing technical user stories. Experience working in reporting applications
 4\. Significant experience working in java development along with strong Agile ceremony discipline
 5\. Able to understand supporting data domains \-customer, claims, benefits, eligibility and enrollment
 6\. Work with peer product owners to articulate the specifics of a feature and the value it delivers thru sprint and product demos
 7\. Stakeholder Engagement \&amp; Management, Client \&amp; Vendor Relations, Team Mentoring, People Management, Cross\-Functional proactive Communication \&amp; Workshop Facilitation etc.
 8\. Lead compelling demos, within the Agile Release Train (ART) to showcase cross\-team demos of common features and Epics
 9\. Coordinate UAT planning and execution for ongoing product releases, improving release cycle efficiency and defect resolution times.
 10\. Work with scrum masters and agile teams to ensure product artifacts meet the definition of ready and definition of done</t>
        </is>
      </c>
    </row>
    <row r="26">
      <c r="A26" t="inlineStr">
        <is>
          <t>li-4355023560</t>
        </is>
      </c>
      <c r="B26" t="inlineStr">
        <is>
          <t>Senior Product Manager</t>
        </is>
      </c>
      <c r="C26" t="inlineStr">
        <is>
          <t>Bettercomp</t>
        </is>
      </c>
      <c r="D26" t="inlineStr">
        <is>
          <t>linkedin</t>
        </is>
      </c>
      <c r="E26">
        <f>HYPERLINK("https://www.linkedin.com/jobs/view/4355023560", "https://www.linkedin.com/jobs/view/4355023560")</f>
        <v/>
      </c>
      <c r="F26" t="inlineStr"/>
      <c r="G26" t="inlineStr"/>
      <c r="H26" t="inlineStr"/>
      <c r="I26" t="inlineStr">
        <is>
          <t>**About the role** 
 We are seeking a
 **Senior Product Manager \- Core Services** 
 to elevate the technical foundation powering Bettercomp's next phase of growth.
 Our Core Services team owns the shared architecture, services, capabilities and experiences that keep our product teams moving fast. As we scale our customer base and expand what we build, it's time to take these foundational systems further – broadly enabling AI, supporting more sophisticated use cases, and helping our teams move even faster.
 You'll evolve foundational systems like account architecture, roles and permissions, data infrastructure, AI framework, and design components. This work requires deep technical thinking and understanding how teams and customers actually use these capabilities. You'll partner closely with engineering, product, and design to build services that are elegant, scalable, and genuinely useful.
**What you’ll do:** 
* **Evolve and expand core platform capabilities** 
 – design and deliver shared services like account structures, user management, roles \&amp; permissions, authentication and single sign\-on, events \&amp; notifications, and the AI framework that underpins the entire Bettercomp product
* **Drive technical product strategy** 
 – partner with engineering to make smart architectural decisions, balance technical constraints with product needs, and build systems that scale.
* **Enable internal teams** 
 – treat other product teams as your customers. Understand their needs and build capabilities that unlock their roadmaps.
* **Shape product process** 
 – bring your experience with high\-functioning cross\-functional product development to help elevate how the entire team works
* **Balance internal and external needs** 
 – understand what enterprise customers require from platform capabilities while ensuring internal teams can build efficiently on top of your work
**What you bring:** 
* **8\+ years of product management experience** 
 in B2B SaaS, with significant time on platform, shared services, or infrastructure teams
* **Deep technical fluency** 
 – you understand system architecture, APIs, data models, microservices, and technical trade\-offs well enough to be a genuine thought partner with engineers
* **Systems thinking** 
 – you see how pieces fit together, anticipate downstream impacts, and design for flexibility without over\-engineering
* **Experience with multi\-tenant platforms** 
 – you've worked on account structures, user management, permissions, or similar foundational capabilities
* **Internal stakeholder savvy** 
 – you know how to build services that other teams actually want to use, and you've navigated the dynamics of being an internal platform team
* **Product process maturity** 
 – you've seen what good cross\-functional product development looks like and can help others learn from your experience
* **Nice to have:** 
 experience with design systems or common UI components – we value PMs who appreciate both backend architecture and frontend experience
**Why you’ll love it:** 
 This is a chance to
 **take a strong foundation and scale it fully** 
 . You'll work with a nimble, experienced engineering team with momentum and organizational support to invest in core services effectively.
 You'll
 **architect foundational systems with intention** 
 – evolving account structures, permission models, and AI infrastructure that everything else builds on. These systems will get the resources and attention they deserve.
 You'll
 **establish our AI capabilities** 
 from the infrastructure up, working on the patterns and services that enable our entire AI roadmap.
 And you'll work directly with product and engineering leadership to
 **elevate how the team works** 
 – bringing your experience with effective product development to help the entire organization level up.
 Bettercomp is transforming the way companies approach compensation, delivering modern, data\-driven solutions that help organizations streamline pay practices, ensure fairness, and stay competitive. With a growing roster of enterprise clients, including many of the world’s largest companies, we’re redefining how compensation teams work.
 As a fast\-moving startup, we thrive on building what doesn’t yet exist—solving complex problems with creativity, agility, and a bias for action. At Bettercomp, you’ll be part of a forward\-thinking team that values bold ideas, empowers you to take ownership, and provides the support needed to grow your career.
 Our success is driven by exceptional people. We hire top talent and give them the autonomy and space to do their best work. Here, you’ll collaborate with some of the most innovative and driven minds in the industry, tackling compensation’s toughest challenges and shaping the future of HRTech.
**What we offer:** 
* Our fully remote position, based in the U.S., offers you the freedom to work from the comfort of your home, giving you the flexibility you've always wanted.
* Competitive compensation package that includes:
* Base salary range for this position:
 **$150k \- $175k** 
 (annually based on experience and location)
* Equity
* Flexible PTO, generous company holidays
* Comprehensive health, dental, and vision insurance
* 401(k) with company match
*In compliance with federal law, all persons hired will be required to verify identity and eligibility to work in the United States.*</t>
        </is>
      </c>
    </row>
    <row r="27">
      <c r="A27" t="inlineStr">
        <is>
          <t>li-4341015862</t>
        </is>
      </c>
      <c r="B27" t="inlineStr">
        <is>
          <t>Product Manager, Analytics</t>
        </is>
      </c>
      <c r="C27" t="inlineStr">
        <is>
          <t>Tennr</t>
        </is>
      </c>
      <c r="D27" t="inlineStr">
        <is>
          <t>linkedin</t>
        </is>
      </c>
      <c r="E27">
        <f>HYPERLINK("https://www.linkedin.com/jobs/view/4341015862", "https://www.linkedin.com/jobs/view/4341015862")</f>
        <v/>
      </c>
      <c r="F27" t="inlineStr"/>
      <c r="G27" t="inlineStr">
        <is>
          <t>New York, NY</t>
        </is>
      </c>
      <c r="H27" t="inlineStr"/>
      <c r="I27" t="inlineStr">
        <is>
          <t>**Company Description**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We’re looking for a
 **Product Manager** 
 to own and build Tennr’s
 **analytics \&amp; insights** 
 platform, powering real\-time visibility, embedded analytics, self\-service exploration, and actionable insights for every customer across every product. This is the intelligence layer that brings clarity to operations, identifies automation opportunities, quantifies Tennr’s ROI, and ultimately turns data into a tool to reduce patient delays and denials in healthcare.
 As the Analytics PM, you’ll own the vision, strategy, and end\-to\-end execution of Tennr’s customer\-facing analytics, taking it from 0→1 and then 1→scale with clarity, urgency, and ownership of outcomes. You’ll deeply understand customer priorities, uncover high\-leverage signals in operational data, and build modern, intuitive, narrative\-rich data experiences. This is a rare opportunity to build a world\-class analytics layer from the ground up and shape how customers understand, interact with, and improve their healthcare operations through data.
 This is a highly cross\-functional, analytical, and user\-focused role — perfect for someone who loves turning messy, complex data into simple, actionable user experiences. You will partner closely with design, data, engineering, customer success, and other product managers. You should be energized by digging into data, skilled at navigating technical complexity, and ready to serve as the person who ties together customer needs, data realities, and product experience.
**Responsibilities**
* Own and drive the success of Tennr’s analytics \&amp; insights suite, focusing on outcomes and impact and ensuring everything we build delivers substantial value for customers.
* Define the analytics roadmap by leading rigorous product discovery, identifying high\-leverage opportunities, and setting a unified strategy that scales across all Tennr products and customer verticals.
* Build, launch, and iterate on customer\-facing analytics from 0→1 and then 1→scale, ensuring fast learning cycles, high\-quality execution, and a cohesive platform experience.
* Shape Tennr’s data infrastructure by partnering with the Data Platform team to define the right semantic layer and data models needed to power fast, trustworthy insights.
* Drive adoption and commercial success by enabling go\-to\-market teams, shaping the commercial strategy, and ensuring analytics is positioned as a meaningful differentiator for Tennr.
**Candidate Qualifications**
* Product minded: 3\+ years of product management experience, preferably in B2B SaaS, data/analytics products, or workflow/operations tools.
* Proven builder: Proven ability to take ambiguous product ideas from concept to launch and from prototype to revenue, especially in fast\-moving environments.
* Data fluency: Skilled at understanding data structures, defining the metrics that matter, and translating analytical needs into clear requirements for data and engineering teams.
* Highly collaborative: Effective at working across Data, Engineering, Design, Customer Success, and other PMs to drive clarity, alignment, and momentum.
* Design thinking: Skilled at uncovering user needs, synthesizing insights, and translating them into intuitive, interactive data experiences.
* Strong communicator: Able to translate business priorities, customer needs, technical complexity into clear product narratives for executives, customers, and partners.
* Bias to action: Energized to move fast, test ideas, and refine through feedback.
* Ownership mindset: Accountable for outcomes, thrives in low\-structure environments, and comfortable owning strategy and execution.
****Why Tennr?****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New, spacious Chelsea office
* Unlimited PTO
* 100% paid employee health benefit options
* Employer\-funded 401(k) match
* Competitive parental leave
 Compensation Range: $175K \- $190K</t>
        </is>
      </c>
    </row>
    <row r="28">
      <c r="A28" t="inlineStr">
        <is>
          <t>li-4348292025</t>
        </is>
      </c>
      <c r="B28" t="inlineStr">
        <is>
          <t>Senior Product Manager</t>
        </is>
      </c>
      <c r="C28" t="inlineStr">
        <is>
          <t>Compassus</t>
        </is>
      </c>
      <c r="D28" t="inlineStr">
        <is>
          <t>linkedin</t>
        </is>
      </c>
      <c r="E28">
        <f>HYPERLINK("https://www.linkedin.com/jobs/view/4348292025", "https://www.linkedin.com/jobs/view/4348292025")</f>
        <v/>
      </c>
      <c r="F28" t="inlineStr"/>
      <c r="G28" t="inlineStr">
        <is>
          <t>Brentwood, TN</t>
        </is>
      </c>
      <c r="H28" t="inlineStr"/>
      <c r="I28" t="inlineStr">
        <is>
          <t>**Company**
 Compassus
**Position Summary**
 The Senior Product Manager is responsible for modeling the Compassus values of Compassion, Integrity, Excellence, Teamwork, and Innovation and for promoting the Compassus philosophy, using the 6 Pillars of Success as the foundation. S/he is responsible for upholding the Code of Ethical Conduct and for promoting positive working relationships within the company, among all departments, and all external stakeholders. The Senior Product Manager partners with internal stakeholders to identify and execute opportunities using data and analytics. S/he is responsible for end\-to\-end reporting product lifecycle management.
**Position Specific Responsibilities**
* Partners with the business to identify data, analytics, and reporting use cases, scope, objectives, and desired results
* Provides subject matter expertise on assigned areas bridging the gap between business functional requirements and technology solutions
* Solution ideation
* Owns reporting product development from concept to launch and maintenance
* Elicits, defines, and documents reporting product requirement specifications including translating features into user stories and acceptance test criteria
* Partners with stakeholders to design the user interface and user experience
* Works with cross\-functional teams and various stakeholders, data engineering, and end users during the product development lifecycle
* Collaborates with data engineering and report developers to identify and source data
* Creates prototypes, mockups, defines measures \&amp; calculations
* Conducts user acceptance testing
* Provides end user training
* Monitors product utilization, performance and identifies areas for improvement
* Follows principles of Agile and Scrum including iterative development, continuous feedback, collaboration, flexibility, and delivery of incremental value
* Conducts sprint planning, roadmap planning, backlog grooming, prioritization refinement, outlines milestones and deliverables, and identifies opportunities and risks
* Drives data governance through Compassus data governance framework including the Compassus Business Glossary, Governance Council, and SDLC
* Maintains data quality, security, and integrity
* Performs other duties as assigned
**Education And/or Experience**
* Bachelor's degree in Project Management, Business, Communications, Business Intelligence, Information Technology, Mathematics, Computer Science, or related field required.
* MBA in Business, Project Management, Communications or related field preferred.
* Ten (10\) plus years or equivalent combination of education and experience in a related role strongly preferred.
* Experience across the data development lifecycle including requirements gathering through report creation and analysis required. Experience working with technical developers who produce data visualizations, charts, graphs, tables, conditional formatting etc. required.
* Proven track record of delivering data\-driven solutions in complex environments.
* Working knowledge of the implementation and optimization of clinical information systems, including an electronic medical record. Experience with system interfaces preferred.
* Experience in healthcare (Home Health, Hospice, Home Infusion therapies and/or Palliative care) preferred.
**Skills**
* Mathematical Skills: Ability to add, subtract, multiply, and divide in all units of measure, using whole numbers, common fractions, and decimals. Ability to compute rate, ratio, and percentage.
*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leaders, team members, investors, and external parties. High level of competence in oral and written communications, including proper grammar, executive\-level communication experience, and giving presentations in PowerPoint.
* Other Skills and Abilities: Ability to understand, read, write, and speak English. Articulates and embraces integrated healthcare at home philosophy. Ability to build, maintain, and manage highly funjctional relationships with internal stakeholders. Proven ability to manage meetings, project timelines, and agendas. Must have a high degree of self \-management with a demonstrated ability to drive projects from inception through completion. Demonstrated ability to drive efficiency and automation (e.g. self\-service reporting, automated reports, efficient touch\-free processes). Ability to source data from a warehouse. Ability to create data models.
* Other Skills and Abilities: Ability to convey complex ideas, data insights, and requirements in a simple, understandable manner. Understanding stakeholder needs and addressing concerns effectively. Presenting data and reporting outcomes in a compelling narrative to influence decision \-making. Work with analytics, engineering, UX, and business teams. Navigating disagreements to maintain alignment and team harmony. Understanding and valuing the perspective and challenges of others. Evaluating data and stakeholder input to make informed decisions. Adjusting to shifting priorities and unexpected challenges. Anticipating potential issues and proactively developing solutions. Articulating a clear product vision that inspires and aligns teams. Balancing the priorites and expectations of diverse stakeholders. Advocating for product needs while aligning with organizational goals. Balancing competing tasks and focusing on high\-impact activities. Ensuring accuracy in reporting requirements and deliverables. Delivering on time with compromising quality. Recognizing and managing personal emotions effectively. Building strong relationships across teams and leadership levels. Understanding end\-user needs to create impactful reporting solutions. Actively seeking and incorporating user feedback into product development. Aligning product roadmaps with organizational goals. Using insights to guide strategy and feature prioritization.
* Other Skills and Abilities: Deep understanding of reporting tools, BI platforms (Microsoft Power BI, Tableau or equivalent), and data visualization best practices. A working knowledge of SQL, data modeling, data warehousing concepts is a plus. Experience with Agile methodologies and tools such as Jira, Confluence, or similar.
**Certifications, Licenses, and Registrations**
* Project Management Professional, Lean, and/or Six Sigma certification preferred.
**Physical Demands and Work Environment:** 
 The demands of this role necessitate a team member to effectively perform essential functions. Adaptations can be made to accommodate team members with disabilities. Regular standing, walking, and manual dexterity are fundamental, along with the ability to lift and move objects up to 25 pounds. Visual acuity requirements include close and distance vision, color and peripheral vision, depth perception, and the ability to adjust focus. This description provides a general overview and may vary by role and department, capturing the nuanced demands and conditions inherent to positions in our organization.
 At Compassus, including all Compassus affiliates, diversity, equity, and inclusion are fundamental to our Pillars of Success. We are committed to creating a fair work environment where our team members feel welcomed, highly valued, and respected. As an equal opportunity employer, all qualified applicants will receive consideration for employment without regard to race, color, religion, gender, gender identity or expression, sexual orientation, national origin, genetics, disability, age, or veteran status.
**Build a Rewarding Career with Compassus**
 At Compassus, we care for our team members as much as we care for our patients and their families. Through our Care for Who I Am culture, we show compassion, respect, and appreciation for every individual. Embark on a career that cares for you while you care for others.
**Your Career Journey Matters**
 We’re dedicated to helping you grow and succeed. Whether you’re pursuing leadership roles, specialized training, or exploring new career paths, we provide the tools and support you need to thrive.
**The Compassus Advantage**
* Meaningful Work: Make an impact every day by honoring the quality of life of our patients, supporting them and their families with compassion, and creating moments that truly matter.
* Career Development: Access leadership pathways, mentorship, and personalized professional development.
* Innovation Meets Compassion: Collaborate with a supportive team using the latest tools and technologies to deliver exceptional care.
* Enhanced Benefits: Enjoy competitive pay, flexible time off, tuition reimbursement, and wellness programs designed for your well\-being.
* Recognition and Support: Be celebrated for your contributions through recognition programs that honor your dedication.
* A Culture of Belonging: Thrive in a culture where you can be your authentic self, valued for your unique contributions and supported in a community that embraces diversity and inclusion.
**Ready to Join?**
 At Compassus, your career is more than a job—it’s an opportunity to make a lasting impact. Take the next step and join a team that empowers you to grow, innovate, and thrive.</t>
        </is>
      </c>
    </row>
    <row r="29">
      <c r="A29" t="inlineStr">
        <is>
          <t>li-4355083014</t>
        </is>
      </c>
      <c r="B29" t="inlineStr">
        <is>
          <t>Product Manager (Healthcare/Revenue)</t>
        </is>
      </c>
      <c r="C29" t="inlineStr">
        <is>
          <t>Conexess Group</t>
        </is>
      </c>
      <c r="D29" t="inlineStr">
        <is>
          <t>linkedin</t>
        </is>
      </c>
      <c r="E29">
        <f>HYPERLINK("https://www.linkedin.com/jobs/view/4355083014", "https://www.linkedin.com/jobs/view/4355083014")</f>
        <v/>
      </c>
      <c r="F29" t="inlineStr"/>
      <c r="G29" t="inlineStr">
        <is>
          <t>Livonia, MI</t>
        </is>
      </c>
      <c r="H29" t="inlineStr"/>
      <c r="I29" t="inlineStr">
        <is>
          <t>**Job Overview:**
 We are seeking a highly skilled and experienced Healthcare Product Manager to join our team. The ideal candidate will have a strong background working within large health systems, with extensive experience in enterprise implementations. Previous knowledge of revenue cycle product/application management is highly beneficial. This individual will be responsible for overseeing the development, implementation, and optimization of healthcare products, ensuring they meet the needs of both internal and external stakeholders. The Healthcare Product Manager will collaborate with cross\-functional teams to drive the success of the product lifecycle, from ideation through deployment.
**Key Responsibilities:**
* Product Strategy \&amp; Development: Lead the development of healthcare products by defining product vision, goals, and roadmaps. Ensure alignment with overall organizational goals, customer needs, and industry trends.
* Stakeholder Management: Work closely with clinical, operational, and technical stakeholders across large health systems to ensure product requirements are gathered, understood, and prioritized.
* Enterprise Implementations: Manage the full lifecycle of enterprise healthcare product implementations, ensuring smooth integration with existing systems and workflows within large healthcare organizations.
* Revenue Cycle Expertise: Utilize knowledge of revenue cycle processes to drive the optimization of product features and capabilities that improve billing, coding, claims management, and reimbursement processes.
* Cross\-functional Collaboration: Collaborate with engineering, design, marketing, and customer success teams to ensure the timely delivery of product features and enhancements.
* Product Lifecycle Management: Monitor product performance post\-launch, gather feedback, and work on continuous improvements through regular updates and feature enhancements.
* Market \&amp; Competitive Analysis: Conduct research on market trends, customer needs, and competitive products to help drive product innovation and ensure offerings remain competitive.
* Compliance \&amp; Regulatory Requirements: Ensure that products adhere to healthcare regulations, including HIPAA, HITECH, and other relevant industry standards.
* Training \&amp; Support: Provide training and support to internal teams and clients on product functionalities, features, and best practices.
**Qualifications:** 
* Education: Bachelor's degree in Healthcare Administration, Business Administration, Information Technology, or a related field. Master's degree is a plus.
* Experience:
+ Minimum of 5 years of experience in product management, with a focus on healthcare products or applications.
+ Significant experience working within large healthcare systems (hospitals, health systems, or healthcare providers).
+ Proven track record of managing enterprise\-level product implementations, preferably in the healthcare sector.
+ Strong background in revenue cycle management, including experience with billing, coding, claims management, and reimbursement processes.</t>
        </is>
      </c>
    </row>
    <row r="30">
      <c r="A30" t="inlineStr">
        <is>
          <t>li-4351714880</t>
        </is>
      </c>
      <c r="B30" t="inlineStr">
        <is>
          <t>Product Manager</t>
        </is>
      </c>
      <c r="C30" t="inlineStr">
        <is>
          <t>Underdog.io -Apply to top tech jobs in 60 seconds. A place where companies apply to you</t>
        </is>
      </c>
      <c r="D30" t="inlineStr">
        <is>
          <t>linkedin</t>
        </is>
      </c>
      <c r="E30">
        <f>HYPERLINK("https://www.linkedin.com/jobs/view/4351714880", "https://www.linkedin.com/jobs/view/4351714880")</f>
        <v/>
      </c>
      <c r="F30">
        <f>HYPERLINK("https://underdog.io/candidates/apply&amp;urlHash=eOE4", "https://underdog.io/candidates/apply&amp;urlHash=eOE4")</f>
        <v/>
      </c>
      <c r="G30" t="inlineStr"/>
      <c r="H30" t="inlineStr"/>
      <c r="I30"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31">
      <c r="A31" t="inlineStr">
        <is>
          <t>li-4362322866</t>
        </is>
      </c>
      <c r="B31" t="inlineStr">
        <is>
          <t>Product Manager, Flight Operations Technology</t>
        </is>
      </c>
      <c r="C31" t="inlineStr">
        <is>
          <t>BOND</t>
        </is>
      </c>
      <c r="D31" t="inlineStr">
        <is>
          <t>linkedin</t>
        </is>
      </c>
      <c r="E31">
        <f>HYPERLINK("https://www.linkedin.com/jobs/view/4362322866", "https://www.linkedin.com/jobs/view/4362322866")</f>
        <v/>
      </c>
      <c r="F31" t="inlineStr"/>
      <c r="G31" t="inlineStr">
        <is>
          <t>Fort Lauderdale, FL</t>
        </is>
      </c>
      <c r="H31" t="inlineStr"/>
      <c r="I31" t="inlineStr">
        <is>
          <t>**Company Description** 
 BOND is redefining fractional aircraft ownership through technology\-driven operations and exceptional customer service. We're scaling rapidly over the next three years—and building the technology foundation to support 24/7 mission\-critical flight operations. Our tech stack combines best\-in\-class SaaS platforms with custom\-built solutions to deliver a seamless experience for aircraft owners and flight crews alike.
**The Opportunity:** 
 We're hiring our first dedicated Product Manager for Flight Operations Technology to own the end\-to\-end implementation of our flight operations platform and supporting systems. This is a foundational role: you'll define the product requirements, lead vendor implementations, and help define the operational technology backbone that powers every BOND flight.
 You'll work at the intersection of aviation operations and technology, translating complex operational workflows into system requirements and ensuring our technology investments deliver real operational value. If you've spent years in private aviation wishing the technology was better, this is your chance to help build it.
**Qualifications** 
**Required:** 
* 5\+ years of product management experience in aviation technology or flight operations software
* Direct experience with private aviation operations: Part 135 charter, fractional ownership, or aircraft management
* Deep familiarity with flight operations workflows: scheduling, dispatch, crew management, maintenance coordination
* Track record of successful SaaS platform implementations in aviation environments
* Strong technical acumen: ability to define integration requirements, understand APIs, and collaborate with engineering
* Excellent stakeholder management: able to translate between technical teams and operational users
* Experience writing PRDs, user stories, and implementation roadmaps
**Strongly Preferred** 
* Prior experience at Portside, FL3XX, Avinode, or similar aviation technology companies
* Experience with charter/fractional operators: NetJets, Flexjet, Wheels Up, XO, Sentient, or similar
* Familiarity with aviation regulations (Part 91, Part 135\) and their operational implications
* Experience with adjacent systems: NetSuite, Salesforce, Databricks, or similar enterprise platforms
* Background in operations, dispatch, or crew scheduling (operational experience is a plus)
**Nice to Have** 
* Pilot certificate or aviation maintenance background
* Experience with AI/ML applications in scheduling or operations optimization
* Startup or high\-growth company experience</t>
        </is>
      </c>
    </row>
    <row r="32">
      <c r="A32" t="inlineStr">
        <is>
          <t>li-4346142582</t>
        </is>
      </c>
      <c r="B32" t="inlineStr">
        <is>
          <t>Principal Technical Product Manager</t>
        </is>
      </c>
      <c r="C32" t="inlineStr">
        <is>
          <t>Blue Origin</t>
        </is>
      </c>
      <c r="D32" t="inlineStr">
        <is>
          <t>linkedin</t>
        </is>
      </c>
      <c r="E32">
        <f>HYPERLINK("https://www.linkedin.com/jobs/view/4346142582", "https://www.linkedin.com/jobs/view/4346142582")</f>
        <v/>
      </c>
      <c r="F32">
        <f>HYPERLINK("https://blueorigin.wd5.myworkdayjobs.com/en-US/BlueOrigin/job/Greater-Seattle-Area/Principal-Technical-Product-Manager_R56987?source=LinkedIn&amp;urlHash=cnY3", "https://blueorigin.wd5.myworkdayjobs.com/en-US/BlueOrigin/job/Greater-Seattle-Area/Principal-Technical-Product-Manager_R56987?source=LinkedIn&amp;urlHash=cnY3")</f>
        <v/>
      </c>
      <c r="G32" t="inlineStr"/>
      <c r="H32" t="inlineStr"/>
      <c r="I32"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As a Principal Technical Product Manager, you will build Blue Origin’s next generation of manufacturing and supply chain systems, powering our mission to radically reduce the cost of access to space. Achieving this mission requires technology leaders who can radically rethink how we operate, whether this means simplifying our production planning, automating work on the factory floor, or augmenting our manufacturing and engineering decisions with artificial intelligence. You will be instrumental in defining a multi\-year software strategy to accelerate Blue’s operating throughput, while ensuring regulatory compliance and driving continuous process improvement. You will collaborate with cross\-functional teams including software engineering, manufacturing operations, supply chain, product design, user experience, Enterprise Resource Planning (ERP), Product Lifecycle Management (PLM) and information technology to build a world class operations management suite. And, you will be responsible for end\-to\-end product lifecycle, from ideation to implementation and beyond.
 We are looking for someone to apply their technical expertise, leadership skills, and commitment to quality to positively impact safe human spaceflight. Passion for our mission and vision is required!
**Special Mentions**
* Relocation provided.
* Travel expected up to 25% of the time
**Responsibilities Include But Are Not Limited To**
* Product Vision \&amp; Strategy: Develop a multi\-year product vision that shapes company objectives, secures executive buy\-in, and enables Blue Origin to meet our ambitious goals for production and launch.
* Roadmap Management: Develop and manage a 12–18\-month plan spanning technology areas, aligning resources, milestones, and mitigation paths while resolving cross\-business conflicts.
* Influence \&amp; Execution: Drive decisions with leaders of core business functions and top executives at Blue Origin. Align resources across the company to deliver on goals.
* Customer\-Backed Innovation: Deploy iterative prototyping, testing, and scaling to deliver simple, high\-value solutions to complex problems, continuously validated by broad customer feedback and data.
* Strategic Technical Leadership: Influence technical decisions and end\-state architectures for entire domains, evaluating emerging technologies for durable business value.
* Data\-Driven Decisions: Define and implement metrics and frameworks to guide investments and measure success of product launches. Communicate insights crisply to leadership.
* Release \&amp; Change Management at Scale: Lead strategic risk mitigation and readiness activities to ensure smooth roll\-outs and measurable impact across multiple organizations.
* Continuous Improvement \&amp; Tooling Innovation: Deploy new tools and methodologies—such as AI and advanced analytics—to boost productivity and codify best practices company\-wide.
* Stakeholder Communication Excellence: Produce high\-impact narratives and reviews that drive key decisions and keep executives aligned on progress, risks, and next steps.
**Minimum Qualifications**
* Education: Bachelor’s degree in Business, Engineering or a related field. MBA preferred.
* Experience: 8\+ years of product management experience. Proven track record of managing products through their entire lifecycle from conception to launch and scale.
* Agile/Scrum/Lean Expertise: Strong experience with Lean, Agile, and Scrum methodologies, and proficiency with tools like JIRA and Confluence. Demonstrated ability to lead agile development processes.
* Technical Acumen: Experience working closing with UX design and software engineering teams. Ability to understand and discuss technical concepts, make trade\-offs, and evaluate new ideas.
* Analytical Skills: Strong analytical and quantitative skills; ability to leverage data for decision\-making and product prioritization.
* Communication Skills: Excellent communication and presentation skills, with the ability to convey complex ideas to both technical and non\-technical audiences.
* Leadership: Demonstrated ability to lead and influence cross\-functional teams without direct authority. Strong organizational and leadership skills.
* Customer\-Centric: Strong customer empathy and a passion for building products that deliver exceptional customer experiences.
**Preferred Qualifications**
* Experience with Aerospace software development processes and frameworks.
* Experience with manufacturing, warehouse, logistics or supply chain systems.
**Compensation Range For**
 WA applicants is $197,849\.00 \- $276,987\.90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33">
      <c r="A33" t="inlineStr">
        <is>
          <t>li-4362423167</t>
        </is>
      </c>
      <c r="B33" t="inlineStr">
        <is>
          <t>Technical Product Owner</t>
        </is>
      </c>
      <c r="C33" t="inlineStr">
        <is>
          <t>JPS Tech Solutions</t>
        </is>
      </c>
      <c r="D33" t="inlineStr">
        <is>
          <t>linkedin</t>
        </is>
      </c>
      <c r="E33">
        <f>HYPERLINK("https://www.linkedin.com/jobs/view/4362423167", "https://www.linkedin.com/jobs/view/4362423167")</f>
        <v/>
      </c>
      <c r="F33" t="inlineStr"/>
      <c r="G33" t="inlineStr">
        <is>
          <t>Blue Bell, PA</t>
        </is>
      </c>
      <c r="H33" t="inlineStr"/>
      <c r="I33" t="inlineStr">
        <is>
          <t>**Job Category:** 
 Technical Product Owner
**Job Type:** 
 Onsite
**Job Location:** 
 Blue Bell Pennsylvania
**Compensation:** 
 Depends on Experience
**W2:** 
 W2\-Contract Only; Kindly note that applications on a C2C basis will not be considered for this role.
**C2C:** 
 Contract \- W2
**Job Description**
**Job Description:**
 The Technical Product Owner is responsible for driving solution definitions that support business ideas and product concepts at a team and program level through gathering and translating testable requirements into application software solution requirements. They have deep knowledge of domain and strong experience in collaborating with diverse teams including product managers, software developers, testers, and teams such as Client Services, Operations, Clinical, Data Science, and Marketing.
 Apply Online
 Your Name \*
 Your Phone Number \*
 Your Email Address \*
 Job Id \*
 JPS\-5139
 What is your current visa status? \*
 Select
 Enter Other Valid Visa
 W2 or C2C \*
 Select
 Where are you currently located at? \*
 How many years of relevant experience you have? \*
 Do you require h1b sponsorship? \*
 Select
 Upload Resume \*
 Choose a file
 No file chosen.
 Facebook X LinkedIn WhatsApp</t>
        </is>
      </c>
    </row>
    <row r="34">
      <c r="A34" t="inlineStr">
        <is>
          <t>li-4313089376</t>
        </is>
      </c>
      <c r="B34" t="inlineStr">
        <is>
          <t>Senior Product Manager</t>
        </is>
      </c>
      <c r="C34" t="inlineStr">
        <is>
          <t>Sony</t>
        </is>
      </c>
      <c r="D34" t="inlineStr">
        <is>
          <t>linkedin</t>
        </is>
      </c>
      <c r="E34">
        <f>HYPERLINK("https://www.linkedin.com/jobs/view/4313089376", "https://www.linkedin.com/jobs/view/4313089376")</f>
        <v/>
      </c>
      <c r="F34" t="inlineStr"/>
      <c r="G34" t="inlineStr">
        <is>
          <t>Culver City, CA</t>
        </is>
      </c>
      <c r="H34" t="inlineStr"/>
      <c r="I34" t="inlineStr">
        <is>
          <t>**Sony Corporation of America** 
 , located in New York, NY, is the U.S. headquarters of Sony Group Corporation, based in Tokyo, Japan. Sony's principal U.S. businesses include Sony Electronics Inc., Sony Interactive Entertainment LLC, Sony Music Entertainment, Sony Music Publishing and Sony Pictures Entertainment Inc. With some 900 million Sony devices in hands and homes worldwide today, a vast array of Sony movies, television shows and music, and the PlayStation Network, Sony creates and delivers more entertainment experiences to more people than anyone else on earth. To learn more:
 **www.sony.com/en** 
 .
**Position Summary**
 Sony Corporation of America (SCA), is seeking a highly qualified Senior Product Manager to join the Digital Transformation (DX) group based in Culver City CA.
 The Digital Transformation Office Our Digital Transformation Office pioneers innovative and highly impactful product solutions that span the globe, serving the diverse Sony Group ecosystem.
 Our DX Product Management team builds a global data exchange and activation platform that seamlessly integrates first\-party data from diverse sources across Sony Group Companies. This platform empowers advanced data analytics for strategic decision\-making, enables large\-scale machine learning scenarios such as forecasting, classification, and marketing automation, and drives data activation—turning insights into impactful actions that enhance customer engagement and business performance.
 In this role, you'll be at the forefront of AI innovation and data productization. We're seeking a strategic thinker and execution champion who thrives on turning visionary concepts into scalable, market\-ready solutions that advance Sony's global digital transformation. The ideal candidate will bring a proven record of influencing a variety of members in cross\-functional, global environments.
**This position is a hybrid role requiring 3 days on\-site in the Culver City Office.**
**Job Responsibilities**
* Lead Product Vision \&amp; Strategy: Define and execute a customer\-centric strategy for a global\-scale data platform that enables secure, compliant, and frictionless data activation across markets.
* Drive Global Roadmap : Prioritize and deliver product features and enhancements based on business impact, technical feasibility, and ROI—working closely with global engineering, design, and operations teams.
* Translate Strategy into Action: Define detailed product requirements that balance scalability, regulatory needs, and user experience, enabling seamless data access and integration.
* User Experience (UX) \&amp; Insight: Champion a user\-centric approach by analyzing user behavior and feedback, collaborating with design teams, and leveraging analytics to continuously improve product experience.
* Market Analysis: Track emerging technologies, market shifts, and regional regulatory changes to identify opportunities for innovation and differentiation.
* Lead Cross\-Functional Collaboration: Partner with global stakeholders, including Engineering, Data Governance, Security, and Compliance to ensure alignment, accountability, and timely delivery.
* Measuring Product Success: Define and track global KPIs for adoption, engagement, and impact; analyze performance data to guide prioritization and optimization.
**Qualifications For Position**
**Your qualifications and experience should include:** 
* Bachelor’s degree in Computer Science, Engineering, Data Science, Mathematics, Business, or a related field.
* Advanced degree (MBA or MS in Computer Science) preferred for strategic and technical depth.
* 10\+ years of product management experience, including significant experience leading global\-scale data or platform products.
* Global Platform Strategy \&amp; Economics: Demonstrated understanding of platform economics, cost optimization, pricing models, and scalable operations across multiple markets.
* Proven Product Leadership: Track record of successfully launching and scaling global\-scale, data\-driven products—simplifying data access, integration, and activation while ensuring compliance and security.
* Technical Fluency: Ability to engage effectively with engineering teams, understand architectural trade\-offs, and drive technical prioritization for global delivery.
* AI\-Driven Innovation: Demonstrated understanding of how to leverage AI and data analytics to enhance product value, optimize processes, and drive informed decision\-making.
* Strategic \&amp; Analytical Thinking: Uses data, experimentation, and global market insights to shape product direction and measure impact.
* Excellent Communication \&amp; Collaboration: Able to influence and partner with cross\-functional teams globally to drive strategy and deliver results.
* Ownership \&amp; Accountability: Demonstrates strong ownership in ideating, defining, and delivering global\-scale solutions that provide exceptional experiences for users, drive business value, and ensure secure, compliant, and scalable outcomes.
* Adaptability \&amp; Growth Mindset: Thrives in a dynamic, fast\-paced global environment; continuously learns and iterates to deliver innovative, high\-impact solutions.
* Cross\-Cultural Collaboration: Experienced in working within diverse, cross\-cultural environments across multiple countries, fostering mutual understanding and global team alignment.
 In addition to competitive pay and benefits, we offer an environment and culture that promotes Diversity, Equity, and Inclusion. We are committed to creating an inclusive employee experience for you to thrive as part of Sony’s purpose to “fill the world with emotion through the power of creativity and technology.”
**Benefits:** 
 SCA offers benefits\-eligible employees (generally regular employees scheduled to work 20 or more hours a week) a comprehensive benefits program that offers coverage and support for employees and their family’s physical, emotional, and financial well\-being.
**What we offer you:** 
* Comprehensive medical, prescription drug, dental, and vision coverage with coverage for spouses/domestic partners and child dependents, including access to a Health Savings Account (HSA) and Flexible Spending Account (FSA)
* Employee assistance plan and comprehensive behavioral health benefits
* Fertility benefits, including, surrogacy, and adoption assistance programs
* Basic and supplemental life insurance for employees as well as supplemental life insurance coverage for their spouses/domestic partners and children
* Voluntary benefits such as group legal, identity theft protection, accident, and hospital indemnity insurance
* Short\-term \&amp; long\-term disability plans
* Up to 12 weeks of paid parental and caregiver leave
* 401(k) Plan with pre\-tax, Roth, and after\-tax options and company match with v immediate vesting
* Education assistance and student loan programs
**Other Programs:** 
* Flexible Work Arrangements, including remote and hybrid work schedules
* Time off to include vacation, paid holidays, sick leave, Summer Fridays (early release), and a winter break between Christmas and New Year’s Day (based on business needs)
* Referral bonuses (subject to eligibility)
* Matching gift program
* A wide variety of employee business resource groups (EBRGs)
* Special discounts on Sony products, offered exclusively to Sony employees
* Employee stock purchase plan (Sony covers commissions and fees for your Sony stock purchases made through after\-tax payroll deductions)
*The anticipated annual base salary for this position is $160,000 to $180,000\. In addition to the annual base salary, this role has an annual bonus target of 17%.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SCA will consider qualified applicants with arrest or conviction records in accordance with applicable law.
 All qualified applicants will receive consideration for employment without regard to any basis protected by applicable federal, state, or local law, ordinance, or regulation.
**Disability Accommodation for Applicants to Sony Corporation of America**
 Sony Corporation of America provides reasonable accommodation for qualified individuals with disabilities and disabled veterans in job application procedures. For reasonable accommodation requests, please contact us by email at careers@sonyusa.com or by mail to: Sony Corporation of America, Human Resources Department, 25 Madison Avenue, New York, NY 10010\. Please indicate the position you are applying for.
 We are aware that unauthorized individuals or organizations may attempt to solicit personal information or payments from job applicants by impersonating our company through fraudulent job postings. We take these matters seriously but cannot control third\-party websites. To protect your personal information, please verify that any job posting you respond to also appears on our official Careers page: www.sonyjobs.com. Please also be advised that we never request personal identifying information (such as Social Security numbers, bank details, or copies of identification documents) during the initial stages of our application process. If you have any doubts about the authenticity of a job posting or communication, please contact careers@sonyusa.com before submitting any information.
 Right to Work (English/Spanish)
 E\-Verify Participation (English/Spanish)</t>
        </is>
      </c>
    </row>
    <row r="35">
      <c r="A35" t="inlineStr">
        <is>
          <t>li-4316671957</t>
        </is>
      </c>
      <c r="B35" t="inlineStr">
        <is>
          <t>Product Manager</t>
        </is>
      </c>
      <c r="C35" t="inlineStr">
        <is>
          <t>Arena</t>
        </is>
      </c>
      <c r="D35" t="inlineStr">
        <is>
          <t>linkedin</t>
        </is>
      </c>
      <c r="E35">
        <f>HYPERLINK("https://www.linkedin.com/jobs/view/4316671957", "https://www.linkedin.com/jobs/view/4316671957")</f>
        <v/>
      </c>
      <c r="F35" t="inlineStr"/>
      <c r="G35" t="inlineStr">
        <is>
          <t>New York, United States</t>
        </is>
      </c>
      <c r="H35" t="inlineStr"/>
      <c r="I35" t="inlineStr">
        <is>
          <t>**Who We Are**
 Our name is inspired by Theodore Roosevelt’s ‘Citizenship in a Republic’ speech, which pays homage to the ‘(hu)man in the Arena’. To us, entering the Arena means committing oneself fully and accepting the risk of failure in the pursuit of an audacious, worthy cause.
 We’re a close\-knit team of scientists and builders redefining the future of hardware engineering. If you share our passion for delving deep into real\-world problems and solving them with fully autonomous AI, join us in the Arena.
**What We Do**
 Our collective future is being built in the physical world, but the builders of tomorrow’s technology can no longer rely on yesterday’s tools. At Arena, we’re building the world’s first AI industrial engineer designed to solve the most complex hardware and manufacturing challenges. Our product, Atlas, is built with an understanding of the behavior of physical systems, powered by a superior knowledge of core domains of physics. Paired with its ability to reason about multimodal industrial data, Atlas can test, debug, optimize, and repair physical systems and products in the real world. Arena is already trusted by some of the most advanced industrial companies in the world (AMD, Bausch \&amp; Lomb), and we're rapidly already scaling into the defense, automotive, and aerospace industries, and we’re just getting started.
**About The Role**
 As a Product Manager, you will drive the build of new Atlas platform features from 0 to 1, collaborating closely with members of Arena's engineering, forward deployed, and GTM teams. Working on fast timelines, you'll conduct user research and translate insights into product specs. You'll embed deeply with customers and spend significant time with users for new feature discovery, usability testing, and feedback sessions.
 This is a unique opportunity to gain hands\-on experience driving innovation across some of the world's most vital industries—ideal for those aspiring to become founders or product leaders.
**How You Will Contribute**
**Launch new platform features** 
 \- Drive the end\-to\-end launch of new platform features, from concept to release. Partner closely with design and engineering to define requirements, guide development, and ensure smooth implementation and successful launch.
**Drive feature adoption** 
 \- Drive feature adoption by partnering with deployment strategists during rollouts, gathering user feedback, and conducting onsite research to understand workflows and identify improvement opportunities.
**Manage Product Backlog** 
 \- Prioritize features, write tickets, and drive sprint planning with engineering leadership.
**Travel domestically and internationally** 
 (up to 30% of your time)
**Work in person at Arena's NYC headquarters** 
 when not traveling
**You Have**
* 5\+ years of professional experience in product management, experience in AI or hardware\-adjacent industries preferred
* Full\-stack technical literacy \- you are comfortable discussing technical architectures, APIs, AI agents, and system design to work effectively with our engineering team, and have a degree is Computer Science
* Proven product execution \- you’ve shipped impactful features from 0 to 1 and driven user adoption. You’ve led prioritization and roadmap trade\-offs, aligned design and engineering on clear goals, and executed end\-to\-end from concept to launch with measurable results.
* Platform thinking \- strong ability to understand how platform features create value across multiple use cases and customer segments
* Excellent communication \- you can write clear PRDs, present roadmaps to stakeholders, and facilitate cross\-functional alignment across engineering, design, and GTM teams
**Benefits \&amp; Perks Include**
* 100% of the monthly premium for Aetna medical insurance, plus vision and dental coverage
* 401(k) Retirement Plan
* Unlimited PTO
* Lunch every day from local restaurants via Sharebite
* Relocation support provided
*The base salary range for this position is $150,000 \- $230,000 yr. However, base pay offered may vary depending on job\-related knowledge, skills, and experience. In addition to base salary, we also offer competitive equity and benefits packages.*</t>
        </is>
      </c>
    </row>
    <row r="36">
      <c r="A36" t="inlineStr">
        <is>
          <t>li-4340787680</t>
        </is>
      </c>
      <c r="B36" t="inlineStr">
        <is>
          <t>Product Manager, Platform</t>
        </is>
      </c>
      <c r="C36" t="inlineStr">
        <is>
          <t>Learning Commons</t>
        </is>
      </c>
      <c r="D36" t="inlineStr">
        <is>
          <t>linkedin</t>
        </is>
      </c>
      <c r="E36">
        <f>HYPERLINK("https://www.linkedin.com/jobs/view/4340787680", "https://www.linkedin.com/jobs/view/4340787680")</f>
        <v/>
      </c>
      <c r="F36">
        <f>HYPERLINK("https://job-boards.greenhouse.io/education/jobs/7435345?gh_src=48jjb80c1us&amp;urlHash=wQ9o", "https://job-boards.greenhouse.io/education/jobs/7435345?gh_src=48jjb80c1us&amp;urlHash=wQ9o")</f>
        <v/>
      </c>
      <c r="G36" t="inlineStr">
        <is>
          <t>Redwood City, CA</t>
        </is>
      </c>
      <c r="H36" t="inlineStr"/>
      <c r="I36" t="inlineStr">
        <is>
          <t>Learning Commons is Mark Zuckerberg and Priscilla Chan’s education initiative, which aims to scale proven teaching and learning practices to benefit every learner. Learning Commons became the name of our education efforts in 2025 to build on the Chan Zuckerberg Initiative’s work over the past decade to advance learning science and help translate that research into classroom practice.
 The Team
 At Learning Commons, we pair technology with grantmaking to scale proven teaching and learning practices to benefit every learner. We aim to translate what learning science tells us about how students learn best into classroom practice. With the advent of generative AI, that translation work can be accelerated and scaled to have a greater impact.
 Our mission is to bring learning science into the tools used every day by teachers and students, ensuring that technology reflects the realities of classrooms and strengthens teaching and learning.
 In today’s fragmented edtech landscape, school districts are often left piecing together products that don’t always align with curricula or instructional needs. While AI holds enormous potential to support educators, it can only deliver on that promise when grounded in research, high\-quality educational data, and expert evaluation. That’s why we’re building open, public\-purpose infrastructure — datasets, rubrics, and resources — that help raise the standard for educational tools and create more consistent, impactful learning experiences for all students and teachers.
 At our core, we are builders, and our unique builder philanthropy approach is what sets us apart from other education funders. Take a closer look at the highlights and significant milestones of CZI’s first eight years of education work.
 The Opportunity
 Educators are already using AI\-based tools in various ways—including generating lesson plans, creating classroom materials such as tests and assignments, and helping differentiate instruction for students. At Learning Commons, we are inspired and excited about the possibilities and promise of AI to accelerate the availability of research\-backed practices at scale. We are actively and thoughtfully exploring how to incorporate AI into products in close partnership with researchers, experts, and educators.
 As a Product Manager, Platform on the AI Developer Tools team, you will join our Core Platform team at a pivotal moment—as we launch our MVP Developer Platform to support our AI\-powered developer tools ecosystem. You'll be the product partner for a high\-performing engineering team (1 EM, 1 Tech Lead, 4 Engineers) that has strong agile practices and is now focused on building critical platform infrastructure. This is a ground\-floor opportunity to shape platform strategy from MVP to scale, working on foundational capabilities like Identity/Authentication/Authorization, API Gateways, MCP server, and observability. You'll balance technical platform health with velocity, ensuring internal teams (Knowledge Graph, Evaluators, Developer Experience) can ship quickly without being blocked. This role offers hands\-on platform PM experience and clear growth opportunities as the platform scales.
 What You'll Do
* Execute platform roadmap and sprint planning – Prioritize platform features and technical investments based on internal customer needs, working closely with engineering to plan and execute 2\-week sprints using agile methodologies
* Build strong internal customer relationships – Conduct regular discovery sessions with Knowledge Graph, Evaluators, and Developer Experience teams to understand their platform needs, gather feedback on MVP features, and iterate rapidly
* Ship platform capabilities iteratively – Launch and refine Identity/Auth, API Gateway, MCP server, and observability features through frequent releases; track adoption and identify blockers to internal team migration
* Define platform success metrics and SLAs – Establish metrics for platform health, reliability, adoption, and internal customer satisfaction; create service level expectations and support processes for platform issues
* Enable cross\-team platform adoption – Collaborate with 5 product managers across the organization to ensure platform capabilities meet their needs; document APIs, auth flows, and platform services for internal consumption
 What You'll Bring
* 3\-5 years of product management experience with a track record of shipping products, preferably with exposure to platform, API, or infrastructure work
* Technical fluency – Comfortable discussing APIs, authentication/authorization, system architecture, and infrastructure concepts with engineers; ability to understand technical tradeoffs and translate them into product decisions
* Strong stakeholder management skills – Proven ability to collaborate with multiple cross\-functional partners, prioritize competing requests, and build trust through transparency and consistent delivery
* Execution excellence – Experience working in agile environments (sprints, Jira, standups); ability to write clear specs, user stories, and acceptance criteria that help engineering teams ship with confidence
* Customer\-centric mindset – Passion for understanding user needs (in this case, internal developer teams), gathering feedback, and iterating based on validated learning; commitment to education and mission\-driven work
**Compensation**
 The Redwood City, CA base pay range for a new hire in this role is $190,000 \- $261,800\. New hires are typically hired into the lower portion of the range, enabling employee growth in the range over time. Actual placement in range is based on job\-related skills and experience, as evaluated throughout the interview process.
 Better Together
 As we grow, we’re excited to strengthen in\-person connections and cultivate a collaborative, team\-oriented environment. This role is a hybrid position requiring you to be onsite for at least 60% of the working month, approximately 3 days a week, with specific in\-office days determined by the team’s manager. The exact schedule will be at the hiring manager's discretion and communicated during the interview process.
**Benefits For The Whole You**
 We’re thankful to have an incredible team behind our work. To honor their commitment, we offer a wide range of benefits to support the people who make all we do possible.
* Provides a generous employer match on employee 401(k) contributions to support planning for the future.
* Paid time off to volunteer at an organization of your choice.
* Funding for select family\-forming benefits.
* Relocation support for employees who need assistance moving
 If you’re interested in a role but your previous experience doesn’t perfectly align with each qualification in the job description, we still encourage you to apply as you may be the perfect fit for this or another role.</t>
        </is>
      </c>
    </row>
    <row r="37">
      <c r="A37" t="inlineStr">
        <is>
          <t>li-4124753675</t>
        </is>
      </c>
      <c r="B37" t="inlineStr">
        <is>
          <t>Product Manager</t>
        </is>
      </c>
      <c r="C37" t="inlineStr">
        <is>
          <t>AMETEK</t>
        </is>
      </c>
      <c r="D37" t="inlineStr">
        <is>
          <t>linkedin</t>
        </is>
      </c>
      <c r="E37">
        <f>HYPERLINK("https://www.linkedin.com/jobs/view/4124753675", "https://www.linkedin.com/jobs/view/4124753675")</f>
        <v/>
      </c>
      <c r="F37" t="inlineStr"/>
      <c r="G37" t="inlineStr">
        <is>
          <t>Keene, NH</t>
        </is>
      </c>
      <c r="H37" t="inlineStr"/>
      <c r="I37" t="inlineStr">
        <is>
          <t>As a Product Manager at Precitech, you will work with a cross\-functional team of engineers, researchers and customer\-facing personnel to optimize and manage the product portfolio and define the requirements for new and differentiating solutions. The product manager is responsible for the product roadmap, life cycle management, developing growth plans and strategies, pricing, and product development priorities as defined in the roles and responsibilities below.
**Roles And Responsibilities**
* Establish a deep product knowledge and manage the product roadmap through close interaction with Engineering, Operations, R \&amp; D and the commercial teams to drive new technology, product improvements, differentiation, and market expansion.
* Lead commercial management of the product\-line by driving new product introductions, sales team interactions and targeted growth initiatives while ensuring strong alignment with the overall company strategy
* Identify growth opportunities by recommending concepts and capabilities for new products and/or technologies by utilizing internal and external customer feedback, market research and general business trends.
* Establish and maintain direct communication with the global commercial team and work closely to grow customer relationships utilizing Voice of Customer feedback
* Manage the product pricing strategy which includes the tracking of our current costs and margins, understanding competitive pricing and defining opportunities for product differentiation
* Obtain a strong understanding of the competitive landscape and use this information to help define our market position and commercial strategies
* Stay abreast of industry trends by tracking commercial results and the near and longer term forecasted business. Recommend realignment, as required, to adapt to changes in business climate.
* Work closely with Senior Management to recommend potential organic and inorganic investments that support the product growth strategy
**Qualifications**
* Bachelor’s Degree in Engineering or Science discipline
* Desire 5 years of experience in an Engineering discipline
**Requirements**
* Ability and willingness to travel domestic and internationally as required (up to 25%)
**About AMETEK Precitech:** 
 AMETEK Precitech is a leading manufacturer of precision machining systems, providing advanced solutions for various industries. We are committed to innovation and excellence, ensuring that our products meet the highest quality standards.
**Compensation**
 Employee Type: Salaried
 Salary Minimum: $140,000
 Salary Maximum: $160,000
 Incentive: No
 Disclaimer: Where a specific pay range is noted, it is a good faith estimate at the time of this posting. The actual salary offered will be based on experience, skills, qualifications, market / business considerations, and geographic location.
 For more information on AMETEK's competitive benefits, please click here.
 AMETEK, Inc. is a leading global provider of industrial technology solutions serving a diverse set of attractive niche markets with annual sales over $7\.0 billion.
 AMETEK is committed to making a safer, sustainable, and more productive world a reality. We use differentiated technology solutions to solve our customers’ most complex challenges. We employ 21,000 colleagues, in 35 countries, that are grounded by our core values: Ethics and Integrity, Respect for the Individual, Inclusion, Teamwork, and Social Responsibility. AMETEK (NYSE:AME) is a component of the S\&amp;P 500\. Visit www.ametek.com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t>
        </is>
      </c>
    </row>
    <row r="38">
      <c r="A38" t="inlineStr">
        <is>
          <t>li-4346077614</t>
        </is>
      </c>
      <c r="B38" t="inlineStr">
        <is>
          <t>Principal Technical Product Manager</t>
        </is>
      </c>
      <c r="C38" t="inlineStr">
        <is>
          <t>Blue Origin</t>
        </is>
      </c>
      <c r="D38" t="inlineStr">
        <is>
          <t>linkedin</t>
        </is>
      </c>
      <c r="E38">
        <f>HYPERLINK("https://www.linkedin.com/jobs/view/4346077614", "https://www.linkedin.com/jobs/view/4346077614")</f>
        <v/>
      </c>
      <c r="F38" t="inlineStr"/>
      <c r="G38" t="inlineStr">
        <is>
          <t>Merritt Island, FL</t>
        </is>
      </c>
      <c r="H38" t="inlineStr"/>
      <c r="I38"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As a Principal Technical Product Manager, you will build Blue Origin’s next generation of manufacturing and supply chain systems, powering our mission to radically reduce the cost of access to space. Achieving this mission requires technology leaders who can radically rethink how we operate, whether this means simplifying our production planning, automating work on the factory floor, or augmenting our manufacturing and engineering decisions with artificial intelligence. You will be instrumental in defining a multi\-year software strategy to accelerate Blue’s operating throughput, while ensuring regulatory compliance and driving continuous process improvement. You will collaborate with cross\-functional teams including software engineering, manufacturing operations, supply chain, product design, user experience, Enterprise Resource Planning (ERP), Product Lifecycle Management (PLM) and information technology to build a world class operations management suite. And, you will be responsible for end\-to\-end product lifecycle, from ideation to implementation and beyond.
 We are looking for someone to apply their technical expertise, leadership skills, and commitment to quality to positively impact safe human spaceflight. Passion for our mission and vision is required!
**Special Mentions**
* Relocation provided.
* Travel expected up to 25% of the time
**Responsibilities Include But Are Not Limited To**
* Product Vision \&amp; Strategy: Develop a multi\-year product vision that shapes company objectives, secures executive buy\-in, and enables Blue Origin to meet our ambitious goals for production and launch.
* Roadmap Management: Develop and manage a 12–18\-month plan spanning technology areas, aligning resources, milestones, and mitigation paths while resolving cross\-business conflicts.
* Influence \&amp; Execution: Drive decisions with leaders of core business functions and top executives at Blue Origin. Align resources across the company to deliver on goals.
* Customer\-Backed Innovation: Deploy iterative prototyping, testing, and scaling to deliver simple, high\-value solutions to complex problems, continuously validated by broad customer feedback and data.
* Strategic Technical Leadership: Influence technical decisions and end\-state architectures for entire domains, evaluating emerging technologies for durable business value.
* Data\-Driven Decisions: Define and implement metrics and frameworks to guide investments and measure success of product launches. Communicate insights crisply to leadership.
* Release \&amp; Change Management at Scale: Lead strategic risk mitigation and readiness activities to ensure smooth roll\-outs and measurable impact across multiple organizations.
* Continuous Improvement \&amp; Tooling Innovation: Deploy new tools and methodologies—such as AI and advanced analytics—to boost productivity and codify best practices company\-wide.
* Stakeholder Communication Excellence: Produce high\-impact narratives and reviews that drive key decisions and keep executives aligned on progress, risks, and next steps.
**Minimum Qualifications**
* Education: Bachelor’s degree in Business, Engineering or a related field. MBA preferred.
* Experience: 8\+ years of product management experience. Proven track record of managing products through their entire lifecycle from conception to launch and scale.
* Agile/Scrum/Lean Expertise: Strong experience with Lean, Agile, and Scrum methodologies, and proficiency with tools like JIRA and Confluence. Demonstrated ability to lead agile development processes.
* Technical Acumen: Experience working closing with UX design and software engineering teams. Ability to understand and discuss technical concepts, make trade\-offs, and evaluate new ideas.
* Analytical Skills: Strong analytical and quantitative skills; ability to leverage data for decision\-making and product prioritization.
* Communication Skills: Excellent communication and presentation skills, with the ability to convey complex ideas to both technical and non\-technical audiences.
* Leadership: Demonstrated ability to lead and influence cross\-functional teams without direct authority. Strong organizational and leadership skills.
* Customer\-Centric: Strong customer empathy and a passion for building products that deliver exceptional customer experiences.
**Preferred Qualifications**
* Experience with Aerospace software development processes and frameworks.
* Experience with manufacturing, warehouse, logistics or supply chain systems.
**Compensation Range For**
 WA applicants is $197,849\.00 \- $276,987\.90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39">
      <c r="A39" t="inlineStr">
        <is>
          <t>li-4354913233</t>
        </is>
      </c>
      <c r="B39" t="inlineStr">
        <is>
          <t>Product Owner</t>
        </is>
      </c>
      <c r="C39" t="inlineStr">
        <is>
          <t>Haystack</t>
        </is>
      </c>
      <c r="D39" t="inlineStr">
        <is>
          <t>linkedin</t>
        </is>
      </c>
      <c r="E39">
        <f>HYPERLINK("https://www.linkedin.com/jobs/view/4354913233", "https://www.linkedin.com/jobs/view/4354913233")</f>
        <v/>
      </c>
      <c r="F39">
        <f>HYPERLINK("https://us.haystackapp.io/roles/696563b649b60748f90293bf?src=linkedin&amp;urlHash=7JGU", "https://us.haystackapp.io/roles/696563b649b60748f90293bf?src=linkedin&amp;urlHash=7JGU")</f>
        <v/>
      </c>
      <c r="G39" t="inlineStr"/>
      <c r="H39" t="inlineStr"/>
      <c r="I39" t="inlineStr">
        <is>
          <t>**Senior Vice President, Technical Product Owner \| New York, NY \| Hybrid \| $102,000 \- $221,000** 
 We're working with BNY on this exciting opportunity.
 Join BNY, a global financial services leader, and spearhead the FX Integration Pod, driving transformative solutions at the heart of the global financial system. Leverage cutting\-edge AI and advanced technologies to redefine client experiences and influence nearly 20% of the world's investible assets.
**The Role** 
 • Lead the FX Integration Pod, enhancing Foreign Exchange (FX) service offerings and seamlessly integrating payment platforms with Markets systems.
 • Optimize client experiences for FX payments, ensuring efficiency, transparency, and reliability through innovative solutions.
 • Manage complex workflows, including initiation, processing, reversals, and cancellation of FX payments and related FX trades.
 • Collaborate with cross\-functional teams to integrate diverse applications and APIs, driving platform advancement.
 • Develop strategies for FX rate management, client communication, and risk mitigation in payment processes.
**What You'll Need** 
 • 10\+ years of experience in product ownership within the payments industry, preferably in banking or Fintech.
 • Deep understanding of payment transactions, including various rails, methods, and associated workflows.
 • Expertise in cross\-border payments, currency conversion, and international payment regulations.
 • Proven ability to integrate with different applications and APIs, optimizing system interoperability.
 • Bachelor's degree or equivalent work experience in a related field.
**What's On Offer** 
 • Highly competitive compensation, benefits, and wellbeing programs, with a strong pay\-for\-performance philosophy.
 • Access to flexible global resources and tools for personal and professional growth.
 • Generous paid leaves, including volunteer time, supporting your journey and family needs.
 • Be part of a company recognized as America’s Most Innovative, World’s Most Admired, and “Most Just Companies” by Fortune and Just Capital.
**Apply via Haystack today!**</t>
        </is>
      </c>
    </row>
    <row r="40">
      <c r="A40" t="inlineStr">
        <is>
          <t>li-4328778797</t>
        </is>
      </c>
      <c r="B40" t="inlineStr">
        <is>
          <t>Product Owner I (Remote in WA, OR, ID)</t>
        </is>
      </c>
      <c r="C40" t="inlineStr">
        <is>
          <t>Gesa Credit Union</t>
        </is>
      </c>
      <c r="D40" t="inlineStr">
        <is>
          <t>linkedin</t>
        </is>
      </c>
      <c r="E40">
        <f>HYPERLINK("https://www.linkedin.com/jobs/view/4328778797", "https://www.linkedin.com/jobs/view/4328778797")</f>
        <v/>
      </c>
      <c r="F40">
        <f>HYPERLINK("https://www.paycomonline.net/v4/ats/web.php/portal/E7A3819EACC22746FA78AB1D19A8ACB0/jobs/415870&amp;urlHash=OTM9", "https://www.paycomonline.net/v4/ats/web.php/portal/E7A3819EACC22746FA78AB1D19A8ACB0/jobs/415870&amp;urlHash=OTM9")</f>
        <v/>
      </c>
      <c r="G40" t="inlineStr">
        <is>
          <t>Renton, WA</t>
        </is>
      </c>
      <c r="H40" t="inlineStr"/>
      <c r="I40" t="inlineStr">
        <is>
          <t>**Take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About \- Gesa Credit Union
* The Product Owner I position has the ability to work fully remote from Washington, Oregon or Idaho.\*
**Role Summary:**
 The Product Owner I is responsible for the technical life cycle of the products they have been assigned, including coordinating development efforts, configuration changes, and support. The position will be documenting technical requirements, building product roadmaps, and budgeting associated with the products they oversee. The Product Owner I will collaborate with internal stakeholders, developers, and vendors regularly to deliver new products and enhance existing products that meet the documented business objectives of the products they support. Additionally, this position will coordinate the lifecycle of their product through the Agile Practices.
**What You Will Be Doing:**
* Understands business and end\-user needs; and can identify and prioritize features to be delivered to meet those needs
* Actively participate in Agile ceremonies to ensure development efforts remain aligned with business objectives, the product vision, and user needs
* Demonstrate accountability by facilitating stakeholders’ inspection \&amp; reviews of delivered functionality, leading planning sessions to clarify priorities, and maintaining transparent communication throughout the development lifecycle
* Negotiate deliverables based on team capacity and learning and adapt plans iteratively to reflect evolving priorities and validated outcomes
* Develop near term rolling\-wave product roadmaps in close collaboration with business owners to ensure alignment with business objectives and related outcomes. Continuously refine the roadmap based on stakeholder input, delivery data, and validated learnings from actual product outcomes versus hypothesized value
* Define and track key product success metrics to evaluate value delivery, inform prioritization, and communicate outcomes to stakeholders. Use data and feedback to validate hypotheses, guide decision\-making, and continuously improve product performance and valuable outcomes
* Leverage understanding of product strengths and weaknesses to maximize value delivery, identify opportunities for enhancement, and inform stakeholders of potential process improvements and strategic possibilities
* Analyze end user feedback and operational metrics, to identify and understand product needs
* Direct and oversee the lifecycle of one (1\) or more products by independently managing and prioritizing their respective product backlogs in collaboration with business owners and technical stakeholders to balance functional and non\-functional needs. Operate with oversight, ensuring a steady flow of user stories ready for development one (1\) to two (2\) weeks in advance
* Collaborate with business owners and technical stakeholders to develop and document user stories from the user’s perspective, enabling the product development team to deliver high\-value outcomes. Define features and epics to communicate alignment with business objectives and to establish the scope of development that supports strategic goals
* Collect and understand technical requirements for new implementations and enhancements to ensure sufficient technical runway, minimize technical debt, and maintain the product’s relevance and stability over time. Proactively prioritize non\-functional backlog items—such as performance, scalability, and maintainability—to support sustainable development and long\-term product health
* Manage vendor relationships to the extent of assisting with the review of contracts alongside the business stakeholder
* Ensure respective product is compliant with regulatory and security requirements
* Ensure upgrades are planned and completed, maintaining compliance with standards and control procedures
**About You:**
* Ability to understand complex business problems and identify and interpret business needs
* Ability to create a product strategy that aligns with measurable business outcomes
* Strong problem solving and analytical skills
* Demonstrated ability to communicate complex technical information in a condensed manner to various stakeholders verbally and in writing
* Demonstrated facilitation and influencing skills to drive decision making among stakeholders with diverse perspectives and priorities
* Experience working in an Agile Environment, either Kanban or Scrum
* Strong organizational skills
* Ability to complete tasks effectively independently, as well as collaboratively
* Knowledge of product management tools like Azure DevOps or Jira
* Ability to travel to complete assigned responsibilities and attend professional seminars and education as approved
 Qualifications
**What You Will Need:**
* Minimum of one (1\) year of product ownership/management experience in an Agile Environment. At least three (3\) years of business management experience may be substituted in lieu of product owner experience
* Bachelor's degree in Business Administration or a related field or equivalent of specialized courses, training, and/or related experience may be substituted
* High School diploma required
* Knowledge of the Financial Industry, products, and services
* Credit Union experience preferred
* Certified Scrum Product Owner (CSPO), Professional Scrum Product Owner I (PSPO I), or equivalent foundational level certification. (Preferred)
**Our Team Member Value Proposition:**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Richland, WA: $74,679\.01 \- $112,018\.51
 Lynnwood, WA: $80,262\.48 \- $120,393\.73
 Renton, WA: $84,450\.09 \- $126,675\.14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41">
      <c r="A41" t="inlineStr">
        <is>
          <t>li-4328114661</t>
        </is>
      </c>
      <c r="B41" t="inlineStr">
        <is>
          <t>Product Manager II</t>
        </is>
      </c>
      <c r="C41" t="inlineStr">
        <is>
          <t>Ezurio</t>
        </is>
      </c>
      <c r="D41" t="inlineStr">
        <is>
          <t>linkedin</t>
        </is>
      </c>
      <c r="E41">
        <f>HYPERLINK("https://www.linkedin.com/jobs/view/4328114661", "https://www.linkedin.com/jobs/view/4328114661")</f>
        <v/>
      </c>
      <c r="F41" t="inlineStr"/>
      <c r="G41" t="inlineStr"/>
      <c r="H41" t="inlineStr"/>
      <c r="I41" t="inlineStr">
        <is>
          <t>**About the Company** 
 We simplify wireless connectivity with innovative IoT solutions and world class customer support. Our culture creates a fast moving, stimulating, flexible work environment for all our employees. Together we are innovating wireless for a connected world.
**About the Role** 
 Lead and evolve Ezurio’s System\-on\-Module (SOM) and Single Board Computer (SBC) portfolios, with a focus on NXP and Texas Instruments platforms in SMARC and OSM form factors. This hands\-on role combines technical depth in embedded systems with commercial acumen and customer engagement. As the subject matter expert for your product lines, you will collaborate with customers, sales, engineering, and ecosystem partners to deliver competitive, differentiated solutions aligned with market needs.
 **This is a remote position open to candidates in any U.S. state (West Coast preferred) and in Germany, Italy, or the United Kingdom. Applicants must have legal authorization to work in their country of residence.** 
**Responsibilities** 
**Product Strategy and Portfolio Ownership** 
* Own the complete product lifecycle for Ezurio’s SOM and SBC portfolios, from concept through launch, sustainment, and end\-of\-life.
* Develop and maintain product roadmaps aligned with customer needs, market trends, and silicon partner strategies.
* Drive clear product positioning and differentiation to stand out against competitive offerings
**Technical and Market Expertise** 
* Act as the subject matter expert for assigned products, covering both hardware capabilities and software enablement.
* Maintain expertise in embedded Linux environments (Buildroot, Yocto, Debian) and awareness of QNX and related RTOS ecosystems.
* Convert customer use cases and technical requirements into clear, actionable product specifications and business cases.
**Customer and Commercial Engagement** 
* Serve as a trusted technical and commercial liaison with customers, providing support for design\-in activities and long\-term product planning.
* Enable sales and business development teams through product training, customer presentations, and clear articulation of technical value propositions.
* Participate in strategic customer engagements, confidently presenting product strategy, roadmaps, and technical trade\-offs.
**Cross\-Functional Collaboration** 
* Partner with engineering teams to define product requirements, prioritize features, and make strategic trade\-offs across cost, schedule, and functionality.
* Collaborate with marketing to craft compelling product messaging, develop datasheets, prepare launch materials, and conduct competitive analysis.
* Work closely with supply chain and operations to assess lifecycle risks, identify cost drivers, and ensure component availability. E
**Qualifications** 
* Strong hands\-on experience with embedded Linux platforms (including Buildroot, Yocto, and Debian); familiarity with QNX is considered an advantage.
* Proficient in working with NXP and Texas Instruments processors, with practical exposure to their ecosystems.
* Skilled in conveying complex technical concepts clearly and effectively to both technical and non\-technical stakeholders.
* Demonstrated ability to balance technical expertise with business considerations, including pricing strategies, product positioning, lifecycle management, and ROI analysis.
**Education/Experience** 
* Bachelors degree in Engineering or related field
* Minimum of 5 years of experience in product management or a closely related role within the embedded systems/industrial computing industry
*We're an equal opportunity employer. All qualified applicants will receive consideration for employment without regard to race, color, religion, sex, sexual orientation, gender identity, national origin, disability, or status as a protected veteran.*</t>
        </is>
      </c>
    </row>
    <row r="42">
      <c r="A42" t="inlineStr">
        <is>
          <t>li-4328971380</t>
        </is>
      </c>
      <c r="B42" t="inlineStr">
        <is>
          <t>Product Owner I (Remote in WA, OR, ID)</t>
        </is>
      </c>
      <c r="C42" t="inlineStr">
        <is>
          <t>Gesa Credit Union</t>
        </is>
      </c>
      <c r="D42" t="inlineStr">
        <is>
          <t>linkedin</t>
        </is>
      </c>
      <c r="E42">
        <f>HYPERLINK("https://www.linkedin.com/jobs/view/4328971380", "https://www.linkedin.com/jobs/view/4328971380")</f>
        <v/>
      </c>
      <c r="F42" t="inlineStr"/>
      <c r="G42" t="inlineStr">
        <is>
          <t>Lynnwood, WA</t>
        </is>
      </c>
      <c r="H42" t="inlineStr"/>
      <c r="I42" t="inlineStr">
        <is>
          <t>**Take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About \- Gesa Credit Union
* The Product Owner I position has the ability to work fully remote from Washington, Oregon or Idaho.\*
**Role Summary:**
 The Product Owner I is responsible for the technical life cycle of the products they have been assigned, including coordinating development efforts, configuration changes, and support. The position will be documenting technical requirements, building product roadmaps, and budgeting associated with the products they oversee. The Product Owner I will collaborate with internal stakeholders, developers, and vendors regularly to deliver new products and enhance existing products that meet the documented business objectives of the products they support. Additionally, this position will coordinate the lifecycle of their product through the Agile Practices.
**What You Will Be Doing:**
* Understands business and end\-user needs; and can identify and prioritize features to be delivered to meet those needs
* Actively participate in Agile ceremonies to ensure development efforts remain aligned with business objectives, the product vision, and user needs
* Demonstrate accountability by facilitating stakeholders’ inspection \&amp; reviews of delivered functionality, leading planning sessions to clarify priorities, and maintaining transparent communication throughout the development lifecycle
* Negotiate deliverables based on team capacity and learning and adapt plans iteratively to reflect evolving priorities and validated outcomes
* Develop near term rolling\-wave product roadmaps in close collaboration with business owners to ensure alignment with business objectives and related outcomes. Continuously refine the roadmap based on stakeholder input, delivery data, and validated learnings from actual product outcomes versus hypothesized value
* Define and track key product success metrics to evaluate value delivery, inform prioritization, and communicate outcomes to stakeholders. Use data and feedback to validate hypotheses, guide decision\-making, and continuously improve product performance and valuable outcomes
* Leverage understanding of product strengths and weaknesses to maximize value delivery, identify opportunities for enhancement, and inform stakeholders of potential process improvements and strategic possibilities
* Analyze end user feedback and operational metrics, to identify and understand product needs
* Direct and oversee the lifecycle of one (1\) or more products by independently managing and prioritizing their respective product backlogs in collaboration with business owners and technical stakeholders to balance functional and non\-functional needs. Operate with oversight, ensuring a steady flow of user stories ready for development one (1\) to two (2\) weeks in advance
* Collaborate with business owners and technical stakeholders to develop and document user stories from the user’s perspective, enabling the product development team to deliver high\-value outcomes. Define features and epics to communicate alignment with business objectives and to establish the scope of development that supports strategic goals
* Collect and understand technical requirements for new implementations and enhancements to ensure sufficient technical runway, minimize technical debt, and maintain the product’s relevance and stability over time. Proactively prioritize non\-functional backlog items—such as performance, scalability, and maintainability—to support sustainable development and long\-term product health
* Manage vendor relationships to the extent of assisting with the review of contracts alongside the business stakeholder
* Ensure respective product is compliant with regulatory and security requirements
* Ensure upgrades are planned and completed, maintaining compliance with standards and control procedures
**About You:**
* Ability to understand complex business problems and identify and interpret business needs
* Ability to create a product strategy that aligns with measurable business outcomes
* Strong problem solving and analytical skills
* Demonstrated ability to communicate complex technical information in a condensed manner to various stakeholders verbally and in writing
* Demonstrated facilitation and influencing skills to drive decision making among stakeholders with diverse perspectives and priorities
* Experience working in an Agile Environment, either Kanban or Scrum
* Strong organizational skills
* Ability to complete tasks effectively independently, as well as collaboratively
* Knowledge of product management tools like Azure DevOps or Jira
* Ability to travel to complete assigned responsibilities and attend professional seminars and education as approved
 Qualifications
**What You Will Need:**
* Minimum of one (1\) year of product ownership/management experience in an Agile Environment. At least three (3\) years of business management experience may be substituted in lieu of product owner experience
* Bachelor's degree in Business Administration or a related field or equivalent of specialized courses, training, and/or related experience may be substituted
* High School diploma required
* Knowledge of the Financial Industry, products, and services
* Credit Union experience preferred
* Certified Scrum Product Owner (CSPO), Professional Scrum Product Owner I (PSPO I), or equivalent foundational level certification. (Preferred)
**Our Team Member Value Proposition:**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Richland, WA: $74,679\.01 \- $112,018\.51
 Lynnwood, WA: $80,262\.48 \- $120,393\.73
 Renton, WA: $84,450\.09 \- $126,675\.14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43">
      <c r="A43" t="inlineStr">
        <is>
          <t>li-4348177358</t>
        </is>
      </c>
      <c r="B43" t="inlineStr">
        <is>
          <t>Product Manager, Project &amp; Task Experience</t>
        </is>
      </c>
      <c r="C43" t="inlineStr">
        <is>
          <t>Asana</t>
        </is>
      </c>
      <c r="D43" t="inlineStr">
        <is>
          <t>linkedin</t>
        </is>
      </c>
      <c r="E43">
        <f>HYPERLINK("https://www.linkedin.com/jobs/view/4348177358", "https://www.linkedin.com/jobs/view/4348177358")</f>
        <v/>
      </c>
      <c r="F43" t="inlineStr"/>
      <c r="G43" t="inlineStr">
        <is>
          <t>New York, NY</t>
        </is>
      </c>
      <c r="H43" t="inlineStr"/>
      <c r="I43" t="inlineStr">
        <is>
          <t>The Product Management team drives Asana’s product strategy and execution, translating customer needs and opportunities into a compelling roadmap and working cross\-functionally to deliver impactful solutions for team productivity and collaboration. We’re helping to define the Work Management category and inventing new ways for teams to work more efficiently together and see the larger purpose behind their work. Our team works directly with Engineering, Design, Experience Research, and Data Science, as well as with Sales, Support, and Marketing to ship great products. You’ll take part in every type of product work here — from strategy to product to process improvements — conceptualizing, launching, and iterating on Asana itself for millions of teams around the world.
 We are looking for an experienced senior product manager to join Asana’s Project \&amp; Task Experience team. You’re a product leader who has the basics of PMing down and can take on difficult, ambiguous problems where the strategy and/or solution may not be clear from the outset. You thrive on cross\-functional collaboration and are excited to partner with engineering, design, user research, product marketing, product leadership, and the rest of our amazing PM team.
 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Define and deliver a compelling roadmap that delivers value for enterprise\-level customers
* Partner closely with Product Design to create an enterprise software experience that’s intuitive and dead simple
* Create a product strategy to balance multiple priorities and use cases across customers, product teams, and enterprise\-level compliance
* Maximize clarity by bringing a data\-driven mindset to setting concrete goals and milestones
* Partner with engineering, design, and other functions to execute on roadmaps with high velocity
**About you:**
* Demonstrates curiosity about AI tools and emerging technologies, with a willingness to learn and leverage them to enhance productivity, collaboration, or decision\-making
* 4\+ years of experience in Product Management. Background in building for complex data models and visualizations, human\-centric UX, and B2B platform or enterprise experience preferred.
* Systems thinker: You feel just as comfortable modeling data relationships in a technical diagram, just as well as you can partner with Design to walk stakeholders through a holistic UX flow.
* You inspire the company by creating bold, intuitive work connections within the platform and scoping them to solve the most critical customer problems.
* You create, flex, and evangelize a roadmap; thoughtfully break down projects to MVPs and iterative projects to ship with high velocity and business impact.
* You analyze our top customer personas; dig into the roots of customer needs; synthesize research to gain a deep understanding and narrow definition of a problem.
* You partner with cross\-functional teammates to deliver high\-quality results. You speak with clarity and write sharp product specs. You are highly comfortable getting into deep technical discussions with engineers about the pros and cons of different approaches, and you pair with design on complex user flows.
* You are a mentor for others; create great team morale among other functions and PMs; and share PM best practices you’ve cultivated to date.
* You lead with curiosity and are open to feedback in order to learn.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44">
      <c r="A44" t="inlineStr">
        <is>
          <t>li-4325610365</t>
        </is>
      </c>
      <c r="B44" t="inlineStr">
        <is>
          <t>Product Manager II</t>
        </is>
      </c>
      <c r="C44" t="inlineStr">
        <is>
          <t>The Trade Desk</t>
        </is>
      </c>
      <c r="D44" t="inlineStr">
        <is>
          <t>linkedin</t>
        </is>
      </c>
      <c r="E44">
        <f>HYPERLINK("https://www.linkedin.com/jobs/view/4325610365", "https://www.linkedin.com/jobs/view/4325610365")</f>
        <v/>
      </c>
      <c r="F44">
        <f>HYPERLINK("https://job-boards.greenhouse.io/thetradedesk/jobs/4995828007?gh_src=1c01b2067us&amp;urlHash=_kyx", "https://job-boards.greenhouse.io/thetradedesk/jobs/4995828007?gh_src=1c01b2067us&amp;urlHash=_kyx")</f>
        <v/>
      </c>
      <c r="G44" t="inlineStr">
        <is>
          <t>New York, United States</t>
        </is>
      </c>
      <c r="H44" t="inlineStr"/>
      <c r="I44"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driven a Product Manager who learns fast, is humble and values teamwork, who is hungry and believe they can make our customers world a much better place. The ideal candidate will be technical, data driven, creative, and business savvy. They will be growth 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out lead in the industry.
**WHAT YOU WILL BE DOING:**
 As product manager on the Measurement team, you will support a portfolio of products that help advertisers understand the reach, quality, and impact of their advertising campaigns on The Trade Desk. TTD offers both 3rd party solutions from our Measurement Marketplace as well as proprietary measurement tools. These tools help advertisers evaluate their media investments across the entire marketing funnel.
 As a Product Manager for Measurement at the Trade Desk, your responsibilities will include:
* As a Product Manager, you will be working closely with stakeholders across our Engineering, Data Science, and Data Partnerships \- helping think through tradeoffs in workflow implementations, visualizations, model approaches, and customer impact
* In addition to those teams, you will be working with stakeholders across the globe to bring our shared vision for programmatic advertising to life
* You will be defining the product strategy and features for the next generation of capabilities to help advertisers understand the performance of their campaigns
* You will gather customer requirements, design prototypes, prioritize and scope releases that represent customers’ needs, then work with the rest of the engineering team to build those products and iterate on them over time
* You will represent our company and exercise good judgement, by balancing the needs of our diverse agency clients
**WHAT YOU BRING TO THE TABLE:**
* 3\+ years of Product Management experience ideally with advertising or marketing technology companies
* Excellent communication/presentation skills both in large and small groups.
* Demonstrable ability to work well within a cross\-functional team environment that includes engineers, data science, data partnerships, and commercial teams to develop solutions
* Ability to solve complex, technical problems with creative solutions while managing tradeoffs
* Relevant prior experience in either ad agency, online advertising, or marketing technology industries
* Strong interest in what computing can do \-\- a passion for technology and how to apply that to problems of massive scale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45">
      <c r="A45" t="inlineStr">
        <is>
          <t>li-4325288555</t>
        </is>
      </c>
      <c r="B45" t="inlineStr">
        <is>
          <t>Product Manager II</t>
        </is>
      </c>
      <c r="C45" t="inlineStr">
        <is>
          <t>The Trade Desk</t>
        </is>
      </c>
      <c r="D45" t="inlineStr">
        <is>
          <t>linkedin</t>
        </is>
      </c>
      <c r="E45">
        <f>HYPERLINK("https://www.linkedin.com/jobs/view/4325288555", "https://www.linkedin.com/jobs/view/4325288555")</f>
        <v/>
      </c>
      <c r="F45" t="inlineStr"/>
      <c r="G45" t="inlineStr">
        <is>
          <t>Los Angeles, CA</t>
        </is>
      </c>
      <c r="H45" t="inlineStr"/>
      <c r="I45"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driven a Product Manager who learns fast, is humble and values teamwork, who is hungry and believe they can make our customers world a much better place. The ideal candidate will be technical, data driven, creative, and business savvy. They will be growth 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out lead in the industry.
**WHAT YOU WILL BE DOING:**
 As product manager on the Measurement team, you will support a portfolio of products that help advertisers understand the reach, quality, and impact of their advertising campaigns on The Trade Desk. TTD offers both 3rd party solutions from our Measurement Marketplace as well as proprietary measurement tools. These tools help advertisers evaluate their media investments across the entire marketing funnel.
 As a Product Manager for Measurement at the Trade Desk, your responsibilities will include:
* As a Product Manager, you will be working closely with stakeholders across our Engineering, Data Science, and Data Partnerships \- helping think through tradeoffs in workflow implementations, visualizations, model approaches, and customer impact
* In addition to those teams, you will be working with stakeholders across the globe to bring our shared vision for programmatic advertising to life
* You will be defining the product strategy and features for the next generation of capabilities to help advertisers understand the performance of their campaigns
* You will gather customer requirements, design prototypes, prioritize and scope releases that represent customers’ needs, then work with the rest of the engineering team to build those products and iterate on them over time
* You will represent our company and exercise good judgement, by balancing the needs of our diverse agency clients
**WHAT YOU BRING TO THE TABLE:**
* 3\+ years of Product Management experience ideally with advertising or marketing technology companies
* Excellent communication/presentation skills both in large and small groups.
* Demonstrable ability to work well within a cross\-functional team environment that includes engineers, data science, data partnerships, and commercial teams to develop solutions
* Ability to solve complex, technical problems with creative solutions while managing tradeoffs
* Relevant prior experience in either ad agency, online advertising, or marketing technology industries
* Strong interest in what computing can do \-\- a passion for technology and how to apply that to problems of massive scale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46">
      <c r="A46" t="inlineStr">
        <is>
          <t>li-4329210382</t>
        </is>
      </c>
      <c r="B46" t="inlineStr">
        <is>
          <t>Principal Product Manager, Payments (B2B2C Vertical SaaS)</t>
        </is>
      </c>
      <c r="C46" t="inlineStr">
        <is>
          <t>SQUIRE</t>
        </is>
      </c>
      <c r="D46" t="inlineStr">
        <is>
          <t>linkedin</t>
        </is>
      </c>
      <c r="E46">
        <f>HYPERLINK("https://www.linkedin.com/jobs/view/4329210382", "https://www.linkedin.com/jobs/view/4329210382")</f>
        <v/>
      </c>
      <c r="F46" t="inlineStr"/>
      <c r="G46" t="inlineStr"/>
      <c r="H46" t="inlineStr"/>
      <c r="I46" t="inlineStr">
        <is>
          <t>**WHO WE ARE
 SQUIRE is the leading business management system designed for the needs of barbers, shop owners, and their communities. We believe the pursuit of artistry and autonomy should not be restricted by the complexities of running a business. With SQUIRE, we provide custom\-branded tools, resources, and guidance to help barbers of all stages and experience levels attract and retain more customers, efficiently manage their shop operations, and increase their revenue.
 Founded in 2015, SQUIRE is trusted by barbers in 4,000\+ shops in more than a thousand cities around the globe. From streamlined booking and opening new shops to real\-time earning dashboards and building lasting customer relationships, SQUIRE supports shop owners in seamlessly bridging the gap between their personal craft and business goals. SQUIRE enables barbers everywhere to unlock their full potential both as artists and as entrepreneurs.
 For more information, please visit
 getsquire.com
 or download the SQUIRE app from the App or Play Store.
**SUMMARY
 We are looking for a
**Principal Product Manager, Payments
 to lead the strategy and execution of our embedded payments platform within a
**B2B2C vertical SaaS ecosystem
 . Our platform enables businesses to seamlessly accept, manage, and reconcile payments from their end customers, processing
**$1B\+ in annual transaction volume
 .
 This role owns the full payments experience across our software, balancing
**merchant needs, end\-customer experience, compliance, and platform scalability
 . You’ll work across product, engineering, risk, compliance, and go\-to\-market teams to ensure payments are a growth engine—not just infrastructure.
**JOB DUTIES AND RESPONSIBILITIES** 
* **Product Strategy \&amp; Platform Ownership**
* Define and own the payments product vision and multi\-year roadmap for a B2B2C vertical SaaS platform
* Lead strategy across embedded payments, onboarding, pricing, settlement, payouts, refunds, disputes, and reconciliation
* Ensure payments are tightly integrated into core SaaS workflows, driving merchant adoption, retention, and ARPU
* Evaluate and launch new capabilities such as industry\-specific payment flows, financing, subscriptions, and value\-added services
* **Merchant \&amp; End\-Customer Experience**
* Deeply understand the needs of platform customers (businesses) and their end users (consumers)
* Design intuitive experiences for merchant onboarding, configuration, reporting, and cash flow visibility
* Optimize checkout and payment flows to maximize conversion, authorization rates, and customer satisfaction
* **Execution \&amp; Cross\-Functional Leadership**
* Partner with engineering to deliver highly reliable, scalable payment systems that support peak volumes and growth
* Translate complex platform requirements into clear PRDs, APIs, and success metrics
* Coordinate across risk, compliance, finance, operations, sales, and customer success to deliver end\-to\-end solutions
* Lead launches, migrations, and platform upgrades with minimal disruption to merchants
* **Risk, Compliance \&amp; Trust**
* Own the product partnership with Risk, Compliance, and Legal to meet requirements including PCI, AML, KYC/KYB, and card network rules
* Balance friction and fraud prevention across merchant onboarding and end\-customer payment flows
* Drive proactive improvements to disputes, chargebacks, and fraud tooling and processes
* **Growth, Data \&amp; Outcomes**
* Define and track KPIs including payment adoption, take rate, authorization rate, payment success rate, fraud loss, and settlement SLAs
* Use data, experimentation, and customer insights to prioritize roadmap decisions
* Partner with finance and GTM teams on pricing, monetization, and payments\-led growth strategies
* **Leadership \&amp; Influence**
* Serve as the payments domain expert within the product organization
* Mentor PMs and raise the bar for platform thinking and execution
* Influence senior leaders with clear narratives around tradeoffs, risk, and opportunity
 The duties and responsibilities outlined above are not a comprehensive list and additional tasks may be assigned from time to time based on business needs. 
**REQUIREMENTS AND QUALIFICATIONS** 
* **8\+ years of product management experience** 
 , including significant ownership of
 **embedded or platform payments**
* Proven experience building products in a
 **B2B2C, marketplace, or vertical SaaS environment**
* Hands\-on experience with
 **merchant onboarding, settlement, and reconciliation at scale**
* Strong understanding of the payments ecosystem (processors, networks, acquiring, issuing)
* Comfort operating in regulated environments and partnering closely with compliance and risk teams
* Ability to balance long\-term platform investments with near\-term revenue and customer needs
**Nice to Have** 
* Experience monetizing payments within vertical software
* Familiarity with small business payment workflows
* Experience expanding payments into new verticals or geographies
**WHAT WE OFFER** 
* Base Salary ($200,000 \- $220,000\)
* New hire stock grant
* 100% employer paid medical, dental, and vision insurance for you and your dependents
* 401K plan with company contribution
* Generous PTO and Parental Leave policies
**Interview Accommodations**
 SQUIRE is committed to working with and providing reasonable assistance to individuals with physical and mental disabilities. If you are an individual with a disability requiring an accommodation to apply for an open position, please email your request to recruiting@getsquire.com and someone on our team will respond to your request.
**EEO Provision**
 SQUIRE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Nondiscrimination Provision**
 SQUIRE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**E\-Verify Participation**
 SQUIRE participates in E\-Verify. Learn more about E\-verify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li-4345979294</t>
        </is>
      </c>
      <c r="B47" t="inlineStr">
        <is>
          <t>Product Manager, Snr – Developer Relations</t>
        </is>
      </c>
      <c r="C47" t="inlineStr">
        <is>
          <t>Qualcomm</t>
        </is>
      </c>
      <c r="D47" t="inlineStr">
        <is>
          <t>linkedin</t>
        </is>
      </c>
      <c r="E47">
        <f>HYPERLINK("https://www.linkedin.com/jobs/view/4345979294", "https://www.linkedin.com/jobs/view/4345979294")</f>
        <v/>
      </c>
      <c r="F47" t="inlineStr"/>
      <c r="G47" t="inlineStr">
        <is>
          <t>New York, NY</t>
        </is>
      </c>
      <c r="H47" t="inlineStr"/>
      <c r="I47" t="inlineStr">
        <is>
          <t>**Company**
 Qualcomm Technologies, Inc.
**Job Area**
 Operations Group, Operations Group \&gt; Product Management
**General Summary**
 We’re looking for a motivated Product Manager to join our Developer Relations team. In this pivotal role, you’ll focus on shaping Developer Relations advocacy efforts, ecosystem development and scaling.
 In this role you will play a pivotal role in engaging, educating, and supporting the developer community. The primary focus is to drive awareness and adoption of Qualcomm’s developer products (with focus on AI) through a combination of technical content, community engagement, and hands\-on development. This role bridges the engineering team and the broader developer community. Empower developers to build, optimize, and deploy edge AI models effectively with our platform. This role offers immense potential for growth, learning, and impact within a collaborative and inclusive team.
**Primary Responsibilities**
* Responsibilities span multiple domains – from Community Engagement to Content Creation and Developer Advocacy – it takes creativity, resilience, and willingness to learn
* Grow and nurture Qualcomm’s developer user base through the creation and maintenance of external technical documentation content
* Create and present workshops, videos, webinars, demos for engineering conferences and developer events to represent our products to the wider developer community and grow user engagement.
**Preferred Skills And Experience**
* A minimum of 5 years in Developer Relations, Developer Advocacy, or a similar role, with a focus on AI
* Proven professional experience in public speaking to technical audiences
* Excellent communication and presentation skills to explain complex technical concepts to diverse audiences
* Clear track record with community engagement such as managing user forums, handling technical questions from other developers, and running developer\-focused workshops
* Proficiency in languages commonly used in ML and edge AI (e.g., Python, C\+\+) and familiarity with ML workflows and deployment. Experience with LLMs and VLMs is a plus
* Experience creating technical content, including blog posts, tutorials, videos, and documentation
* Demonstrated ability to build and nurture developer communities, both online and offline
* Some experience with video production and exposure to social media best practices, usage of various social channels, and presence on key channels
 Academic Credentials
* Master’s degree in engineering, computer science, or other relevant field preferred
**Ideal Candidate Will Have**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**Minimum Qualifications**
* Bachelor's degree in Engineering, Information Systems, Computer Science, Humanities, or related field.
* 4\+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$243,600\.00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8">
      <c r="A48" t="inlineStr">
        <is>
          <t>li-4362383320</t>
        </is>
      </c>
      <c r="B48" t="inlineStr">
        <is>
          <t>Product Manager</t>
        </is>
      </c>
      <c r="C48" t="inlineStr">
        <is>
          <t>TalentAlly</t>
        </is>
      </c>
      <c r="D48" t="inlineStr">
        <is>
          <t>linkedin</t>
        </is>
      </c>
      <c r="E48">
        <f>HYPERLINK("https://www.linkedin.com/jobs/view/4362383320", "https://www.linkedin.com/jobs/view/4362383320")</f>
        <v/>
      </c>
      <c r="F48">
        <f>HYPERLINK("https://tracking.prodivnet.com/track/apply/a0d0eff0-e3f9-405b-aad8-b4b0fc2eed01&amp;urlHash=bZ98", "https://tracking.prodivnet.com/track/apply/a0d0eff0-e3f9-405b-aad8-b4b0fc2eed01&amp;urlHash=bZ98")</f>
        <v/>
      </c>
      <c r="G48" t="inlineStr">
        <is>
          <t>Cambridge, MA</t>
        </is>
      </c>
      <c r="H48" t="inlineStr"/>
      <c r="I48" t="inlineStr">
        <is>
          <t>At Sanofi, we chase the miracles of science to improve people's lives. We believe ourcutting\-edgescience and manufacturing, fueled by data and digital technologies, have the potential to transform the practice of medicine, turning the impossible into possible for millions of people. As one of the leading investors in life sciences, manufacturing and research and development, we focus onaddressingunmet medical needs. Our products empower self\-care, prevent and treat diseases, and help peopleleadhealthier lives.
 Digital \&amp; Data is at the heart of Sanofi. Our ambition is to be the leading digital healthcare platform:developing\&amp; deliveringmedicine faster, enablinghealthcare professionals to improve treatments,and helpingpatients improve their health. Our scale, strong connections within health ecosystems across the world, and ability toleverageSanofi's capabilities make us the best place to push the boundaries of medicine through technology.
 The
 **Digital In\-Silico Research** 
 team is a key innovation engine within Digital R\&amp;D, dedicated to pioneering next\-generation digital products that reshape how R\&amp;D discovers, designs, and develops new medicines. We harnesscutting\-edgeAI, machine learning, and computational modeling to build transformative in\-silico solutions\-empowering scientists with predictive insights, streamlining complex workflows, and turning data into decisive action.
 As the
 **Product Owner forInSilicoTranslational Medicine** 
 ,you will lead the creation of new AI/ML models for the quantitative pharmacology and/or preclinical safety functions whichare used to inform probability of success of therapeutic candidates as they advance in the R\&amp;D pipeline.Additionally,you will industrialize pilot AI/ML models and interoperable data solutions created by our business partners in Quantitative Pharmacology and Preclinical Safety, ensuring scalability, ease of use, and alignment with Digital standards for future proofing.
 This position reports to the In Silico Translational MedicineProduct Line Owner.
**Key Responsibilities:** 
* Build partnershipswith scientists on the Quantitative Pharmacology and Preclinical Safety teams. Understand thedata, in silico models, and analysis platformsthey use today to carry out their function within R\&amp;D.Work together toidentifypain points with existing workflows andmajor opportunitiesforAI/ML models and interoperable data solutions toadvance the R\&amp;D pipeline.
* Collaboratewiththe In Silico Translational Medicine Product Line Owner and scientists on the Quantitative Pharmacology and Preclinical Safety teamstowritebusiness casesfor new product development, ensuring that investment prioritizesmaximumR\&amp;D pipeline acceleration and higherprobability of success for therapeutic candidates.
* Defineuserstories and product requirements. Prepare work for data scientists and engineersfollowing agile product development best practices.
* Own and prioritizefeatures on theproduct roadmapbased on scientific impact, business value, and technical feasibility.Facilitate sprint planning collaborating closely with a scrum master.Manage the product backlog.
* Spearhead user adoption of new products.Perform outreach to scientists to inform them of the new capabilities andprovidenecessary training materials.
* Define KPIs and success metrics. Track and report on KPIs to evaluate value provided to the business.
* Trackspend throughout product delivery, ensuring that scope of work stays within budget.
* Overseelifecycle management fora portfolio ofexisting digital solutionsused by the Quantitative Pharmacology team and/or Preclinical Safety team, staying aligned with thescientistson the value these solutions provide and new options in the marketplace.
* **About You**
 Experience and Education
* (Required)5\+ years of experiencein product management,defining new products and features that provide value users. Experiencetranslating business requirements to technical specifications.
* (Required)Proventrack recordof collaborating with data scientists and/or developers to create productswhich serve the needs of scientists modeling, analyzing, and/or processing data to advance biomedical research or drug development.
* (Required)\+2 years of experiencein the life sciences,preferablyin the biopharma sector.
* (Required) \+2 years of experience managing budgets.
* (Required) Bachelor's (Preferred)MS or PhD in Pharmacology, Chemistry, or the Life Sciences (Computational Biology, Bioinformatics, Biochemistry, Molecular Biology, or related field).
 Skills:
* Teammates have given you feedback that youhaveexcellent communication skillswith a wide range of collaborators and stakeholders.
* You are a strong leader and eager to continue developing as a leader. You can both command the room and be an empathetic listener.
* Youare inclinedto give your teammates thebenefit of the doubtbefore knowing the full story.
* You areconfidentin your ability to balance competing priorities withan appropriatesenseofurgency andmake data\-driven decisions about feature priorities.
* Curiosity about emerging technologies in AI/ML and scientific computing.
**Why you should join us** 
* Bring the miracles of science to life alongside a supportive, future\-focused team.
* Discover endless opportunities to grow your talent and drive your career, whetherit'sthrough a promotion or lateral move, at home or internationally.
* Enjoy a thoughtful, well\-crafted rewards package that recognizes your contribution and amplifies your impact.
* Takegood careof yourself and your family, with a wide range of health and wellbeing benefits including high\-quality healthcare,preventionand wellness programs and at least14 weeks' gender\-neutral parental leave.
 All compensation will be determined commensurate with demonstrated experience. Employees may be eligible to participate in Company employee benefit programs, and additional benefits information can be found here.
 PDN\-a0d0eff0\-e3f9\-405b\-aad8\-b4b0fc2eed01</t>
        </is>
      </c>
    </row>
    <row r="49">
      <c r="A49" t="inlineStr">
        <is>
          <t>li-4329011632</t>
        </is>
      </c>
      <c r="B49" t="inlineStr">
        <is>
          <t>Product Owner – Call Center &amp; AI</t>
        </is>
      </c>
      <c r="C49" t="inlineStr">
        <is>
          <t>Gifthealth</t>
        </is>
      </c>
      <c r="D49" t="inlineStr">
        <is>
          <t>linkedin</t>
        </is>
      </c>
      <c r="E49">
        <f>HYPERLINK("https://www.linkedin.com/jobs/view/4329011632", "https://www.linkedin.com/jobs/view/4329011632")</f>
        <v/>
      </c>
      <c r="F49">
        <f>HYPERLINK("https://recruiting.paylocity.com/Recruiting/Jobs/Details/3794670?source=LinkedIn&amp;urlHash=pBFc", "https://recruiting.paylocity.com/Recruiting/Jobs/Details/3794670?source=LinkedIn&amp;urlHash=pBFc")</f>
        <v/>
      </c>
      <c r="G49" t="inlineStr">
        <is>
          <t>Columbus, OH</t>
        </is>
      </c>
      <c r="H49" t="inlineStr"/>
      <c r="I49" t="inlineStr">
        <is>
          <t>**Description**
**About Us**
 At Gifthealth, we're revolutionizing the way people experience healthcare by simplifying the process of managing prescriptions and health services. Our mission is to provide a seamless, personalized, and efficient healthcare experience for all our customers. We're a dynamic, innovative, and customer\-centric company dedicated to making a positive impact on people's lives.
**Position Summary**
 The Product Owner – Call Center \&amp; AI will play a critical role in designing, building, and scaling technology solutions that power our contact center and AI\-driven patient experiences. This role sits at the intersection of product, engineering, operations, and AI, translating real\-world call center needs into scalable, high\-impact technical solutions.
 This individual will focus on improving automation, efficiency, and patient experience across voice AI, chat, IVR, CRM, and analytics platforms while ensuring solutions are reliable, compliant, and measurable.
**Key Responsibilities**
**Product \&amp; Engineering Execution**
* Design, build, and iterate on AI\-powered call center solutions, including voice bots, chatbots, IVR flows, and automated workflows
* Translate operational and business requirements into technical product solutions
* Own technical implementation from concept, build, launch, iteration
* Partner closely with Product Managers, Operations, AI teams, and Engineering
**AI \&amp; Automation**
* Improve AI containment, accuracy, and escalation logic for voice and chat
* Implement monitoring, QA feedback loops, and iteration frameworks for AI performance
* Work with AI/ML teams to enhance NLP, routing logic, and self\-service outcomes
* Ensure AI solutions reduce agent workload while maintaining high CSAT and compliance
**Call Center Systems**
* Build and maintain integrations across:
* Telephony platforms (e.g., Five9, IVR systems)
* CRM/Ticketing (Zendesk)
* Analytics tools (e.g., CallMiner, reporting dashboards)
* Automate back\-office workflows (notes, forms, follow\-ups, escalations)
* Optimize routing, queue logic, and agent tooling for efficiency and scale
**Data \&amp; Performance**
* Define and track KPIs related to AI performance, call containment, handle time, and escalation rates
* Use data to inform product decisions and prioritize improvements
* Support experimentation and A/B testing of call flows and automation strategies
**Collaboration \&amp; Strategy**
* Act as a technical thought partner for leadership on call center and AI strategy
* Work cross\-functionally with Operations, Clinical, Compliance, and CX teams
* Help define the long\-term roadmap for call center technology and AI innovation
**Qualifications**
* 5\+ years of experience in product engineering, software engineering, or technical product roles
* Experience building or supporting call center technologies (telephony, IVR, CRM)
* Strong understanding of AI\-driven products (voice AI, chatbots, NLP, automation)
* Experience integrating APIs and third\-party platforms
* Ability to translate business problems into technical solutions
* Strong analytical and problem\-solving skills
**Preferred Skills**
* Experience with healthcare, pharmacy, or regulated environments
* Familiarity with Zendesk, Five9, CallMiner, or similar platforms
* Experience working in high\-growth or scaling environments
* Exposure to QA frameworks for AI or conversational systems
**Work Environment**
* Location: Remote \- occasional travel required
* Schedule: Full\-time
* May require additional availability or flexibility for escalations.
* Regular meetings with your team, department, or leadership to ensure alignment.
**Key Essential Functions**
* Must be able to sit and/or work at a computer for extended periods of time.
* Must be able to use standard computer equipment, including a keyboard, mouse, and monitor, for prolonged periods.
* Must be able to perform repetitive motions throughout the workday, including typing, reading, and reviewing code and technical documentation.
* Must be able to communicate effectively with team members and stakeholders via written communication, video conferencing, and in\-person meetings.
* Must be able to participate in meetings, planning sessions, and collaborative work activities during standard business hours.
**Employment Classification**
**Status:** 
 Full\-time
**FLSA:** 
 Exempt
**Equal Employment Opportunity (EEO) Statement**
 Gifthealth is an Equal Opportunity Employer and prohibits discrimination and harassment of any kind. All employment decisions are made without regard to race, color, religion, sex, sexual orientation, gender identity, transgender status, national origin, age, disability, veteran status, or any other legally protected status.
 We celebrate diversity and are committed to creating an inclusive environment for all employees. If you do not meet every requirement but still feel you would be a great fit for this role, we encourage you to apply!
**Disclaimer**
 This job description is intended to describe the general nature and level of work being performed. It is not intended to be an exhaustive list of all responsibilities, duties, or skills required of personnel. Gifthealth reserves the right to modify job duties or descriptions at any time.</t>
        </is>
      </c>
    </row>
    <row r="50">
      <c r="A50" t="inlineStr">
        <is>
          <t>li-4325428622</t>
        </is>
      </c>
      <c r="B50" t="inlineStr">
        <is>
          <t>Product Manager II</t>
        </is>
      </c>
      <c r="C50" t="inlineStr">
        <is>
          <t>The Trade Desk</t>
        </is>
      </c>
      <c r="D50" t="inlineStr">
        <is>
          <t>linkedin</t>
        </is>
      </c>
      <c r="E50">
        <f>HYPERLINK("https://www.linkedin.com/jobs/view/4325428622", "https://www.linkedin.com/jobs/view/4325428622")</f>
        <v/>
      </c>
      <c r="F50" t="inlineStr"/>
      <c r="G50" t="inlineStr">
        <is>
          <t>Denver, CO</t>
        </is>
      </c>
      <c r="H50" t="inlineStr"/>
      <c r="I50"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driven a Product Manager who learns fast, is humble and values teamwork, who is hungry and believe they can make our customers world a much better place. The ideal candidate will be technical, data driven, creative, and business savvy. They will be growth 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out lead in the industry.
**WHAT YOU WILL BE DOING:**
 As product manager on the Measurement team, you will support a portfolio of products that help advertisers understand the reach, quality, and impact of their advertising campaigns on The Trade Desk. TTD offers both 3rd party solutions from our Measurement Marketplace as well as proprietary measurement tools. These tools help advertisers evaluate their media investments across the entire marketing funnel.
 As a Product Manager for Measurement at the Trade Desk, your responsibilities will include:
* As a Product Manager, you will be working closely with stakeholders across our Engineering, Data Science, and Data Partnerships \- helping think through tradeoffs in workflow implementations, visualizations, model approaches, and customer impact
* In addition to those teams, you will be working with stakeholders across the globe to bring our shared vision for programmatic advertising to life
* You will be defining the product strategy and features for the next generation of capabilities to help advertisers understand the performance of their campaigns
* You will gather customer requirements, design prototypes, prioritize and scope releases that represent customers’ needs, then work with the rest of the engineering team to build those products and iterate on them over time
* You will represent our company and exercise good judgement, by balancing the needs of our diverse agency clients
**WHAT YOU BRING TO THE TABLE:**
* 3\+ years of Product Management experience ideally with advertising or marketing technology companies
* Excellent communication/presentation skills both in large and small groups.
* Demonstrable ability to work well within a cross\-functional team environment that includes engineers, data science, data partnerships, and commercial teams to develop solutions
* Ability to solve complex, technical problems with creative solutions while managing tradeoffs
* Relevant prior experience in either ad agency, online advertising, or marketing technology industries
* Strong interest in what computing can do \-\- a passion for technology and how to apply that to problems of massive scale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51">
      <c r="A51" t="inlineStr">
        <is>
          <t>li-4346095495</t>
        </is>
      </c>
      <c r="B51" t="inlineStr">
        <is>
          <t>Product Manager, Snr – Developer Relations</t>
        </is>
      </c>
      <c r="C51" t="inlineStr">
        <is>
          <t>Qualcomm</t>
        </is>
      </c>
      <c r="D51" t="inlineStr">
        <is>
          <t>linkedin</t>
        </is>
      </c>
      <c r="E51">
        <f>HYPERLINK("https://www.linkedin.com/jobs/view/4346095495", "https://www.linkedin.com/jobs/view/4346095495")</f>
        <v/>
      </c>
      <c r="F51" t="inlineStr"/>
      <c r="G51" t="inlineStr">
        <is>
          <t>San Diego, CA</t>
        </is>
      </c>
      <c r="H51" t="inlineStr"/>
      <c r="I51" t="inlineStr">
        <is>
          <t>**Company**
 Qualcomm Technologies, Inc.
**Job Area**
 Operations Group, Operations Group \&gt; Product Management
**General Summary**
 We’re looking for a motivated Product Manager to join our Developer Relations team. In this pivotal role, you’ll focus on shaping Developer Relations advocacy efforts, ecosystem development and scaling.
 In this role you will play a pivotal role in engaging, educating, and supporting the developer community. The primary focus is to drive awareness and adoption of Qualcomm’s developer products (with focus on AI) through a combination of technical content, community engagement, and hands\-on development. This role bridges the engineering team and the broader developer community. Empower developers to build, optimize, and deploy edge AI models effectively with our platform. This role offers immense potential for growth, learning, and impact within a collaborative and inclusive team.
**Primary Responsibilities**
* Responsibilities span multiple domains – from Community Engagement to Content Creation and Developer Advocacy – it takes creativity, resilience, and willingness to learn
* Grow and nurture Qualcomm’s developer user base through the creation and maintenance of external technical documentation content
* Create and present workshops, videos, webinars, demos for engineering conferences and developer events to represent our products to the wider developer community and grow user engagement.
**Preferred Skills And Experience**
* A minimum of 5 years in Developer Relations, Developer Advocacy, or a similar role, with a focus on AI
* Proven professional experience in public speaking to technical audiences
* Excellent communication and presentation skills to explain complex technical concepts to diverse audiences
* Clear track record with community engagement such as managing user forums, handling technical questions from other developers, and running developer\-focused workshops
* Proficiency in languages commonly used in ML and edge AI (e.g., Python, C\+\+) and familiarity with ML workflows and deployment. Experience with LLMs and VLMs is a plus
* Experience creating technical content, including blog posts, tutorials, videos, and documentation
* Demonstrated ability to build and nurture developer communities, both online and offline
* Some experience with video production and exposure to social media best practices, usage of various social channels, and presence on key channels
 Academic Credentials
* Master’s degree in engineering, computer science, or other relevant field preferred
**Ideal Candidate Will Have**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**Minimum Qualifications**
* Bachelor's degree in Engineering, Information Systems, Computer Science, Humanities, or related field.
* 4\+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$243,600\.00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52">
      <c r="A52" t="inlineStr">
        <is>
          <t>li-4353034300</t>
        </is>
      </c>
      <c r="B52" t="inlineStr">
        <is>
          <t>Lead Product Manager - Technical</t>
        </is>
      </c>
      <c r="C52" t="inlineStr">
        <is>
          <t>Mastercard</t>
        </is>
      </c>
      <c r="D52" t="inlineStr">
        <is>
          <t>linkedin</t>
        </is>
      </c>
      <c r="E52">
        <f>HYPERLINK("https://www.linkedin.com/jobs/view/4353034300", "https://www.linkedin.com/jobs/view/4353034300")</f>
        <v/>
      </c>
      <c r="F52" t="inlineStr"/>
      <c r="G52" t="inlineStr">
        <is>
          <t>O'Fallon, MO</t>
        </is>
      </c>
      <c r="H52" t="inlineStr"/>
      <c r="I5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Product Manager \- Technical
 Lead Product Manager – Technical
 Who is Mastercard?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Technology at Mastercard
 What we create today will define tomorrow. Revolutionary technologies that reshape the digital economy to be more connected and inclusive than ever before. Safer, faster, more sustainable.
 And we need the best people to do it. Technologists who are energized by the challenges of a truly global network. With the talent and vision to create the critical systems and products that power global commerce and connect people everywhere to the vital goods and services they need every day.
 Working at Mastercard means being part of a unique culture. Inclusive and diverse, a rich collaboration of ideas and perspectives. A place that celebrates your strengths, values your experiences, and offers you the flexibility to shape a career across disciplines and continents. And the opportunity to work alongside experts and leaders at every level of the business, improving what exists, and inventing what’s next.
 Payment Enablement Program
 The Payment Enablement program provides a suite of value\-added switching services to each qualified transaction processed by Mastercard, increasing the security, accessibility, and simplicity of data for participating customers. We are an agile development organization with teams distributed globally across technology hubs in the U.S. and India. We are looking for a Lead Product Manager – Technical focused on Strategy.
 Role \&amp; Responsibilities
 All Staff At Mastercard Are Expected To Demonstrate 'Mastercard Way' Cultural Values Every Day \- Own It, Simplify It, Sense Of Urgency, Thoughtful Risk\-taking, Unlock Potential, And Be Inclusive – With a Relentless Focus On Our Customers. As a Lead Product Manager \- Technical Focused On Strategy, You Are Expected To Perform The Following Strategic Responsibilities:
* Develops and articulates the long\-term strategic vision for payment enablement and value\-added services, ensuring alignment with Mastercard’s broader business objectives.
* Leads cross\-functional strategic planning sessions to identify market trends, competitive threats, and opportunities for innovation or differentiation within the platform.
* Drives the creation and communication of strategic roadmaps, ensuring clear prioritization of initiatives based on business impact, customer value, and market needs.
* Owns and maintains Initiatives and Epics in AHA
* Partners with business leaders, product teams, and external stakeholders to define and validate the strategic direction of the platform and related products.
* Evaluates and champions new business models, partnerships, and go\-to\-market strategies to expand Mastercard’s reach and relevance in the digital payments ecosystem.
* Monitors industry developments, regulatory changes, and emerging technologies; synthesizes insights to inform strategic recommendations and product positioning.
* Identifies and mitigates strategic risks that could impact platform growth or adoption, providing guidance to senior leadership on critical decisions.
* Facilitates executive\-level presentations and strategy updates, ensuring stakeholders are aligned and informed on progress, pivots, and achievements.
* Coordinates and supports organizational change initiatives, ensuring teams are equipped and engaged to deliver on strategic priorities.
* Mentors team members in strategic thinking, business analysis, and leadership skills
**All About You**
* Passionate about shaping the future of payments and driving impactful business strategies.
* Demonstrated ability to think big\-picture and connect market insights to actionable strategies.
* Experience leading strategic initiatives in technology, payments, or financial services, preferably with a platform or ecosystem focus.
* Strong analytical and problem\-solving skills; able to synthesize complex data and trends into clear recommendations.
* Proven track record of influencing senior stakeholders and building consensus across diverse teams.
* Exceptional communication skills; able to convey strategy and vision to executives, partners, and technical teams with clarity and credibility.
* Comfortable operating in fast\-paced, ambiguous environments; adaptable and resilient in driving change.
* Demonstrated ability to operate with complete independence and autonomy
* Proven track record of data driven decision making and applying continuous improvement methodologies across your team
* Can debate the product merits with business teams, architects, engineers, and designers to make the right trade\-off decisions
* Experience in agile delivery methodologies (scrum, Kanban, etc.)
* Bachelor’s degree in business, strategy, engineering, computer science, or a related field preferred, or equivalent work experience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$130,000 \- $221,000 USD</t>
        </is>
      </c>
    </row>
    <row r="53">
      <c r="A53" t="inlineStr">
        <is>
          <t>li-4348217621</t>
        </is>
      </c>
      <c r="B53" t="inlineStr">
        <is>
          <t>Senior Product Manager - Data Products Strategy (Remote - USA)</t>
        </is>
      </c>
      <c r="C53" t="inlineStr">
        <is>
          <t>Quorum Software</t>
        </is>
      </c>
      <c r="D53" t="inlineStr">
        <is>
          <t>linkedin</t>
        </is>
      </c>
      <c r="E53">
        <f>HYPERLINK("https://www.linkedin.com/jobs/view/4348217621", "https://www.linkedin.com/jobs/view/4348217621")</f>
        <v/>
      </c>
      <c r="F53" t="inlineStr"/>
      <c r="G53" t="inlineStr"/>
      <c r="H53" t="inlineStr"/>
      <c r="I53" t="inlineStr">
        <is>
          <t>**Senior Product Manager \- Data Products Strategy**
**Location: Houston, Texas or Dallas, TX or USA \- Remote**
**Model of Work: Hybrid if located in Houston, TX or Dallas, TX or Remote with Travel if the work location is USA – Remote**
 Are you excited by challenges? Do you enjoy working in a fast\-paced, international and dynamic environment? Then now is the time to join Quorum Software, a rapidly growing company and industry leader in oil \&amp; gas transformation.
 Quorum Software is the world's largest provider of digital technology focused solely on business workflows that empower the next evolution of energy. From emerging companies to supermajors, throughout every region of the globe, customers rely on Quorum's proven innovation and unmatched global expertise to streamline business operations and make data\-driven decisions that optimize profitability and growth. Our industry\-leading solutions are transforming energy companies across the entire value chain, helping visionary leaders evolve their organizations into modern energy companies.
**Overview**
 Quorum Software is seeking a
 **Senior Product Manager – Data Products Strategy** 
 to define and advance the company’s enterprise\-wide strategy for
 **data products and platforms** 
 . This is a high\-impact, cross\-functional role within the
 **Corporate Strategy organization** 
 , responsible for shaping how Quorum manages, delivers, and monetizes data across all product lines and energy market segments.
 You will guide the strategic direction for data architecture, standards, interoperability, and value creation — ensuring that Quorum’s global product portfolio is built on trusted, accessible, and high\-value data assets. Working closely with leaders in Product, Engineering, and Corporate Development, you will identify opportunities to leverage data as a competitive differentiator and enabler of innovation across the business.
**Responsibilities**
**Lead Data\-as\-a\-Product Vision**
* Define and own the strategy for treating enterprise and customer data as products—prioritizing quality, discoverability, governance, and reusability.
* Identify cross\-portfolio data opportunities that can evolve into standalone products or enhance existing solutions through data enrichment and interoperability.
* Shape investment theses and business cases for new data products and services in partnership with Finance, Product, and Corporate Development.
* Build and evangelize frameworks for data governance, lineage, and cataloging to ensure trusted, decision\-ready information.
**Market \&amp; Portfolio Strategy**
* Analyze market trends, customer workflows, and industry data ecosystems to identify where Quorum can uniquely differentiate through data.
* Collaborate with product segment leaders to embed data monetization strategies across existing platforms.
* Develop frameworks for pricing, packaging, and positioning data products across customer segments and regions.
**Strategic Leadership \&amp; Collaboration**
* Partner closely with company leadership to ensure data innovation aligns with overall corporate strategy and M\&amp;A priorities.
* Drive cross\-functional initiatives to establish Quorum’s leadership in energy data intelligence, interoperability, and analytics.
* And other duties as assigned.
**Requirements**
* 6\+ years in product strategy, commercialization, or data\-focused product leadership within enterprise software, energy, or industrial tech.
* Proven experience developing or monetizing data products, platforms, or services.
* Strong understanding of data value chains, APIs, and data delivery models (analytics, marketplaces, embedded intelligence).
* Exceptional strategic, analytical, and communication skills with the ability to influence across business units.
**Preferred Skills**
* Familiarity with energy data ecosystems and standards (OSDU, WITSML, PRODML).
* Experience developing go\-to\-market strategies for data\-driven or subscription\-based products.
**Additional Details**
* Salary commensurate with experience ($165,000 \- $220,000 US Dollars) with bi\-weekly pay via direct deposit. Posted salary ranges are made in good faith. Quorum Software reserves the right to adjust ranges depending on the qualifications, experience, training, work history, and geographic location of the selected candidate.
* Background Check: The successful candidate will need to successfully complete the following clearances: Criminal History Check, Education Verification, Employment Verification, Driver’s License Verification and passport/ID validation.
* Visa Sponsorship: Employment eligibility to work with Quorum Software in the United States is required as the company will not pursue visa sponsorship for this position. The successful candidate will be required to ensure they maintain and renew any visas or permits that grant employment eligibility where applicable.
**About Quorum Software**
 Quorum Software connects people and information across the energy value chain. Twenty years ago, we built the first software for gas plant accountants. Pipeline operators came next, followed by land administrators, pumpers, and planners. Since 1998, Quorum has helped thousands of energy workers with business workflows that optimize profitability and growth. Our vision for the future connects the global energy ecosystem through cloud\-first software, data standards, and integration. The trusted source of decision\-ready data for 1,800\+ companies, Quorum Software makes the essential connections that let us work better together in the connected energy workplace. For more information, visit quorumsoftware.com.
**Quorum Diversity Statement:** 
 At Quorum, we are committed to fostering, cultivating, and preserving a culture of belonging. We want to be the place where a diverse pool of talented people join us, stay with us and do their best work. With a diverse team of employees, we grow and learn better together. The collective sum of the individual differences, life experiences, knowledge, innovation, self\-expression, and talent that our employees invest in their work represents not only part of our culture, but our reputation and our achievements. We are fully focused on equity and equality and believe deeply in diversity of race, gender, sexual orientation, age, religion, ethnicity, national origin, ability, neurodiversity and all the other characteristics that make us unique
*Quorum Business Solutions and Quorum Software are Equal Opportunity Employers. All qualified applicants will receive consideration for employment without regard to race, color, religion, age, sex, sexual orientation, gender identity, national origin, ancestry, veteran status, disability, genetic information, or any other basis protected by law.*
**Those applicants requiring reasonable accommodation to the application and/or interview process should notify a member of the Human Resources Department**
*Our company uses E\-Verify to confirm the employment and eligibility of all newly hired employees. To learn more about E\-Verify, including your rights and responsibilities, please visit* 
*www.dhs.gov/E\-Verify.*
**Recruitment Scam Alert:** 
 Quorum Software does not charge fees, request payments, conduct interviews via messaging apps, or request the installation of software at any stage of the recruitment process. All legitimate recruitment activities are conducted exclusively through our official careers website (www.quorumsoftware.com/careers) and email addresses ending in
 **@quorumsoftware.com** 
 . Any communication that does not originate from these official channels should be considered unauthorized and may be reported to \[email protected]</t>
        </is>
      </c>
    </row>
    <row r="54">
      <c r="A54" t="inlineStr">
        <is>
          <t>li-4328778798</t>
        </is>
      </c>
      <c r="B54" t="inlineStr">
        <is>
          <t>Product Owner II (Remote in WA, OR, ID)</t>
        </is>
      </c>
      <c r="C54" t="inlineStr">
        <is>
          <t>Gesa Credit Union</t>
        </is>
      </c>
      <c r="D54" t="inlineStr">
        <is>
          <t>linkedin</t>
        </is>
      </c>
      <c r="E54">
        <f>HYPERLINK("https://www.linkedin.com/jobs/view/4328778798", "https://www.linkedin.com/jobs/view/4328778798")</f>
        <v/>
      </c>
      <c r="F54" t="inlineStr"/>
      <c r="G54" t="inlineStr">
        <is>
          <t>Richland, WA</t>
        </is>
      </c>
      <c r="H54" t="inlineStr"/>
      <c r="I54" t="inlineStr">
        <is>
          <t>**Take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About \- Gesa Credit Union
**Role Summary:**
 The Product Owner II is responsible for the technical life cycle of the products they have been assigned, including coordinating development efforts, configuration changes, and support. The Product Owner II is responsible for documenting technical requirements, building product roadmaps, and budgeting associated with the products they oversee. The Product Owner II will collaborate with internal stakeholders, developers, and vendors regularly to deliver new products and enhance existing products that meet the documented business objectives of the products they support. The Product Owner II will coordinate the lifecycle of their product through the Agile Practices.
* The Product Owner II position has the ability to work fully remote from Washington, Oregon or Idaho.\*
**What You Will Be Doing:**
* Understand business and end\-user needs; and can identify and prioritize features to be delivered to meet those needs
* Actively participate in Agile ceremonies to ensure development efforts remain aligned with business objectives, the product vision, and user needs
* Demonstrate accountability by facilitating stakeholders’ inspection \&amp; reviews of delivered functionality, leading planning sessions to clarify priorities, and maintaining transparent communication throughout the development lifecycle
* Negotiate deliverables based on team capacity and learning and adapt plans iteratively to reflect evolving priorities and validated outcomes
* Develop near and long\-term rolling\-wave product roadmaps in close collaboration with business owners to ensure alignment with business objectives and related outcomes. Continuously refine the roadmap based on stakeholder input, delivery data, and validated learnings from actual product outcomes versus hypothesized value
* Define and track key product success metrics to evaluate value delivery, inform prioritization, and communicate outcomes to stakeholders. Use data and feedback to validate hypotheses, guide decision\-making, and continuously improve product performance and valuable outcomes
* Leverage deep understanding of product strengths and weaknesses to maximize value delivery, identify opportunities for enhancement, and inform stakeholders of potential process improvements and strategic possibilities
* Analyze end user feedback and operational metrics, to identify and understand product needs
* Direct and oversee the lifecycle of two (2\) or more products by independently managing and prioritizing their respective product backlogs in collaboration with business owners and technical stakeholders to balance functional and non\-functional needs. Operate with minimal oversight, ensuring a steady flow of user stories ready for development one (1\) to two (2\) weeks in advance
* Collaborate with business owners and technical stakeholders to develop and document user stories from the user’s perspective, enabling the product development team to deliver high\-value outcomes. Define features and epics to communicate alignment with business objectives and to establish the scope of development that supports strategic goals
* Collect and understand technical requirements for new implementations and enhancements to ensure sufficient technical runway, minimize technical debt, and maintain the product’s relevance and stability over time. Proactively prioritize non\-functional backlog items—such as performance, scalability, and maintainability—to support sustainable development and long\-term product health
* Assist the team with the development of test cases
* Manage vendor relationships to the extent of assisting with the review of and negotiation of contracts alongside the business stakeholder
* Ensure respective product is compliant with regulatory and security requirements
* Ensure upgrades are planned and completed, maintaining compliance with standards and control procedures
**About You:**
* Ability to understand complex business problems and identify and interpret business needs
* Ability to create a product strategy that aligns with measurable business outcomes
* Strong problem solving and analytical skills
* Demonstrated ability to communicate complex technical information in a condensed manner to various stakeholders verbally and in writing
* Demonstrated facilitation and influencing skills to drive decision making among stakeholders with diverse perspectives and priorities
* Experience working in an Agile Environment, either Kanban or Scrum
* Strong organizational skills
* Ability to complete tasks effectively independently, as well as collaboratively
* Proven knowledge of product management tools like Azure DevOps or Jira
* Ability to use process flow documentation software like Lucid Charts
* Proven knowledge of UI Mockup and Design tools like Figma
* Ability to travel to complete assigned responsibilities and attend professional seminars and education as approved
 Qualifications
**W** 
**hat You Will Need:**
* Minimum of three (3\) to five (5\) years of product owner experience in an Agile Environment required
* Bachelor's degree in Business Administration or a related field or equivalent of specialized courses, training, and/or related experience may be substituted
* High School diploma required
* Knowledge of the Financial Industry, products, and services
* Credit Union experience preferred
* Certified Scrum Product Owner (CSPO), Professional Scrum Product Owner I (PSPO I), or equivalent foundational level certification. (Required)
* AIPMM Agile PO/PM (ACPMPO), IC Agile Product Ownership (ICP\-APO) or equivalent product lifecycle certification preferred. MuleSoft Certified Developer \- Level 2 (Preferred)
**Our Team Member Value Proposition:**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Richland, WA: $86,586\.54 \- $129,879\.81
 Lynnwood, WA: $93,060\.30 \- $139,590\.45
 Renton, WA: $97,915\.62 \- $146,873\.43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55">
      <c r="A55" t="inlineStr">
        <is>
          <t>li-4329081221</t>
        </is>
      </c>
      <c r="B55" t="inlineStr">
        <is>
          <t>Staff Product Manager, Retention &amp; Engagement</t>
        </is>
      </c>
      <c r="C55" t="inlineStr">
        <is>
          <t>Etsy</t>
        </is>
      </c>
      <c r="D55" t="inlineStr">
        <is>
          <t>linkedin</t>
        </is>
      </c>
      <c r="E55">
        <f>HYPERLINK("https://www.linkedin.com/jobs/view/4329081221", "https://www.linkedin.com/jobs/view/4329081221")</f>
        <v/>
      </c>
      <c r="F55" t="inlineStr"/>
      <c r="G55" t="inlineStr">
        <is>
          <t>Brooklyn, NY</t>
        </is>
      </c>
      <c r="H55" t="inlineStr"/>
      <c r="I55"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$185,000\.00 \- $241,000\.00
**What's the Role?**
 At Etsy, we’re building the future of human\-powered commerce. We bring together people from around the world, helping bring joy to the everyday for our buyers while supporting millions of independent small businesses in the process. As a marketplace with over 100 million product listings from almost every country in the world, Etsy is the only place where buyers can truly find anything they are looking for!
 The Growth group is focused on getting more buyers to experience the joy of shopping on Etsy more often. We work across surfaces on Etsy to identify the highest impact opportunities for our buyers and sellers, partner closely with both the Marketing and the broader Product organization, and operate with a focus on solving valuable customer problems and an emphasis on rapid learning and agile development.
 As the Staff Product Manager for Retention \&amp; Engagement, you will be responsible for the solutions communicating with millions of users via email, push, sms/rcs and future owned channels, guiding them in their shopping journeys, and inspiring them to return and shop on Etsy more often.
 You’ll Manage a Dynamic And Evolving Portfolio, Driving $B\+ In Impact, Partnering Closely With Marketing And Product Leaders. You Will
* Guide the development of cutting\-edge ML/AI to personalize every communication in emails, push \&amp; sms.
* Build discovery flywheels where onsite actions power smarter offsite experiences, and offsite engagement brings buyers back to meaningful discovery on Etsy.
* Design experiences that drive long\-term value for users, connecting them with the millions of artisans and creators that make Etsy unique.
* Deepen our understanding of users, and find the perfect trends \&amp; products matching their interests and needs, blending human expertise and algorithms.
 This is a full\-time position reporting to the Senior Director of Product, Drive \&amp; Land Traffic.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 does the day\-to\-day look like?**
* Drive the product strategy for our Retention \&amp; Engagement platform (email, push, sms) to deliver highly relevant and inspiring experiences to millions of Etsy users.
* Partner closely with Marketing, ML, Engineering, Product Design, Data Science, Research, to develop customer\-centric solutions
* Leverage cutting\-edge ML \&amp; automation to bring the stories of millions of sellers and their unique products to life.
* Set a clear vision, define meaningful goals, and identify the biggest opportunities based on a deep understanding of Etsy’s user needs.
* Build and maintain long\-term product roadmaps aligned with Etsy’s broader Product and Marketing strategies.
* Foster a culture of rapid experimentation, learning through testing, and customer\-centered innovation.
* Champion risk\-taking, learning, and innovation, while always protecting the buyer experience and the business.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7\+ years of experience leading product initiatives in high velocity tech companies with at least 3 years of experience in growth \&amp; retention problem spaces.
* Experience developing ML\-powered and/or Marketing Technology products is a plus.
* Strong record of using data\-driven decision\-making to increase customer frequency and retention, balanced by sharp intuition when data is incomplete.
* Natural collaborator that understands how to share a vision and drive cross\-functional alignment and work effectively in a matrixed organization structure.
* Track record of building positive relationships with people and teams across a broad organization, including Marketing, Engineering, Design, Analytics, and Research.
* An inspirational and clear communication style that embodies our guiding principles of leading with optimism and embracing differences.
* A passionate member of the Etsy community and someone who believes in Etsy’s vision, mission and values.
* Experience working in e\-commerce, retail, two\-sided marketplaces or growth teams is a plus.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56">
      <c r="A56" t="inlineStr">
        <is>
          <t>li-4345940479</t>
        </is>
      </c>
      <c r="B56" t="inlineStr">
        <is>
          <t>Senior Product Manager</t>
        </is>
      </c>
      <c r="C56" t="inlineStr">
        <is>
          <t>IBM</t>
        </is>
      </c>
      <c r="D56" t="inlineStr">
        <is>
          <t>linkedin</t>
        </is>
      </c>
      <c r="E56">
        <f>HYPERLINK("https://www.linkedin.com/jobs/view/4345940479", "https://www.linkedin.com/jobs/view/4345940479")</f>
        <v/>
      </c>
      <c r="F56" t="inlineStr"/>
      <c r="G56" t="inlineStr">
        <is>
          <t>Cambridge, MA</t>
        </is>
      </c>
      <c r="H56" t="inlineStr"/>
      <c r="I56" t="inlineStr">
        <is>
          <t>**Introduction**
 We are seeking a highly strategic and technically deep
 **Senior Product Manager** 
 to lead the long\-term vision, modernization, and evolution of Apptio’s core Data Platform.
 In this role, you will serve as the single\-threaded owner for the Product strategy. You will define the future architecture of the modeling platform, drive foundational investments across data pipelines and computation, and lead cross\-functional alignment across engineering, design, implementation, and customer\-facing teams.
 You must blend domain expertise, product strategy excellence, strong customer empathy, and the technical depth to work closely with engineers on data platforms, computation engines, and configurable enterprise systems.
 This is a high\-influence role for a product leader who thrives on solving complex system\-level problems at scale.
**Your Role And Responsibilities**
* Own and articulate the long\-term vision for the Product.
* Define and execute a multi\-year strategy for platform modernization, including computation engine re\-architecture, data ingestion scaling, and UX simplification.
* Translate complex modeling, financial, and data management needs into clear requirements, themes, and architectural epics.
* Lead deep customer discovery across practitioners, implementation teams, and enterprise financial organizations to identify systemic challenges.
* Own prioritization for high\-impact investments that improve performance, scalability, maintainability, and customer configurability.
* Partner closely with engineering and design to deliver on product requirements.
* Serve as a senior product voice with executive customers, partners, and industry leaders.
* Partner with other Apptio PM leaders to build unified product experiences across the platform.
* Align engineering, architecture, design, and go\-to\-market teams behind cohesive strategic outcomes.
* Monitor industry trends and convert insights into platform direction.
**Preferred Education**
 Bachelor's Degree
**Required Technical And Professional Expertise**
* 6 plus years of product management experience, including extensive experience owning complex enterprise platforms.
* Strong domain expertise in TBM, ITFM, FinOps, enterprise cost modeling, or equivalent financial/operational modeling systems.
* Deep experience with data platforms, ETL/ELT pipelines, data ingestion, and enterprise data management.
* Familiarity with computation engines, rule\-based allocation systems, and platform configuration frameworks.
* Proven ability to define multi\-year product strategy and influence across senior engineering and cross\-functional stakeholders.
* Excellent communication skills with ability to articulate complex system interactions to both executives and highly technical stakeholders.</t>
        </is>
      </c>
    </row>
    <row r="57">
      <c r="A57" t="inlineStr">
        <is>
          <t>li-4348242211</t>
        </is>
      </c>
      <c r="B57" t="inlineStr">
        <is>
          <t>Product Owner, IT P&amp;C Insurance (Remote)</t>
        </is>
      </c>
      <c r="C57" t="inlineStr">
        <is>
          <t>Crum &amp; Forster</t>
        </is>
      </c>
      <c r="D57" t="inlineStr">
        <is>
          <t>linkedin</t>
        </is>
      </c>
      <c r="E57">
        <f>HYPERLINK("https://www.linkedin.com/jobs/view/4348242211", "https://www.linkedin.com/jobs/view/4348242211")</f>
        <v/>
      </c>
      <c r="F57">
        <f>HYPERLINK("https://careers-cfins.icims.com/jobs/4666/product-owner,-it-p&amp;c-insurance-(remote)/job?mode=apply&amp;iis=LinkedIn&amp;iisn=LinkedIn&amp;urlHash=rl3r", "https://careers-cfins.icims.com/jobs/4666/product-owner,-it-p&amp;c-insurance-(remote)/job?mode=apply&amp;iis=LinkedIn&amp;iisn=LinkedIn&amp;urlHash=rl3r")</f>
        <v/>
      </c>
      <c r="G57" t="inlineStr">
        <is>
          <t>Morristown, NJ</t>
        </is>
      </c>
      <c r="H57" t="inlineStr"/>
      <c r="I57" t="inlineStr">
        <is>
          <t>**Crum \&amp; Forster Company Overview**
**Crum \&amp; Forster (C\&amp;F)** 
 , with a proud history dating to 1822, provides specialty and standard commercial lines insurance products through our admitted and surplus lines insurance companies. C\&amp;F enjoys a financial strength rating of "A\+" (Superior) by AM Best and is proud of our superior customer service platform. Our claims and risk engineering services are recognized as among the best in the industry.
 Our most valuable asset is our people: more than 2500 employees in locations throughout the United States. The company is increasingly winning recognition as a great place to work, earning several workplace and wellness awards for four years running, including the
 **2025\-2026 Great Place to Work ® Award** 
 for our employee\-first focus and our steadfast commitment to diversity, equity and Inclusion.
 C\&amp;F is part of Fairfax Financial Holdings, a global, billion dollar organization. For more information about Crum \&amp; Forster, please visit our website: www.cfins.com.
**Job Description**
 As a Technical Product Owner within our Transformation Management team, you will serve as the crucial bridge between our business and technology teams, spearheading the development and optimization of our processes and technical assets to support the business objectives. You will translate complex business requirements into actionable product features while advocating for exceptional user experiences, operational efficiency, and business value creation. This role balances strategic product vision with hands\-on implementation to ensure technology solutions meet the business goals.
**Position In The Organization**
* Individual Contributor
* Cross\-Functional Leadership: Leads product development teams without direct authority
* Key Partnerships: Underwriting, IT Development, Operations, Portfolio Management, Claims
* Executive Visibility: Regular presentations to Operations leadership
**What You Will Do**
 Product Strategy \&amp; Roadmap Management (40%)
* Partner with business leadership to develop and maintain a comprehensive product roadmap aligned with operational and business objectives
* Prioritize features based on business value, technical constraints, and regulatory requirements
* Balance competing priorities across multiple insurance products while managing stakeholder expectations
* Collaborate with Portfolio Management to ensure alignment with enterprise\-wide initiatives
* Define measurable success criteria for product implementations and track outcomes
 Agile Delivery Management (30%)
* Serve as the accountable owner for the product backlog, ensuring clarity, transparency, and continual prioritization
* Author clear, business requirements with comprehensive acceptance criteria
* Lead Agile ceremonies including backlog refinement and sprint reviews
* Coordinate with Program Increment (PI) Planning sessions to ensure alignment with broader delivery timelines
* Collaborate with QA teams and conduct User Acceptance Testing prior to deployment
 Stakeholder Management \&amp; Change Enablement (20%)
* Develop and execute comprehensive change management plans for implementations
* Design and deliver targeted training sessions for stakeholders during product rollouts
* Create user adoption metrics and track progress against implementation goals
* Facilitate regular feedback sessions with end users to drive continuous improvement
* Serve as the primary escalation point for operational issues related to implemented products
* Develop communications that clearly articulate value proposition and benefits to end users
 Operational Excellence and Analytics (10%)
* Establish and monitor KPIs for product performance and operational efficiency
* Identify optimization opportunities across platforms to improve workflow efficiency
* Support disaster recovery planning and business continuity for critical systems
**What You Will Bring To C\&amp;F**
* 6\+ years of experience in insurance operations, underwriting, or product management
* Working knowledge of Agile methodologies and experience in Scrum environments
* Demonstrated ability to translate complex business requirements into clear user stories
* Strong analytical capabilities with data\-informed decision\-making skills
* Excellent communication and presentation skills for technical and non\-technical audiences
**Preferred Skills**
* Direct experience with Duck Creek or similar policy administration systems
* Certified Scrum Product Owner (CSPO) or similar certification
* Experience with JIRA, Confluence, and product management tools
* Experience leading operational transformation initiatives
* Knowledge of underwriting workflows and decision processes
* Understanding of insurance regulatory requirements and their impact on product development
 Career Development Opportunities
* Senior Product Owner with expanded product portfolio
* Product Manager overseeing multiple product owners
* Operations Leadership roles focusing on broader transformation initiatives
* Technology Strategy roles connecting business needs with technical capabilities
 Work Environment \&amp; Schedule
* Occasional travel to other C\&amp;F locations for collaborative planning sessions (10%)
* Regular participation in PI planning events (quarterly)
* Support during implementation weekends (scheduled 4\-6 times annually)
**What C\&amp;F Will Bring To You**
* Competitive compensation package
* Generous 401K employer match
* Employee Stock Purchase plan with employer matching
* Generous Paid Time Off
* Excellent benefits that go beyond health, dental \&amp; vision. Our programs are focused on your whole family’s wellness, including your physical, mental and financial wellbeing
* A core C\&amp;F tenet is owning your career development, so we provide a wealth of ways for you to keep learning, including tuition reimbursement, industry\-related certifications and professional training to keep you progressing on your chosen path
* A dynamic, ambitious, fun and exciting work environment
* We believe you do well by doing good and want to encourage a spirit of social and community responsibility, matching donation program, volunteer opportunities, and an employee\-driven corporate giving program that lets you participate and support your community
**At C\&amp;F you will BELONG**
 If you require special accommodations, please let us know. We value inclusivity and diversity. We are committed to equal employment opportunity and welcome everyone regardless of race, color, ancestry, religion, sex, national origin, sexual orientation, age, citizenship, marital status, disability, gender identity, or Veteran status. If you require special accommodations, please let us know. Belonging at C\&amp;F, is a mindset. It’s about fostering a culture of inclusion and connection, where everyone feels valued, heard, and empowered to thrive and where our social impact efforts help strengthen the communities where we live and work.
 For California Residents Only: Information collected and processed as part of your career profile and any job applications you choose to submit are subject to our privacy notices and policies, visit https://www.cfins.com/onlineprivacypolicy/ca/noticeatcollection/ for more information.
 Crum \&amp; Forster is committed to ensuring a workplace free from discriminatory pay disparities and complying with applicable pay equity laws. Salary ranges are available for all positions at this location, taking into account roles with a comparable level of responsibility and impact in the relevant labor market and these salary ranges are regularly reviewed and adjusted in accordance with prevailing market conditions. The annualized base pay for the advertised position, located in the specified area, ranges from a minimum of $87,000 to a maximum of $127,600\. The actual compensation is determined by various factors, including but not limited to the market pay for the jobs at each level, the responsibilities and skills required for each job, and the employee’s contribution (performance) in that role. To be considered within market range, a salary is at or above the minimum of the range. You may also have the opportunity to participate in discretionary equity (stock) based compensation and/or performance\-based variable pay programs.</t>
        </is>
      </c>
    </row>
    <row r="58">
      <c r="A58" t="inlineStr">
        <is>
          <t>li-4355072237</t>
        </is>
      </c>
      <c r="B58" t="inlineStr">
        <is>
          <t>Product Owner - Courts</t>
        </is>
      </c>
      <c r="C58" t="inlineStr">
        <is>
          <t>RemoteHunter</t>
        </is>
      </c>
      <c r="D58" t="inlineStr">
        <is>
          <t>linkedin</t>
        </is>
      </c>
      <c r="E58">
        <f>HYPERLINK("https://www.linkedin.com/jobs/view/4355072237", "https://www.linkedin.com/jobs/view/4355072237")</f>
        <v/>
      </c>
      <c r="F58" t="inlineStr"/>
      <c r="G58" t="inlineStr"/>
      <c r="H58" t="inlineStr"/>
      <c r="I58" t="inlineStr">
        <is>
          <t>About the Opportunity:
 This organization is a technology\-driven software application company specializing in enterprise management software solutions for the Private and Semi\-private Club, Foodservices, Construction, Metal Service Centers, Moving \&amp; Storage, and Attractions \&amp; Leisure, Fitness \&amp; Sports industries. With multiple respected brands serving independent vertical markets, the organization supports over 8000 customers worldwide across 15 countries. The Product Owner \- Courts role involves leading internal product projects, managing product lifecycle activities, and collaborating with cross\-functional teams to deliver and optimize software solutions for the private club sector.
 Responsibilities:
 • Oversee product development from ideation through deployment
 • Ensure timely, on\-budget product launches meeting customer expectations
 • Conduct market research to understand customer needs and industry trends
 • Prioritize features aligned with strategic goals for the product roadmap
 • Collaborate with engineering, marketing, sales, and other departments for product success
 • Actively participate in sprint planning meetings
 • Create Product Requirements Documents with prioritized features and justifications
 • Design wireframe mockups for product enhancements and new screens
 • Manage QA resources to meet user expectations and address bugs and enhancements
 • Run beta and pilot programs; enlist, train, and collaborate with clients
 • Write internal and external product release notes and agreement language for new products
 • Continuously monitor and optimize product competitiveness and customer satisfaction
 • Represent the product at tradeshows, webinars, demos, and client site visits
 Requirements:
 • 2 to 5 years experience as Product Owner, Manager, or Analyst
 • Familiarity with the private club industry
 • Clear and concise communication of product vision and progress; comfortable with webinars
 • Ability to balance client and business needs effectively
 • Skill in translating user and business requirements into detailed specifications
 • Proficiency in conflict resolution and problem\-solving
 • Evidence\-based decision\-making and transparent prioritization
 • Ability to say “no” with clear explanations to stakeholders
 • Proven track record of defining and launching products
 • Strong written and verbal communication skills
 • Technical background and software product management experience
 • Understanding of UI and UX principles
 • Teamwork and ability to influence cross\-functional teams without formal authority
 • Experience working with external partners and assessing integrations
 • Self\-starter with entrepreneurial work style
 • Excellent organizational skills
 • Effective collaboration with designers and engineers
 • Strong interpersonal communication skills
 • Ability to tactfully communicate progress to senior management
 • User advocacy and understanding of user motivations
 • Adaptability to change and composure under pressure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9">
      <c r="A59" t="inlineStr">
        <is>
          <t>li-4345969390</t>
        </is>
      </c>
      <c r="B59" t="inlineStr">
        <is>
          <t>Product Manager</t>
        </is>
      </c>
      <c r="C59" t="inlineStr">
        <is>
          <t>Rite-Hite</t>
        </is>
      </c>
      <c r="D59" t="inlineStr">
        <is>
          <t>linkedin</t>
        </is>
      </c>
      <c r="E59">
        <f>HYPERLINK("https://www.linkedin.com/jobs/view/4345969390", "https://www.linkedin.com/jobs/view/4345969390")</f>
        <v/>
      </c>
      <c r="F59">
        <f>HYPERLINK("https://ritehite.wd12.myworkdayjobs.com/RHH/job/USA-WI-Corporate-Headquarters/Product-Manager_JR101986?source=LinkedIn&amp;urlHash=R-nx", "https://ritehite.wd12.myworkdayjobs.com/RHH/job/USA-WI-Corporate-Headquarters/Product-Manager_JR101986?source=LinkedIn&amp;urlHash=R-nx")</f>
        <v/>
      </c>
      <c r="G59" t="inlineStr">
        <is>
          <t>Dubuque, IA</t>
        </is>
      </c>
      <c r="H59" t="inlineStr"/>
      <c r="I59" t="inlineStr">
        <is>
          <t>**At Rite\-Hite, your work makes an impact.** 
 As the global leader in loading dock and door equipment, we design and deliver solutions that keep our customers safe, secure, and productive. Here, you’ll find innovation, stability, and the chance to grow your career as part of a team that’s always looking ahead.
**PURPOSE AND SCOPE**
 This position is responsible for the implementation of the short and long\-term product strategies for specific Rite Hite product lines and/or categories. As a direct report to the Product Management Leader, the Product Manager will provide insight and feedback to help develop strategic plans and will support the development and execution of product marketing/media plans. The incumbent will manage and execute specific product lines through product life cycles to optimize profit and meet marketing, financial, and corporate growth objectives.
**Essential Duties And Responsibilities**
 To perform this job successfully, an individual must be able to perform each essential duty satisfactorily.
**Product Roadmap**
* Execute and maintain a 3\+ year product/category roadmap for specified products in the company portfolio.
* Define product requirements incorporating customer and market insights from sales, service, and marketing.
* Conduct ongoing reviews of pricing structure to ensure its accuracy and appropriateness for assigned product categories.
**Product Lifecycle**
* Execute new product introductions through the product life cycle.
* Implement and execute end\-of\-life actions for products that no longer add value to the company portfolio.
* Collaborate with cross\-functional team to deliver the planned roadmap on time.
* Provide immediate resolution to escalated customer challenges and critical risks across the product development process.
* Analyze sales representative performance and help develop any strategies or corrective actions that may be required to maximize distributor performance for assigned product categories.
**Market Insight \&amp; Continuous Improvement**
* Conduct market research and track market trends within product lines/ categories.
* Collaborate with functional areas such as sales, applications, customer support, engineering, marketing, manufacturing, and operations to develop and provide product definitions responsive to customer needs and market opportunities.
* Determine the need for product revisions, expansion, and/or elimination and make recommendations to the Product Management Leader to drive overall product category strategy.
* Collaborate with cross function team to deliver continuous improvement projects.
* Identify gaps that exist withing the product lines/categories.
**Product Marketing \&amp; Training**
* Support marketing team to generate the annual marketing plan including the product value proposition and positioning as well as launch and installed base strategies.
* Provide content for sales literature, sales tools, promotions, ads and other marketing materials.
* Collaborate with marketing team to deliver product training.
**EDUCATION And/or EXPERIENCE**
* Bachelor’s degree in business, engineering or similar required.
* 3\+ years related experience and/or training in new product, program or project management.
* Or equivalent combination of education and experience.
* MBA preferred.
**KNOWLEDGE / SKILL REQUIREMENTS:**
 The ideal candidate will demonstrate:
* Ability to work and communicate with colleagues across operating companies and supporting functions.
* Excellent interpersonal skills.
* Aptitude in decision\-making and problem\-solving.
* Must be able to plan, organize and prioritize work. Must be able to meet deadlines.
* Up to 25% travel may be required.
**SUPERVISORY RESPONSIBILITIES:**
* This role will not have any direct reports.
**What We Offer**
 At Rite\-Hite, we take care of our people – because when you’re supported, you can do your best work. Our benefits are designed to support your health, your future and your life outside of work:
* Health \&amp; Well\-being: Comprehensive medical, dental, and vision coverage, plus life and disability insurance. A robust well\-being program with an opportunity to receive an extra day off and more.
* Financial Security: A strong retirement savings program with 401(k), company match, and profit sharing.
* Time for You: Paid holidays, vacation time, and personal/sick days each year.
 Join us and build a career where you’re supported – at work and beyond.
 Rite\-Hite is proud to be an Equal Opportunity Employer. We consider all qualified applicants without regard to race, color, religion, sex, sexual orientation, gender identity, national origin, age, disability, veteran status, or any other protected characteristic under federal, state, or local law. In accordance with VEVRAA, we are committed to providing equal employment opportunities for protected veterans. We are also committed to maintaining a
 **drug\-free workplace** 
 for the safety of our employees and customers.</t>
        </is>
      </c>
    </row>
    <row r="60">
      <c r="A60" t="inlineStr">
        <is>
          <t>li-4345984255</t>
        </is>
      </c>
      <c r="B60" t="inlineStr">
        <is>
          <t>Product Manager, Google XR Core and Android Services</t>
        </is>
      </c>
      <c r="C60" t="inlineStr">
        <is>
          <t>Google</t>
        </is>
      </c>
      <c r="D60" t="inlineStr">
        <is>
          <t>linkedin</t>
        </is>
      </c>
      <c r="E60">
        <f>HYPERLINK("https://www.linkedin.com/jobs/view/4345984255", "https://www.linkedin.com/jobs/view/4345984255")</f>
        <v/>
      </c>
      <c r="F60" t="inlineStr"/>
      <c r="G60" t="inlineStr">
        <is>
          <t>San Jose, CA</t>
        </is>
      </c>
      <c r="H60" t="inlineStr"/>
      <c r="I60" t="inlineStr">
        <is>
          <t>**Minimum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shipping user\-facing software systems or platform\-level products.
**Preferred qualifications:**
* 4 years of experience in a role preparing and delivering technical presentations to executive leadership.
* 3 years of people management experience with direct reports, and in technical leadership.
* Excellent communication, negotiation, and cross\-functional leadership skills, with the ability to drive alignment in a complex, multi\-stakeholder environment.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Extended Reality (XR) team is building the foundations for the next generation of computing. We are a group of experts creating the core technologies seamless ambient experiences ambient and immersive experiences. Our work sits at the intersection of hardware, software, and AI through wearable devices, and our scope continues to grow and evolve.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product goal for Google XR Services and Google Mobile Services (GMS) Core on Android XR. You will define fundamental capabilities to meet the specific technical demands of form factors, standalone headsets and tethered glasses.
* Lead the creation of technical requirements and integration standards for the original equipment manufacturer (OEM) ecosystem. Partnering with OEM companies to ensure services scale across various hardware while reducing fragmentation and maintaining high reliability.
* Establish policies and frameworks for distributing Google services on XR devices. Collaborate with engineering to develop compliance programs and modular system images that enable partners to launch and update devices.
* Act as a liaison between Android XR and Core Android teams to drive continuity. You will advocate for XR\-specific requirements within the GMS framework and ensure that platform updates remain compatible with the XR roadmap.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1">
      <c r="A61" t="inlineStr">
        <is>
          <t>li-4337227996</t>
        </is>
      </c>
      <c r="B61" t="inlineStr">
        <is>
          <t>Lead Product Manager - 12163</t>
        </is>
      </c>
      <c r="C61" t="inlineStr">
        <is>
          <t>Cox Automotive Inc.</t>
        </is>
      </c>
      <c r="D61" t="inlineStr">
        <is>
          <t>linkedin</t>
        </is>
      </c>
      <c r="E61">
        <f>HYPERLINK("https://www.linkedin.com/jobs/view/4337227996", "https://www.linkedin.com/jobs/view/4337227996")</f>
        <v/>
      </c>
      <c r="F61" t="inlineStr"/>
      <c r="G61" t="inlineStr">
        <is>
          <t>Austin, TX</t>
        </is>
      </c>
      <c r="H61" t="inlineStr"/>
      <c r="I61" t="inlineStr">
        <is>
          <t>Cox Automotive is seeking a
 **Lead Product Manager** 
 to join the
 **Inventory Management Enablement Services (IMES) release train** 
 , which is transforming the vAuto platform into a simplified, modular foundation.
 This role combines
 **strategic product leadership with technical expertise** 
 . You will drive platform\-level decisions, collaborate with engineering and architecture teams, and ensure that technical capabilities translate into measurable business outcomes.
**Primary Responsibilities**
 Product Strategy and Discovery
* Define and maintain a strategic roadmap that prioritizes initiatives based on business impact and technical feasibility.
* Lead discovery efforts to identify opportunities and validate solutions, ensuring alignment with platform transformation goals
* Translate complex technical concepts into clear business value for stakeholders.
* Serve as a thought leader within the organization, contributing to vision development and strategic initiatives.
 Product Roadmap
* Convert discovery insights into a transparent, outcome\-oriented roadmap that sequences near\-term wins and long\-term strategies.
* Communicate roadmap updates and technical trade\-offs to stakeholders and leadership.
 Planning and Execution
* Translate strategy into business outcomes, milestones, and epics; maintain a healthy backlog that continuously delivers measurable value.
* Collaborate with Product Owners, Engineering, Architecture, and Solution Delivery partners to define features, prioritize backlog, and ensure technical alignment.
* Establish and track success metrics for both business impact and technical performance
 Agile Development
* Apply agile methodologies effectively in a complex enterprise environment
* Build strong relationships with onshore and offshore teams, including contractors, across product, UX, engineering, and architecture
* Ensure teams understand the product vision and direction, delivering incremental value toward that vision
**Qualifications**
* Bachelor's degree in a related discipline and 6 years' experience in a related field. The right candidate could also have a different combination, such as a master's degree and 4 years' experience; a Ph.D. and 1 year of experience; or 18 years' experience in a related field
* 6\+ years of experience product management/development with a record of shipping complex, enterprise products.
* Technical knowledge in Platform\-oriented capabilities: API strategy, modular architecture, and integration frameworks.
* Ability to bridge business and technology, influencing decisions with technical insight.
* Familiarity with SAFe Agile Methodology
* Strong critical thinking and problem\-solving skills for complex enterprise challenges.
* Experience with product planning, road mapping, and project management tools.
* Purpose\-driven with the ability to motivate and excite others; strive for continuous improvement with bias towards action.
* Excellent people's skills and developing relationships with team members and customers.
* Applicants must currently be authorized to work in the United States for any employer without current or future sponsorship.
 USD 122,700\.00 \- 204,500\.00 per year
**Compensation**
 Compensation includes a base salary of $122,700\.00 \- $204,500\.00\.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62">
      <c r="A62" t="inlineStr">
        <is>
          <t>li-4346065086</t>
        </is>
      </c>
      <c r="B62" t="inlineStr">
        <is>
          <t>Principal Product Manager</t>
        </is>
      </c>
      <c r="C62" t="inlineStr">
        <is>
          <t>Waystar</t>
        </is>
      </c>
      <c r="D62" t="inlineStr">
        <is>
          <t>linkedin</t>
        </is>
      </c>
      <c r="E62">
        <f>HYPERLINK("https://www.linkedin.com/jobs/view/4346065086", "https://www.linkedin.com/jobs/view/4346065086")</f>
        <v/>
      </c>
      <c r="F62">
        <f>HYPERLINK("https://rr.jobsyn.org/02300F4C14A249E3B590EC68A11A096C1606&amp;urlHash=hFQY", "https://rr.jobsyn.org/02300F4C14A249E3B590EC68A11A096C1606&amp;urlHash=hFQY")</f>
        <v/>
      </c>
      <c r="G62" t="inlineStr">
        <is>
          <t>Atlanta, GA</t>
        </is>
      </c>
      <c r="H62" t="inlineStr"/>
      <c r="I62" t="inlineStr">
        <is>
          <t>**About This Position**
 Waystar is seeking a smart and creative Principal Product Manager with hands\-on experience in Healthcare Revenue Cycle Management. We are looking for someone who has a passion for building great products and the natural instincts for making decisions that lead to highly useable software.  This professional self\-starter will report to the VP of Product Management and work closely with User Experience team and Technology teams. The Principal Product Manager will lead large\-scale, cross departmental strategic product initiatives coordinating with key stakeholders in sales, marketing, design, development, and operations. This role will be charged with leading game changing efforts at Waystar within the company’s Product team for new to market and existing solutions. The ideal candidate will understand the significant flaws that exist in the healthcare market and have a passion for solving those problems.
**What You'll Do**
* Analyzing various market trends, user behavior, product inputs, customer requirements, designing solution architectures and developing the business case for new product development
* Preparing software design plans including product requirements documents (PRD), use case documentation, jobs\-to\-be\-done, and user interface wireframes (both independently and with assistance from our User Experience team)
* Working closely with internal and external resources to define system requirements that meet changing market needs and ensure customer satisfaction and product quality
* Assisting the VP of Product Management in coordinating with sales, marketing, development, and customer support to bring together divergent ideas and convince various stakeholders to rally behind a single product vision
* Working with the VP of Product Management to manage the product roadmap, including documenting product strategy, maintaining the feature backlog, prioritizing work and coordinating product launches
* Organizing market research including analyzing customer segments, reviewing industry research reports, and assessing strengths and weaknesses of competitors
* Studying healthcare industry standards and staying up to date on industry changes and compliance issues
* Gathering inspiration and ideas by visiting customers regularly and reviewing software and other products that solve similar problems in other domains
* Collecting direct customer feedback by organizing user tests, studying customer support incidents, administering user surveys, and visiting customers to study product interaction in their natural environment
**What You'll Need**
* You know how to execute and like to roll up your sleeves to get things done
* You are comfortable in front of a whiteboard and can describe complex information in a concise but thorough fashion
* You can lead a cross functional team through the entire PDLC, rallying them to deliver value to clients, partners, and Waystar
* You have at least 4 years of software build experience and have led the end to end build of at least 2 large scale product initiatives (new products/major upgrades) and brought them to market
* An understanding of hospital \&amp; professional coding and billing workflows and the provider reimbursement process, obtained either through direct experience in a healthcare setting or an RCM focused HIT company
* Provided leadership on a team that designed, built, or used Revenue Cycle Management products
* Organizing market research including analyzing customer segments and industry trends
* Possess robust technical fundamentals, especially when it comes to building software
* Problem solving skills; able to analyze a problem and design creative solutions
* Attention to detail; extraordinary eye for usability and the customer experience
* Excellent written communication skills; able to succinctly convey complex ideas through the written word
* Great people skills; able to facilitate, negotiate and persuade stakeholders; ability to communicate progress, challenges and celebrate accomplishments
* Flexible and agile; able to rapidly adapt to changing situations and inputs
* College Degree required; Business or Computer Science degree preferred
**About Waystar**
 Through a smart platform and better experience, Waystar helps providers simplify healthcare payments and yield powerful results throughout the complete revenue cycle.
 Waystar’s healthcare payments platform combines innovative, cloud\-based technology, robust data, and unparalleled client support to streamline workflows and improve financials so providers can focus on what matters most: their patients and communities. Waystar is trusted by 1M\+ providers, 1K\+ hospitals and health systems, and is connected to over 5K commercial and Medicaid/Medicare payers. We are deeply committed to living out our organizational values: honesty; kindness; passion; curiosity; fanatical focus; best work, always; making it happen; and joyful, optimistic \&amp; fun.
 Waystar products have won multiple Best in KLAS® or Category Leader awards since 2010 and earned multiple \#1 rankings from Black Book™ surveys since 2012\. The Waystar platform supports more than 500,000 providers, 1,000 health systems and hospitals, and 5,000 payers and health plans. For more information, visit waystar.com or follow @Waystar (https://twitter.com/Waystar) on Twitter.
**WAYSTAR PERKS**
* Competitive total rewards (base salary \+ bonus, if applicable)
* Customizable benefits package (3 medical plans with Health Saving Account company match)
* We offer generous paid time off for our non\-exempt team members, starting with 3 weeks \+ 13 paid holidays, including 2 personal floating holidays. We also offer flexible time off for our exempt team members \+ 13 paid holidays
* Paid parental leave (including maternity \+ paternity leave)
* Education assistance opportunities and free LinkedIn Learning access
* Free mental health and family planning programs, including adoption assistance and fertility support
* 401(K) program with company match
* Pet insurance
* Employee resource groups
 Waystar is proud to be an equal opportunity workplace. We celebrate, value, and support diversity and inclusion. Qualified applicants will receive consideration for employment without regard to race, color, religion, age, sex, national origin, disability status, genetics, marital status,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**Job Category:** 
 Product Strategy
**Job Type:** 
 Full time
**Req ID:** 
 R2733</t>
        </is>
      </c>
    </row>
    <row r="63">
      <c r="A63" t="inlineStr">
        <is>
          <t>li-4292846897</t>
        </is>
      </c>
      <c r="B63" t="inlineStr">
        <is>
          <t>Group Product Manager, Storage (SF/Sunnyvale)</t>
        </is>
      </c>
      <c r="C63" t="inlineStr">
        <is>
          <t>Crusoe</t>
        </is>
      </c>
      <c r="D63" t="inlineStr">
        <is>
          <t>linkedin</t>
        </is>
      </c>
      <c r="E63">
        <f>HYPERLINK("https://www.linkedin.com/jobs/view/4292846897", "https://www.linkedin.com/jobs/view/4292846897")</f>
        <v/>
      </c>
      <c r="F63" t="inlineStr"/>
      <c r="G63" t="inlineStr">
        <is>
          <t>San Francisco, CA</t>
        </is>
      </c>
      <c r="H63" t="inlineStr"/>
      <c r="I63"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As a Group Product Manager, Cloud Storage, you'll be at the forefront of this mission, leading the Cloud product strategy for our Block, File, and Object storage IaaS offerings. You'll work cross\-functionally to define the product roadmap, from conception to launch, ensuring our storage services are integrated seamlessly into our IaaS portfolio. Your role will involve managing key vendor relationships, building a deep partnership with our Engineering team and actively scouting innovation across the industry to build differentiated and compelling storage services. If you are passionate about the intersection of AI purpose\-built IaaS, product innovation, and environmental sustainability, this role is for you.
**What You'll Be Working On:**
* Define and execute the product vision and strategy for our Cloud Storage offerings (Block, File, Object), ensuring alignment with our overall IaaS strategy.
* Conduct comprehensive market research, competitive analysis, vendors assessments and customer interviews to identify new opportunities and validate product concepts for storage services.
* Translate product strategy into a detailed roadmap, user stories, and feature requirements for our storage portfolio.
* Collaborate with engineering, in\-house digital infrastructure and manufacturing, business operations, and go\-to\-market teams to ensure successful product development and launch of storage solutions.
* Manage the full product lifecycle, from ideation to end\-of\-life, for our cloud storage services.
* Track and analyze key product metrics to inform decisions and measure the success of our storage products.
* Serve as the internal and external evangelist for Crusoe's Cloud Storage products, including presenting to customers, partners, and internal stakeholders.
* Manage strategic vendor relationships for storage hardware and software, ensuring optimal performance, cost\-efficiency, and innovation within our offerings.
* Actively scout the industry for emerging storage technologies, trends, and partnerships to identify opportunities for differentiation and competitive advantage.
**What You'll Bring to the Team:**
* 8\+ years of experience in product management, with at least 3 years in a senior or group product management role, specifically focused on cloud storage (Block, File, Object) or related cloud infrastructure.
* A proven track record of successfully launching and managing B2B technical products from concept to market.
* Strong technical understanding of cloud storage architectures, including various storage types (Block, File, Object), data management, and integration with broader cloud infrastructure.
* Exceptional communication skills, with the ability to articulate complex technical concepts to a variety of audiences, including executives and technical teams.
* The ability to thrive in a fast\-paced, high\-growth startup environment, demonstrating strong leadership and strategic thinking.
* Experience working with cross\-functional teams and managing diverse stakeholder needs, including vendor management.
**Bonus Points**
* Experience with AI/ML infrastructure, including training and inference workloads in the Cloud.
* Prior experience in the energy sector or with sustainable technology.
* Experience with a major cloud provider (AWS, Azure, GCP) and their storage services, or a deep understanding of cloud\-native storage principles.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Range**
 Compensation will be paid in the range of up to $233,000 \-$282,000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64">
      <c r="A64" t="inlineStr">
        <is>
          <t>li-4353104315</t>
        </is>
      </c>
      <c r="B64" t="inlineStr">
        <is>
          <t>Senior Product Manager - Technical</t>
        </is>
      </c>
      <c r="C64" t="inlineStr">
        <is>
          <t>Mastercard</t>
        </is>
      </c>
      <c r="D64" t="inlineStr">
        <is>
          <t>linkedin</t>
        </is>
      </c>
      <c r="E64">
        <f>HYPERLINK("https://www.linkedin.com/jobs/view/4353104315", "https://www.linkedin.com/jobs/view/4353104315")</f>
        <v/>
      </c>
      <c r="F64">
        <f>HYPERLINK("https://careers.mastercard.com/us/en/job/MASRUSR265327EXTERNALENUS/Senior-Product-Manager-Technical?utm_source=linkedin&amp;utm_medium=phenom-feeds&amp;source=LINKEDIN&amp;urlHash=eBuZ", "https://careers.mastercard.com/us/en/job/MASRUSR265327EXTERNALENUS/Senior-Product-Manager-Technical?utm_source=linkedin&amp;utm_medium=phenom-feeds&amp;source=LINKEDIN&amp;urlHash=eBuZ")</f>
        <v/>
      </c>
      <c r="G64" t="inlineStr">
        <is>
          <t>O'Fallon, MO</t>
        </is>
      </c>
      <c r="H64" t="inlineStr"/>
      <c r="I6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Product Manager \- Technical
**Overview**
 The Decision Management Platform (DMP) enables intelligent, decision\-based products through real\-time and near real\-time streaming analytics, providing the ability to govern decisions and manage outcomes with agility at global scale. This platform powers Cyber Intelligence and Fraud Prevention capabilities across the organization.
 The new Decision as a Service team within DMP is developing a lightweight solution that encapsulates the platform’s most powerful features to provide Business Logic Implementation as a Service for internal and market\-facing applications. This service will enable expansion into new payment networks, improve speed\-to\-market, and strengthen our market leadership.
 We are seeking a Senior Product Manager – Technical to own an agile scrum team’s product backlog, translate strategic priorities into executable work, define clear acceptance criteria, and ensure ongoing delivery of customer value. The ideal candidate is a strong, proactive product owner who is passionate about customer experience, highly motivated, intellectually curious, analytical, and entrepreneurial.
 Role
* Lead from the front: Set clear product direction, communicate outcomes (MBR), and rally teams around the roadmap using OKRs.
* Promote visibility: Demonstrate product capabilities to broader audiences to drive awareness, adoption, and socialization (HHL / MBR / QTR).
* Measure impact: Monitor performance post\-launch using dashboards, traffic metrics, and KPIs to assess product health and inform enhancements.
* Deliver predictably: Keep the roadmap and sprint progress on track through disciplined prioritization and execution.
* Drive alignment: Ensure cross\-team dependencies are resolved quickly and key decisions are data\-driven.
* Translate business requirements into product features and well\-defined user stories with clear acceptance criteria.
* Maintain, refine, and prioritize the product backlog to ensure transparency and alignment with strategic objectives.
* Ensure engineering teams have clarity and support to iterate effectively and deliver high\-quality functionality.
* Prepare for launches and monitor adoption, operational performance, and overall platform health post\-release.
* Own and maintain product documentation to support knowledge\-sharing and smooth onboarding for technical teams.
* Coach and reinforce Agile/Scrum principles within and across teams to promote collaboration, accountability, and continuous improvement.
**All About You**
* Bachelor’s degree or equivalent experience in a related field.
* Proven experience as a Product Owner, Product Manager, or similar role in a technical environment.
* Strong proficiency in writing and grooming user stories, defining acceptance criteria, and managing platform\-level product backlogs.
* Expert in system analysis and design, with the ability to understand upstream and downstream services to effectively plan and manage dependencies.
* Demonstrated experience in stakeholder management, effectively aligning diverse teams and communicating priorities and outcomes.
* Experience with product and task tracking tools such as JIRA or Rally; familiarity with Aha! is a plus.
* Ability to think critically, manage ambiguity, resolve conflicts, and make informed trade\-off decisions.
* Demonstrated emotional intelligence with a track record of supporting teams in delivering high\-value outcomes.
* Excellent verbal and written communication skills, with the ability to quickly understand and discuss technical work.
* Collaborative working style with a focus on disciplined execution and measurable results.
* Creative problem solver who can navigate obstacles and maintain momentum.
 This role is not eligible for Mastercard’s work authorization sponsorship. As such, candidates must be eligible to work in the United States, now as well as in the future, without employer sponsorship.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$104,000 \- $177,000 USD</t>
        </is>
      </c>
    </row>
    <row r="65">
      <c r="A65" t="inlineStr">
        <is>
          <t>li-4353113904</t>
        </is>
      </c>
      <c r="B65" t="inlineStr">
        <is>
          <t>Product Manager – Workday</t>
        </is>
      </c>
      <c r="C65" t="inlineStr">
        <is>
          <t>IBM</t>
        </is>
      </c>
      <c r="D65" t="inlineStr">
        <is>
          <t>linkedin</t>
        </is>
      </c>
      <c r="E65">
        <f>HYPERLINK("https://www.linkedin.com/jobs/view/4353113904", "https://www.linkedin.com/jobs/view/4353113904")</f>
        <v/>
      </c>
      <c r="F65" t="inlineStr"/>
      <c r="G65" t="inlineStr">
        <is>
          <t>Austin, TX</t>
        </is>
      </c>
      <c r="H65" t="inlineStr"/>
      <c r="I65" t="inlineStr">
        <is>
          <t>**Introduction**
 You will be joining a team that sits at the center or innovation where Workday isn’t just a back\-office tool but a strategic platform that fuels how we scale and operate globally. You will also grow your technical and leadership skill by driving high visibility projects, shaping enterprise\-wide systems strategy, and working with a team that values experimentation, inclusion and continues learning.
**Your Role And Responsibilities**
 The Red Hat Workforce Technology Solutions team is looking for a Principal Technical Product Manager – Workday. In this role, you will lead the evolution of our Workday platform to power how we attract, develop, and enable our global workforce. You’ll partner with teams across HR, Payroll, and IT to translate business goals into scalable, data\-driven solutions that improve how employees experience our systems every day. You’ll drive the strategy and roadmap for Workday and related integrations, ensuring our systems support rapid growth and operational excellence. This is an opportunity to shape how technology enables people, influence enterprise\-wide transformation, and make a visible impact in a fast\-moving tech environment.
**What You Will Do**
* Define and own the vision, strategy, and roadmap for Workday across all modules, aligning system capabilities with business priorities.
* Collaborate cross\-functionally with HR, Payroll, and IT, to gather feedback, identify opportunities, and prioritize high\-impact initiatives.
* Lead Workday product delivery, guiding configuration, integration, testing, and release cycles using Agile principles.
* Influence and align stakeholders at all levels—partnering with leadership to ensure system strategy supports enterprise growth goals.
* Evaluate new Workday features, integrations, and trends to recommend forward\-looking enhancements.
**Preferred Education**
 Bachelor's Degree
**Required Technical And Professional Expertise**
* Extensive hands‑on experience configuring Workday, including integrations and reporting, with the ability to translate business needs into effective system solutions.
* Deep understanding of Agile product management practices, including backlog ownership, prioritization, and iterative delivery.
* Demonstrated capability to align product direction with organizational strategy, ensuring technical delivery drives measurable business value.
* Exceptional communication and stakeholder‑management skills, with the ability to influence decisions and build alignment across both technical and non‑technical teams.
* Strong analytical and problem‑solving approach, with a continuous‑improvement mindset and a passion for optimizing processes and systems.</t>
        </is>
      </c>
    </row>
    <row r="66">
      <c r="A66" t="inlineStr">
        <is>
          <t>li-4335441436</t>
        </is>
      </c>
      <c r="B66" t="inlineStr">
        <is>
          <t>Senior Product Manager, Data &amp; Integrations</t>
        </is>
      </c>
      <c r="C66" t="inlineStr">
        <is>
          <t>Fivetran</t>
        </is>
      </c>
      <c r="D66" t="inlineStr">
        <is>
          <t>linkedin</t>
        </is>
      </c>
      <c r="E66">
        <f>HYPERLINK("https://www.linkedin.com/jobs/view/4335441436", "https://www.linkedin.com/jobs/view/4335441436")</f>
        <v/>
      </c>
      <c r="F66">
        <f>HYPERLINK("https://www.fivetran.com/careers/job?gh_jid=7524547003&amp;gh_src=f831fe1b3us&amp;urlHash=jmth", "https://www.fivetran.com/careers/job?gh_jid=7524547003&amp;gh_src=f831fe1b3us&amp;urlHash=jmth")</f>
        <v/>
      </c>
      <c r="G66" t="inlineStr">
        <is>
          <t>Denver, CO</t>
        </is>
      </c>
      <c r="H66" t="inlineStr"/>
      <c r="I66"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Fivetran is building the next generation of data platforms designed to power all the future analytics, automation, and AI use cases that our thousands of customers need to power their business.
 As a Product Manager on the Census team at Fivetran, you'll be working closely with the Census founders, as well as the design and engineering teams to dramatically expand the ambition and scope of Fivetran, and redefine how modern businesses operate with data.
 You’ll be working directly with both the Census and Fivetran teams to incorporate Census’s reverse ETL product capabilities into Fivetran’s industry leading data platform.You’ll be in the unicorn of product roles, working with a small team with huge ambition and ownership, with the customer recognition, market adoption, compensation and benefits of an established leader.
 This is a full\-time, hybrid position based out of our Oakland, CA or Denver, CO office. Our hybrid work model offers a blend of remote flexibility and in\-person collaboration, including two days in the office each week to connect and build as a team.
**What You’ll Do**
 As a product manager focusing on reverse ETL and integrations, you will have a direct \&amp; significant impact on our combined product's future. Some of your responsibilities include:
* Take ambiguous and technical customer feedback and help the team distill into product direction.
* Lead a cross\-functional team of designers, engineers, product marketing and more to ensure a successful product experience gets delivered to users, and improved on over time.
* Communicate product direction internally to sales, marketing, as well as externally to customers in sales conversations and in our community.
* Work closely with founders and leadership to set the product strategy for Census and Fivetran, as well as the wider data ecosystem.
 We strongly believe in solving hard technical problems with elegant product solutions designed for real people and we want you to help us build something that is not only valuable but is also a delight to use.
**Skills We’re Looking For**
 We are looking for talented people who enjoy the ambiguity of startups, wearing many hats and taking this opportunity to develop their skills. It would be great if you:
* Proven history of delivering highly successful and innovative software products related to data and/or data infrastructure, and a demonstrated understanding of data/operations personas.
* Experience with managing a multifaceted product roadmap, collaborating directly with Engineering and Design teams to prioritize and execute on bold product vision.
* Strong written and verbal communication to influence and drive strategy internally.
* Passion for working with technical customers to understand their pain, improve our product, and share our vision.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Denver Pay Range
 $184,800—$231,000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67">
      <c r="A67" t="inlineStr">
        <is>
          <t>li-4341234755</t>
        </is>
      </c>
      <c r="B67" t="inlineStr">
        <is>
          <t>Senior Product Manager, Search Platform</t>
        </is>
      </c>
      <c r="C67" t="inlineStr">
        <is>
          <t>MongoDB</t>
        </is>
      </c>
      <c r="D67" t="inlineStr">
        <is>
          <t>linkedin</t>
        </is>
      </c>
      <c r="E67">
        <f>HYPERLINK("https://www.linkedin.com/jobs/view/4341234755", "https://www.linkedin.com/jobs/view/4341234755")</f>
        <v/>
      </c>
      <c r="F67" t="inlineStr"/>
      <c r="G67" t="inlineStr">
        <is>
          <t>San Francisco, CA</t>
        </is>
      </c>
      <c r="H67" t="inlineStr"/>
      <c r="I67" t="inlineStr">
        <is>
          <t>**About The Team**
 Join our MongoDB Search Systems Engineering team at the forefront of building next\-generation database infrastructure at scale. You'll work alongside some of our most talented and deeply technical engineering teams who are architecting distributed systems that power highly performant search and AI applications for enterprise customers worldwide. This team operates at the intersection of infrastructure innovation and customer impact—building the foundational platform capabilities that will define how organizations leverage search and AI at scale for years to come.
 In this role, you'll serve as both strategic partner and technical translator, helping brilliant engineers navigate the path to operational excellence while maintaining the forward vision to anticipate market needs 18\-24 months ahead of current development cycles.
 What Makes This Role Unique: This is about architecting the future of search infrastructure. You'll be working with engineers who live and breathe distributed systems, helping them channel that brilliance toward platforms that don't just work today, but anticipate the architectural needs of tomorrow's AI\-native applications. If you light up at the challenge of seeing around corners in infrastructure and can hold your own in technical debates about consensus protocols while keeping the team focused on customer value—this is your role.
 New York or San Francisco Preferred (Hybrid); Remote Optional (North America)
 Role Responsibilities
* Contribute to the Future of Search Infrastructure: Drive the long\-term technical vision for MongoDB Search, anticipating emerging patterns in vector, hybrid, and AI\-native applications to build conviction around platform investments 12–18 months ahead of market demand
* Champion the Customer \&amp; Innovation: Act as the voice of customers building mission\-critical AI applications, using deep technical discovery to uncover latent needs around scalability and consistency, ensuring our architecture leads the industry in performance and multi\-tenancy
* Drive Engineering Strategy \&amp; Impact: Partner deeply with engineering leadership to translate complex technical tradeoffs into business value, balancing rapid innovation velocity with the rigorous production stability required for long\-term platform health
* Orchestrate World\-Class Observability: Collaborate with SRE and Solutions Architects to build advanced instrumentation strategies and feedback loops, turning production signals and incident learnings into proactive improvements that secure system resilience
**Requirements**
* Deep Technical Authority: 5\+ years of PM experience with a specific focus on infrastructure or distributed systems. You possess a mastery of concepts like CAP theorem, consistency models, and sharding strategies, backed by real\-world empathy for the engineering experience—whether that’s being on\-call or debugging production incidents
* Strategic Vision at the Technical Edge: You operate comfortably at the intersection of complex architecture and business strategy, capable of debating consensus algorithms with engineers while Data\-Driven Storytelling: A proven track record of driving operational excellence combined with exceptional narrative skills. You effortlessly pivot from analyzing low\-level system metrics to crafting executive narratives that connect infrastructure health to critical business outcomes
* Unrivaled Influence: You earn the trust of senior engineers through technical depth and respect for complexity, not just title. You excel at guiding architectural decisions without needing formal authority helping to translate those decisions into market differentiation and forward\-looking product investments
* Visionary Customer Obsession: You understand that for platform products, your customers are often building abstractions on top of your abstractions, and you design deeply technical products with their long\-term success criteria in mind
 Nice to Have
* Direct experience with search technologies (Elasticsearch, Solr, Lucene) or vector databases, particularly in production environments at scale
* Experience with AI/ML infrastructure or building platform capabilities that enable AI applications (vector search, embeddings management, hybrid retrieval systems)
 Success Measures
**Month 3:**
* Technical Immersion: Complete a full architectural audit of the search stack. Be able to debate replication flows and consistency guarantees with Staff Engineers
* State of Reliability: Deliver a report identifying the top 3 sources of operational toil and observability blind spots
* The Quick Win: Identify and ship one low\-hanging reliability improvement (e.g., a missing metric or doc gap) to demonstrate immediate value to the engineering team
**Month 6:**
* Operationalize SLOs: Partner with SRE to publish official SLOs/SLIs, shifting the culture from "is it down?" to managing error budgets
* The "Conviction Paper": Synthesize customer discovery into a strategic whitepaper defining the architectural investments needed for the next 18 months
* Observability Upgrade: Lead the rollout of high\-signal alerting strategies that move the team from reactive triage to proactive prevention
**Month 12:**
* Quantifiable Health Gains: Demonstrate measurable improvement in system metrics (e.g., reduced p99 latency, improved MTTR, or 0 capacity\-related incidents)
* Tier\-1 Launch: successfully guide a major infrastructure capability (e.g., new vector index or sharding mechanic) from concept to General Availability
* Authority: Establish yourself as the internal authority on search scaling, influencing roadmap allocation toward long\-term platform health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4263301099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68">
      <c r="A68" t="inlineStr">
        <is>
          <t>li-4300951100</t>
        </is>
      </c>
      <c r="B68" t="inlineStr">
        <is>
          <t>Product Owner - Property Solutions</t>
        </is>
      </c>
      <c r="C68" t="inlineStr">
        <is>
          <t>Accruent</t>
        </is>
      </c>
      <c r="D68" t="inlineStr">
        <is>
          <t>linkedin</t>
        </is>
      </c>
      <c r="E68">
        <f>HYPERLINK("https://www.linkedin.com/jobs/view/4300951100", "https://www.linkedin.com/jobs/view/4300951100")</f>
        <v/>
      </c>
      <c r="F68">
        <f>HYPERLINK("https://fortive.eightfold.ai/careers/job/893391132785?domain=fortive.com&amp;urlHash=pp8d", "https://fortive.eightfold.ai/careers/job/893391132785?domain=fortive.com&amp;urlHash=pp8d")</f>
        <v/>
      </c>
      <c r="G68" t="inlineStr">
        <is>
          <t>Austin, TX</t>
        </is>
      </c>
      <c r="H68" t="inlineStr"/>
      <c r="I68" t="inlineStr">
        <is>
          <t>**Accruent Product Owner \- Property Solutions**
**Job Summary**
 The Product Owner is responsible for guiding the development and delivery of product features across the entire product lifecycle. They act as a bridge between the business stakeholders and the development team, ensuring that the product meets customer needs and delivers value. The Product Owner is a crucial role in Agile development methodologies such as Scrum and Safe.
**Key Responsibilities**
**Translation:** 
 Work with the senior leader to translate future vision and requirements into clearly broken down epics and stories. Ensure that all team members understand and align with the product's goals.
**Prioritization:** 
 Create and maintain the product backlog, a prioritized list of features, user stories, and tasks. Prioritize items based on business value, customer needs, and market trends.
**User Story Development** 
 : Break down high\-level product requirements into detailed user stories that can be understood and implemented by the development team. Ensure these stories are ready for implementation and meet strong agile/SAFE standards.
**Backlog Management** 
 : Continuously groom and refine the product backlog, making adjustments based on feedback, changing priorities, and new insights.
**Stakeholder Communication** 
 : Act as the primary point of contact between the development team and stakeholders. Communicate progress, changes, and updates regularly to both groups.
**Acceptance Criteria:** 
 Define acceptance criteria for user stories to ensure that the development team understands what constitutes a complete and well\-implemented feature.
**Sprint Planning:** 
 Participate in sprint planning meetings to select user stories and tasks for the upcoming sprint. Work with the team to ensure they have a clear understanding of the work to be done.
**Release Planning:** 
 Collaborate with the team and stakeholders to plan and prioritize releases, considering market needs and business goals.
**Quality Assurance:** 
 Ensure the product meets quality standards by accepting or rejecting the work done by the development team during sprint reviews.
**Feedback Integration** 
 : Gather feedback from stakeholders and end\-users, incorporate it into the product backlog, and make adjustments as necessary.
**Risk Management** 
 : Identify and mitigate risks that could impact product development or delivery. This includes working closely with your release manager to ensure timelines are met, tough conversations are had, mitigation strategies are put into place, and transparency is taken to leadership for assistance when needed.
**UI/UX alignment** 
 : work with your UX counterpart to ensure new features in the backlog have wireframes and UI designs ready to go as a critical step in sprint planning. This includes providing feedback on the designs and working with the UI team on design sprints as well as user acceptance testing.
**Qualifications**
* Bachelor's degree in a relevant field (e.g., business, computer science) or equivalent work experience.
* 5 years of experience working in an Agile/Scum environment.
* 4 years’ experience in Product Management or as a Product Owner.
* Experience with JIRA or other similar tools.
* Strong communication and collaboration skills.
* Understanding of the industry, market trends, and customer needs.
* Analytical and problem\-solving abilities.
* Strong organizational and time management skills.
* Leadership and decision\-making skills.
* Certifications (optional):
+ Certified Scrum Product Owner (CSPO)
+ Certified ScrumMaster (CSM)
+ Agile Certified Practitioner (PMI\-ACP)
 The Accruent Product Owner plays a critical role in ensuring that a product or feature is developed with a focus on delivering value to the customer and the business. They act as a voice for the customer and are responsible for making key product\-related decisions throughout the development process.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Accruent**
 Personal development and becoming the best you is all about growth and exploring new skills and opportunities – both in and out of the office. At Accruent, we call this Grow Without Limits, and we’re proud to offer each of our employees the resources, coaching and support necessary to achieve Growth Without Limits in their personal and professional lives. Explore where the path takes you.
 Accruent is a leading provider of solutions for unifying the built environment —spanning real estate, physical and digital assets, and the integrated technology systems that connect and control them. Accruent continues to set new expectations for how organizations can use data to transform how they manage their facilities and assets. With U.S. headquarters in Austin, Texas, Accruent serves over 5,000 customers in a wide range of industries in more than 100 countries worldwide.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**Bonus or Equity**
 This position is also eligible for bonus as part of the total compensation package.
**Pay Range**
 The salary range for this position (in local currency) is 100,700\.00 \- 186,900\.00
 Personal development and becoming the best you is all about growth and exploring new skills and opportunities – both in and out of the office. At Accruent, we call this Grow Without Limits, and we’re proud to offer each of our employees the resources, coaching and support necessary to achieve Growth Without Limits in their personal and professional lives. Explore where the path takes you.
 Accruent is a leading provider of solutions for unifying the built environment —spanning real estate, physical and digital assets, and the integrated technology systems that connect and control them. Accruent continues to set new expectations for how organizations can use data to transform how they manage their facilities and assets. With U.S. headquarters in Austin, Texas, Accruent serves over 5,000 customers in a wide range of industries in more than 100 countries worldwide.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This position is also eligible for bonus as part of the total compensation package.
 The salary range for this position (in local currency) is 100,700\.00 \- 186,900\.00</t>
        </is>
      </c>
    </row>
    <row r="69">
      <c r="A69" t="inlineStr">
        <is>
          <t>li-4340796941</t>
        </is>
      </c>
      <c r="B69" t="inlineStr">
        <is>
          <t>Senior/Product Owner - Cloud Accounting</t>
        </is>
      </c>
      <c r="C69" t="inlineStr">
        <is>
          <t>Clubessential</t>
        </is>
      </c>
      <c r="D69" t="inlineStr">
        <is>
          <t>linkedin</t>
        </is>
      </c>
      <c r="E69">
        <f>HYPERLINK("https://www.linkedin.com/jobs/view/4340796941", "https://www.linkedin.com/jobs/view/4340796941")</f>
        <v/>
      </c>
      <c r="F69" t="inlineStr"/>
      <c r="G69" t="inlineStr"/>
      <c r="H69" t="inlineStr"/>
      <c r="I69" t="inlineStr">
        <is>
          <t>Clubessential provides cutting\-edge cloud\-based software solutions tailored for the private club and collegiate athletic markets. As an Inc. 5000 fastest growing company, we are backed by Battery Ventures, fueling our growth and innovation. Our dedicated team thrives on delivering exceptional products and services to a diverse clientele including country clubs, golf clubs, yacht clubs, social clubs, and leading collegiate athletic organizations.
 Senior/Product Owner will work closely with the Clubessential product and development teams, as well as with clients and other internal and external stakeholders, to support the launch, migration and future direction and strategy for our Cloud Accounting platform. Our Cloud Accounting platform will serve as the financial backbone of our full suite ecosystem.
 This Sr/Product Owner will be in charge of informing the group of engineers, designer, and QA testers about the product vision, strategy, and direction. They act as the primary line of communication between the business stakeholders and the delivery teams, who will design, build, and test our products.
 The Sr/Product Owner also will need to be able to communicate to comprehend our business prospects, translate them into a polished and manageable backlog, and manage the team’s deliverables.
**Responsibilities \&amp; Duties**
* Serve as Owner of the products; ensure products are meeting and exceeding the needs of external customers and prospects to expand addressable market and reduce/eliminate churn as well as internal stakeholders to allow for ease of implementation and support.
* Maintain focus on technological trends and competitive landscape to drive innovation.
* Own the creation and grooming of the product backlog by writing and refining user stories that support sprint goals and align with product strategy.
* Serve as the Gatekeeper of the product backlog and primary feedback loop owner regarding product enhancements, issues, bugs and/or tasks related to the products.
* Escalate and timely communicate issues, related updates, and resolutions to internal stakeholders as appropriate.
* Share and contribute meaningful ideas to achieve overall product success, while balancing needs of external customers, expansion of addressable market, ease to support and implement, and churn reduction in mind.
* Coordinate with product leadership, customers, and team to complete research, develop specifications and user stories for the developers that satisfy business requirements and align with the business value.
* Provide timely feedback to internal stakeholders on plan for resolution; as appropriate, identify which bugs or enhancements will be worked and/or will not be prioritized.
* Play an active role in mitigating impediments impacting successful team completion of Release/Goals; participate in testing and release readiness as required.
* Assist with configuration and communicate availability of new features in demo environments.
* Act as the go\-to\-person/liaison for answering questions the development team has about business rules and product behaviors, and/or other internal stakeholders regarding the respective products.
* Assist in Rollout/Management/Migration/Feedback gathering where applicable.
* Assist in reviewing educational and marketing materials pertaining to the product lines.
* Deliver product releases and assist with release of note creation/educational efforts with quick time\-to\-market and optimal resources.
* Develop successful launch plans working directly with implementation, project management and support services, marketing, sales, and our customers.
* Participate (when appropriate) in additional activities to support the education, marketing and/or success of the product such as webinars, shows, monthly/quarterly update meetings, and/or other activities as applicable.
* Lead/Assist/Participate (as applicable) in all Scrum ceremonies.
* Perform other responsibilities pertaining to the product, as assigned.
**Qualifications And Experience Required**
* BS/MS degree in Business, Accounting, or related field preferred
* 6\+ years’ work experience as product owner, business analyst, implementation specialist or subject matter expert in Accounting SAAS software applications preferred
* Deep, demonstrable accounting knowledge — strong command of GAAP, double\-entry accounting, accruals, revenue recognition, journals, reconciliations, and auditability
* Private Club Industry experience or prior club accounting experience a plus
* Excellent oral and written communicator up, down, across and outside the organization.
* Strong critical thinking, analytical and data\-driven decision\-making skills.
* Comfortable working in a fast\-paced environment with a strong sense of urgency and accountability
* Experience with bug/issue/enhancement tracking, project management software
* Excels in ability to prioritize, influence decisions/decision makers, and handle objections
* Excellent active listening, negotiation, communication, and presentation skills
* Ability to manage numerous diverse projects and multi\-task with ease
* Experience with Azure DevOps and/or Figma a plus
**Clubessential Holdings is an equal opportunity employer dedicated to building a diverse and inclusive workplace. Our company thrives upon the mutual respect and understanding between its employees, and as such, all qualified applicants/employees will receive consideration for employment without regard to that individual’s age, race, color, religion or creed, national origin or ancestry, sex (including pregnancy), gender, gender identity, sexual orientation, veteran status, physical or mental disability, genetic information, ethnicity, citizenship, or any other characteristic protected by law.**
**Clubessential Holdings maintains broad salary ranges for its roles in order to account for variations in knowledge, skills, experience, market conditions and locations, as well as reflects the Company's differing products, industries and lines of business. Candidates are typically placed into the range based on the preceding factors as well as internal peer equity.**
**Important Notice Regarding Email Communication From Clubessential Holdings**
 Please be advised that
 ****Clubessential Holdings will only contact you using email addresses with the domain name of clubessentialholdings.com.****
 We have been made aware of attempts to impersonate our company using domains such as
 ****clubessentialcareers.com****
 . These emails are
 ****not affiliated with Clubessential Holdings****
 and may be part of a scam. We strongly advise against engaging with any correspondence that does not originate from an official
 ****clubessentialholdings.com****
 email address.
 If you receive a suspicious email or have any questions or concerns, please contact us directly at
 ****recruiting@clubessentialholdings.com****
 .
 Your security and trust are important to us.</t>
        </is>
      </c>
    </row>
    <row r="70">
      <c r="A70" t="inlineStr">
        <is>
          <t>li-4334702820</t>
        </is>
      </c>
      <c r="B70" t="inlineStr">
        <is>
          <t>Principal Product Manager - B2C Strategy, Amazon Leo's B2C product strategy</t>
        </is>
      </c>
      <c r="C70" t="inlineStr">
        <is>
          <t>Amazon</t>
        </is>
      </c>
      <c r="D70" t="inlineStr">
        <is>
          <t>linkedin</t>
        </is>
      </c>
      <c r="E70">
        <f>HYPERLINK("https://www.linkedin.com/jobs/view/4334702820", "https://www.linkedin.com/jobs/view/4334702820")</f>
        <v/>
      </c>
      <c r="F70" t="inlineStr"/>
      <c r="G70" t="inlineStr">
        <is>
          <t>Bellevue, WA</t>
        </is>
      </c>
      <c r="H70" t="inlineStr"/>
      <c r="I70"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The Principal PM \- B2C Strategy, will play a pivotal role in defining and implementing Amazon Leo's satellite communication services.
 Key job responsibilities
 In this role, you will work directly with customers, and operational stakeholders to define Amazon Leo service offerings via expertly crafted working backwards, business requirements documents which can easily be translated into product and engineering deliverables.
 This role requires the ability to work in a collaborative, analytical, and fast\-paced environment and must be comfortable interacting with highly technical cross\-functional teams. The candidate must have strong business judgment, dive deep into data, have strong writing skills and be comfortable leading executive\-level reviews. Candidates must be able to analyze and implement subscription lifecycle models with appropriate KPIs for different customer segments.
 The best candidates will have deep understanding of customer needs for modern telecommunication services. Candidates with demonstrated business and operational experience within high scale fixed, wireless and satellite telecommunications services targeting consumer and enterprise verticals will be preferred.
**Export Control Requirement**
 Due to applicable export control laws and regulations, candidates must be a U.S. citizen or national, U.S. permanent resident (i.e., current Green Card holder), or lawfully admitted into the U.S. as a refugee or granted asylum.
**Basic Qualifications**
* 10\+ years of product or program management, product marketing, business development or technology experience
* 10\+ years of blending product and program management skills to execute strategic initiatives about process creation, standardization, and improvement experience
* Bachelor's degree
* Experience owning/driving roadmap strategy and definition
* Experience with end to end product delivery
* Experience with feature delivery and tradeoffs of a product
* Experience as a product manager or owner
**Preferred Qualifications**
* Experience owning technology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Commercial Services LLC
 Job ID: A3122385</t>
        </is>
      </c>
    </row>
    <row r="71">
      <c r="A71" t="inlineStr">
        <is>
          <t>li-4249847687</t>
        </is>
      </c>
      <c r="B71" t="inlineStr">
        <is>
          <t>Product Manager II - Incident Management</t>
        </is>
      </c>
      <c r="C71" t="inlineStr">
        <is>
          <t>Datadog</t>
        </is>
      </c>
      <c r="D71" t="inlineStr">
        <is>
          <t>linkedin</t>
        </is>
      </c>
      <c r="E71">
        <f>HYPERLINK("https://www.linkedin.com/jobs/view/4249847687", "https://www.linkedin.com/jobs/view/4249847687")</f>
        <v/>
      </c>
      <c r="F71">
        <f>HYPERLINK("https://careers.datadoghq.com/detail/6970128/?gh_jid=6970128&amp;gh_src=8363eca61&amp;urlHash=QDzn", "https://careers.datadoghq.com/detail/6970128/?gh_jid=6970128&amp;gh_src=8363eca61&amp;urlHash=QDzn")</f>
        <v/>
      </c>
      <c r="G71" t="inlineStr">
        <is>
          <t>New York, NY</t>
        </is>
      </c>
      <c r="H71" t="inlineStr"/>
      <c r="I71" t="inlineStr">
        <is>
          <t>Customers depend on Datadog’s Incident Management product in crisis moments — when outages threaten their business — and your work will shape how teams respond and learn.
 As a Product Manager II, you’ll own the product that turns chaos into calm: declaring incidents, rallying responders, coordinating remediation, and turning every outage into a learning opportunity that prevents the next one. This is a broad, technically rich product — you’ll own features across real\-time UIs, automation, AI\-powered summaries and recommendations, documentation and runbooks, task and incident state management, analytics, and deep integrations with third\-party chat and video platforms.
 You’ll own the features that reduce Mean Time to Resolution (MTTR) for some of the world’s most complex cloud systems, partnering closely with the rest of the product organization to deliver end\-to\-end incident response. Your work will be highly visible to customers and internal stakeholders and will shape how organizations run reliable services at scale.
 Datadog is uniquely positioned to deliver best\-in\-class end\-to\-end incident response by surfacing the right telemetry (metrics, traces, logs), orchestrating responders through alerting and paging, and closing the loop with automation and incident management.
*At Datadog, we place value in our office culture \- the relationships and collaboration it builds and the creativity it brings to the table. We operate as a hybrid workplace to ensure our Datadogs can create a work\-life harmony that best fits them.*
**What You’ll Do:**
* Develop a deep understanding of the incident process of our our dev, ops, and security customers
* Own the end\-to\-end product management process for the Incident Management product within Datadog
* Ship features to help our customers respond to outages faster
* Be accountable for the growth of the Datadog incident management product
* Work with Design and Engineering teams to develop product priorities and roadmaps that inspire our teams’ best work and deliver real value
* Work with the Sales, Account Management, Marketing and Solutions teams to close deals and support existing customers
* Define Key Performance Indicators (KPIs) for the product and report on them to business and executive leadership
**Who You Are:**
* An experienced Product Manager, ideally at a SaaS company
* You are customer\-minded with a high quality standard for the product to be delivered
* You have excellent verbal and written communication skills and the willingness to present and defend your ideas to both technical and non\-technical audiences
* You have a strong sense of the day in the life of an engineer who holds a pager.
* You have Bachelor's Degree in Computer Science or Engineering or equivalent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$187,000—$240,000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72">
      <c r="A72" t="inlineStr">
        <is>
          <t>li-4355032938</t>
        </is>
      </c>
      <c r="B72" t="inlineStr">
        <is>
          <t>Product Owner W2 Investment Banking Low Code</t>
        </is>
      </c>
      <c r="C72" t="inlineStr">
        <is>
          <t>TEKsystems</t>
        </is>
      </c>
      <c r="D72" t="inlineStr">
        <is>
          <t>linkedin</t>
        </is>
      </c>
      <c r="E72">
        <f>HYPERLINK("https://www.linkedin.com/jobs/view/4355032938", "https://www.linkedin.com/jobs/view/4355032938")</f>
        <v/>
      </c>
      <c r="F72">
        <f>HYPERLINK("https://jsv3.recruitics.com/redirect?rx_cid=3435&amp;rx_jobId=JP-005766472&amp;rx_url=https%3A%2F%2Fars2.equest.com%2F%3Ficid%3Dlinkedin_recruitics%26response_id%3D46db3e7124caaa38318ce626bad21db1%26rx_campaign%3DLinkedin1%26rx_ch%3Dconnector%26rx_group%3D123600%26rx_id%3D5df54657-f0ce-11f0-b180-b7206a81f77a%26rx_job%3DJP-005766472%26rx_medium%3Dpost%26rx_r%3Dnone%26rx_source%3DLinkedin%26rx_ts%3D20260114T061203Z%26rx_vp%3Dslots&amp;urlHash=72pS", "https://jsv3.recruitics.com/redirect?rx_cid=3435&amp;rx_jobId=JP-005766472&amp;rx_url=https%3A%2F%2Fars2.equest.com%2F%3Ficid%3Dlinkedin_recruitics%26response_id%3D46db3e7124caaa38318ce626bad21db1%26rx_campaign%3DLinkedin1%26rx_ch%3Dconnector%26rx_group%3D123600%26rx_id%3D5df54657-f0ce-11f0-b180-b7206a81f77a%26rx_job%3DJP-005766472%26rx_medium%3Dpost%26rx_r%3Dnone%26rx_source%3DLinkedin%26rx_ts%3D20260114T061203Z%26rx_vp%3Dslots&amp;urlHash=72pS")</f>
        <v/>
      </c>
      <c r="G72" t="inlineStr">
        <is>
          <t>Charlotte, NC</t>
        </is>
      </c>
      <c r="H72" t="inlineStr"/>
      <c r="I72" t="inlineStr">
        <is>
          <t>Description
 Candidate must be an experienced Product Owner with Low Code\-workflow experience and ideally Investment banking application exp.
 Would like candidate to have experience with investment banking and be a good PO and PowerPlatform/low code skills
 Job Description
* Wells is looking for an Agile L2 (L2 is just a level) Product Owner within our Investment Bank Solutions team.
* This role will support key business areas including Markets, Banking, Commercial Real Estate , and the CIB organization.
* The Agile L2 Product Owner will own the strategy for low\-code/no\-code workflow and automation technologies, driving innovation and efficiency across CIB.
* This contract position will manage multiple L1 Product Owners and development teams, ensuring roadmap creation, backlog prioritization, and delivery excellence for automation initiatives.
* The ideal candidate will have a strong background in intelligent automation and workflow delivery, with exposure to multiple automation technologies and experience delivering solutions in financial services, specifically investment banking.
* This role will focus on mitigating operational risks, automating control processes, and delivering measurable efficiency and cost savings
 More Details
* 5\+ years of experience as a Product Owner or similar role in an Agile environment.
* 5\+ years of experience in Financial Services
* Strong background in intelligent automation and workflow delivery.
* Hands\-on experience with Microsoft Power Platform (Power Automate, Power BI, Power Apps).
* Proven ability to manage multiple teams and complex product portfolios.
* Strong familiarity with Agile Jira board management, including roadmap building and Jira plan creation.
* Excellent communication and leadership skills
* Ability to create Power BI dashboards and deliver low\-code solutions.
* Exposure to AI technologies and frameworks.
* Experience driving adoption of new tools and technologies.
* Proficiency in BPMN 2\.0 for process modeling.
* Wireframing skills using Figma.
* Exposure to Hyland’s Alfresco Workflow tool.
* Familiarity with Xceptor Data Automation platform
 Skills
 Microsoft power platform, power bi, power automate, product owner, investment banking, Intelligent automation, workflow delivery, Xceptor Data Automation platform
 Top Skills Details
 Microsoft power platform,power bi,power automate,product owner,investment banking
 Additional Skills \&amp; Qualifications
* Hands\-on experience with Microsoft Power Platform (Power Automate, Power BI, Power Apps).
* Proven ability to manage multiple teams and complex product portfolios.
* Strong familiarity with Agile Jira board management, including roadmap building and Jira plan creation.
* Excellent communication and leadership skills
* Ability to create Power BI dashboards and deliver low\-code solutions.
* Exposure to AI technologies and frameworks.
* Experience driving adoption of new tools and technologies.
* Proficiency in BPMN 2\.0 for process modeling.
* Wireframing skills using Figma.
* Exposure to Hyland’s Alfresco Workflow tool.
* Familiarity with Xceptor Data Automation platform
 Experience Level
 Expert Level
 w2 only, local , onsite uptown Charlotte 3 times a week
 Job Type \&amp; Location
 This is a Contract position based out of Charlotte, NC.
 Pay And Benefits
 The pay range for this position is $80\.00 \- $82\.00/hr.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Charlotte,NC. Application Deadline This position is anticipated to close on Jan 20,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73">
      <c r="A73" t="inlineStr">
        <is>
          <t>li-4352984040</t>
        </is>
      </c>
      <c r="B73" t="inlineStr">
        <is>
          <t>Product Manager – Workday</t>
        </is>
      </c>
      <c r="C73" t="inlineStr">
        <is>
          <t>IBM</t>
        </is>
      </c>
      <c r="D73" t="inlineStr">
        <is>
          <t>linkedin</t>
        </is>
      </c>
      <c r="E73">
        <f>HYPERLINK("https://www.linkedin.com/jobs/view/4352984040", "https://www.linkedin.com/jobs/view/4352984040")</f>
        <v/>
      </c>
      <c r="F73" t="inlineStr"/>
      <c r="G73" t="inlineStr">
        <is>
          <t>Durham, NC</t>
        </is>
      </c>
      <c r="H73" t="inlineStr"/>
      <c r="I73" t="inlineStr">
        <is>
          <t>**Introduction**
 You will be joining a team that sits at the center or innovation where Workday isn’t just a back\-office tool but a strategic platform that fuels how we scale and operate globally. You will also grow your technical and leadership skill by driving high visibility projects, shaping enterprise\-wide systems strategy, and working with a team that values experimentation, inclusion and continues learning.
**Your Role And Responsibilities**
 The Red Hat Workforce Technology Solutions team is looking for a Principal Technical Product Manager – Workday. In this role, you will lead the evolution of our Workday platform to power how we attract, develop, and enable our global workforce. You’ll partner with teams across HR, Payroll, and IT to translate business goals into scalable, data\-driven solutions that improve how employees experience our systems every day. You’ll drive the strategy and roadmap for Workday and related integrations, ensuring our systems support rapid growth and operational excellence. This is an opportunity to shape how technology enables people, influence enterprise\-wide transformation, and make a visible impact in a fast\-moving tech environment.
**What You Will Do**
* Define and own the vision, strategy, and roadmap for Workday across all modules, aligning system capabilities with business priorities.
* Collaborate cross\-functionally with HR, Payroll, and IT, to gather feedback, identify opportunities, and prioritize high\-impact initiatives.
* Lead Workday product delivery, guiding configuration, integration, testing, and release cycles using Agile principles.
* Influence and align stakeholders at all levels—partnering with leadership to ensure system strategy supports enterprise growth goals.
* Evaluate new Workday features, integrations, and trends to recommend forward\-looking enhancements.
**Preferred Education**
 Bachelor's Degree
**Required Technical And Professional Expertise**
* Extensive hands‑on experience configuring Workday, including integrations and reporting, with the ability to translate business needs into effective system solutions.
* Deep understanding of Agile product management practices, including backlog ownership, prioritization, and iterative delivery.
* Demonstrated capability to align product direction with organizational strategy, ensuring technical delivery drives measurable business value.
* Exceptional communication and stakeholder‑management skills, with the ability to influence decisions and build alignment across both technical and non‑technical teams.
* Strong analytical and problem‑solving approach, with a continuous‑improvement mindset and a passion for optimizing processes and systems.</t>
        </is>
      </c>
    </row>
    <row r="74">
      <c r="A74" t="inlineStr">
        <is>
          <t>li-4325481658</t>
        </is>
      </c>
      <c r="B74" t="inlineStr">
        <is>
          <t>Senior Product Manager, Test Engineering</t>
        </is>
      </c>
      <c r="C74" t="inlineStr">
        <is>
          <t>Guidewire Software</t>
        </is>
      </c>
      <c r="D74" t="inlineStr">
        <is>
          <t>linkedin</t>
        </is>
      </c>
      <c r="E74">
        <f>HYPERLINK("https://www.linkedin.com/jobs/view/4325481658", "https://www.linkedin.com/jobs/view/4325481658")</f>
        <v/>
      </c>
      <c r="F74" t="inlineStr"/>
      <c r="G74" t="inlineStr">
        <is>
          <t>San Mateo, CA</t>
        </is>
      </c>
      <c r="H74" t="inlineStr"/>
      <c r="I74" t="inlineStr">
        <is>
          <t>**Summary**
 As the market leader in P\&amp;C insurance software, Guidewire must maintain a clear understanding of our customer needs and has built an industry platform – Guidewire Cloud Platform – to enable the products and solutions that serve those needs. Traditionally delivered on\-premises and self\-managed, today our customers are increasingly looking to leverage the power of the cloud to reduce IT complexity, minimize operational costs, and unlock innovations that can differentiate their business. More specifically, they want to transition select insurance lines of business for hosting in Guidewire Cloud so they can focus on business agility while Guidewire assumes full operational responsibility as a true Cloud/SaaS solution provider.
 Guidewire is looking for an experienced product manager to drive the development and maturity of our Test Engineering capabilities. You will work with a talented team of product managers, engineers, and other key contributors focused on capturing complex customer requirements that cover a wide breadth of applications and services, understanding dependencies and risks at all levels of a cloud solution, and deep knowledge of testing best practices and tools.
**Job Description**
 Key Responsibilities
* Define and drive the product strategy, roadmap, and vision for Test Engineering, with a deep understanding of Guidewire software.
* Deliver stable, error\-free solutions, ensuring optimal user experience, and continuous product improvement for Guidewire customers
* Establish clear quality metrics and objectives to measure the success of testing efforts across a complex portfolio of Cloud applications and services
* Demonstrate flexibility and ability to adapt to change in a fast\-paced work environment.
* At Guidewire, we foster a culture of curiosity, innovation, and responsible use of AI—empowering our teams to continuously leverage emerging technologies and data\-driven insights to enhance productivity and outcomes.
**Required Skills \&amp; Experience**
* 5\-8 years of experience in the commercial enterprise/B2B software market, with at least 3\+ years in technical product management.
* Experience in test engineering for an organization delivering multiple applications and services to the customer in a Cloud environment.
* Extensive knowledge of capturing complex customer requirements, understanding dependencies and risks at all levels of a cloud solution, and deep knowledge of testing best practices and tools.
* Keen judgment in analyzing sophisticated problems to make meaningful prioritization decisions and provide appropriate direction to engineering teams.
* Excellent communication, interpersonal, and analytical skills including the ability to present clearly and persuasively to customers, partners, colleagues, and senior executives.
* MA/MS and BA/BS in Computer Science, Information Technology, or related field.
* Demonstrated ability to embrace AI and apply it to your current role as well as data\-driven insights to drive innovation, productivity, and continuous improvement.
 The US base salary range for this full\-time position is $138,000 \- $208,000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75">
      <c r="A75" t="inlineStr">
        <is>
          <t>li-4335335106</t>
        </is>
      </c>
      <c r="B75" t="inlineStr">
        <is>
          <t>Principal Product Manager</t>
        </is>
      </c>
      <c r="C75" t="inlineStr">
        <is>
          <t>SS&amp;C Technologies</t>
        </is>
      </c>
      <c r="D75" t="inlineStr">
        <is>
          <t>linkedin</t>
        </is>
      </c>
      <c r="E75">
        <f>HYPERLINK("https://www.linkedin.com/jobs/view/4335335106", "https://www.linkedin.com/jobs/view/4335335106")</f>
        <v/>
      </c>
      <c r="F75" t="inlineStr"/>
      <c r="G75" t="inlineStr">
        <is>
          <t>Waltham, MA</t>
        </is>
      </c>
      <c r="H75" t="inlineStr"/>
      <c r="I75"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Principal Product Manager
**Locations** 
 : Waltham Mass. / Hybrid
**Get To Know The Team:**
 The Intralinks Product Management team partners with research \&amp; development and product design to discover, conceive, and realize innovative solutions in the mergers and acquisitions space. You’ll be part of a cross\-functional team of product and design experts that champions a connected user experience through all stages of product development. And as a member of the Product Management team, you will partner and collaborate with sales, marketing, and customer success to create purpose\-built products and offerings through active customer engagement initiatives (e.g,. early adopter and design partner programs) to help shape our future roadmap.
 SS\&amp;C Intralinks is looking for a highly\-motivated and experienced product leader to continue to drive the success of our market\-leading M\&amp;A product offering and ensure that value is consistently delivered to our market and customers.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Maintaining, publishing, and presenting internal and customer\-facing product roadmaps
* Collaborating and planning with stakeholders across the business on all aspects needed to bring solutions to market, from sales, marketin,g and pricing to customer onboarding and support
* Leading business and technical validation sessions with internal stakeholders and customers
* Setting adoption and engagement targets for products and articulating metrics against which success can be objectively measured
* Working directly as a product owner and ensuring that the product’s backlog is maintained and is actionable by Scrum teams
* Ensuring that the product’s business value is effectively communicated to the company via Sprint Reviews
* Working jointly with Product Marketing to distill inbound market insights and opportunities, and outbound to help craft messages that capture successful business outcomes derived from the use of the product
* Assessing ROI for product development initiatives to optimize business value delivery through backlog prioritization
* Assisting the sales organization strategically, ensuring they can communicate the value delivered and tactically, responding to the needs of account teams when required
* Following technology trends and assessing related opportunities
* Following industry trends and understanding key problem areas that customers are allocating budget to solve with software products
* Being customer\-obsessed, but competition aware
* Contributing to build/buy/partner discussions and working jointly with product marketing to make recommendations supported by a business case
* Establishing key product differentiators and ensuring that the field understands them and how to develop trap questions that pinpoint the corresponding weaknesses of competitive products
* Establishing oneself as the obvious go\-to person for inquiries about SS\&amp;C Intralinks M\&amp;A products, headlining product and roadmap updates at sales kick\-off and customer advisory board events
**What you will bring:**
* Bachelor’s, or equivalent degree, in Business, Management or related field
* Have at least 8 years of experience as a product manager and product owner
* Have at least 4 years of experience managing SaaS applications
* Have some level of user experience design OR business and market analysis experience OR technical (software development) experience
* Be prepared to travel at least 25% of the time
 Additional high\-value skills:
 Prior experience working in financial services or with financial applications
* Have passed the Scrum.org PSPO I assessment (or equivalent)
* Have presented or paneled at industry events, or be a member of relevant community groups
* Prior experience in an agile Scrum environment
* A Master’s Degree or equivalent
 Thank you for your interest in SS\&amp;C! If applicable, to further explore this opportunity, please apply directly with us through our Careers page on our corporate website: www.ssctech.com/careers.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Other States Salary range for the position: 105000 USD to 140000 USD.</t>
        </is>
      </c>
    </row>
    <row r="76">
      <c r="A76" t="inlineStr">
        <is>
          <t>li-4335540876</t>
        </is>
      </c>
      <c r="B76" t="inlineStr">
        <is>
          <t>Product Manager, Enterprise Switching: Management Platforms</t>
        </is>
      </c>
      <c r="C76" t="inlineStr">
        <is>
          <t>Cisco</t>
        </is>
      </c>
      <c r="D76" t="inlineStr">
        <is>
          <t>linkedin</t>
        </is>
      </c>
      <c r="E76">
        <f>HYPERLINK("https://www.linkedin.com/jobs/view/4335540876", "https://www.linkedin.com/jobs/view/4335540876")</f>
        <v/>
      </c>
      <c r="F76">
        <f>HYPERLINK("https://careers.cisco.com/global/en/job/CISCISGLOBAL1448105EXTERNALENGLOBAL/Product-Manager-Enterprise-Switching-Management-Platforms?utm_source=linkedin&amp;utm_medium=phenom-feeds&amp;urlHash=k3mm", "https://careers.cisco.com/global/en/job/CISCISGLOBAL1448105EXTERNALENGLOBAL/Product-Manager-Enterprise-Switching-Management-Platforms?utm_source=linkedin&amp;utm_medium=phenom-feeds&amp;urlHash=k3mm")</f>
        <v/>
      </c>
      <c r="G76" t="inlineStr">
        <is>
          <t>San Jose, CA</t>
        </is>
      </c>
      <c r="H76" t="inlineStr"/>
      <c r="I76" t="inlineStr">
        <is>
          <t>*Accepting applications until further notice.*
**Meet The Team**
 Join Cisco’s Enterprise Switching team and play a vital role in shaping next\-generation management platforms and user experiences for enterprise networks. Work alongside engineers, designers, sales, and marketing to solve real\-world challenges for major brands, simplifying complex networking technology to make operations easier and more efficient.
**Your Impact**
 Drive innovation and deliver impactful solutions by:
* Ensuring our products enhance network operations by focusing on customer experience and usability.
* Acting critically, iterating quickly, and balancing data\-driven decisions with practical action.
* Gathering technical requirements and gaining insights into user needs to improve tools for network administrators.
* Managing the product lifecycle for SaaS and hardware components within our network management platform.
* Collaborating across teams to take on technical challenges and achieve measurable results.
**Minimum Qualifications**
* 10 years of practical experience in network engineering. CCIE preferred, CCNP or related networking certifications required
* Experience launching SaaS platforms with user adoption and growth in enterprise networking.
* Experience in modern network management platform and/or connected\-hardware technology; 5 years in product management or equivalent
* Understanding of networking and network management platform technologies in complex enterprise environments.
* Relevant practical experience in enterprise networking environments prioritized over formal education.
**Preferred Qualifications**
* Practical experience with campus networking solutions such as wireless, NAC, or routing
* Strong sense of user\-centered design, with a passion for building effective user experiences for technical users.
* Experience working with backend and frontend teams to bring innovative products to market.
* Technical knowledge of software management platforms, including monitoring, configuration management, AI, and security.
* Demonstrated ability to overcome technical obstacles and deliver results.
* Practical experience configuring enterprise\-grade switches and developing solutions to streamline such tasks.
* A proactive mindset with the ability to make decisions quickly and drive progress.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$191,400\.00 to $281,400\.00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77">
      <c r="A77" t="inlineStr">
        <is>
          <t>li-4348302804</t>
        </is>
      </c>
      <c r="B77" t="inlineStr">
        <is>
          <t>Senior Product Owner - BenTech</t>
        </is>
      </c>
      <c r="C77" t="inlineStr">
        <is>
          <t>Guardian Life</t>
        </is>
      </c>
      <c r="D77" t="inlineStr">
        <is>
          <t>linkedin</t>
        </is>
      </c>
      <c r="E77">
        <f>HYPERLINK("https://www.linkedin.com/jobs/view/4348302804", "https://www.linkedin.com/jobs/view/4348302804")</f>
        <v/>
      </c>
      <c r="F77" t="inlineStr"/>
      <c r="G77" t="inlineStr">
        <is>
          <t>Boston, MA</t>
        </is>
      </c>
      <c r="H77" t="inlineStr"/>
      <c r="I77" t="inlineStr">
        <is>
          <t>**Job Description**
 Our Digital team is seeking a Senior Product Owner who will be responsible for designing and delivering advanced integration solutions within the BenTech space. This position is embedded within the business and will collaborate closely with a technical lead, managing a focused team of developers and QA professionals. The ideal candidate will possess expertise in Carrier, BenAdmin, and Data Exchange standards, along with a strategic approach to product development, to help define the future of Guardian's integration capabilities with our partners and clients.
 This is an exciting time to join Guardian as we accelerate our digital capabilities across product, experience, benefits administration, and broker technology. Our goal is to cement our market leading position and innovate using technology to capitalize on new market opportunities. This is a unique opportunity to shape the future of Group Benefits and deliver meaningful change for our customers and partners
**You Will:**
* Translate BenTech product vision and strategy into actionable team backlogs, including user stories with clear acceptance criteria and tasks, ensuring alignment with business goals and customer needs.
* Work closely with the Product Manager to prioritize and implement process improvements, track progress and communicate updates to stakeholders
* Oversee the implementation of LIMRA LDEx standards and ensure compliance with industry best practices for data exchange.
* Build best in class integrations supporting Plan, Eligibility, EOI, Leave of Absence, Rating \&amp; Quoting, etc.
* Collaborate closely with Product Managers, business stakeholders, and technical leads to deliver high\-impact solutions.
* Serve as a bridge between customer\-facing activities and internal IT teams, ensuring clear communication and alignment.
* Document and communicate business and technical requirements, supporting both strategic and tactical initiatives.
* Manage and mentor a small team of developers and testers, driving execution on priority items and fostering a culture of continuous improvement.
* Conduct go\-to\-market readiness activities and support release planning.
* Integrate customer research and feedback into product development cycles.
* Ensure compliance with data, privacy, and AI standards across BenTech applications.
**You Have:**
* Bachelor’s degree or equivalent work experience.
* A minimum of 5–7 years of experience in BenTech, Group Benefits, or related insurance technology domains.
* Proven experience in defining and driving product roadmaps, integrating customer research, and ensuring compliance with data/AI standards
* Familiarity with LIMRA LDEx standards and/or other industry data exchange protocols.
* Strong knowledge of product journey mapping, business process improvement, and OKR management.
* Experience working with cross\-functional teams and leading small technical teams.
* Excellent communication and teamwork skills; ability to be customer\-facing and translate business needs into technical solutions.
* Ability to manage multiple tasks, set priorities, and meet deadlines in a fast\-paced environment.
**Reporting Relationship:**
 As a Senior Product Owner, you will report to the Sr. Product Manager, Head of Benefits Technology Strategy
**Location:**
 The work arrangement for this position will be hybrid (3\+ days per week in a local Guardian Office).
**Guardian Life is not currently or in the foreseeable future sponsoring employment visas. In order to be a successful applicant, you must be legally authorized to work in the United States, without the need for employer sponsorship.**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78">
      <c r="A78" t="inlineStr">
        <is>
          <t>li-4329221270</t>
        </is>
      </c>
      <c r="B78" t="inlineStr">
        <is>
          <t>Program Manager, AI Transformation (Customer Success)</t>
        </is>
      </c>
      <c r="C78" t="inlineStr">
        <is>
          <t>Vanta</t>
        </is>
      </c>
      <c r="D78" t="inlineStr">
        <is>
          <t>linkedin</t>
        </is>
      </c>
      <c r="E78">
        <f>HYPERLINK("https://www.linkedin.com/jobs/view/4329221270", "https://www.linkedin.com/jobs/view/4329221270")</f>
        <v/>
      </c>
      <c r="F78" t="inlineStr"/>
      <c r="G78" t="inlineStr"/>
      <c r="H78" t="inlineStr"/>
      <c r="I78"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Program Manager, AI Transformation at Vanta, you will design, operationalize, and scale AI\-powered workflows across the customer lifecycle. Your work will directly transform how post\-sales teams deliver better onboarding, adoption, risk management, and renewal outcomes for customers by leveraging AI.
 The Digital Customer Success team designs and delivers high\-impact, programmatic experiences that help customers realize value faster and more consistently, while scaling how Customer Success operates through automation and intelligent workflows.
 This role operationalizes the Digital CS mission by scoping post\-sales needs, driving the AI roadmap, and program\-managing the rollout of AI\-powered workflows. Through disciplined execution, adoption planning, and impact reporting, this role ensures AI initiatives meaningfully improve customer experiences while enabling Customer Success to scale.
**What you’ll do as a Program Manager, AI Transformation at Vanta:**
* Partner with Customer Success leadership and functional stakeholders to understand evolving needs, priorities, and pain points across the post\-sales organization.
* Represent Customer Success in AI and roadmap planning with engineering, translating CS requirements into clear, actionable initiatives aligned to technical constraints and delivery timelines.
* Program\-manage the design, build, and rollout of AI\-powered workflows across the customer lifecycle, working closely with engineering, product, and data teams on more advanced implementations.
* Independently build, launch, and iterate on no\-code / low\-code AI workflows to deliver fast value and reduce dependency on engineering.
* Maintain and optimize AI workflow structures over time, ensuring automations, scoring, alerts, and insights remain accurate, reliable, and aligned with evolving CS processes.
* Drive adoption and measure impact, leading change management efforts and reporting on usage, efficiency gains, and customer outcomes.
**How to be successful in this role:**
* 5–8\+ years of program management, product operations, digital CS, or similar cross\-functional leadership roles.
* Experience designing or implementing AI, automation, or workflow intelligence in post\-sales or GTM environments.
* Strong ability to partner with engineering while also being hands\-on building no\-code AI prototypes, LLM workflows, prompt chains, or automation logic.
* Deep understanding of CS lifecycle stages (handoff → onboarding → adoption → risk mgmt → renewal/expansion) and common CS technologies used.
* Strong communication, stakeholder management, and change management capabilities.
* Ability to translate ambiguous problems into structured programs and measurable outcomes.
* Analytical skills to monitor workflow performance, detect friction, and iterate based on data.
**What you can expect as a Vantan:**
* Industry\-competitive compensation
* 100% covered medical, dental, and vision benefits with dependents coverage
* 16 weeks fully\-paid parental Leave for all new parents
* Health \&amp; wellness and remote workplace stipends
* Family planning benefits through Carrot Fertility
* 401(k) matching
* Flexible work hours and location
* Open PTO policy
* 11 paid holidays in the US
* Offices in SF, NYC, London, Dublin,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79">
      <c r="A79" t="inlineStr">
        <is>
          <t>li-4302207141</t>
        </is>
      </c>
      <c r="B79" t="inlineStr">
        <is>
          <t>Sr. Product Manager - Tech, Integrated Vehicle Test</t>
        </is>
      </c>
      <c r="C79" t="inlineStr">
        <is>
          <t>Amazon</t>
        </is>
      </c>
      <c r="D79" t="inlineStr">
        <is>
          <t>linkedin</t>
        </is>
      </c>
      <c r="E79">
        <f>HYPERLINK("https://www.linkedin.com/jobs/view/4302207141", "https://www.linkedin.com/jobs/view/4302207141")</f>
        <v/>
      </c>
      <c r="F79">
        <f>HYPERLINK("https://www.amazon.jobs/jobs/3086585/sr-product-manager\u002d\u002dtech-integrated-vehicle-test?cmpid=SPLICX0248M&amp;utm_source=linkedin.com&amp;utm_campaign=cxro&amp;utm_medium=social_media&amp;utm_content=job_posting&amp;ss=paid&amp;urlHash=c7gW", "https://www.amazon.jobs/jobs/3086585/sr-product-manager\u002d\u002dtech-integrated-vehicle-test?cmpid=SPLICX0248M&amp;utm_source=linkedin.com&amp;utm_campaign=cxro&amp;utm_medium=social_media&amp;utm_content=job_posting&amp;ss=paid&amp;urlHash=c7gW")</f>
        <v/>
      </c>
      <c r="G79" t="inlineStr">
        <is>
          <t>Redmond, WA</t>
        </is>
      </c>
      <c r="H79" t="inlineStr"/>
      <c r="I79"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We are looking for an experienced Senior Product Manager \- Tech who is passionate about building products with strong emphasis on performance and customer satisfaction. In this role you will lead enhancements to existing products and launch of new products/features across our portfolio of satellite test solutions encompassing hardware, software and data analysis products.
 In this role you will become intimately familiar with the Amazon Leo satellite and the ecosystem of IVT owned tools and services used in day\-to\-day satellite test operations. You will play a critical role in interacting with our customers, intake feature requests and manage backlog prioritization. The ideal candidate will have experience in delivering complex products where hardware and software integration is front and center, and where data driven automated decision making is critical for success.
 Key job responsibilities
* Lead the definition, design, development and launch of products that support and enhance Amazon Leo’s capabilities to test fully integrated satellites.
* Lead the development of the product strategy and vision supported by internal analysis, and in collaboration with team leadership.
* Define product roadmaps based on product strategy and team leadership vision.
* Develop detailed, crisp business requirements and user stories that can be used to create product specifications and architecture for each product and application.
* Work closely with software/hardware engineering and data analysis teams to deliver features to production.
* Manage backlog prioritization and trade\-offs among customer feedback, performance, and operational support load.
* Proactively identify and resolve strategic issues that may impair the team’s ability to meet strategic, financial, and technical goals
**About The Team**
 The Integrated Vehicle Test team is responsible for delivering functional spacecraft to orbit to ensure Amazon Leo’s mission success. We do so through development of advanced test systems and execution of test campaigns that help guarantee reliable operation of satellite vehicles in space. The tasks and daily focus change rapidly, and you will often take on exciting new responsibilities to ensure project success. Expect to be deployed to address complex problems by identifying the scope of the issue and quickly establishing innovative and functional solutions.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 3\+ years in development of test plans and protocols related to established Space Hardware test processes (GEVS / SMC\-S\-016\)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Manufacturing Enterprises LLC
 Job ID: A3086585</t>
        </is>
      </c>
    </row>
    <row r="80">
      <c r="A80" t="inlineStr">
        <is>
          <t>li-4321853755</t>
        </is>
      </c>
      <c r="B80" t="inlineStr">
        <is>
          <t>Staff Product Manager</t>
        </is>
      </c>
      <c r="C80" t="inlineStr">
        <is>
          <t>Galileo Financial Technologies</t>
        </is>
      </c>
      <c r="D80" t="inlineStr">
        <is>
          <t>linkedin</t>
        </is>
      </c>
      <c r="E80">
        <f>HYPERLINK("https://www.linkedin.com/jobs/view/4321853755", "https://www.linkedin.com/jobs/view/4321853755")</f>
        <v/>
      </c>
      <c r="F80" t="inlineStr"/>
      <c r="G80" t="inlineStr">
        <is>
          <t>Sandy, UT</t>
        </is>
      </c>
      <c r="H80" t="inlineStr"/>
      <c r="I80" t="inlineStr">
        <is>
          <t>**Employee Applicant Privacy Notice**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**https://www.galileo\-ft.com/working\-at\-galileo** 
 .
**Location:** 
 Remote First, Open across the US
**The Role**
 As a
 **Staff Product Manager, Card Processing** 
 , you will serve as a highly influential product leader and domain expert within the Issuer Card Processing team. You will be responsible for defining and executing a major portion of the product roadmap, specializing in
 **credit and charge card processing capabilities** 
 for consumer and commercial clients
 **,** 
 across all channels including online (CNP), and offline (CP).
 This is a high\-impact, high\-visibility role for a proven product leader with deep expertise in the complex and regulated financial services/FinTech space. You will be instrumental in modernizing our platform, driving the transition to a cloud\-powered, scalable financial platform.
 Success in this role requires a highly independent and driven product strategist who can synthesize complex technical requirements and effectively champion their product vision. You will have ample opportunities to present detailed business cases and execution progress directly to C\-suite executives to secure funding and drive alignment.
**Prior experience with Commercial Credit Card issuing platforms is a significant advantage.**
**What You’ll Do**
* Perform research to understand the problem areas for our client’s customers, understand trends in Commercial, Consumer Credit platforms, liaise with sales teams to understand what problems prospects are looking to solve.
* Build research\-backed business cases in support of new ideas and get cross\-functional support for your proposals
* Understand complex business and operational requirements and break them down into epics and user stories for engineering teams
* Prioritize and drive product backlogs with your dedicated and dependent engineering teams
* Ensure appropriate data is collected and analytics tools are instrumented for all products in your portfolio to drive deep understanding, innovation, and effective product plans
* Collaborate with product and engineering leaders across business units to drive synergies across common client use cases and requirements
* Work with internal project stakeholders from marketing, sales, operations, community, and executive management to ensure smooth go\-to\-market plans and deliveries.
* Drive improvements to product management processes, frameworks, team structure, and culture
* Lead engagements with external partners and clients to advance product improvements and innovative solutions
* Lead in a fast\-paced, agile, remote first, dynamic environment
**What You’ll Need**
* Bachelor’s degree or higher with a technical discipline, or equivalent experience
* Advanced degree or MBA with BS or higher in Computer Science preferred
* 7\+ years in product management with domain knowledge of financial and payment services.
* Expertise designing, managing, and integrating with API\-first fintech platforms
* Demonstrated experience in issuer credit card, commercial card processing.
* Superior written and verbal communication skills
* Demonstrated ability to understand and discuss technical concepts, manage trade offs, and evaluate opportunistic new ideas with internal and external partners
* Experience managing complex product development cycles and highly technical solutions
* Experience leading cross\-functional teams to deliver products and projects on deadlines
* Highly organized and capable of helping teams navigate ambiguity and execute with confidence
* Demonstrated ability to document new ideas and drive innovations from concept to implementation
* Experience presenting to C\-level leadership (internal and external)
* Ability to work with remote teams
**Compensation And Benefits**
 The base pay range for this role is listed below. Final base pay offer will be determined based on individual factors such as the candidate’s experience, skills, and location.
 This role may also be eligible for a bonus and/or long term incentives. Your recruiter will provide more information to you. All roles are eligible for competitive benefits. More information about our employee benefits can be found in the link below.
**Benefits**
 To view all of our comprehensive and competitive benefits, visit our
 **Benefits at SoFi \&amp; Galileo** 
 page!
 US\-Based Base Compensation
 $144,000—$247,500 USD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Galileo is committed to an inclusive culture. As part of this commitment, Galileo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81">
      <c r="A81" t="inlineStr">
        <is>
          <t>li-4348068936</t>
        </is>
      </c>
      <c r="B81" t="inlineStr">
        <is>
          <t>Lead Product Manager</t>
        </is>
      </c>
      <c r="C81" t="inlineStr">
        <is>
          <t>Harris | Oakmark</t>
        </is>
      </c>
      <c r="D81" t="inlineStr">
        <is>
          <t>linkedin</t>
        </is>
      </c>
      <c r="E81">
        <f>HYPERLINK("https://www.linkedin.com/jobs/view/4348068936", "https://www.linkedin.com/jobs/view/4348068936")</f>
        <v/>
      </c>
      <c r="F81" t="inlineStr"/>
      <c r="G81" t="inlineStr">
        <is>
          <t>Chicago, IL</t>
        </is>
      </c>
      <c r="H81" t="inlineStr"/>
      <c r="I81" t="inlineStr">
        <is>
          <t>At Harris, the true value of what makes us successful is found in our people. It is our unique mix of cultures, experiences, beliefs and backgrounds that sets Harris apart from the rest. We constantly strive to cultivate, nurture and amplify an unparalleled environment, where we value intellectual curiosity and uniqueness of thought. Inclusion is embedded in the very fabric of our culture of collaboration and openness.
 We understand that a job description only tells one part of a broader story, and Harris is seeking dynamic candidates who can add to our best\-in\-class environment. We recognize that qualifications can be gained through both traditional and non\-traditional paths, and we are committed to considering candidates who possess the potential to be excellent in this role regardless of prior experiences.
***Therefore we encourage ALL interested individuals to submit their applications, even if they do not meet every requirement outlined in the job description.***
**Position Summary:**
 The Technology \&amp; Digital Solutions team is responsible for delivering innovative, scalable, and secure technology platforms that support the firm’s investment operations, including order origination, trade execution, and investment compliance.
 The
 **Lead Product Manager** 
 is responsible for defining and executing the strategic roadmap for platforms that enable Portfolio Implementation, Order Origination, Trade Execution, and Investment Compliance. This includes managing product backlogs, coordinating cross\-functional delivery teams, and ensuring that technology solutions align with the firm’s investment goals and compliance standards. The role involves stewardship of both internally developed systems and vendor platforms, with a focus on data integrity, operational efficiency, and user experience. This individual will work closely with investment professionals, compliance teams, and engineering partners to translate business needs into actionable technology initiatives. Success in this role requires a deep understanding of asset management workflows, strong product leadership, and the ability to drive consensus across diverse stakeholder groups in a fast\-paced, high\-impact environment.
**Responsibilities may include but are not limited to:**
**Product Leadership \&amp; Roadmap Ownership**
* Act as SME across Charles River, Portware, Bloomberg, and FactSet, owning the technology roadmap for Order Management, Trading, Trading Analytics, and Investment Compliance.
* Align priorities across Portfolio Implementation, Investment Compliance, Trading, and Technology.
* Drive transparent decision\-making and integrate stakeholder feedback through governance processes.
**Team Leadership \&amp; Agile Delivery**
* Mentor the technology team supporting Trading, Order Origination, and Investment Compliance.
* Drive Agile ceremonies, resolve blockers, and foster a culture of continuous improvement and collaboration.
**Resource Planning \&amp; Stakeholder Reporting**
* Develop and manage resource allocation plans. Provide clear reporting on capacity, utilization, and variances to inform decisions across stakeholders
**Continuous Improvement**
* Conduct retrospectives and implement processes, tools, and workflow enhancements to improve delivery efficiency and team performance.
**Qualifications**
* Bachelor’s degree in STEM, Finance, or a related discipline.
* 7\-10 years of combined experience in Product Management within Asset Management.
* Strong domain knowledge in Front Office functions including Order Management, Trade Execution, Trading Analytics, and Investment Compliance.
* Proven experience managing enterprise vendor platforms such as Charles River, Portware, Bloomberg, and FactSet.
* Expertise with Agile tools such as JIRA, Azure Boards, or similar.
* Proficiency in data / quantitative analytics, business intelligence platforms, and general programming capabilities.
* Experience with data architecture \&amp; engineering, cloud native development and DevOps / CI/CD principles
* Exceptional communication, analytical, and problem\-solving abilities.
* Strong influencing and stakeholder management skills with the ability to build consensus across diverse teams.
* Team\-oriented leader with outstanding organizational and collaboration skills.
 May be required to occasionally work during off\-times (early morning hours and/or evening hours) due to special projects/deadlines. Working hours of the position may also vary from normal business hours and flexibility is key.
 We offer a comprehensive benefits package designed to integrate life and work and to support our employees and their families. Benefits include, but are not limited to; medical, prescription drug, dental and vision insurance, paid time off, profit sharing plan, 401k plan, tuition reimbursement, commuter and holistic wellness benefits along with volunteer programs.
 Actual annual base salaries may vary based on factors including but not limited to education, training, experience, and other job\-related factors. If hired, base pay will be determined on an individualized basis and is only one part of the total compensation package, which, depending on the position, may also include a discretionary performance bonus and other Harris sponsored benefit programs.
 Expected range for this Chicago\-based role
 $185,000 \- $200,000 USD
**Equal Employment Opportunity Policy Statement**
 Harris Associates L.P. pursues a policy of equal opportunity in all areas of employment including recruitment, hiring, training, compensation, benefits, advancement, and treatment on the job. This means that Harris does not discriminate against employees, or qualified applicants, based on an individual's race, color, religion, creed, sex, age, national origin, physical disability, sexual orientation, trans\-gender status, transsexual status, status as a veteran or disabled veteran, genetic information or for any other reason prohibited by law. Harris reserves the right to review publicly available information about applicants (i.e., via social networking sites), to the extent permissible under applicable law.
**Reasonable Accommodation Notice**
 We provide reasonable accommodation for individuals with disabilities and disabled veterans in job application procedures. If you have any difficulty using our online system and you need an accommodation due to a disability, you may use the alternative email address below to contact us about your interest in employment at HR@harrisassoc.com or you can call us at 312\-646\-3600\.
**Privacy Statement**
 The information you send to us is used for employment purposes only. What you send is kept confidential—we will not give your personal information to outside parties without your consent.</t>
        </is>
      </c>
    </row>
    <row r="82">
      <c r="A82" t="inlineStr">
        <is>
          <t>li-4329182567</t>
        </is>
      </c>
      <c r="B82" t="inlineStr">
        <is>
          <t>Assistant Insurance Product Manager II</t>
        </is>
      </c>
      <c r="C82" t="inlineStr">
        <is>
          <t>GEICO</t>
        </is>
      </c>
      <c r="D82" t="inlineStr">
        <is>
          <t>linkedin</t>
        </is>
      </c>
      <c r="E82">
        <f>HYPERLINK("https://www.linkedin.com/jobs/view/4329182567", "https://www.linkedin.com/jobs/view/4329182567")</f>
        <v/>
      </c>
      <c r="F82">
        <f>HYPERLINK("https://click.appcast.io/t/xm7KhwQwUd1dlTAevcmOtlBqwNMdZPj0oxYOZfY4kFo=?source=LinkedIn&amp;urlHash=oIlj", "https://click.appcast.io/t/xm7KhwQwUd1dlTAevcmOtlBqwNMdZPj0oxYOZfY4kFo=?source=LinkedIn&amp;urlHash=oIlj")</f>
        <v/>
      </c>
      <c r="G82" t="inlineStr">
        <is>
          <t>Chevy Chase, MD</t>
        </is>
      </c>
      <c r="H82" t="inlineStr"/>
      <c r="I8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Ready to innovate and direct GEICO’s profitable growth? If so, Read on!
 The Government Employees Insurance Company (GEICO) is a private American auto insurance company with headquarters in Chevy Chase, Maryland. GEICO is a wholly owned subsidiary of Berkshire Hathaway and is the third largest auto insurer in the United States. In 2023, GEICO earned premiums worth over $40 billion U.S. dollars.
 Drive GEICO’s profitable growth and innovate its products by joining our Insurance Product Management team. We are looking for an Associate Product Manager with high potential to strategically analyze potential opportunities and risks, and lead efforts to solve complicated business problems and effect positive change. You will be on the front line of driving GEICO’s long\-term profitable growth, with responsibility for delivering results in one or more states.
**Job Duties And Responsibilities**
 The Insurance Product Management team has an opening for an Associate Product Manager who will build product strategy and drive pricing and non\-pricing decisions leading to profitable growth. This role will be at the Associate Product Manager level and will have Senior Management visibility.
 Manage state(s) to meet profitability targets and grow as fast as possible
 Understand the assigned markets and develop specific strategies related to price, product and underwriting
 Utilize analytical problem solving and leadership skills to execute and deliver product initiatives
 Collaborate with subject matter experts and other company leaders to implement changes that enhance the customer experience
 Research the competition to develop opportunity and threat assessments
 Review and make recommendations on process and governance from a country\-wide state management perspective
 Direct end\-to\-end lifecycle of department and corporate initiatives
 Advocate on behalf of the company with regulators and consultants and in legal and compliance matters
 Manage rate filings through approval, reviewing and approving text for rate reviews, filings and internal communications
 Implement product changes effectively and in compliance with laws and regulations
**Required Qualifications**
 Prior experience in pricing and/or product analysis / product management with an understanding of basic product management concepts
 Minimum of 5 years in P\&amp;C insurance industry with an understanding of the current environment
 Working knowledge of insurance regulation and related business constraints
 Capable of managing states with management oversight
 Bachelor’s degree with relevant academic background
 Must be a self\-motivated, goal oriented individual with curiosity
 Demonstrated ability to exchange ideas and convey complex information clearly, both verbally and in writing
 Strong analytical abilities with solid understanding of pricing techniques and insurance operations including underwriting
 Must have good planning, organizational, decision\-making and communication skills
 High level knowledge of data sources, tools, and modeling techniques
 Ability to adapt to a fast\-paced and changing environment and get work done through others
**Preferred Qualifications**
 Master’s degree in business or related field
 Other industry designations: FCAS, ACAS, or CPCU
**This position is remote within the United States**
**Annual Salary**
 $121,975\.00 \- $189,625\.00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3">
      <c r="A83" t="inlineStr">
        <is>
          <t>li-4329091724</t>
        </is>
      </c>
      <c r="B83" t="inlineStr">
        <is>
          <t>Program Manager, Mapping Delivery</t>
        </is>
      </c>
      <c r="C83" t="inlineStr">
        <is>
          <t>Waymo</t>
        </is>
      </c>
      <c r="D83" t="inlineStr">
        <is>
          <t>linkedin</t>
        </is>
      </c>
      <c r="E83">
        <f>HYPERLINK("https://www.linkedin.com/jobs/view/4329091724", "https://www.linkedin.com/jobs/view/4329091724")</f>
        <v/>
      </c>
      <c r="F83">
        <f>HYPERLINK("https://careers.withwaymo.com/jobs?gh_jid=7430040&amp;gh_src=e2a2625d1us&amp;urlHash=BqjJ", "https://careers.withwaymo.com/jobs?gh_jid=7430040&amp;gh_src=e2a2625d1us&amp;urlHash=BqjJ")</f>
        <v/>
      </c>
      <c r="G83" t="inlineStr">
        <is>
          <t>Mountain View, CA</t>
        </is>
      </c>
      <c r="H83" t="inlineStr"/>
      <c r="I8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Mapping Operations team is responsible for building, validating, and continuously improving the high\-definition maps that power Waymo’s autonomous driving system. The team ensures that the vehicle has an accurate, up\-to\-date understanding of the world by transforming raw sensor data into reliable, production\-ready map assets.
 MapOps sits at the intersection of autonomous driving, data operations, and quality assurance, partnering closely with Engineering, ML, and Product teams to support safe, scalable deployment across new and existing markets.
**You Will**
* Develop deep subject matter expertise in a vertical of mapping operations, and serve as a go\-to point of contact for stakeholders across the entire organization
* Manage multiple tasks and projects simultaneously, ensuring critical deadlines are met consistently
* Identify opportunities to improve efficiency to scale operations and own those solutions end\-to\-end
* Collaborate cross\-functionally on complex challenges, using creative and critical thinking to develop innovative solutions and make timely decisions
**You Have**
* A Bachelor’s degree in a technical or business discipline
* 2\+ years of relevant experience in a high growth start\-up or similar environment
* A process focused mindset and experience improving inefficient processes
* The ability to thrive in a dynamic and fast paced environment
* The capacity to use creative problem solving to hit your goals
* The curiosity and ability to learn new tools and workflows quickly
* Excellent communication skills with the ability to proactively communicate roadblocks and delays to stakeholders
**We Prefer**
* Process improvement experience
* SQL or other data analytics skills
* Ability to approach complex problems with a logical, systematic, and data\-driven perspective
* A visual learner with good geospatial awareness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$48\.56—$61\.06 USD</t>
        </is>
      </c>
    </row>
    <row r="84">
      <c r="A84" t="inlineStr">
        <is>
          <t>li-4305837161</t>
        </is>
      </c>
      <c r="B84" t="inlineStr">
        <is>
          <t>Senior Product Manager, Enablement and Training</t>
        </is>
      </c>
      <c r="C84" t="inlineStr">
        <is>
          <t>RingCentral</t>
        </is>
      </c>
      <c r="D84" t="inlineStr">
        <is>
          <t>linkedin</t>
        </is>
      </c>
      <c r="E84">
        <f>HYPERLINK("https://www.linkedin.com/jobs/view/4305837161", "https://www.linkedin.com/jobs/view/4305837161")</f>
        <v/>
      </c>
      <c r="F84">
        <f>HYPERLINK("https://ringcentral.wd1.myworkdayjobs.com/RingCentral_Careers/job/Belmont-California/Senior-Product-Manager_R076544?source=LinkedIn&amp;urlHash=Dj4K", "https://ringcentral.wd1.myworkdayjobs.com/RingCentral_Careers/job/Belmont-California/Senior-Product-Manager_R076544?source=LinkedIn&amp;urlHash=Dj4K")</f>
        <v/>
      </c>
      <c r="G84" t="inlineStr">
        <is>
          <t>Belmont, CA</t>
        </is>
      </c>
      <c r="H84" t="inlineStr"/>
      <c r="I84" t="inlineStr">
        <is>
          <t>Say hello to opportunities.
 It’s not everyday that you consider starting a new career. We’re RingCentral, and we’re happy that someone as talented as you is considering this role. First, a little about us, we’re a $2 Billion annual revenue company with double digit Annual Recurring Revenue (ARR) and a $93 Billion market opportunity in UCaaS, Contact Center and AI\-powered adjacencies. We invest more than $250 million annually to ensure our AI\-enabled technology and platforms meet or exceed the needs of our customers.
 RingSense AI is our proprietary AI solution. It’s designed to fit the business needs of our customers, orchestrated to be accurate and precise, and built on the same open platform principles we apply to our core software solutions.
 This is where you and your skills come in. We’re currently looking for:
 **Senior Product Manager** 
 who will champion our customers' success by leading our product enablement and training initiatives. In this role, you will be the bridge between our product teams and our Product Marketing Enablement team, as well as other functions, supporting our customers, ensuring they have the knowledge and resources to maximize the value of our products. You'll drive the strategy, development, and delivery of high\-impact training content, product documentation, and enablement programs that empower our users, partners, and internal teams.
 This is a unique opportunity to blend product strategy with a passion for education and user experience. You will work cross\-functionally with product, engineering, marketing, sales, and customer success to create a seamless and empowering learning journey for our global user base.
**What You'll Do:**
* Develop the Product Enablement Strategy: Define and execute a comprehensive product enablement and training strategy aligned with product launches, business goals, and customer needs.
* Create and Manage Training Content: Lead the creation of engaging and scalable training content, including video tutorials, e\-learning modules, webinars, and certifications.
* Oversee Product Documentation: Partner with product teams to ensure our help center, knowledge base, and other documentation are accurate, easy to understand, and up\-to date.
* Analyze and Optimize: Use data and feedback to measure the effectiveness of training programs and documentation. Continuously iterate and improve the user learning experience.
* Serve as a Subject Matter Expert: Act as a go\-to resource for customer\-facing teams (sales, support, customer success) by developing internal enablement materials and delivering training sessions.
* Collaborate Cross\-Functionally: Work closely with product managers to understand new features and roadmap plans, and with marketing and sales to support go\-to\-market strategies.
**What We're Looking For:**
* Experience: 3\+ years of experience in CCaaS product management, product marketing, or a related role with a focus on enablement, training, or technical content.
* Strategic Thinking: Ability to think strategically and translate complex product features into clear, actionable, and engaging training content.
* Communication Skills: Exceptional written and verbal communication skills. You should be a natural storyteller who can simplify complex topics.
* Technical Acumen: You don't need to be an engineer, but you should be able to quickly understand and explain new software products and features.
* User\-Centric Mindset: A strong passion for understanding and improving the user experience, particularly through education and self\-service resources.
* Collaboration: Proven ability to work effectively across multiple teams and stakeholders.
**What we offer:**
* Comprehensive medical, dental, vision, disability, life insurance
* Health Savings Account (HSA), Flexible Spending Account (FSAs) and Commuter benefits
* Voluntary supplemental health coverage and life insurance
* 401K match and ESPP
* Paid time off and paid sick leave
* Paid parental and pregnancy leave
* Family\-forming benefits (IVF, Preservation, Adoption etc.)
* Emergency backup care (Child/Adult/Pets)
* Employee Assistance Program (EAP) with counseling sessions available 24/7
* Free legal services that provide legal advice, document creation and estate planning
* Employee bonus referral program
* Student loan refinancing assistance
* Employee 1:1 coaching, perks and discounts program
 RingCentral’s Product Management team works closely with our customers to define the real\-world collaboration challenges people face, and help develop groundbreaking solutions to solve them. Together, we drive strategy and roadmaps to delight our current customers and win new market share. We care deeply about customer experience, understand that great products should solve real\-world problems, and believe that saying “no” is sometimes just as important as adding new features.
 RingCentral’s work culture is the backbone of our success. And don’t just take our word for it: we are recognized as a Best Place to Work by Glassdoor, the Top Work Culture by Comparably and hold local BPTW awards in every major location. Bottom line: We are committed to hiring and retaining great people because we know you power our success.
**About RingCentral**
 RingCentral, Inc. (NYSE: RNG) is a leading provider of business cloud communications and contact center solutions based on its powerful Message Video Phone™  (MVP™) global platform. More flexible and cost effective than legacy on\-premises PBX and video conferencing systems that it replaces, RingCentral® empowers modern mobile and distributed workforces to communicate, collaborate, and connect via any mode, any device, and any location. RingCentral is headquartered in Belmont, California, and has offices around the world.
 RingCentral is an equal opportunity employer that truly values diversity. We do not discriminate on the basis of race, religion, color, national origin, gender, sexual orientation, age, marital status, veteran status, or disability status. We are committed to providing reasonable accommodations for individuals with disabilities during our application and interview process. If you require such accommodations, please click on the following link to learn more about how we can assist you.
 If you are hired in Belmont, CA, the compensation range for this position is between $142,800 and $204,000 for full\-time employees, in addition to eligibility for variable pay, equity, and benefits. Benefits may include, but are not limited to, health and wellness, 401k, ESPP, vacation, parental leave, and more! The salary may vary depending on your location, skills, and experience.</t>
        </is>
      </c>
    </row>
    <row r="85">
      <c r="A85" t="inlineStr">
        <is>
          <t>li-4339790353</t>
        </is>
      </c>
      <c r="B85" t="inlineStr">
        <is>
          <t>Assistant Product Manager, Travel and Men's</t>
        </is>
      </c>
      <c r="C85" t="inlineStr">
        <is>
          <t>TUMI</t>
        </is>
      </c>
      <c r="D85" t="inlineStr">
        <is>
          <t>linkedin</t>
        </is>
      </c>
      <c r="E85">
        <f>HYPERLINK("https://www.linkedin.com/jobs/view/4339790353", "https://www.linkedin.com/jobs/view/4339790353")</f>
        <v/>
      </c>
      <c r="F85" t="inlineStr"/>
      <c r="G85" t="inlineStr">
        <is>
          <t>New York, NY</t>
        </is>
      </c>
      <c r="H85" t="inlineStr"/>
      <c r="I85" t="inlineStr">
        <is>
          <t>**About Us**
**Who we are:**
 Since 1975, TUMI has been creating world\-class business, travel and performance luxury essentials, designed to upgrade, uncomplicate, and beautify all aspects of life on the move. Blending flawless functionality with a spirit of ingenuity, we’re committed to empowering journeys as a lifelong partner to movers and makers in pursuit of their passions. The brand is sold globally in over 75 countries with approximately 2,000 points of sale.
**Job Description**
 As the Assistant Global Product Manager for the Travel \&amp; Men's categories, you will report directly to the Senior Director and support the team under them in growing the categories to achieve the company sales and profit objectives. You will work closely with Design, PD, Sourcing and all Business Channels across regions. We work on site 4 days and remotely 1 day, weekly.
**Responsibilities**
**Category \&amp; Business Support**
* Support the Travel and Men's Product Management team in the day\-to\-day execution of seasonal assortments and product line management.
+ Maintain and update SKU set\-ups and product information across systems with accuracy and attention to detail.
+ Track product lifecycle status and changes to assortments to ensure timely updates and alignment with internal partners.
+ Prepare selling recaps and insights to analyze best and slow sellers, highlighting key trends and opportunities.
* Assist in compiling product data for presentations, line reviews and business recaps.
+ Support in creating feature and benefit summaries, collection overviews, and product launch materials.
+ Participate in milestone meetings, take notes, and follow up on action items as directed.
**Cross\-Functional Collaboration**
* Partner closely with Design, Product Development, Sourcing and regional teams to ensure accurate and on\-time deliverables.
+ Coordinate samples for meetings, presentations, and marketing use.
+ Support the team in communicating tactical product updates to cross\-functional partners, including Design and Marketing.
+ Input and track marketing project requests for product launch collateral, ensuring information is accurate and current.
**Product \&amp; Market Research**
* Conduct market and competitive research to help identify emerging trends, opportunities, and product gaps.
+ Monitor competitor pricing, product launches, and merchandising strategies.
+ Gather and organize insights that inform future product development discussions.
**Operational Excellence**
* Manage sample organization, shipment, and tracking to ensure availability for internal and external meetings.
* Fact\-check product details across systems to ensure consistency and data integrity.
* Maintain assortment tools, reports, and meeting decks with precision and timeliness.
**Competency Integration**
* Demonstrate Analytical Rigor, Consumer Centricity, Cross\-Functional Collaboration, and Effective Communication in daily work.
* Consistently apply product obsession and attention to detail in managing category initiatives.
**Requirements**
* Bachelor's Degree
* 1\-2 years of experience in product management/merchandising, preferably within the travel, men's bags and/or accessories consumer goods industry.
* Exceptional time management, organizational and planning skills are needed to prioritize and coordinate multiple projects while meeting deadlines.
* Excellent communication skills, both verbal and written.
* Proficiency in Excel, PowerPoint, and SAP (or comparable systems).
* Strong analytical skills with proven ability to translate data into insights and actions.
* Competency highlights: Analytical Rigor, Product Obsession, Collaboration, Consumer Focus and Adaptability.
**Associate Benefits**
* Career pathing
* Work\-life balance
* Training
* Paid time off
* Pet Insurance
* Tuition Reimbursement
* Employee Discount
* Employee Assistance Program (EAP)
* Comprehensive benefits package including medical and dental insurance with partial employer contributions, vision insurance, company\-paid basic life insurance, Accidental Death \&amp; Disability Insurance, Supplemental Life insurance, 401(k) with a company match, and commuter benefits.
* This role may have the opportunity to earn an annual target bonus based on several factors including Company and individual performance, subject to the terms and conditions of the Company’s bonus plan in effect from time to time. Details regarding the plan are outlined in each employee’s plan agreement.
**About The Team**
**Why you'll love working here:**
 At TUMI, you’ll find a dynamic working environment, joining a community where each team member is empowered with an entrepreneurial spirit. Associates are respected as a vital part of the organization and recognized for their contributions. We believe in a workplace that gives every individual the opportunity to make an impact, and our ongoing commitment is to provide all the tools you need to succeed— guidance towards individual career growth, professional training and development initiatives, and a motivating, exciting environment— along with competitive salaries and comprehensive benefits programs.
**What We Value**
* INNOVATIVE BY NATURE. SUSTAINABLE BY CHOICE. TUMI protects the things that matter most, the things you own and the planet you travel to see. Our planet is an astonishing place and we believe it’s our responsibility to preserve it for travelers of the future. By putting excellence and quality first, we ensure that every TUMI product has lifelong purpose, supported by our rigorous testing standards, exploration of recycled materials, and global repair network.
* PARTNERS WE BELIEVE IN. Staying true to our values by helping take care of the most vulnerable among us aligns with our mission and is a core element of what we do. We focus on three main areas: promoting wellbeing; empowering vulnerable communities; and protecting the earth’s beautiful places. Each year we extend our philanthropic efforts to partners that help better the world. From supporting St. Jude Children’s Research Hospital fight to cure childhood cancer to Waves for Water who provides clean water to communities in need, we proudly stand by the profound changes they enact.
* CULTURE \&amp; INCLUSION. As an organization, we are committed to a diverse and vibrant culture, welcoming people from all walks of life. Our long\-standing commitment to culture and inclusion empowers each of us to bring our authentic selves and unique differences to work every day.
 The actual rate of pay offered depends on various factors, including qualifications for the position and relevant experience; as well as other legitimate, non\-discriminatory business factors specific to the position or location.
 Tumi is an equal opportunity employer and is committed to promoting and maintaining a work environment in which all applicants, associates, customers, and other individuals are treated with dignity and respect free from unlawful harassment, discrimination, or retaliation.</t>
        </is>
      </c>
    </row>
    <row r="86">
      <c r="A86" t="inlineStr">
        <is>
          <t>li-4341283718</t>
        </is>
      </c>
      <c r="B86" t="inlineStr">
        <is>
          <t>PCA Product Manager</t>
        </is>
      </c>
      <c r="C86" t="inlineStr">
        <is>
          <t>DPR Construction</t>
        </is>
      </c>
      <c r="D86" t="inlineStr">
        <is>
          <t>linkedin</t>
        </is>
      </c>
      <c r="E86">
        <f>HYPERLINK("https://www.linkedin.com/jobs/view/4341283718", "https://www.linkedin.com/jobs/view/4341283718")</f>
        <v/>
      </c>
      <c r="F86">
        <f>HYPERLINK("https://mydpr.wd5.myworkdayjobs.com/en-US/11212017/job/Orlando-FL/PCA-Product-Manager_JR-13079-1/apply?source=LinkedIn&amp;urlHash=SEno", "https://mydpr.wd5.myworkdayjobs.com/en-US/11212017/job/Orlando-FL/PCA-Product-Manager_JR-13079-1/apply?source=LinkedIn&amp;urlHash=SEno")</f>
        <v/>
      </c>
      <c r="G86" t="inlineStr">
        <is>
          <t>Austin, TX</t>
        </is>
      </c>
      <c r="H86" t="inlineStr"/>
      <c r="I86" t="inlineStr">
        <is>
          <t>**Job Description**
 DPR Construction is seeking a driven Sr Product Manager to lead the development of internal products that power DPR’s Project Controls and Assurance (PCA) capabilities in the areas of Risk, Insurance, Safety, Cost Control and Document Control. These products serve as critical tools to support our internal business workflows and enable smarter decision\-making through data and innovation.
 The PCA Product Manager will partner with stakeholders, engineers, designers, and cross\-functional teams to translate business needs into actionable solutions. They will be responsible for defining product requirements, prioritizing roadmaps, and ensuring that product development efforts align with DPR’s vision and strategies. Using agile practices, this individual will drive continuous improvement and deliver user\-centric solutions that transform how we build.
 Key Responsibilities
 Leadership
* Own and champion the vision for PCA\-related product suite.
* Define and drive product strategy and roadmap aligned with business goals and DPR’s objectives.
* Advocate for quality, usability, and business value in all product decisions.
 Collaboration \&amp; Partnership
* Partner with business stakeholders to gather, document, and validate requirements.
* Collaborate with UX/UI designers to create wireframes, prototypes, and mockups for intuitive user experiences.
* Work with engineers, architects, and technology leads to translate product roadmaps into detailed designs and technical solutions.
* Coordinate with business, customer support and learning and development teams to ensure smooth adoption and effective user engagement.
 Product Management
* Define and manage product features, requirements, and enhancements across the product portfolio.
* Develop and maintain the product backlog, ensuring prioritization aligns with business needs.
* Write clear product requirements document and other collaterals that communicate product value.
* Support testing, release management, and rollout to end users.
* Monitor product performance and user feedback to inform enhancements and future direction.
 Product Strategy \&amp; Roadmap
* Translate business objectives and user needs into roadmap initiatives and features.
* Balance near\-term deliverables with long\-term strategic investments.
* Continuously evaluate product fit/gap, technical dependencies, and process optimization opportunities.
* Benchmark against competing solutions and best practices to drive innovation.
 Communication
* Communicate product vision, strategy, and updates to stakeholders across the organization.
* Facilitate roadmap alignment sessions with business leaders, product owners, and technology teams.
* Craft clear launch plan and activities for new features and updates.
* Present progress and outcomes to executive leadership and other key stakeholders.
 Knowledge and Experience
* Proven experience as a Product Manager or Product Owner, ideally within construction technology, or other innovation\-driven environments.
* Strong knowledge of Agile methodologies and tools.
* Ability to create detailed specifications and wireframes.
* Experience leading distributed, remote teams.
* Understanding of construction workflows and business processes (preferred).
* Strong communication, collaboration, and organizational skills.
* Demonstrated ability to align product strategies with stakeholder and business needs.
* Flexibility to accommodate global team schedules.
* Periodic domestic and international travel may be required.
**Requirements**
* Technical undergrad or graduate degree in business, engineering, construction, technology, or related field preferred.
* Minimum 10 years of industry experience in product development.
* Based in one of DPR’s regional offices with a hybrid home/office schedule.
 What We Offer
* A collaborative, inclusive culture that reflects DPR’s core values.
* The opportunity to own impactful products that directly shape the way we build.
* A chance to grow and innovate within an industry\-leading, technology\-driven environment.
**MA, NJ, And DC Applicants**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Salary is just one component of DPR's total compensation package.*
*NJ Pay Range: $118,552 to $203,231\. MA and DC Pay Range: $129,329 to $221,707*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87">
      <c r="A87" t="inlineStr">
        <is>
          <t>li-4353173934</t>
        </is>
      </c>
      <c r="B87" t="inlineStr">
        <is>
          <t>Program Manager, Program Governance</t>
        </is>
      </c>
      <c r="C87" t="inlineStr">
        <is>
          <t>Meta</t>
        </is>
      </c>
      <c r="D87" t="inlineStr">
        <is>
          <t>linkedin</t>
        </is>
      </c>
      <c r="E87">
        <f>HYPERLINK("https://www.linkedin.com/jobs/view/4353173934", "https://www.linkedin.com/jobs/view/4353173934")</f>
        <v/>
      </c>
      <c r="F87" t="inlineStr"/>
      <c r="G87" t="inlineStr">
        <is>
          <t>Seattle, WA</t>
        </is>
      </c>
      <c r="H87" t="inlineStr"/>
      <c r="I87" t="inlineStr">
        <is>
          <t>This role will be responsible for program management within the Governance pillar of Meta’s Regulatory Compliance Program Organization. This role will support strategic design and operational execution of large, company\-wide governance initiatives. The scope of the team is to build sustainable defensible governance practices for Meta’s Privacy and Security programs. In this role, you will be accountable for building and operating governance and oversight functions in order to ensure Meta is meeting its regulatory priorities (including FTC Order requirements), while facilitating protection of users through Meta’s products and processes. You will thrive in an ambiguous, cross\-functional environment where they can understand different perspectives and provide discussion frameworks to enable trade\-offs and decisions. You will support informed decision\-making for Privacy and Security leadership teams.The role requires an aptitude for working cross functionally with technical and product stakeholders, and the experience to review and understand technical features in order to educate and socialize with impacted parties.
 Program Manager, Program Governance Responsibilities:
* Design and operate governance and reporting requirements for Meta’s Privacy Program, and Security GRC Programs
* Facilitate governance forums designed to oversee and drive strategic decision making for Privacy and Security GRC programs
* Recommend and draft Privacy program oversight and adjustment reporting for external assessment under Meta’s FTC Consent Order, including leadership socialization of recommendations and 2nd line of defense reviews
* Work with legal, privacy and product leadership (including Meta Executives) teams to ensure the cross\-company work on regulatory priorities is planned, implemented and executed in an efficient \&amp; effective manner
* Prepare communication materials and progress tracking for multiple audiences including supporting material for Meta executives and its Board of Directors
* Lead strategic conversations with external auditors and internal leadership team
* Advise on industry standards related to external assessments and audits
* Create mechanisms for identifying and monitoring updates, milestones and roadblocks on privacy work and ensuring leadership is aware of status and progress
* Drive greater consistency of Governance process, practices, and execution across company\-wide privacy, security, integrity and AI workstreams
* Champion the overall implementation plan related to Meta’s FTC Consent order (and similar Privacy directives, both current and future) including understanding order requirements and associated technical and operational work required across the company to comply successfully
* Project manage and prioritize work based on urgency and complexity while building operational cadences across technical and operational teams to coordinate work
* Set priorities, multi\-task and work with autonomy in a dynamic, rapidly changing workplace
 Minimum Qualifications:
* 5\+ years of work experience in risk and compliance, legal, consulting, business operations or other operational disciplines
* 4\+ years of experience working in regulatory domains like privacy, integrity or security OR in a role associated with data protection, regulatory response, audit and implementation of control frameworks
* 3\+ years of work experience in program or project management
* Bachelor's Degree in a related field or equivalent experience
 Preferred Qualifications:
* Demonstrated experience oriented towards solutions in the context of competing perspectives
* Advanced degree and/or certification
* Experience working in information security and/or cybersecurity
* Experience running project management or program management initiatives (for example, organization\-wide initiatives)
* Experience communicating with technical and business stakeholders
* Experience communicating with leadership teams including Board level formal reporting
* Communications experience with simplifying concepts and developing outputs
* Analytical and problem solving skills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$122,000/year to $180,000/year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8">
      <c r="A88" t="inlineStr">
        <is>
          <t>li-4329220864</t>
        </is>
      </c>
      <c r="B88" t="inlineStr">
        <is>
          <t>Senior Technical Program Manager, Autonomous Driving Performance Evaluation</t>
        </is>
      </c>
      <c r="C88" t="inlineStr">
        <is>
          <t>Waymo</t>
        </is>
      </c>
      <c r="D88" t="inlineStr">
        <is>
          <t>linkedin</t>
        </is>
      </c>
      <c r="E88">
        <f>HYPERLINK("https://www.linkedin.com/jobs/view/4329220864", "https://www.linkedin.com/jobs/view/4329220864")</f>
        <v/>
      </c>
      <c r="F88" t="inlineStr"/>
      <c r="G88" t="inlineStr">
        <is>
          <t>San Francisco, CA</t>
        </is>
      </c>
      <c r="H88" t="inlineStr"/>
      <c r="I8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reports and you will report to a Manager of Technical Program Management.*
**You Will**
* Drive outcomes for large, strategic programs that transform Waymo’s driving data into actionable insights
* Structure plans, drive execution and accountability across cross\-functional teams to develop new evaluation tools
* Work closely with engineering and product partners to measure autonomous driving performance across multiple cities and vehicle platforms
* Communicate business risks and blockers to Waymo leadership and own their resolution
* Develop roadmaps for innovative technology to enable driving in new operational domains like freeways, snow, and international markets
**You Have**
* Bachelor's Degree in Computer Science, engineering, similar technical field, or equivalent practical experience
* 5\+ years experience with 2\+ years of large scale project management experience (multiple projects, multiple stakeholders, large teams, complex team setup)
* Excellent communication, collaboration, and stakeholder management skills, with the ability to influence and align cross\-functional teams
* Strong understanding of software development workflows and experience working closely with engineering teams
**We Prefer**
* Advanced degree in computer science or MBA
* Experience working on evaluation and data analysis tools at large scale
* Knowledge of data generation, data augmentation, or synthetic data techniques
* Experience with simulation systems, robotics, or autonomous vehicle technology
* Project management education (PMP or similar)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$196,000—$248,000 USD</t>
        </is>
      </c>
    </row>
    <row r="89">
      <c r="A89" t="inlineStr">
        <is>
          <t>li-4341223905</t>
        </is>
      </c>
      <c r="B89" t="inlineStr">
        <is>
          <t>Digital Asset Product Manager, Senior</t>
        </is>
      </c>
      <c r="C89" t="inlineStr">
        <is>
          <t>Western Alliance Bank</t>
        </is>
      </c>
      <c r="D89" t="inlineStr">
        <is>
          <t>linkedin</t>
        </is>
      </c>
      <c r="E89">
        <f>HYPERLINK("https://www.linkedin.com/jobs/view/4341223905", "https://www.linkedin.com/jobs/view/4341223905")</f>
        <v/>
      </c>
      <c r="F89" t="inlineStr"/>
      <c r="G89" t="inlineStr">
        <is>
          <t>Phoenix, AZ</t>
        </is>
      </c>
      <c r="H89" t="inlineStr"/>
      <c r="I89" t="inlineStr">
        <is>
          <t>**Job Title**
 Digital Asset Product Manager, Senior
**Location:**
 CityScape
**What You'll Do**
 As a Digital Asset Product Manager, Senior you’ll lead the strategy, development, and lifecycle management of Western Alliance Bank’s digital asset product suite. You’ll be responsible for defining product vision, driving innovation, and ensuring successful delivery of digital asset solutions that align with our business objectives and regulatory standards
* Define and execute the roadmap for WA’s digital asset products.
* Monitor market trends, competitive landscape, and emerging technologies to inform product decisions.
* Lead cross\-functional teams (engineering, compliance, operations) to design and launch digital asset solutions.
* Oversee end\-to\-end product lifecycle, from ideation to deployment and ongoing enhancements.
* Collaborate with internal teams and external partners to ensure alignment on product goals and timelines.
* Communicate product updates and performance metrics to senior leadership.
* Ensure all products adhere to regulatory requirements and internal risk frameworks.
* Partner with legal and compliance teams to maintain robust governance
**What You'll Need**
* 8\+ years of related experience in Product Management, Treasury Management Sales or similar field.
* Bachelor's degree in related field required.
* Previous leadership experience required.
* Advanced knowledge of general financial services or banking products and services.
* Advanced knowledge of applicable regulatory and legal compliance obligations, rules and regulations, industry standards and practices.
* Advanced knowledge of banking products, including treasury management, credit cards, as well as pricing dynamics. Market specific awareness. Experience in financial services or fintech environments preferred.
* Advanced experience with Product Management Methodology including new product launches, road mapping, business cases, product enhancements, communication and marketing plans, and robust executive management presentations and reporting development.
* Advanced knowledge of smart contracts and decentralized finance (DeFi) preferred.
* Advanced speaking and writing communication skills.
* Occasional travel required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90">
      <c r="A90" t="inlineStr">
        <is>
          <t>li-4346024308</t>
        </is>
      </c>
      <c r="B90" t="inlineStr">
        <is>
          <t>Firmwide Resiliency Product Manager: Executive Director</t>
        </is>
      </c>
      <c r="C90" t="inlineStr">
        <is>
          <t>JPMorganChase</t>
        </is>
      </c>
      <c r="D90" t="inlineStr">
        <is>
          <t>linkedin</t>
        </is>
      </c>
      <c r="E90">
        <f>HYPERLINK("https://www.linkedin.com/jobs/view/4346024308", "https://www.linkedin.com/jobs/view/4346024308")</f>
        <v/>
      </c>
      <c r="F90">
        <f>HYPERLINK("https://JPMorganChase.contacthr.com/150397204&amp;urlHash=6ckd", "https://JPMorganChase.contacthr.com/150397204&amp;urlHash=6ckd")</f>
        <v/>
      </c>
      <c r="G90" t="inlineStr">
        <is>
          <t>Columbus, OH</t>
        </is>
      </c>
      <c r="H90" t="inlineStr"/>
      <c r="I90" t="inlineStr">
        <is>
          <t>**Job Description**
 Ignite your passion for product innovation by leading customer\-centric development, inspiring solutions, and shaping the future with your strategic vision and influence.
 As a Product Strategy \&amp; Product Management – Executive Director in our Firmwide Resiliency Office, you will lead innovation through the development of products and features that delight our stakeholders. As a leader on the team, you will leverage your advanced capabilities to challenge traditional approaches, remove barriers to success and foster a culture of continuous innovation that helps inspire cross\-functional teams to create solutions that address customer needs.
 You will be in a crucial role for enabling the development of the Firmwide Resiliency Ecosystem and supporting advanced analytics initiatives. You will also have the opportunity to engage with stakeholders across the firm to drive the strategic evolution of the Firmwide Resiliency Product, driving alignment in objectives to enable reuse and scaling of data products and analytics goals.
**Job Responsibilities**
* Partner with cross functional teams – Technology, User Experience, Agility and Data to uplift ways of working
* Engage with the wider Resiliency Ecosystem to influence and align on objectives and priorities
* Foster strong relationships with stakeholders, clients, and cross\-functional teams, providing direction and defining decision\-making procedures for beneficial outcomes
* Create an innovation hub to prototype analytical solutions for customer feedback
* Oversee Product Roadmap that aligns to the Product Strategy and Vision
* Support the wider team to deliver best in class product features
**Required Qualifications, Capabilities, And Skills**
* Experience delivering products, projects, or technology applications
* Minimum of 10 years of product management experience
* Extensive knowledge of the product development life cycle, technical design, and data analytics
* Experience driving change within organizations and managing stakeholders across multiple functions
* Commitment and self\-motivation skills
* Proven success in collaborating with cross\-functional teams, influencing and driving decisions
* Ability to make recommendations and progress in the face of ambiguous and at times overlapping priorities.
**Preferred Qualifications**
* Advanced knowledge of the product development life cycle, design, and data analytics
* Familiarity with agile methodologies and product operating models.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1">
      <c r="A91" t="inlineStr">
        <is>
          <t>li-4353014087</t>
        </is>
      </c>
      <c r="B91" t="inlineStr">
        <is>
          <t>Energy Program Manager</t>
        </is>
      </c>
      <c r="C91" t="inlineStr">
        <is>
          <t>Meta</t>
        </is>
      </c>
      <c r="D91" t="inlineStr">
        <is>
          <t>linkedin</t>
        </is>
      </c>
      <c r="E91">
        <f>HYPERLINK("https://www.linkedin.com/jobs/view/4353014087", "https://www.linkedin.com/jobs/view/4353014087")</f>
        <v/>
      </c>
      <c r="F91">
        <f>HYPERLINK("https://jsv3.recruitics.com/redirect?rx_cid=3239&amp;rx_jobId=a1KDp00000CZKxyMAH&amp;rx_url=https%3A%2F%2Fwww.metacareers.com%2Fjobs%2F1212858110210297%2F%3Frx_campaign%3DLinkedin1%26rx_ch%3Dconnector%26rx_group%3D126320%26rx_id%3D926be988-f0f3-11f0-9556-79bb9919cbd4%26rx_job%3Da1KDp00000CZKxyMAH%26rx_medium%3Dpost%26rx_r%3Dnone%26rx_source%3DLinkedin%26rx_ts%3D20260114T121201Z%26rx_vp%3Dslots%26utm_campaign%3DJob%252Bboard%26utm_medium%3Djobs%26utm_source%3DLIpaid&amp;urlHash=5NYy", "https://jsv3.recruitics.com/redirect?rx_cid=3239&amp;rx_jobId=a1KDp00000CZKxyMAH&amp;rx_url=https%3A%2F%2Fwww.metacareers.com%2Fjobs%2F1212858110210297%2F%3Frx_campaign%3DLinkedin1%26rx_ch%3Dconnector%26rx_group%3D126320%26rx_id%3D926be988-f0f3-11f0-9556-79bb9919cbd4%26rx_job%3Da1KDp00000CZKxyMAH%26rx_medium%3Dpost%26rx_r%3Dnone%26rx_source%3DLinkedin%26rx_ts%3D20260114T121201Z%26rx_vp%3Dslots%26utm_campaign%3DJob%252Bboard%26utm_medium%3Djobs%26utm_source%3DLIpaid&amp;urlHash=5NYy")</f>
        <v/>
      </c>
      <c r="G91" t="inlineStr"/>
      <c r="H91" t="inlineStr"/>
      <c r="I91" t="inlineStr">
        <is>
          <t>Our data centers are the foundation upon which our rapidly scaling infrastructure efficiently operates to deliver our innovative services. Meta is seeking an experienced, organized and self\-motivated individual to support the development of cost\-effective energy solutions for our growing fleet of data centers.
 Energy Program Manager Responsibilities:
* Support the creation and execution of overarching and site\-specific energy infrastructure strategies for Meta’’s data centers
* Establish and communicate energy requirements to internal and external stakeholders
* Lead negotiations for energy infrastructure agreements that align with Meta's project and company requirements and policies, and present recommendations to leadership for approval
* Manage project due diligence, site development, construction, commercial agreements and operational processes for energy related matters
* Lead communication and deliverables between utility partners, internal stakeholders, and consultants
* Build and maintain relationships with internal partners including site selection, strategic engineering, data center design, construction, facility operations, legal and finance
* Identify and drive process improvements to optimize project delivery, resulting in significant time and cost savings
* Lead and manage various ad hoc energy initiatives for Meta and its energy program, driving successful outcomes and delivering value to the organization
* Travel domestically and internationally, as needed (up to 25%)
 Minimum Qualifications:
* Bachelor's degree in a directly related field, or equivalent practical experience
* Bachelor's degree in business, engineering, environmental, or energy related discipline
* 7\+ years of relevant work experience with a utility, energy project developer, design/consulting firm, construction firm or energy intensive consumer
* Working knowledge of transmission, distribution and utility interconnection processes and electrical infrastructure
* Experience with project development and management for complex, large\-scale projects
* Proven program management skills to manage multiple projects concurrently
* Proven communications skills to develop and maintain partnerships with suppliers and stakeholders
* Intermediate Excel and PowerPoint and/or Keynote skills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$170,000/year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2">
      <c r="A92" t="inlineStr">
        <is>
          <t>li-4325241746</t>
        </is>
      </c>
      <c r="B92" t="inlineStr">
        <is>
          <t>Program Manager, Disruption Containment Tech, UX</t>
        </is>
      </c>
      <c r="C92" t="inlineStr">
        <is>
          <t>Delta Air Lines</t>
        </is>
      </c>
      <c r="D92" t="inlineStr">
        <is>
          <t>linkedin</t>
        </is>
      </c>
      <c r="E92">
        <f>HYPERLINK("https://www.linkedin.com/jobs/view/4325241746", "https://www.linkedin.com/jobs/view/4325241746")</f>
        <v/>
      </c>
      <c r="F92">
        <f>HYPERLINK("https://delta.avature.net/careers/JobDetail?jobId=30625&amp;source=LinkedIn&amp;urlHash=l_ms", "https://delta.avature.net/careers/JobDetail?jobId=30625&amp;source=LinkedIn&amp;urlHash=l_ms")</f>
        <v/>
      </c>
      <c r="G92" t="inlineStr">
        <is>
          <t>Atlanta, GA</t>
        </is>
      </c>
      <c r="H92" t="inlineStr"/>
      <c r="I92" t="inlineStr">
        <is>
          <t>**How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Delta Air Lines is seeking a User Experience (UX) Lead to drive the evaluation and improvement of end\-to\-end desktop and mobile experiences as we embark on application modernization. This role is embedded in the business team and will be critical in improving workflows and digital tools for Disruption Containment
 As the UX Lead, you will play a pivotal role in ensuring human\-centered design principles are applied across the ecosystem, balancing usability, efficiency, and business objectives. You will work to evaluate, design, and refine digital experiences, maintaining alignment with the OCC roadmap and Delta’s broader technology vision.
**Responsibilities**
* Influence our strategic product roadmap for Disruption Containment technology capabilities, ensuring alignment with Delta’s business goals and user experience objectives.
* Apply human\-centered design principles (or modern equivalent) to enhance workflows, improve usability, and streamline digital interactions.
* Ensure UX standards are adhered to and leverage design system and UI libraries to ensure consistency, accessibility, and efficiency in new and modernized applications.
* Communicate product vision, roadmaps, and progress to senior leadership and key collaborators, ensuring alignment and visibility throughout the product lifecycle.
* Prioritize product features, enhancements, and integrations based on business impact, user needs, and strategic alignment, ensuring that the most valuable initiatives are delivered first.
* Develop and communicate UX strategies, recommendations, and sub\-roadmaps to cross\-functional teams and senior leadership.
* Lead all aspects of end\-to\-end UX evaluations for applications to ensure intuitive, seamless experiences for frontline and back office team members.
* Collaborate in agile development cycles, integrating UX insights into iterative development processes.
* Lead usability testing and research efforts to validate design decisions and drive continuous improvement.
* Balance vision and feasibility, ensuring modern design standards are met while aligning with operational constraints.
**What You Need To Succeed (Minimum Qualifications)**
* Minimum of 5 years of experience in user experience (UX), interaction design, or product design with a focus on enterprise applications.
* Strong expertise in human\-centered design methodologies and modern UX standards with experience designing for desktop, mobile and hybrid applications.
* Proven experience on high\-performing agile product teams, with a track record of delivering successful technology products to achieve ambitious goals.
* Strong communication skills with the ability to advocate for user needs, present UX findings, and to effectively articulate product vision and strategy to diverse audiences.
* Strong project management skills, with experience managing multiple projects simultaneously and delivering results in a fast\-paced environment.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in design, Human\-Computer Interaction (HCI), Psychology, Computer Science, or a related field.
* Experience in the airline industry or working on aviation\-related digital tools.
* Expertise in UX research methods including usability testing, heuristic evaluations, and data\-informed decision\-making.
* Solid understanding of enterprise application design and understanding of operational workflows for Crew Schedulers, Crew Trackers, and other airline personnel.
* Familiarity with modern UX tools such as Figma, Adobe XD, Axure, or similar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93">
      <c r="A93" t="inlineStr">
        <is>
          <t>li-4346150855</t>
        </is>
      </c>
      <c r="B93" t="inlineStr">
        <is>
          <t>Real Time Operations Systems Program Manager, Google Cloud</t>
        </is>
      </c>
      <c r="C93" t="inlineStr">
        <is>
          <t>Google</t>
        </is>
      </c>
      <c r="D93" t="inlineStr">
        <is>
          <t>linkedin</t>
        </is>
      </c>
      <c r="E93">
        <f>HYPERLINK("https://www.linkedin.com/jobs/view/4346150855", "https://www.linkedin.com/jobs/view/4346150855")</f>
        <v/>
      </c>
      <c r="F93">
        <f>HYPERLINK("https://careers.google.com/jobs/results/130714283133543110-real-time-operations-systems-program-manager/?src=Online/LinkedIn/linkedin_us&amp;utm_source=linkedin&amp;utm_medium=jobposting&amp;utm_campaign=contract&amp;urlHash=kBWo", "https://careers.google.com/jobs/results/130714283133543110-real-time-operations-systems-program-manager/?src=Online/LinkedIn/linkedin_us&amp;utm_source=linkedin&amp;utm_medium=jobposting&amp;utm_campaign=contract&amp;urlHash=kBWo")</f>
        <v/>
      </c>
      <c r="G93" t="inlineStr">
        <is>
          <t>San Francisco, CA</t>
        </is>
      </c>
      <c r="H93" t="inlineStr"/>
      <c r="I9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San Francisco, CA, USA** 
 .
 **Minimum qualifications:**
* Bachelor's degree or equivalent practical experience.
* 7 years of experience in program management, product management, business operations, or strategy and operations within a global customer support or contact center environment.
* Experience in Real Time Operations (RTO), Workforce Management (WFM) strategy, or managing support channel supply, demand, and staffing models.
**Preferred qualifications:**
* Experience translating operational needs into technical system requirements.
* Experience with data analytics, conducting trend analysis, and making critical decisions based on the data.
* Experience presenting to and collaborating with senior stakeholders of director\- to VP\-level across a large, global organization.
* Experience launching and scaling an enterprise\-level real\-time operations system/tool.
* Experience setting up, managing, and optimizing case management workflows and tooling (third\-party or proprietary).
* Proficiency working with SQL and connecting and summarizing large datasets to drive strategic decisions.
**About The Job**
 The Digital Support Experience team sits within Google Cloud Support and is responsible for influencing, owning, and enabling the deployment of critical support systems and tooling rollouts for our global FTE and vendor\-managed Support Delivery teams. We prioritize, plan, implement, and measure the success of transformative support system initiatives across the entire customer support journey.
 This role sits at the critical intersection of support operations, product management, and systems strategy. You will be accountable for the lifecycle of the Real Time Operations (RTO) System, setting the strategic vision and roadmap. You will leverage deep expertise in workforce management and support operations to define the "why," "what," and "how" for our RTO tooling, ensuring it scales seamlessly as our support volume and channel variety continue to grow.
 In this role, you will act as the essential bridge between our support operations and the technical teams that build the tools. Your impact will directly enable support delivery, workforce management, and our global operations center to monitor real\-time supply vs. demand, track live and non\-live channel health, react quickly to correct trends in operational KPIs and customer sentiment, and utilize automated interventions for timely customer service.
 You will operate with significant autonomy, setting the RTO system roadmap, interacting with and driving alignment across senior leadership, and acting as the definitive subject matter expert for real\-time operations in our organization.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$158,000\-$235,000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RTO system roadmap and lead the solution and technology strategy. Translate both immediate needs and the long\-term business vision into concrete scope, business requirements, and delivery plans.
* Identify bottlenecks, time\-consuming inefficiencies, and manual RTO processes within our current operational setup. Define comprehensive business requirements for solving these challenges and drive technical solutions with engineering.
* Serve as the definitive subject matter expert for RTO workflows and technical solutions, acting as the primary liaison between operational Support Delivery teams and internal Engineering partners.
* Own the end\-to\-end delivery of the RTO solution. This includes partnering with Engineering, Operations, and Business Intelligence to drive the development lifecycle, manage scope and risk, and ensure on\-time delivery.
* Ensure the solution and strategy will scale as support volume increases, additional channels are added, and cases become more complex.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4">
      <c r="A94" t="inlineStr">
        <is>
          <t>li-4341055959</t>
        </is>
      </c>
      <c r="B94" t="inlineStr">
        <is>
          <t>Program Manager</t>
        </is>
      </c>
      <c r="C94" t="inlineStr">
        <is>
          <t>Honeywell</t>
        </is>
      </c>
      <c r="D94" t="inlineStr">
        <is>
          <t>linkedin</t>
        </is>
      </c>
      <c r="E94">
        <f>HYPERLINK("https://www.linkedin.com/jobs/view/4341055959", "https://www.linkedin.com/jobs/view/4341055959")</f>
        <v/>
      </c>
      <c r="F94" t="inlineStr"/>
      <c r="G94" t="inlineStr">
        <is>
          <t>Torrance, CA</t>
        </is>
      </c>
      <c r="H94" t="inlineStr"/>
      <c r="I94" t="inlineStr">
        <is>
          <t>**Job Description**
 As a Program Manager here at Honeywell, you will play a crucial role in guiding and managing engineering programs. Your ability to define project scope and deliverables in collaboration with cross\-functional teams will help align projects with business goals and customer requirements. By developing and implementing project plans, including timelines, budgets, and resource allocation, you will ensure efficient project execution and delivery. Monitoring project progress and ensuring adherence to timelines and budgets will help maintain project efficiency and cost\-effectiveness. Your expertise in identifying and mitigating risks and issues that may impact project delivery will contribute to successful project outcomes.
 You will report directly to our Director Program Management and you'll work out of one of our 2 locations (Torrance, CA or Phoenix, AZ) on a 3/2 day hybrid work schedule.
 In this role, you will impact the successful execution and delivery of engineering projects, driving operational excellence, and fostering a culture of continuous improvement and innovation.
**Responsibilities**
 Key Responsibilities
* Lead and manage programs to ensure successful execution and delivery
* Define project scope, objectives, and deliverables in collaboration with cross functional teams
* Develop and implement project plans, including timelines, budgets, and resource allocation
* Monitor project progress and ensure adherence to timelines and budgets
* Identify and mitigate risks and issues that may impact project delivery
* Coordinate and communicate with stakeholders to provide project updates and address concerns
* Drive continuous improvement initiatives to enhance project management processes and practices
 The application period for the job is estimated to be 40 days from the job posting date; however, this may be shortened or extended depending on business needs and the availability of qualified candidates.
 Must be a US Citizen due to contractual requirements.
 Incentive Eligible
 Base Salary Range: $150,000 \- $187,000 and for (CA) $173,000 \- $215,000
 For benefits information please.
**Qualifications**
 YOU MUST HAVE
* 6 years of experience in engineering program management or related roles
* Proven track record of successfully delivering engineering projects on time and within budget
* Strong project management and organizational skills
* Excellent communication and people\-oriented skills
* Ability to work effectively in a fast\-paced and dynamic environment
* Experience in risk management and problem\-solving
* Proficiency in project management tools and methodologies
 The application period for the job is estimated to be 40 days from the job posting date; however, this may be shortened or extended depending on business needs and the availability of qualified candidates.
 Must be a US Citizen due to contractual requirements.
 Incentive Eligible
 Base Salary Range: $150,000 \- $187,000 and for (CA) $173,000 \- $215,000
 For benefits information please.
 WE VALUE
* Strong thoughtful and problem\-solving abilities
* Ability to work collaboratively in cross\-functional teams
* Attention to detail and ability to prioritize tasks effectively
* Adaptability and flexibility to manage changing project requirements
* Passion for innovation and continuous learning
 With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95">
      <c r="A95" t="inlineStr">
        <is>
          <t>li-4340366861</t>
        </is>
      </c>
      <c r="B95" t="inlineStr">
        <is>
          <t>Supply Chain Product Manager, Electrical Products, SourceBlue</t>
        </is>
      </c>
      <c r="C95" t="inlineStr">
        <is>
          <t>Turner Construction Company</t>
        </is>
      </c>
      <c r="D95" t="inlineStr">
        <is>
          <t>linkedin</t>
        </is>
      </c>
      <c r="E95">
        <f>HYPERLINK("https://www.linkedin.com/jobs/view/4340366861", "https://www.linkedin.com/jobs/view/4340366861")</f>
        <v/>
      </c>
      <c r="F95" t="inlineStr"/>
      <c r="G95" t="inlineStr">
        <is>
          <t>California, United States</t>
        </is>
      </c>
      <c r="H95" t="inlineStr"/>
      <c r="I95" t="inlineStr">
        <is>
          <t>**Division:** 
 SourceBlue
**Project Location(s):** 
 Saddle Brook, NJ 07663 USA
**Minimum Years Experience:**
**Travel Involved:**
**Job Type:** 
 Regular
**Job Classification:** 
 Experienced
**Education:**
**Job Family:** 
 Construction
**Compensation:** 
 Salaried Non\-Exempt
 SourceBlue is a subsidiary of Turner Construction Company that has been purchasing materials and equipment for major construction projects since 2001\. With a staff of 350\+ dedicated professionals and :$1B in equipment and materials procured annually, we provide Clients with comprehensive supply chain services that are unmatched in the industry today.
 Internal Applicants: This position can be performed from any Turner office.
 Position Description: Apply purchasing, product, and technical expertise to provide SourceBlue (SB) supply chain solutions for project teams and external clients. Manage global, national, regional, and local level vendor relationships to promote SB product solutions.
 Essential Duties \&amp; Key Responsibilities:
* Apply expertise in purchasing, product, technical, and supply chain to provide guidance to SourceBlue (SB) project teams and global company entities and clients.
* Review market dynamics to evaluate impact on vendor capacity, availability, and delivery demands. Collaborate with vendor to develop resolution process and actions to address issues and maintain clear expectations with project stakeholders and team.
* Conduct quarterly business reviews and strategic evaluations of vendors for product performance, responsiveness, quality and alignment to Environmental, Sustainability, and Governance (ESG) initiatives.
* Manage demand and capacity planning across supply chain programs and provide strategies for adherence to delivery client schedules.
* Identify global, national, regional, and local level supply chain vendors to address capacity requirements for SB services.
* Manage vendor qualifications, create, negotiate, and manage terms and agreements, establish governance, conduct onboarding, and communicate availability of vendors to project team.
* Provide recommendations and alternatives for strategic supply chain awards for final product selection by stakeholders.
* Develop and evaluate manufacturer vendor KPIs through stakeholder feedbackand publish lessons learned for internal next generation developments.
* Primary point of contact to manage supply chain issues, escalate and engage SB leadership as needed.
* Manage transactional tracking of products for large supply chain programs for specific tiers (e.g., fabricator, integrator).
* Solicit vendor pricing, analyze vendor bids, prepare bid analysis spread sheets, coordination matrix, and scope of work.
* Confirm vendor contract terms on specified projects to ensure completeness and accuracy in Review Bid Process.
* Schedule and coordinate factory testing and attend tests at vendor sites.
* Participate in company\-wide projects related to sourcing and procurement to identify sales opportunities, vendor capacity, and related risks.
* Participate in industry events to understand market dynamics and represent SB as industry leader.
* Supervise team members and participate in hiring process, onboard and deliver timely performance feedback for direct reports, contribute to performance appraisals during annual performance cycle, utilize talent management systems, and identify appropriate training to help with development needs.
* Other activities, duties, and responsibilities as assigned.
 Qualifications:
* Minimum of 8 years of manufacturing or construction experience, or equivalent combination of education, experience, and training; Bachelor’s Degree from accredited degree program in Engineering, Supply Chain Management, or related field desired
* Knowledge of manufacturing or construction industry material markets, competition, and industry trends
* Electrical, Mechanical, or Finished Products knowledge with expertise in differentiating manufacturer services
* Interpersonal relationship building skills with ability to engage and secure partnerships with broad range of contacts in manufacturing and supply chain industry
* Negotiation skills with ability effect decision making
* Knowledgeable of estimating, construction costs, scheduling, purchasing and engineering principals and techniques, general contract and subcontract documents, drawings and specifications, and familiar accounting and cost control procedures
* Able to manage high volumes of work and move complex projects forward in a timely manner
* Ability to identify sales opportunities and collaborate on solutions to secure work
* Advanced presentation and delivery skills, ability to anticipate needs of audience and tailor communications appropriately
* Process and critical thinking skills with sound judgement and decision\-making
* Supervisory experience desired, with ability to delegate and manage staff
* Regular domestic and local travel with possible international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regularly travels both short and long distances via a variety of conveyances. The employee regularly performs work on\-site at construction sites, manufacturing facilities, office locations, and/or off\-site venues. The employee must regularly lift and/or move up to 15 pounds and occasionally lift and/or move up to 50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or remote setting. The noise in the work environment is usually quiet to moderate in an office setting. While performing the duties of this job, the employee regularly works at construction sites and manufacturing facilities where the employee is exposed to moving mechanical parts, high precarious places, fumes, or airborne particles, outside weather conditions, and risk of electrical shock. The noise in the work environment is usually moderate to loud. The employee is required to work in compliance with company safety policies, procedures, and applicable laws. SourceBlue, LLC is an Equal Opportunity Employer
 \*The salary range for this position in NJ is estimated to be $125K\-$190K annualized\*
 \*The salary range for this position in Seattle is estimated to be $130K\-$200K annualized.\*
 \*The salary range for this position in Denver is estimated to be $130K\-$190K annualized. \*
 \*The salary range for this position in California is estimated to be $140K\-210K annualized. \*
 \*The salary range for this position in Chicago is estimated to be $130K\-$175K annualized. \*
 \*The salary range for this position in NY is estimated to be $125K\-$220K annualized\*
**Turner is an Equal Opportunity Employer \- race, color, religion, sex, sexual orientation, gender identity, national origin, disability, status as a protected veteran, or other characteristics protected by applicable law.**</t>
        </is>
      </c>
    </row>
    <row r="96">
      <c r="A96" t="inlineStr">
        <is>
          <t>li-4321862023</t>
        </is>
      </c>
      <c r="B96" t="inlineStr">
        <is>
          <t>Technical Program Manager, Systems Hardware</t>
        </is>
      </c>
      <c r="C96" t="inlineStr">
        <is>
          <t>Pure Storage</t>
        </is>
      </c>
      <c r="D96" t="inlineStr">
        <is>
          <t>linkedin</t>
        </is>
      </c>
      <c r="E96">
        <f>HYPERLINK("https://www.linkedin.com/jobs/view/4321862023", "https://www.linkedin.com/jobs/view/4321862023")</f>
        <v/>
      </c>
      <c r="F96">
        <f>HYPERLINK("https://boards.greenhouse.io/purestorage/jobs/7380963?gh_jid=7380963&amp;gh_src=1ev8671&amp;source=LinkedIn&amp;urlHash=uhf0", "https://boards.greenhouse.io/purestorage/jobs/7380963?gh_jid=7380963&amp;gh_src=1ev8671&amp;source=LinkedIn&amp;urlHash=uhf0")</f>
        <v/>
      </c>
      <c r="G96" t="inlineStr">
        <is>
          <t>Santa Clara, CA</t>
        </is>
      </c>
      <c r="H96" t="inlineStr"/>
      <c r="I96"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You will be the pivotal, end\-to\-end owner driving the product lifecycle for our cutting\-edge data center storage solutions. Your mission is to translate product vision into Mass Production (MP) reality, managing all aspects of the hardware (Mechanical and Electrical Engineering) and the full software stack (firmware, OS). This highly visible role requires you to orchestrate global, cross\-functional engineering, manufacturing, and supply chain teams while leading executive\-level phase gate reviews to ensure our products deliver optimal performance and compliance, on time and on budget.
**What You'll Do**
* Drive Product Delivery: Successfully lead and deliver storage products through the critical prototype phases (Engineering Validation Test \- EVT, Design Validation Test \- DVT, Production Validation Test \- PVT) and into a high\-volume Mass Production (MP) ramp.
* Executive Leadership \&amp; Decision\-Making: Own and orchestrate executive\-level phase gate reviews, synthesizing complex program updates into concise, clear presentations to secure approvals and drive critical product trajectory decisions.
* Financial \&amp; Schedule Ownership: Maintain the program's financial health by meticulously managing budgets, monitoring product costs, and controlling the master build schedules to ensure on\-time and in\-scope delivery.
* Global Collaboration: Serve as the primary execution bridge between internal cross\-functional teams (Product Management, Engineering, Supply Chain) and external partners, including Contract Manufacturers and key suppliers.
* We are primarily an in\-office environment and therefore, you will be expected to work from the Santa Clara, CA office in compliance with Pure’s policies, unless you are on PTO, or work travel, or other approved leave.
**What You Bring**
* Deep Technical Program Management: Expert ability to manage the full, complex, end\-to\-end product development for hardware systems, spanning both Mechanical/Electrical Engineering and the integrated software/firmware stack.
* NPI/Product Lifecycle Expertise: Proven track record of successfully guiding products through New Product Introduction (NPI) phases, specifically managing EVT, DVT, PVT, and MP in a high\-tech/data center environment.
* Executive Communication \&amp; Influence: Exceptional ability to synthesize and communicate complex program information and business strategy to executive leadership, effectively leading decision\-making reviews.
* Financial Acumen \&amp; Business Strategy: Demonstrated skill in program budget management, product cost analysis, and using financial data to influence strategic program direction and scope.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$165,000—$248,000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97">
      <c r="A97" t="inlineStr">
        <is>
          <t>li-4361619824</t>
        </is>
      </c>
      <c r="B97" t="inlineStr">
        <is>
          <t>Program Manager II</t>
        </is>
      </c>
      <c r="C97" t="inlineStr">
        <is>
          <t>Arizona Complete Health</t>
        </is>
      </c>
      <c r="D97" t="inlineStr">
        <is>
          <t>linkedin</t>
        </is>
      </c>
      <c r="E97">
        <f>HYPERLINK("https://www.linkedin.com/jobs/view/4361619824", "https://www.linkedin.com/jobs/view/4361619824")</f>
        <v/>
      </c>
      <c r="F97" t="inlineStr"/>
      <c r="G97" t="inlineStr">
        <is>
          <t>Texas, United States</t>
        </is>
      </c>
      <c r="H97" t="inlineStr"/>
      <c r="I9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98">
      <c r="A98" t="inlineStr">
        <is>
          <t>li-4361628047</t>
        </is>
      </c>
      <c r="B98" t="inlineStr">
        <is>
          <t>Program Manager II</t>
        </is>
      </c>
      <c r="C98" t="inlineStr">
        <is>
          <t>Arizona Complete Health</t>
        </is>
      </c>
      <c r="D98" t="inlineStr">
        <is>
          <t>linkedin</t>
        </is>
      </c>
      <c r="E98">
        <f>HYPERLINK("https://www.linkedin.com/jobs/view/4361628047", "https://www.linkedin.com/jobs/view/4361628047")</f>
        <v/>
      </c>
      <c r="F98">
        <f>HYPERLINK("https://ad.doubleclick.net/ddm/clk/416849445;275979402;z?https://jobs.centene.com/us/en/jobs/1626407/program-manager-ii/?utm_source=linkedin.com&amp;utm_medium=social_media&amp;utm_campaign=always_on-full_scrape_&amp;utm_content=job_posting&amp;ss=paid&amp;source=LinkedIn&amp;urlHash=oDIX", "https://ad.doubleclick.net/ddm/clk/416849445;275979402;z?https://jobs.centene.com/us/en/jobs/1626407/program-manager-ii/?utm_source=linkedin.com&amp;utm_medium=social_media&amp;utm_campaign=always_on-full_scrape_&amp;utm_content=job_posting&amp;ss=paid&amp;source=LinkedIn&amp;urlHash=oDIX")</f>
        <v/>
      </c>
      <c r="G98" t="inlineStr">
        <is>
          <t>Georgia, United States</t>
        </is>
      </c>
      <c r="H98" t="inlineStr"/>
      <c r="I98"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 organize, monitor, and oversee programs utilizing cross functional teams to deliver defined requirements and meet business needs and strategic objectives.
* Creating/maintaining work processes for the UM/CM team to ensure compliance with NCQA/State/Federal guidelines and requirements.
* Support business department initiatives that promote, quality, safety and cost of care opportunity.
* Ensuring policies/processes and other information on the UM/CM SP sites/folders are current .
* Utilize corporate and industry standard tools and techniques to effectively oversee programs according to department procedures.
* Maintain detailed business process documentation including meeting minutes, action items, issues lists and risk management plans as applicable.
* Create and monitor all department deliverables to ensure adherence to quality standards including clinical reporting documents, related reference materials, and policy and procedure documentation.
* Communicate program status to management and key stakeholders.
* Change management when rolling out new processes.
* Support reporting requirements, productivity tracking for UM/CM teams.
* Coordinate cross\-functional meetings with various functional areas to meet overall stakeholder expectations and business objectives.
* Manage projects through the full project life cycle.
* Provide leadership and effectively communicate project status to all stakeholders.
* Negotiate with project stakeholders to identify and secure resources, resolve issues and mitigate risks.
* Performs other duties as assigned.
* Complies with all policies and standards.
**Education/Experience** 
 Bachelor's Degree in related field or equivalent experience required
 3\+ years of quality improvement, program management or project management experience required
**Health Care Experience Preferred**
 Pay Range $70,100\.00 \- $126,200\.00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99">
      <c r="A99" t="inlineStr">
        <is>
          <t>li-4357670342</t>
        </is>
      </c>
      <c r="B99" t="inlineStr">
        <is>
          <t>Senior Avionics Program Manager</t>
        </is>
      </c>
      <c r="C99" t="inlineStr">
        <is>
          <t>Energy Job Search</t>
        </is>
      </c>
      <c r="D99" t="inlineStr">
        <is>
          <t>linkedin</t>
        </is>
      </c>
      <c r="E99">
        <f>HYPERLINK("https://www.linkedin.com/jobs/view/4357670342", "https://www.linkedin.com/jobs/view/4357670342")</f>
        <v/>
      </c>
      <c r="F99" t="inlineStr"/>
      <c r="G99" t="inlineStr">
        <is>
          <t>Grand Rapids, MI</t>
        </is>
      </c>
      <c r="H99" t="inlineStr"/>
      <c r="I99" t="inlineStr">
        <is>
          <t>**Job Description Summary**
 The Program/Product Manager will play a pivotal role in driving both the strategic vision and execution of Avionics products for civil and military aviation markets. This position requires a balanced skillset, combining strategic foresight to define product needs as well as market positioning with operational excellence to ensure timely delivery and high\-quality execution.
 This role will act as the bridge between customer needs, business objectives, and technical teams, ensuring alignment across all stakeholders. Success in this role demands a proactive approach to identifying customers' needs as well as the ability to deliver expected results through detailed management of development programs. The ideal candidate will possess strong leadership, analytical, and communication skills to influence cross\-functional teams and drive results in a fast\-paced, highly technical environment.
 Location: Grand Rapids, MI
 This position, which offers a blend of onsite and hybrid work arrangements, is based in Grand Rapids and necessitates a presence in the office for 2\-3 days each week. An extensive corporate relocation package is also available for eligible candidates.
**Job Description**
**Roles and Responsibilities:**
 Customer \&amp; Stakeholder Leadership
* Own end\-to\-end program delivery and customer success for avionics products across Civil and Military markets\-driving strategy, execution, and growth while ensuring adherence to contract, regulatory, and quality requirements.
* Build and own the primary relationship with customers; act as the single point of contact for communication, execution, and issue resolution.
* Keep customers informed on progress, risks, and changes; lead negotiations on scope, schedule, price, and terms as needed.
* Coordinate customer/technical reviews, leadership visits, and executive updates.
 Program Strategy \&amp; Growth
* Shape product and program strategy for Civil and Military applications; incorporate market and industry trends.
* While this position may also support Avionics Computing programs, the primary area of focus for this role will be Avionics Networking products and configuration tools.
* Identify and develop growth opportunities with customers and internal stakeholders; lead/assist in proposals, pursuits, and negotiations.
 Contract \&amp; Performance Management
* Ensure adherence to contract requirements (service, operations, performance), regulatory and government reporting, and internal processes.
* Own change management across price, scope, schedule, and T\&amp;Cs; represent the company in business and contractual discussions.
 Execution, Delivery \&amp; Quality
* Lead cross\-functional program execution (Engineering, Manufacturing, Quality, Sourcing, Contracts) to meet Safety, Quality, Delivery, and Cost targets.
* Manage IMS dependencies and recoveries; identify gaps to plan and drive corrective actions.
* Resolve issues rapidly; escalate and remove blockers to protect commitments.
* Develop and maintain revenue forecasts; inform strategic planning and track performance to financial and technical metrics.
 Decision\-Making \&amp; Continuous Improvement
* Use data from internal and external sources to validate assumptions, reconcile conflicting inputs, and make sound decisions.
* Recommend best practices to improve products, processes, and services; lead teams to creative solutions on complex problems.
**Required Qualifications:**
* Bachelor of Science degree from an accredited university or college.
* Minimum of 5 years of experience in program management, product management, project management, and/or engineering management within the Aerospace industry.
* This position requires U.S. citizenship status.
**Desired Characteristics:**
* Currently holds or can quickly obtain relevant security clearance.
* Experience leading product development and strategy for avionics networking solutions leveraging Time Sensitive Networking (TSN), Ethernet and ARINC664 technologies.
* Experience in development and execution of programs and products to be certified under military standards and regulations, such as MIL\-STD, MIL\-SPEC, and other Department of Defense (DoD) or international military agency requirements.
* Familiarity with aviation standards and regulations, including FAA, EASA, and military specifications.
* Experience in Lean management methodologies highly desirable.
* Proven expertise in development and execution of programs and products to be certified under military standards and regulations, such as MIL\-STD, MIL\-SPEC, and other Department of Defense (DoD) or international military agency requirements.
* Demonstrated strong performance in employing core Program Management skills (business case development, technical project management \&amp; Earned Value, contract management, financial planning and accounting).
* Demonstrated strong performance in customer relationship management in a Military Aerospace environment.
* Detailed partner/supplier management skills with aerospace companies at both the component and system level.
* Experience in program execution of military programs.
* Strong oral and written communication skills.
* Strong interpersonal and leadership skills.
* Demonstrated ability to analyze and resolve problems.
* Demonstrated ability to lead programs / projects.
* Ability to document, plan, market, and execute programs.
* Established project management skills.
 The base pay range for this position is $126,000\.00 \- $165,000\.00\.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03/31/26\.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100">
      <c r="A100" t="inlineStr">
        <is>
          <t>li-4341245415</t>
        </is>
      </c>
      <c r="B100" t="inlineStr">
        <is>
          <t>Principal Technical Program Manager - Chief Architect Office</t>
        </is>
      </c>
      <c r="C100" t="inlineStr">
        <is>
          <t>Microsoft</t>
        </is>
      </c>
      <c r="D100" t="inlineStr">
        <is>
          <t>linkedin</t>
        </is>
      </c>
      <c r="E100">
        <f>HYPERLINK("https://www.linkedin.com/jobs/view/4341245415", "https://www.linkedin.com/jobs/view/4341245415")</f>
        <v/>
      </c>
      <c r="F100" t="inlineStr"/>
      <c r="G100" t="inlineStr">
        <is>
          <t>Redmond, WA</t>
        </is>
      </c>
      <c r="H100" t="inlineStr"/>
      <c r="I100"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Chief Architect Office (CAO), an organization within CE\&amp;S Global Customer Success (GCS), is the intersection of customer obsession and cross\-solution technical expertise. We support Microsoft Customer and Partner Solutions (MCAPS) with technical leadership through strategic programs, initiatives, and forums; engage directly with field, customers, and partners to drive Consumption \&amp; Usage, and enhance technical intensity across Microsoft by applying our collective expertise and learnings.
 CAO provides strategic technical leadership through a variety of programs, initiatives, and forums. We engage directly with field teams and customers to drive consumption and usage, while simultaneously enhancing technical proficiency across Microsoft by leveraging our collective expertise and insights. Team members are expected to be T\-shaped critical thinkers with deep expertise and broad knowledge, capable of navigating complexity, driving customer\-centric outcomes, and influencing across the organization without formal authority. We are looking for a Technical Program Manager to join our organization. Ideal candidates are self\-directed learners, positive risk\-takers, and skilled at balancing priorities in dynamic environments while empowering others and leading with integrity.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closely with leadership team members and executive\-level customer stakeholders to understand customer requirements and identify actions that require follow\-up activity.
* Collaborate across Global Customer Success, engineering, field teams and stakeholders to help gather and prioritize customer requirements, scope engagements, and align resources per executive commitments.
* Drive status meetings and reporting with stakeholders to ensure appropriate visibility of information required for successful execution of plans is provided.
* Deliver outcomes to help ensure that Global Customer Success provides the best possible customer experience.
* Guide and contribute to technical development and solutions, ensuring alignment with best practices and security requirements.
* Embody our culture and values
**Qualifications**
**Required Qualifications**
* Bachelor's Degree AND 6\+ years experience in engineering, product/technical program management, data analysis, or product development OR equivalent experience.
* 3\+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 Citizenship \&amp; Citizenship Verification: This position requires verification of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and as a condition of employment, the successful candidate’s citizenship will be verified with a valid passport.
**Additional Or Preferred Qualifications**
* Proven collaboration and project management skills, combined with a strategic orientation, as well as an aptitude for solving complex problems.
* Previous experience managing strategic cross\-functional initiatives.
* Ability to collaborate and influence effectively across a broad set of internal and external stakeholders
* Demonstrated proficiency in verbal and written communication
* Experience building and deploying solutions on Microsoft platforms (Azure, Power Platform, Fabric)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1">
      <c r="A101" t="inlineStr">
        <is>
          <t>li-4328918529</t>
        </is>
      </c>
      <c r="B101" t="inlineStr">
        <is>
          <t>Program Manager - Pre-Clerkship and Clerkship Curriculum</t>
        </is>
      </c>
      <c r="C101" t="inlineStr">
        <is>
          <t>Charles R. Drew University of Medicine and Science</t>
        </is>
      </c>
      <c r="D101" t="inlineStr">
        <is>
          <t>linkedin</t>
        </is>
      </c>
      <c r="E101">
        <f>HYPERLINK("https://www.linkedin.com/jobs/view/4328918529", "https://www.linkedin.com/jobs/view/4328918529")</f>
        <v/>
      </c>
      <c r="F101" t="inlineStr"/>
      <c r="G101" t="inlineStr">
        <is>
          <t>Los Angeles, CA</t>
        </is>
      </c>
      <c r="H101" t="inlineStr"/>
      <c r="I101" t="inlineStr">
        <is>
          <t>**Mission Driven, Community Focused** 
 About \| Charles R.Drew University of Medicine and Science (cdrewu.edu)
 Charles R. Drew University is located in the Watts\-Willowbrook area of south Los Angeles and was founded in 1966 in the wake of the Watts uprising. CDU was founded to address inadequate medical care in the region and to provide equitable medical education opportunities for under\-represented students.
 CDU offers the only historically black Doctor of Medicine program west of the Mississippi and is strongly invested in the local and regional community. The university leads multiple partnerships and programs to provide equitable healthcare resources in a variety of south Los Angeles neighborhoods.
**Job Summary**
 The Undergraduate Medical Education (UME) program manager is an essential team member within the Office of Medical Education that participates in an array of administrative oversight functions as leader of the Pre\-clerkship or Clerkship Curriculum team. Under the direction of the Director, Office of Medical Education, the UME manager will assist in all aspects of the Pre\-Clerkship or Clerkship curriculum.
**Office Of Medical Education Support**
* Collaborates the Director of the Office of Medical Education with managing pre\-clerkship or clerkship curricular activities and the designated team of pre\-clerkship or clerkship coordinators, ensuring that the medical degree (MD) program goals and objectives are accomplished.
* Oversees curriculum coordinators and ensure administrative support is provided to the Pre\-Clerkship or Clerkship Phase Subcommittee, which includes working with the designated subcommittee chair to schedule meetings, set meeting agenda, record meeting minutes, and manage meeting deliverables to submit to EPCC.
* Oversees the team of Pre\-Clerkship or Clerkship Coordinators to administer on\-boarding logistics for new students and liaises between the Coordinators and the Office of Medical Education and the Office of Medical Student Affairs and Admissions to coordinate preparation and delivery of their on\-boarding requirements at CDU College of Medicine and the Affiliated Clinical Sites.
* Oversees that the team of Pre\-Clerkship or Clerkship Coordinators maintain medical student profiles (including attendance, mid\-course or clerkship feedback, patient logs, workload, learning climate, examination results, grading) in centralized student management system.
* Support professional development efforts for the team of Pre\-Clerkship or Clerkship Coordinators, the designated Pre\-Clerkship or Clerkship Directors, Site Directors, Faculty and Administrative Staff.
* Participates in Medical Education workshops and committees of the AAMC and produces curriculum reports incompliance with AAMC and LCME policies.
 Lead Pre\-Clerkship Course or Clerkship Coordinator
* Provide oversight, supervision and training to course/clerkship coordinators and administrative staff supporting medical education directors of clinical education, biomedical science education and research education.
* Efficient preparation and communication of curricular information to course or clerkship coordinators, directors, content leaders, faculty, and students
* Oversight of medical school course or clerkship coordination – Oversees that their team of Course or clerkship coordinators prepare and disseminate course or clerkship materials and syllabi
* Oversight of medical school course or clerkship coordination – Scheduling of learning sessions including room reservations
* Oversight of medical school course or clerkship coordination – Timely management and maintenance of the on\-line course materials in the learning management system (LMS)
* Oversight of frontline coordinator contact and liaison between coordinators and students, faculty, and course co\-directors.
* Oversight of medical school course or clerkship coordination – Coordination of exam preparation and evaluation process for all course or clerkships with timely submission of results, grades and narratives on students to meet curricular deadlines, including coordination the proctoring of exams by the team of coordinators.
* Oversight of the coordinators’ attendance and participation in curricular committees and other curricular related meetings
* Oversight of the coordinators curricular projects and tasks as assigned by the Assistant and Senior Associate Dean \- The candidate must be able to multi\-task, with a strong focus on organization, be able to balance the needs of various roles, and be able to manage multiple priorities from a diverse set of coordinators and their directors.
**Essential Duties And Responsibilities**
**Communication**
* Maintains web\-based communication for courses: Course learning management system (LMS) updates, proofreading for grammar, spelling, and errors. Edits, facilitates, manages, and communicates group assignments and general course information. Instructs and assists faculty in the use of the LMS. Submits grades into student information system (SIS) and monitors SIS schedule.
* Assist with COM activities as directed by the Director of the Office of Medical Education.
**Assigned Task**
* Oversees that the team of Course of Clerkship Coordinators attend to Scheduling/Daily Schedules/Misc. Day\-to\-Day Functions of the Coordinators such as their ability to: Coordinate scheduling of sessions and multiple mandatory course requirements ensuring that all necessary facilities are reserved and operational for course sessions. Responsibility for assembling and distributing course materials including syllabi in multiple formats. Obtain and maintain knowledge base regarding educational space including location, capacity, audiovisual equipment availability, basic operation, and troubleshooting. Communicate with faculty and guests in advance to arrange for their needs. Troubleshoot as necessary to resolve time conflicts, room problems, and other logistical issues encountered by students or faculty.
* Providing overall administrative support to Course Directors: Administers to make sure the team of coordinators have the ability report to proper units/departments and students with updates to dates/locations/ academic material sent out as needed, arranging for facilities, maintenance of efficient filing system, when necessary, assistance with exams as well as facilitating evaluations, annual review preparation and participation, purchasing of supplies and services, overall organization, maintenance and scheduling of academic components or the curriculum courses.
* Oversees that the coordinators attend course\-related meetings attended by teaching faculty, staff or students including preparing materials, making all necessary arrangements for room reservations, set up/break down, and refreshments. On an ongoing basis, keep the course directors and administrators informed of academic performance issues or concerns. Front line contact with faculty, students, and departments, including handling routine office matters and special projects assigned by Course or Clerkship Directors, administrative director, director for foundational sciences and Undergraduate Medical Education office. Handle student and faculty academic and administrative concerns and grievances on a regular basis.
 STAFF LEVEL CORE COMPETENCIES
 Service
* Represents the university in a positive manner focusing on our core values which drive innovation and discovery, respect people, serve our community, value integrity, and embrace diversity and inclusion.
 Safety \&amp; Quality
* Contributes to the overall organization's process improvement activities. Demonstrates critical thinking skills in identifying and analyzing problems and recommending solutions.
* Promotes a culture of safety as it relates to identifying safety and security risks proactively and working to prevent injuries and harm to patients, visitors, or members of the university community. Observes the patient safety goals and commits to safe behavior and standards.
 People
* Demonstrated leadership ability and the communication skills to create an appropriate team environment among the coordinators they oversee.
* Demonstrates sensitivity to patient/family special needs, and the ability to address each patient's special needs (e.g. unique personal history, physical limitations, belief system, language, communication style, literacy, health status).
* Takes an active role in personal and professional development. Completes mandatory education requirements within designated time frame.
* Uses ethical principles to guide decisions and actions. Recognizes the value of each individual within a diverse and multicultural environment. Treats others with respect and dignity. Supports the university code of conduct and our mission, vision and values.
* Demonstrates/models effective communication skills when interacting with customers, visitors, patients and co\-workers. Gives and accepts constructive feedback to their team of coordinators. Welcomes and assists with orientation of new staff.
**Other Duties And Responsibilities**
* Performs other duties as assigned.
**Education**
* Minimum: Bachelor’s degree from a regionally accredited institution.
* Preferred: Master’s degree from a regionally accredited institution.
**Experience**
* Minimum: 1 year of managerial and/or senior administrative experience in a health care or higher education setting. At least 3 years of relevant work experience in a health care or higher education setting.
* Preferred: 2 years of managerial and/or senior administrative experience in a health care or higher education setting.
**Knowledge/Abilities/Skills**
* Excellent written/oral communication.
* Analytical and computer skills.
* Advanced skills in spreadsheets, databases and scheduling tools.
**Complexity**
* The ability to perform highly detailed work with sustained attention and care while providing/obtaining information on numerous inquiries is paramount to success in this position.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Occasional stooping. Frequent standing. Constant walking, sitting, climbing, reaching high/low levels, finger movement, feeling, speaking clearly, hearing conversationally, and seeing far and near.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Occasionally required to work in confined space.
**Mental Demands**
* The mental demands described here are representative of those that must be met by an employee to successfully perform the essential functions of this job. Reasonable accommodations may be made to enable individuals with disabilities to perform the essential functions.
* Frequent variety of unrelated tasks. Constant calculating, interrupted work, a variety of interrelated tasks, and use of sustained concentration, reasoning, judgment, resourcefulness, analytical ability, and ingenuity.
**Special Requirements**
* Ability to work effectively with a diverse community.
* COVID\-19 Vaccination: As a health professions institution of higher education, Charles R. Drew University of Medicine and Science seeks to protect the health and safety of the University community. As a condition of enrollment and employment, proof of the newest COVID\-19 booster will be required for CDU students, faculty, and staff entry to the CDU campus. Please note that vaccination requirements may change as our Federal, State, and local public health laws change. Requests for disability and religious accommodations from faculty and staff will be evaluated consistent with the law and University policies and procedures.
* On\-site position.
**Compensation**
* $70,000\.00\-$85,000\.00
**Position Status**
* Full Time
**EEO Statement:** 
 Charles R. Drew University is committed to Equal Employment Opportunity. Applicants will be considered without regard to gender, race, age, color, religion, national origin, sexual orientation, genetic information, marital status, disability or covered veteran status.
**Fair Chance Statement:** 
 Charles R. Drew University of Medicine and Science will consider qualified applicants, including those with criminal histories, in a manner consistent with state and local “Fair Chance” laws.
 As a health professions institution of higher education, Charles R. Drew University of Medicine and Science seeks to protect the health and safety of the University community. As a condition of enrollment and employment, students, faculty, and staff must comply with the current CDU Covid\-19 requirements as described on the CDU Covid\-19 webpage. Please visit the CDU Return to Camp</t>
        </is>
      </c>
    </row>
    <row r="102">
      <c r="A102" t="inlineStr">
        <is>
          <t>li-4361636585</t>
        </is>
      </c>
      <c r="B102" t="inlineStr">
        <is>
          <t>Deputy Program Manager - Nuclear Weapons Programs</t>
        </is>
      </c>
      <c r="C102" t="inlineStr">
        <is>
          <t>Kansas City National Security Campus</t>
        </is>
      </c>
      <c r="D102" t="inlineStr">
        <is>
          <t>linkedin</t>
        </is>
      </c>
      <c r="E102">
        <f>HYPERLINK("https://www.linkedin.com/jobs/view/4361636585", "https://www.linkedin.com/jobs/view/4361636585")</f>
        <v/>
      </c>
      <c r="F102" t="inlineStr"/>
      <c r="G102" t="inlineStr">
        <is>
          <t>Kansas City, MO</t>
        </is>
      </c>
      <c r="H102" t="inlineStr"/>
      <c r="I102" t="inlineStr">
        <is>
          <t>**Join the industry leader to design the next generation of breakthroughs.
 Innovate to solve the world's most important challenges.**
 Honeywell is a Fortune 100 company that invents and manufactures technologies to address critical challenges linked to global macrotrends such as safety, security, productivity, global urbanization and energy. With approximately 100,000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**Summary**
 Leads moderately to significantly complex program management functions on assigned program elements and/or strategic business process es. Acts as primary point of contact for one or more program elements supporting specific weapon, product/service, or reimbursable programs. Represents Program Management function for assigned program elements to internal and external stakeholders.
****Duties and Responsibilities****
* Evaluates, determines, and drives program management activities to manage one or more moderate to significantly complex weapons program elements.
* Provides expertise to review and drive execution of innovative solutions to technical issues.
* Applies program management and financial standard to the development of cost and schedule framework for projects and program elements; intervenes as necessary to ensure delivery to cost and schedule agreements.
* Provides primary support and guidance to the financial planning, monitoring, scheduling, preparation, and release of technical/schedule information required for program/project planning.
* Defines and establishes production/project definitions, maintenance of schedules, and engineering releases associated with assigned program elements for a weapon or reimbursable program.
* Performs some technical, administrative, and logistical liaison roles with company, Department of Energy, design agencies, laboratories, integrated contractors, and other government agencies for one or more weapons and growth programs. May function as point of contact for one or more elements.
* Builds and maintains collaborative relationships with other internal business units and external customers.
* Guides and mentors Associate Program Managers and other program support staff.
****You Must Have****
* Bachelors Degree required.
* 5\+ years of relevant experience in engineering, business, or program management.
* Ability to travel up to 25% of the time.
* Ability to work remote, hybrid, or on\-site as directed by management and is determined by the needs of the business.
* Regular and reliable attendance is an essential function of this job.
* United States Citizenship.
* Ability to obtain and maintain, if required for position, a U.S. Department of Energy (DOE) security clearance (some positions require additional DOE designations).
****We Value****
* Bachelors degree is Business or Engineering \- STEM preferred
* NWP exerience in Navy systems
* Ability to integrate concepts and information with program management systems and processes
* Ability to provide project management guidance, consultative services, and innovative solutions
* Working knowledge of business concepts principles associated with project cost and forecasting
* Effective communication, interactive and presentation skills
* Established knowledge of customers, products, technologies, processes and PMI certification preferred
 This job description/job posting is not all inclusive and other duties may be assigned.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**If you require a reasonable accommodation to submit an application, please send an email to our Reasonable Accommodation Support Team at**
 To learn more about our benefits and culture follow the link below:
**Additional Information**
* Job ID: 3908
* Category: Business Management
* Level of Experience:
* Posting Location: Kansas City National Security Campus 14520 Botts Road Kansas City, MO, 64147
* Remote Eligibility: Hybrid
* Travel Required: 0\-10%
* Approved Work States: KS; MO
* Hourly/Salary: Salary</t>
        </is>
      </c>
    </row>
    <row r="103">
      <c r="A103" t="inlineStr">
        <is>
          <t>li-4362353246</t>
        </is>
      </c>
      <c r="B103" t="inlineStr">
        <is>
          <t>Sr. Staff Program Manager, Commissioning and Qualification</t>
        </is>
      </c>
      <c r="C103" t="inlineStr">
        <is>
          <t>Thermo Fisher Scientific</t>
        </is>
      </c>
      <c r="D103" t="inlineStr">
        <is>
          <t>linkedin</t>
        </is>
      </c>
      <c r="E103">
        <f>HYPERLINK("https://www.linkedin.com/jobs/view/4362353246", "https://www.linkedin.com/jobs/view/4362353246")</f>
        <v/>
      </c>
      <c r="F103" t="inlineStr"/>
      <c r="G103" t="inlineStr">
        <is>
          <t>Cambridge, MA</t>
        </is>
      </c>
      <c r="H103" t="inlineStr"/>
      <c r="I103" t="inlineStr">
        <is>
          <t>**Work Schedule**
 Standard (Mon\-Fri)
**Environmental Conditions**
 Office
**Job Description**
 As part of the Thermo Fisher Scientific team, you'll discover meaningful work that makes a positive impact on a global scale. Join our colleagues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**Position Summary**
 As a Sr. Staff Program Manager, you will engage with and support the sites within the PSG network. We are seeking a professional with in\-depth knowledge of the commissioning, qualification and validation lifecycle. As part of the PSG global engineering team, this remote role provides CQV oversight to PSG sites having significant effect on the organization, complex site(s) and projects. The Sr. Staff Program Manager will have good knowledge of manufacturing processes and equipment, regulations, quality management principles, and Facilities, Utilities, and Equipment (FUE) Qualification requirements to be effective in the conduct of responsibilities. The incumbent will be viewed as a subject matter expert for commissioning and qualification programs, regulations, and requirements.
**Key Responsibilities**
* Ensuring site adherence to global validation policies and procedures
* High level support for Capital Project validation within the network
* Provide support for regulatory/customer audits, documents and engagements as needed to foster successful business outcomes
* Support sites as needed with pre\-inspection readiness within CQV space
* Commissioning, Qualification and Validation SME
**Qualifications And Requirements**
 Education
* Bachelor's Degree in Engineering or related field.
*In some cases an equivalency, consisting of a combination of appropriate education, training, and/or directly related experience, will be considered sufficient for an individual to meet the requirements of the role.*
**Experience**
* 10\+ years of related experience in the Pharmaceutical or related industry including experience in validation, engineering, operations, program and project management
* Extensive knowledge of full validation lifecycle requirements for Steriles Manufacturing, Biologics, Clean Utilities and Support Services.
* Audit experience strongly preferred
**Knowledge, Skills And Abilities**
* Advanced knowledge of CQV for pharmaceutical equipment and systems (e.g Filling lines, Isolators, Autoclaves, Lyophilizers, Single Use Bioreactors and Mixers, WFI, Clean Steam, Process Gases, and ancillary equipment)
* Proven track record leading medium to large\-scale capital projects through commissioning and qualification
* Advanced knowledge of applicable regulatory requirements (FDA, EMA, WHO, Annex 15, ISO, etc.) related to commissioning, qualification and validation
* Strong analytical and problem\-solving capabilities
* Strong communication and presentation skills at all organizational levels
* Experience with risk management and mitigation strategies
* Ability to lead and influence in a matrix and global environment effectively
* Willingness to travel up to 20% as required, domestic/international
* Working knowledge of deviation and quality record platform (i.e. TrackWise)
* Ability to manage multiple high\-priority initiatives simultaneously
 Experience qualifying systems using Kneat or other paperless validation tools is highly preferred.
* Experience working with global, geographically dispersed teams
**Compensation And Benefits**
 The salary range estimated for this position based in Massachusetts is $150,000\.00\-$170,000\.00\.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104">
      <c r="A104" t="inlineStr">
        <is>
          <t>li-4362402894</t>
        </is>
      </c>
      <c r="B104" t="inlineStr">
        <is>
          <t>Sr. Staff Program Manager, Commissioning and Qualification</t>
        </is>
      </c>
      <c r="C104" t="inlineStr">
        <is>
          <t>Thermo Fisher Scientific</t>
        </is>
      </c>
      <c r="D104" t="inlineStr">
        <is>
          <t>linkedin</t>
        </is>
      </c>
      <c r="E104">
        <f>HYPERLINK("https://www.linkedin.com/jobs/view/4362402894", "https://www.linkedin.com/jobs/view/4362402894")</f>
        <v/>
      </c>
      <c r="F104">
        <f>HYPERLINK("https://www.businessworkforce.com/job.asp?id=3127781053&amp;aff=52EFF1C4-FB9D-4BBB-9F72-E231CF9CFD29&amp;urlHash=xieU", "https://www.businessworkforce.com/job.asp?id=3127781053&amp;aff=52EFF1C4-FB9D-4BBB-9F72-E231CF9CFD29&amp;urlHash=xieU")</f>
        <v/>
      </c>
      <c r="G104" t="inlineStr">
        <is>
          <t>Wilmington, NC</t>
        </is>
      </c>
      <c r="H104" t="inlineStr"/>
      <c r="I104" t="inlineStr">
        <is>
          <t>**Work Schedule**
 Standard (Mon\-Fri)
**Environmental Conditions**
 Office
**Job Description**
 As part of the Thermo Fisher Scientific team, you'll discover meaningful work that makes a positive impact on a global scale. Join our colleagues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**Position Summary**
 As a Sr. Staff Program Manager, you will engage with and support the sites within the PSG network. We are seeking a professional with in\-depth knowledge of the commissioning, qualification and validation lifecycle. As part of the PSG global engineering team, this remote role provides CQV oversight to PSG sites having significant effect on the organization, complex site(s) and projects. The Sr. Staff Program Manager will have good knowledge of manufacturing processes and equipment, regulations, quality management principles, and Facilities, Utilities, and Equipment (FUE) Qualification requirements to be effective in the conduct of responsibilities. The incumbent will be viewed as a subject matter expert for commissioning and qualification programs, regulations, and requirements.
**Key Responsibilities**
* Ensuring site adherence to global validation policies and procedures
* High level support for Capital Project validation within the network
* Provide support for regulatory/customer audits, documents and engagements as needed to foster successful business outcomes
* Support sites as needed with pre\-inspection readiness within CQV space
* Commissioning, Qualification and Validation SME
**Qualifications And Requirements**
 Education
* Bachelor's Degree in Engineering or related field.
*In some cases an equivalency, consisting of a combination of appropriate education, training, and/or directly related experience, will be considered sufficient for an individual to meet the requirements of the role.*
**Experience**
* 10\+ years of related experience in the Pharmaceutical or related industry including experience in validation, engineering, operations, program and project management
* Extensive knowledge of full validation lifecycle requirements for Steriles Manufacturing, Biologics, Clean Utilities and Support Services.
* Audit experience strongly preferred
**Knowledge, Skills And Abilities**
* Advanced knowledge of CQV for pharmaceutical equipment and systems (e.g Filling lines, Isolators, Autoclaves, Lyophilizers, Single Use Bioreactors and Mixers, WFI, Clean Steam, Process Gases, and ancillary equipment)
* Proven track record leading medium to large\-scale capital projects through commissioning and qualification
* Advanced knowledge of applicable regulatory requirements (FDA, EMA, WHO, Annex 15, ISO, etc.) related to commissioning, qualification and validation
* Strong analytical and problem\-solving capabilities
* Strong communication and presentation skills at all organizational levels
* Experience with risk management and mitigation strategies
* Ability to lead and influence in a matrix and global environment effectively
* Willingness to travel up to 20% as required, domestic/international
* Working knowledge of deviation and quality record platform (i.e. TrackWise)
* Ability to manage multiple high\-priority initiatives simultaneously
 Experience qualifying systems using Kneat or other paperless validation tools is highly preferred.
* Experience working with global, geographically dispersed teams
**Compensation And Benefits**
 The salary range estimated for this position based in Massachusetts is $150,000\.00\-$170,000\.00\.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105">
      <c r="A105" t="inlineStr">
        <is>
          <t>li-4353011600</t>
        </is>
      </c>
      <c r="B105" t="inlineStr">
        <is>
          <t>Residential Program Manager (Group Homes)</t>
        </is>
      </c>
      <c r="C105" t="inlineStr">
        <is>
          <t>Waystone HHS</t>
        </is>
      </c>
      <c r="D105" t="inlineStr">
        <is>
          <t>linkedin</t>
        </is>
      </c>
      <c r="E105">
        <f>HYPERLINK("https://www.linkedin.com/jobs/view/4353011600", "https://www.linkedin.com/jobs/view/4353011600")</f>
        <v/>
      </c>
      <c r="F105" t="inlineStr"/>
      <c r="G105" t="inlineStr">
        <is>
          <t>Lawrence, MA</t>
        </is>
      </c>
      <c r="H105" t="inlineStr"/>
      <c r="I105" t="inlineStr">
        <is>
          <t>As our Residential Program Manager, you will manage all aspects of the group home. The house consists of four to eight Individuals, ages 22 and up, with intellectual and developmental disabilities. You will develop Individual Support Plans (ISPs) and work with your team of direct care professionals to increase each person’s level of independence and sense of belonging.
**Location:** 
 Lawrence, Methuen \&amp; Salisbury MA (Group homes)
**Schedule:** 
 Monday \- Friday 9:00am \- 5:00pm.
*In this role you will overseeing 24/7 operations of the home and have on\-call responsibilities. Flexibility is need for evening, weekend and holiday coverage.*
**Compensation range:** 
 This is a 40\-hour exempt, full\-time position. The annual salary range for this role is $46,800 \- $52,264, based on experience and qualifications.
 *This position is benefit eligible as of date of hire.*
**Why join the Waystone Team?**
* Health, Dental, and Vision insurance, eligible to enroll on your first day!
* Comprehensive Wellness program
* Flexible Spending Accounts
* Retirement Savings Plan (401k/Roth) with employer match
* 2 weeks vacation
* 12 Holidays
* 3 Personal Days
* 9 Sick days
* DEIB Committee with monthly speaker series/events
* Ongoing professional development with opportunities for CEU’s
* Employee Appreciation Events
* Room for growth within Waystone
* Tuition reimbursement
* Employee referral bonuses
* Employee of the month bonus
**Job Responsibilities**
* Hire, train and coach staff, ensure all program staff training requirements are met and maintained. Provide ongoing supervision, feedback, and performance support to team members.
* Develop and implement Individual Support Plans for each person served in collaboration with the clinical team. Train and monitor staff to ensure consistent, high\-quality care.
* Ensure quality health care for each individual \- Promote a healthy lifestyle within the home. Ensure timely scheduling and completion of all routine and follow\-up medical appointments. Monitor that all medical and clinical recommendations are followed by all staff. Collaborate with all service providers; Nurses, Clinicians and Day Programming to meet behavioral and medical needs.
* Build and maintain positive relationships with family members and guardians. Communicate proactively and professionally regarding individual care. Coordinate and prepare for family and team meetings as needed. Train staff in best practices for working with families.
* Ensure records are updated as required (medication lists, doctor’s orders and medical documentation). Oversee medication orders and administration through daily and weekly checks.
* Provide emergency and on\-call coverage as needed. Respond to incidents, manage call\-outs, schedule per diem staff, complete on\-call reports, and provide shift coverage if necessary.
**Qualifications**
* Bachelor's degree in Human Services or a related field may substitute for required experience.
 Or
 High School Diploma or GED with at least three years’ experience working with Intellectual/ Developmental Disabilities.
* Supervisory and administrative experience in a residential or human services setting with a proven ability to foster a supportive and collaborative environment for staff and Individuals.
* Candidates must be able to read, write, and comprehend English to accurately follow the Individual Service Plan (ISP), document services provided, and communicate effectively with individuals, families, and healthcare professionals.
* Strong organizational and multitasking abilities; skilled in problem\-solving
* MAP (Medication Administration Program) Certification; training is offered by Waystone to acquire certification within 6 months of employment
* CPR/First Aid; training is offered by Waystone to acquire certification within 3 months of employment
* Valid driver’s license in good standing with at least one year of driving experience. Must be able to drive and train staff on the use of wheelchair\-accessible vans.
* Proficiency with Microsoft Office and general computer literacy, including experience with data management systems and recordkeeping platforms, such as HCSIS, Ehana, and Relias.
 Waystone Health \&amp; Human Services is a 501c3, nonprofit, human services organization supporting youth and adults with intellectual, developmental, and physical disabilities; acquired brain injuries; and mental health diagnoses. Our services are provided to more than 1,700 people annually in cities and towns across the Merrimack Valley, Greater Lowell, North Shore, and southern New Hampshire. Our mission is to partner with people who are diverse in age, ability, and cultural background throughout their personal, work, and life journeys.
*Waystone Health and Human Services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a { text\-decoration: none; color: \#464feb; } tr th, tr td { border: 1px solid \#e6e6e6; } tr th { background\-color: \#f5f5f5; }</t>
        </is>
      </c>
    </row>
    <row r="106">
      <c r="A106" t="inlineStr">
        <is>
          <t>li-4341284058</t>
        </is>
      </c>
      <c r="B106" t="inlineStr">
        <is>
          <t>Associate, AI Product Manager | Consumer Team</t>
        </is>
      </c>
      <c r="C106" t="inlineStr">
        <is>
          <t>Red Ventures</t>
        </is>
      </c>
      <c r="D106" t="inlineStr">
        <is>
          <t>linkedin</t>
        </is>
      </c>
      <c r="E106">
        <f>HYPERLINK("https://www.linkedin.com/jobs/view/4341284058", "https://www.linkedin.com/jobs/view/4341284058")</f>
        <v/>
      </c>
      <c r="F106">
        <f>HYPERLINK("https://www.redventures.com/careers/positions/open?gh_jid=7349192&amp;gh_src=c7157de41us&amp;urlHash=q7Wo", "https://www.redventures.com/careers/positions/open?gh_jid=7349192&amp;gh_src=c7157de41us&amp;urlHash=q7Wo")</f>
        <v/>
      </c>
      <c r="G106" t="inlineStr">
        <is>
          <t>Charlotte, NC</t>
        </is>
      </c>
      <c r="H106" t="inlineStr"/>
      <c r="I106" t="inlineStr">
        <is>
          <t>***This role is not open to visa sponsorship or transfer of visa sponsorship including those on H1\-B, F\-1, OPT, STEM\-OPT, or TN visa, nor is it available to work corp\-to\-corp.***
***This role requires a hybrid schedule and will be based in our South Charlotte, NC Headquarters (Tuesday through Thursday) and work fully remotely on Mondays and Fridays each week.***
 Red Ventures Home empowers partners through a unique blend of high\-scale proprietary distribution, data models, AI\-enabled applications, and strategic client partnerships. We help our clients unlock significant and sustainable growth across the home services ecosystem, ranging from telecom and security to energy and home automation.
 We are looking to hire an Associate AI Product Manager to join our Home Client Services division. This product team is responsible for transforming organizations’ customer acquisition, retention and business operations through applications in AI \&amp; ML. In this role, you’ll help tailor, optimize, and scale data science solutions to solve specific partner and customer challenges, ensuring our technology delivers measurable value in the marketplace. An example project includes building and deploying real\-time technology, powered by generative AI, to assist our sales professionals.
 You will play a pivotal role in bridging the gap between complex data science initiatives and impactful product solutions to create value for both our business and our customers. As an Associate, you will be\-hands on technical, both in leveraging the AI/ML solutions to drive value and in assisting in point solutions that augment the product you’re working on. We are looking for 1\+ years of hands\-on data science / advanced analytics experience or product management on an AI/ML consumer\-facing application.
**What You'll Do**
* Identify opportunities: Responsible for identifying opportunities to increase the impact of your product through deep understanding of the problem space, thorough comprehension of the product strategy and technology, and advanced statistical analysis. Effectively communicating recommendations to your product leads to create buy\-in and action
* Translate insights into execution: Translate your recommendations into clear work streams and features that contribute to the product roadmap. Collaborate with Data Science, Design, and Engineering teams to turn objectives into detailed requirements with assistance from your product lead
* Execute technical workstreams: Leverage algorithms and programming tools to execute relevant technical workstreams. This includes building items such as:
+ Data pipelines to gather, manipulate, prepare, and visualize large datasets
+ Machine learning models for offline and proof\-of\-concept use cases
+ LLM workflows to automate tasks or for reasoning capabilities for specific features in your product
* End to end ownership of experiments: Assist in deploying features aimed at improving core KPIs. Conduct analyses to assess the impact of the experiments, synthesizing and owning the narrative
* Stay ahead of the curve: Research advancements in machine learning and generative AI to identify innovative ways to solve business challenges
**Who You Are**
* Analytical thinker: Strong analytical and critical thinking skills. Can connect the dots between the business problem, the approach, the data, and the relevant recommendation
* Resilient learner: Strong grit and learning mentality when faced with challenging projects, unfamiliar technology, and ambiguous business problems. You take a proactive approach to overcoming obstacles
* Creative problem solver: An entrepreneurial mindset and a strong business acumen with an interest in solving business and customer problems to create impact
* Technically fluent: You have a strong technical and data foundation that enables you to communicate effectively with data scientists, understand relevant algorithms, and explain technical concepts to non\-technical stakeholders
**Experiences You’ve Had**
* Real\-world product experience: Experience working on a product—whether as a product manager, product analyst, or data scientist.
* Data\-driven problem solving: Demonstrated ability to root cause problems through a data\-driven approach, synthesizing takeaways and effectively communicating recommendations to relevant audiences
* Applied ML/AI: Hands\-on application of machine learning and/or generative AI to a relevant problem through statistical programming languages or large language models (e.g., Python, R, GPT5, Claude). Thorough knowledge in statistics and machine learning techniques
**Analytical self\-sufficiency:** 
 Demonstrated ability to collect, mine, and manipulate large data from disparate data sources, with an ability to dig deep and understand the process (e.g., SQL, Pandas, Tableau)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$95,000 \- $125,000 per year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2026-01-14T17:07:42Z</dcterms:created>
  <dcterms:modified xsi:type="dcterms:W3CDTF">2026-01-14T17:07:42Z</dcterms:modified>
</cp:coreProperties>
</file>