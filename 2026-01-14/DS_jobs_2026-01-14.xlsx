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in-6fb9663816d6057e</t>
        </is>
      </c>
      <c r="B2" t="inlineStr">
        <is>
          <t>Principal Data Scientist</t>
        </is>
      </c>
      <c r="C2" t="inlineStr">
        <is>
          <t>Microsoft</t>
        </is>
      </c>
      <c r="D2" t="inlineStr">
        <is>
          <t>indeed</t>
        </is>
      </c>
      <c r="E2">
        <f>HYPERLINK("https://www.indeed.com/viewjob?jk=6fb9663816d6057e", "https://www.indeed.com/viewjob?jk=6fb9663816d6057e")</f>
        <v/>
      </c>
      <c r="F2">
        <f>HYPERLINK("https://apply.careers.microsoft.com/careers/job/1970393556668206?utm_source=indeed&amp;domain=microsoft.com", "https://apply.careers.microsoft.com/careers/job/1970393556668206?utm_source=indeed&amp;domain=microsoft.com")</f>
        <v/>
      </c>
      <c r="G2" t="inlineStr">
        <is>
          <t>Redmond, WA, US</t>
        </is>
      </c>
      <c r="H2" s="2" t="n">
        <v>46034</v>
      </c>
      <c r="I2" t="inlineStr">
        <is>
          <t>**Overview**  
Do you enjoy solving problems, looking at problems through a different lens, and working closely with customers to innovate new solutions to complex problems? Do you jump with excitement at the opportunity to identify trends and provide unique business solutions? Do you want to join a team where learning about a new technology or solution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We are hiring a **Principal Data Scientist** to help drive high\-impact engineering projects with our customers and their partners, transforming their missions using AI and other cloud\-based solutions and services. Data scientists have data management and expertise in developing statistical techniques to analyze data and find patterns. You will be part of a cross\-functional team of software engineers, data scientists, technical program managers, and designers who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oversee data acquisition and ensure data is properly formatted and described. You’ll also coach engineers in data cleaning and analysis best practices, identify gaps in current data sets, and drive ethics and privacy discussions around data collection and preparation.
* You will evaluate your team’s models and recommend improvements as necessary, drive best practices for models, and develop operational models that run at scale. You’ll also conduct thorough reviews of data analysis and modeling techniques, and identify and invent new evaluation methods.
* You will research and maintain a deep knowledge of the industry, including trends and technologies, so that you can identify strategy opportunities and contribute to thought leadership best practices. You’ll also write extensible code that spans multiple features, and develop expertise in proper debugging techniques.
* You will define business, customer, and solution strategy goals, and partner with other teams to identify and explore new opportunities. You’ll also commit to a customer\-oriented focus by acknowledging their needs, and offer customer pragmatic solutions that align with their data capabilities.
* You will embody our culture and values.
 **Qualifications**  
**Required/minimum qualifications*** Doctorate in Data Science, Mathematics, Statistics, Econometrics, Economics, Operations Research, Computer Science, or related field AND 5\+ years data\-science experience (e.g., managing structured and unstructured data, applying statistical techniques and reporting results) OR Master's Degree in Data Science, Mathematics, Statistics, Econometrics, Economics, Operations Research, Computer Science, or related field AND 7\+ years data\-science experience (e.g., managing structured and unstructured data, applying statistical techniques and reporting results) OR Bachelor's Degree in Data Science, Mathematics, Statistics, Econometrics, Economics, Operations Research, Computer Science, or related field AND 10\+ years data science experience (e.g., managing structured and unstructured data, applying statistical techniques and reporting results) OR equivalent experience.
**Other Requirements**
* This position is not eligible for visa sponsorship. Candidates must have authorization to work in the United States that does not now or in the future require employer sponsorship.
**Additional or preferred qualifications*** Doctorate in Data Science, Mathematics, Statistics, Econometrics, Economics, Operations Research, Computer Science, or related field AND 8\+ years data\-science experience (e.g., managing structured and unstructured data, applying statistical techniques and reporting results) OR Master's Degree in Data Science, Mathematics, Statistics, Econometrics, Economics, Operations Research, Computer Science, or related field AND 10\+ years data\-science experience (e.g., managing structured and unstructured data, applying statistical techniques and reporting results) OR Bachelor's Degree in Data Science, Mathematics, Statistics, Econometrics, Economics, Operations Research, Computer Science, or related field AND 12\+ years data\-science experience (e.g., managing structured and unstructured data, applying statistical techniques and reporting results) OR equivalent experience.
* 3\+ years customer\-facing, project\-delivery experience, professional services, and/or consulting experience.
\#ISEngineering
\#WSS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
      <c r="A3" t="inlineStr">
        <is>
          <t>in-0116b1162f9ddc73</t>
        </is>
      </c>
      <c r="B3" t="inlineStr">
        <is>
          <t>Senior Data Scientist</t>
        </is>
      </c>
      <c r="C3" t="inlineStr">
        <is>
          <t>Microsoft</t>
        </is>
      </c>
      <c r="D3" t="inlineStr">
        <is>
          <t>indeed</t>
        </is>
      </c>
      <c r="E3">
        <f>HYPERLINK("https://www.indeed.com/viewjob?jk=0116b1162f9ddc73", "https://www.indeed.com/viewjob?jk=0116b1162f9ddc73")</f>
        <v/>
      </c>
      <c r="F3">
        <f>HYPERLINK("https://apply.careers.microsoft.com/careers/job/1970393556641469?utm_source=indeed&amp;domain=microsoft.com", "https://apply.careers.microsoft.com/careers/job/1970393556641469?utm_source=indeed&amp;domain=microsoft.com")</f>
        <v/>
      </c>
      <c r="G3" t="inlineStr">
        <is>
          <t>Boston, MA, US</t>
        </is>
      </c>
      <c r="H3" s="2" t="n">
        <v>46000</v>
      </c>
      <c r="I3" t="inlineStr">
        <is>
          <t>**Overview**  
Do you enjoy solving problems, looking at problems through a different lens, and working closely with customers to innovate new solutions to complex problems? Do you jump with excitement at the opportunity to identify trends and provide unique business solutions? Do you want to join a team where learning about a new technology or solution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We are hiring a **Senior Data Scientist** to help drive high\-impact engineering projects with our customers and their partners, transforming their missions using AI and other cloud\-based solutions and services. Data scientists have data management and expertise in developing statistical techniques to analyze data and find patterns. You will be part of a cross\-functional team of software engineers, data scientists, technical program managers, and designers who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acquire the data necessary for your project plan and develop usable data sets for modeling. You’ll also update internal best practices for data collection and preparation, and contribute to data integrity conversations with customers.
* You will evaluate your team’s models and recommend improvements as necessary, drive best practices for models, and develop operational models that run at scale. You’ll also conduct thorough reviews of data analysis and modeling techniques, and identify and invent new evaluation methods.
* You will research and maintain a deep knowledge of the industry, including trends and technologies, so that you can identify strategy opportunities and contribute to thought leadership best practices. You’ll also write extensible code that spans multiple features, and develop expertise in proper debugging techniques.
* You will define business, customer, and solution strategy goals, and partner with other teams to identify and explore new opportunities. You’ll also apply a customer\-oriented focus to understand their needs, and help drive realistic customer expectations.
* You will embody our culture and values.
 **Qualifications**  
**Required/minimum qualifications***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**Other Requirements**
* Microsoft is unable to sponsor a work visa for this role due to the nature of the role’s job duties.
**Additional or preferred qualifications*** Doctorate in Data Science, Mathematics, Statistics, Econometrics, Economics, Operations Research, Computer Science, or related field AND 3\+ years data\-science experience (e.g., managing structured and unstructured data, applying statistical techniques and reporting results) OR Master's Degree in Data Science, Mathematics, Statistics, Econometrics, Economics, Operations Research, Computer Science, or related field AND 5\+ years data\-science experience (e.g., managing structured and unstructured data, applying statistical techniques and reporting results) OR Bachelor's Degree in Data Science, Mathematics, Statistics, Econometrics, Economics, Operations Research, Computer Science, or related field AND 7\+ years data\-science experience (e.g., managing structured and unstructured data, applying statistical techniques and reporting results) OR equivalent experience.
* 2\+ years customer\-facing, project\-delivery experience, professional services, and/or consulting experience.
\#ISEngineering
\#WSS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
      <c r="A4" t="inlineStr">
        <is>
          <t>in-3f8de2001e074ca8</t>
        </is>
      </c>
      <c r="B4" t="inlineStr">
        <is>
          <t>Principal Data Scientist</t>
        </is>
      </c>
      <c r="C4" t="inlineStr">
        <is>
          <t>Microsoft</t>
        </is>
      </c>
      <c r="D4" t="inlineStr">
        <is>
          <t>indeed</t>
        </is>
      </c>
      <c r="E4">
        <f>HYPERLINK("https://www.indeed.com/viewjob?jk=3f8de2001e074ca8", "https://www.indeed.com/viewjob?jk=3f8de2001e074ca8")</f>
        <v/>
      </c>
      <c r="F4">
        <f>HYPERLINK("https://apply.careers.microsoft.com/careers/job/1970393556641467?utm_source=indeed&amp;domain=microsoft.com", "https://apply.careers.microsoft.com/careers/job/1970393556641467?utm_source=indeed&amp;domain=microsoft.com")</f>
        <v/>
      </c>
      <c r="G4" t="inlineStr">
        <is>
          <t>Boston, MA, US</t>
        </is>
      </c>
      <c r="H4" s="2" t="n">
        <v>46000</v>
      </c>
      <c r="I4" t="inlineStr">
        <is>
          <t>**Overview**  
Do you enjoy solving problems, looking at problems through a different lens, and working closely with customers to innovate new solutions to complex problems? Do you jump with excitement at the opportunity to identify trends and provide unique business solutions? Do you want to join a team where learning about a new technology or solution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We are hiring a **Principal Data Scientist** to help drive high\-impact engineering projects with our customers and their partners, transforming their missions using AI and other cloud\-based solutions and services. Data scientists have data management and expertise in developing statistical techniques to analyze data and find patterns. You will be part of a cross\-functional team of software engineers, data scientists, technical program managers, and designers who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oversee data acquisition and ensure data is properly formatted and described. You’ll also coach engineers in data cleaning and analysis best practices, identify gaps in current data sets, and drive ethics and privacy discussions around data collection and preparation.
* You will evaluate your team’s models and recommend improvements as necessary, drive best practices for models, and develop operational models that run at scale. You’ll also conduct thorough reviews of data analysis and modeling techniques, and identify and invent new evaluation methods.
* You will research and maintain a deep knowledge of the industry, including trends and technologies, so that you can identify strategy opportunities and contribute to thought leadership best practices. You’ll also write extensible code that spans multiple features, and develop expertise in proper debugging techniques.
* You will define business, customer, and solution strategy goals, and partner with other teams to identify and explore new opportunities. You’ll also commit to a customer\-oriented focus by acknowledging their needs, and offer customer pragmatic solutions that align with their data capabilities.
* You will embody our culture and values.
 **Qualifications**  
**Required/minimum qualifications*** Doctorate in Data Science, Mathematics, Statistics, Econometrics, Economics, Operations Research, Computer Science, or related field AND 5\+ years data\-science experience (e.g., managing structured and unstructured data, applying statistical techniques and reporting results) OR Master's Degree in Data Science, Mathematics, Statistics, Econometrics, Economics, Operations Research, Computer Science, or related field AND 7\+ years data\-science experience (e.g., managing structured and unstructured data, applying statistical techniques and reporting results) OR Bachelor's Degree in Data Science, Mathematics, Statistics, Econometrics, Economics, Operations Research, Computer Science, or related field AND 10\+ years data science experience (e.g., managing structured and unstructured data, applying statistical techniques and reporting results) OR equivalent experience.
**Other Requirements**
* Microsoft is unable to sponsor a work visa for this role due to the nature of the role’s job duties.
**Additional or preferred qualifications*** Doctorate in Data Science, Mathematics, Statistics, Econometrics, Economics, Operations Research, Computer Science, or related field AND 8\+ years data\-science experience (e.g., managing structured and unstructured data, applying statistical techniques and reporting results) OR Master's Degree in Data Science, Mathematics, Statistics, Econometrics, Economics, Operations Research, Computer Science, or related field AND 10\+ years data\-science experience (e.g., managing structured and unstructured data, applying statistical techniques and reporting results) OR Bachelor's Degree in Data Science, Mathematics, Statistics, Econometrics, Economics, Operations Research, Computer Science, or related field AND 12\+ years data\-science experience (e.g., managing structured and unstructured data, applying statistical techniques and reporting results) OR equivalent experience.
* 3\+ years customer\-facing, project\-delivery experience, professional services, and/or consulting experience.
\#ISEngineering
\#WSS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
      <c r="A5" t="inlineStr">
        <is>
          <t>in-324f738088eeeed2</t>
        </is>
      </c>
      <c r="B5" t="inlineStr">
        <is>
          <t>Applied Scientist II, Prime Video - Personalization and Discovery Science, Personalization and Discovery Science</t>
        </is>
      </c>
      <c r="C5" t="inlineStr">
        <is>
          <t>Amazon.com</t>
        </is>
      </c>
      <c r="D5" t="inlineStr">
        <is>
          <t>indeed</t>
        </is>
      </c>
      <c r="E5">
        <f>HYPERLINK("https://www.indeed.com/viewjob?jk=324f738088eeeed2", "https://www.indeed.com/viewjob?jk=324f738088eeeed2")</f>
        <v/>
      </c>
      <c r="F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5" t="inlineStr">
        <is>
          <t>Sunnyvale, CA,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in-1a862fb96094ebe7</t>
        </is>
      </c>
      <c r="B6" t="inlineStr">
        <is>
          <t>Applied Scientist II, Prime Video - Personalization and Discovery Science, Personalization and Discovery Science</t>
        </is>
      </c>
      <c r="C6" t="inlineStr">
        <is>
          <t>Amazon.com</t>
        </is>
      </c>
      <c r="D6" t="inlineStr">
        <is>
          <t>indeed</t>
        </is>
      </c>
      <c r="E6">
        <f>HYPERLINK("https://www.indeed.com/viewjob?jk=1a862fb96094ebe7", "https://www.indeed.com/viewjob?jk=1a862fb96094ebe7")</f>
        <v/>
      </c>
      <c r="F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6" t="inlineStr">
        <is>
          <t>Seattle, WA,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in-293e849988e51d78</t>
        </is>
      </c>
      <c r="B7" t="inlineStr">
        <is>
          <t>Applied Scientist II, Prime Video - Personalization and Discovery Science, Personalization and Discovery Science</t>
        </is>
      </c>
      <c r="C7" t="inlineStr">
        <is>
          <t>Amazon.com</t>
        </is>
      </c>
      <c r="D7" t="inlineStr">
        <is>
          <t>indeed</t>
        </is>
      </c>
      <c r="E7">
        <f>HYPERLINK("https://www.indeed.com/viewjob?jk=293e849988e51d78", "https://www.indeed.com/viewjob?jk=293e849988e51d78")</f>
        <v/>
      </c>
      <c r="F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7" t="inlineStr">
        <is>
          <t>New York, NY,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in-2f1934941e06a656</t>
        </is>
      </c>
      <c r="B8" t="inlineStr">
        <is>
          <t>Applied Scientist II, Prime Video - Personalization and Discovery Science</t>
        </is>
      </c>
      <c r="C8" t="inlineStr">
        <is>
          <t>Amazon.com</t>
        </is>
      </c>
      <c r="D8" t="inlineStr">
        <is>
          <t>indeed</t>
        </is>
      </c>
      <c r="E8">
        <f>HYPERLINK("https://www.indeed.com/viewjob?jk=2f1934941e06a656", "https://www.indeed.com/viewjob?jk=2f1934941e06a656")</f>
        <v/>
      </c>
      <c r="F8">
        <f>HYPERLINK("https://www.amazon.jobs/jobs/3086060/applied-scientist-ii-prime-video--personalization-and-discovery-science?cmpid=DA_INAD200785B", "https://www.amazon.jobs/jobs/3086060/applied-scientist-ii-prime-video--personalization-and-discovery-science?cmpid=DA_INAD200785B")</f>
        <v/>
      </c>
      <c r="G8" t="inlineStr">
        <is>
          <t>Seattle, WA, US</t>
        </is>
      </c>
      <c r="H8" s="2" t="n">
        <v>45915</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in-c5a740bed1354bc2</t>
        </is>
      </c>
      <c r="B9" t="inlineStr">
        <is>
          <t>Applied Scientist II, Prime Video - Personalization and Discovery Science</t>
        </is>
      </c>
      <c r="C9" t="inlineStr">
        <is>
          <t>Amazon.com</t>
        </is>
      </c>
      <c r="D9" t="inlineStr">
        <is>
          <t>indeed</t>
        </is>
      </c>
      <c r="E9">
        <f>HYPERLINK("https://www.indeed.com/viewjob?jk=c5a740bed1354bc2", "https://www.indeed.com/viewjob?jk=c5a740bed1354bc2")</f>
        <v/>
      </c>
      <c r="F9">
        <f>HYPERLINK("https://www.amazon.jobs/jobs/3086060/applied-scientist-ii-prime-video--personalization-and-discovery-science?cmpid=DA_INAD200785B", "https://www.amazon.jobs/jobs/3086060/applied-scientist-ii-prime-video--personalization-and-discovery-science?cmpid=DA_INAD200785B")</f>
        <v/>
      </c>
      <c r="G9" t="inlineStr">
        <is>
          <t>New York, NY,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in-7ee44b57b0c58d44</t>
        </is>
      </c>
      <c r="B10" t="inlineStr">
        <is>
          <t>Applied Scientist II, Prime Video - Personalization and Discovery Science</t>
        </is>
      </c>
      <c r="C10" t="inlineStr">
        <is>
          <t>Amazon.com</t>
        </is>
      </c>
      <c r="D10" t="inlineStr">
        <is>
          <t>indeed</t>
        </is>
      </c>
      <c r="E10">
        <f>HYPERLINK("https://www.indeed.com/viewjob?jk=7ee44b57b0c58d44", "https://www.indeed.com/viewjob?jk=7ee44b57b0c58d44")</f>
        <v/>
      </c>
      <c r="F10">
        <f>HYPERLINK("https://www.amazon.jobs/jobs/3086060/applied-scientist-ii-prime-video--personalization-and-discovery-science?cmpid=DA_INAD200785B", "https://www.amazon.jobs/jobs/3086060/applied-scientist-ii-prime-video--personalization-and-discovery-science?cmpid=DA_INAD200785B")</f>
        <v/>
      </c>
      <c r="G10" t="inlineStr">
        <is>
          <t>Sunnyvale, CA,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in-af51554f2082ac9f</t>
        </is>
      </c>
      <c r="B11" t="inlineStr">
        <is>
          <t>Sr. Applied Scientist, Prime Video - Personalization and Discovery Science</t>
        </is>
      </c>
      <c r="C11" t="inlineStr">
        <is>
          <t>Amazon.com</t>
        </is>
      </c>
      <c r="D11" t="inlineStr">
        <is>
          <t>indeed</t>
        </is>
      </c>
      <c r="E11">
        <f>HYPERLINK("https://www.indeed.com/viewjob?jk=af51554f2082ac9f", "https://www.indeed.com/viewjob?jk=af51554f2082ac9f")</f>
        <v/>
      </c>
      <c r="F11">
        <f>HYPERLINK("https://www.amazon.jobs/jobs/3083564/sr-applied-scientist-prime-video--personalization-and-discovery-science?cmpid=DA_INAD200785B", "https://www.amazon.jobs/jobs/3083564/sr-applied-scientist-prime-video--personalization-and-discovery-science?cmpid=DA_INAD200785B")</f>
        <v/>
      </c>
      <c r="G11" t="inlineStr">
        <is>
          <t>Sunnyvale, CA, US</t>
        </is>
      </c>
      <c r="H11" s="2" t="n">
        <v>45914</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in-02c8e18c326dc87f</t>
        </is>
      </c>
      <c r="B12" t="inlineStr">
        <is>
          <t>Sr. Applied Scientist, Prime Video - Personalization and Discovery Science</t>
        </is>
      </c>
      <c r="C12" t="inlineStr">
        <is>
          <t>Amazon.com</t>
        </is>
      </c>
      <c r="D12" t="inlineStr">
        <is>
          <t>indeed</t>
        </is>
      </c>
      <c r="E12">
        <f>HYPERLINK("https://www.indeed.com/viewjob?jk=02c8e18c326dc87f", "https://www.indeed.com/viewjob?jk=02c8e18c326dc87f")</f>
        <v/>
      </c>
      <c r="F12">
        <f>HYPERLINK("https://www.amazon.jobs/jobs/3083564/sr-applied-scientist-prime-video--personalization-and-discovery-science?cmpid=DA_INAD200785B", "https://www.amazon.jobs/jobs/3083564/sr-applied-scientist-prime-video--personalization-and-discovery-science?cmpid=DA_INAD200785B")</f>
        <v/>
      </c>
      <c r="G12" t="inlineStr">
        <is>
          <t>Seattle, WA,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in-be0fa5c8e057bb7a</t>
        </is>
      </c>
      <c r="B13" t="inlineStr">
        <is>
          <t>Sr. Applied Scientist, Prime Video - Personalization and Discovery Science</t>
        </is>
      </c>
      <c r="C13" t="inlineStr">
        <is>
          <t>Amazon.com</t>
        </is>
      </c>
      <c r="D13" t="inlineStr">
        <is>
          <t>indeed</t>
        </is>
      </c>
      <c r="E13">
        <f>HYPERLINK("https://www.indeed.com/viewjob?jk=be0fa5c8e057bb7a", "https://www.indeed.com/viewjob?jk=be0fa5c8e057bb7a")</f>
        <v/>
      </c>
      <c r="F13">
        <f>HYPERLINK("https://www.amazon.jobs/jobs/3083564/sr-applied-scientist-prime-video--personalization-and-discovery-science?cmpid=DA_INAD200785B", "https://www.amazon.jobs/jobs/3083564/sr-applied-scientist-prime-video--personalization-and-discovery-science?cmpid=DA_INAD200785B")</f>
        <v/>
      </c>
      <c r="G13" t="inlineStr">
        <is>
          <t>New York, NY,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in-043052c6b61c62bf</t>
        </is>
      </c>
      <c r="B14" t="inlineStr">
        <is>
          <t>Applied Scientist II, Prime Video - Personalization and Discovery Science, Personalization and Discovery Science</t>
        </is>
      </c>
      <c r="C14" t="inlineStr">
        <is>
          <t>Amazon.com</t>
        </is>
      </c>
      <c r="D14" t="inlineStr">
        <is>
          <t>indeed</t>
        </is>
      </c>
      <c r="E14">
        <f>HYPERLINK("https://www.indeed.com/viewjob?jk=043052c6b61c62bf", "https://www.indeed.com/viewjob?jk=043052c6b61c62bf")</f>
        <v/>
      </c>
      <c r="F14">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4" t="inlineStr">
        <is>
          <t>New York, NY, US</t>
        </is>
      </c>
      <c r="H14" s="2" t="n">
        <v>45886</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in-912f494bd9b99f3f</t>
        </is>
      </c>
      <c r="B15" t="inlineStr">
        <is>
          <t>Applied Scientist II, Prime Video - Personalization and Discovery Science, Personalization and Discovery Science</t>
        </is>
      </c>
      <c r="C15" t="inlineStr">
        <is>
          <t>Amazon.com</t>
        </is>
      </c>
      <c r="D15" t="inlineStr">
        <is>
          <t>indeed</t>
        </is>
      </c>
      <c r="E15">
        <f>HYPERLINK("https://www.indeed.com/viewjob?jk=912f494bd9b99f3f", "https://www.indeed.com/viewjob?jk=912f494bd9b99f3f")</f>
        <v/>
      </c>
      <c r="F15">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5" t="inlineStr">
        <is>
          <t>Sunnyvale, CA, US</t>
        </is>
      </c>
      <c r="H15" s="2" t="n">
        <v>45886</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in-75ec669f2a1c8f4e</t>
        </is>
      </c>
      <c r="B16" t="inlineStr">
        <is>
          <t>Sr. Applied Scientist, Prime Video - Personalization and Discovery Science</t>
        </is>
      </c>
      <c r="C16" t="inlineStr">
        <is>
          <t>Amazon.com</t>
        </is>
      </c>
      <c r="D16" t="inlineStr">
        <is>
          <t>indeed</t>
        </is>
      </c>
      <c r="E16">
        <f>HYPERLINK("https://www.indeed.com/viewjob?jk=75ec669f2a1c8f4e", "https://www.indeed.com/viewjob?jk=75ec669f2a1c8f4e")</f>
        <v/>
      </c>
      <c r="F16">
        <f>HYPERLINK("https://www.amazon.jobs/jobs/3061266/sr-applied-scientist-prime-video--personalization-and-discovery-science?cmpid=DA_INAD200785B", "https://www.amazon.jobs/jobs/3061266/sr-applied-scientist-prime-video--personalization-and-discovery-science?cmpid=DA_INAD200785B")</f>
        <v/>
      </c>
      <c r="G16" t="inlineStr">
        <is>
          <t>Sunnyvale, CA, US</t>
        </is>
      </c>
      <c r="H16" s="2" t="n">
        <v>45886</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in-853611b293ef30fe</t>
        </is>
      </c>
      <c r="B17" t="inlineStr">
        <is>
          <t>Sr. Applied Scientist, Prime Video - Personalization and Discovery Science</t>
        </is>
      </c>
      <c r="C17" t="inlineStr">
        <is>
          <t>Amazon.com</t>
        </is>
      </c>
      <c r="D17" t="inlineStr">
        <is>
          <t>indeed</t>
        </is>
      </c>
      <c r="E17">
        <f>HYPERLINK("https://www.indeed.com/viewjob?jk=853611b293ef30fe", "https://www.indeed.com/viewjob?jk=853611b293ef30fe")</f>
        <v/>
      </c>
      <c r="F17">
        <f>HYPERLINK("https://www.amazon.jobs/jobs/3061266/sr-applied-scientist-prime-video--personalization-and-discovery-science?cmpid=DA_INAD200785B", "https://www.amazon.jobs/jobs/3061266/sr-applied-scientist-prime-video--personalization-and-discovery-science?cmpid=DA_INAD200785B")</f>
        <v/>
      </c>
      <c r="G17" t="inlineStr">
        <is>
          <t>New York, NY, US</t>
        </is>
      </c>
      <c r="H17" s="2" t="n">
        <v>45886</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in-a74331a76570b567</t>
        </is>
      </c>
      <c r="B18" t="inlineStr">
        <is>
          <t>Applied Scientist II, Prime Video - Personalization and Discovery Science, Personalization and Discovery Science</t>
        </is>
      </c>
      <c r="C18" t="inlineStr">
        <is>
          <t>Amazon.com</t>
        </is>
      </c>
      <c r="D18" t="inlineStr">
        <is>
          <t>indeed</t>
        </is>
      </c>
      <c r="E18">
        <f>HYPERLINK("https://www.indeed.com/viewjob?jk=a74331a76570b567", "https://www.indeed.com/viewjob?jk=a74331a76570b567")</f>
        <v/>
      </c>
      <c r="F18">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8" t="inlineStr">
        <is>
          <t>Seattle, WA, US</t>
        </is>
      </c>
      <c r="H18" s="2" t="n">
        <v>45886</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in-4d6497f50ab82455</t>
        </is>
      </c>
      <c r="B19" t="inlineStr">
        <is>
          <t>Sr. Applied Scientist, Prime Video - Personalization and Discovery Science</t>
        </is>
      </c>
      <c r="C19" t="inlineStr">
        <is>
          <t>Amazon.com</t>
        </is>
      </c>
      <c r="D19" t="inlineStr">
        <is>
          <t>indeed</t>
        </is>
      </c>
      <c r="E19">
        <f>HYPERLINK("https://www.indeed.com/viewjob?jk=4d6497f50ab82455", "https://www.indeed.com/viewjob?jk=4d6497f50ab82455")</f>
        <v/>
      </c>
      <c r="F19">
        <f>HYPERLINK("https://www.amazon.jobs/jobs/3061266/sr-applied-scientist-prime-video--personalization-and-discovery-science?cmpid=DA_INAD200785B", "https://www.amazon.jobs/jobs/3061266/sr-applied-scientist-prime-video--personalization-and-discovery-science?cmpid=DA_INAD200785B")</f>
        <v/>
      </c>
      <c r="G19" t="inlineStr">
        <is>
          <t>Seattle, WA, US</t>
        </is>
      </c>
      <c r="H19" s="2" t="n">
        <v>45886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in-e827c7c35c9ef5f3</t>
        </is>
      </c>
      <c r="B20" t="inlineStr">
        <is>
          <t>Sr. Applied Scientist, Prime Video - Personalization and Discovery Science</t>
        </is>
      </c>
      <c r="C20" t="inlineStr">
        <is>
          <t>Amazon.com</t>
        </is>
      </c>
      <c r="D20" t="inlineStr">
        <is>
          <t>indeed</t>
        </is>
      </c>
      <c r="E20">
        <f>HYPERLINK("https://www.indeed.com/viewjob?jk=e827c7c35c9ef5f3", "https://www.indeed.com/viewjob?jk=e827c7c35c9ef5f3")</f>
        <v/>
      </c>
      <c r="F20">
        <f>HYPERLINK("https://www.amazon.jobs/jobs/3059256/sr-applied-scientist-prime-video--personalization-and-discovery-science?cmpid=DA_INAD200785B", "https://www.amazon.jobs/jobs/3059256/sr-applied-scientist-prime-video--personalization-and-discovery-science?cmpid=DA_INAD200785B")</f>
        <v/>
      </c>
      <c r="G20" t="inlineStr">
        <is>
          <t>New York, NY, US</t>
        </is>
      </c>
      <c r="H20" s="2"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in-6cbe9ae647563c2a</t>
        </is>
      </c>
      <c r="B21" t="inlineStr">
        <is>
          <t>Applied Scientist II, Prime Video - Personalization and Discovery Science</t>
        </is>
      </c>
      <c r="C21" t="inlineStr">
        <is>
          <t>Amazon.com</t>
        </is>
      </c>
      <c r="D21" t="inlineStr">
        <is>
          <t>indeed</t>
        </is>
      </c>
      <c r="E21">
        <f>HYPERLINK("https://www.indeed.com/viewjob?jk=6cbe9ae647563c2a", "https://www.indeed.com/viewjob?jk=6cbe9ae647563c2a")</f>
        <v/>
      </c>
      <c r="F21">
        <f>HYPERLINK("https://www.amazon.jobs/jobs/3059253/applied-scientist-ii-prime-video--personalization-and-discovery-science?cmpid=DA_INAD200785B", "https://www.amazon.jobs/jobs/3059253/applied-scientist-ii-prime-video--personalization-and-discovery-science?cmpid=DA_INAD200785B")</f>
        <v/>
      </c>
      <c r="G21" t="inlineStr">
        <is>
          <t>Sunnyvale, CA, US</t>
        </is>
      </c>
      <c r="H21" s="2"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in-bd7b9fa4266acf56</t>
        </is>
      </c>
      <c r="B22" t="inlineStr">
        <is>
          <t>Sr. Applied Scientist, Prime Video - Personalization and Discovery Science</t>
        </is>
      </c>
      <c r="C22" t="inlineStr">
        <is>
          <t>Amazon.com</t>
        </is>
      </c>
      <c r="D22" t="inlineStr">
        <is>
          <t>indeed</t>
        </is>
      </c>
      <c r="E22">
        <f>HYPERLINK("https://www.indeed.com/viewjob?jk=bd7b9fa4266acf56", "https://www.indeed.com/viewjob?jk=bd7b9fa4266acf56")</f>
        <v/>
      </c>
      <c r="F22">
        <f>HYPERLINK("https://www.amazon.jobs/jobs/3059256/sr-applied-scientist-prime-video--personalization-and-discovery-science?cmpid=DA_INAD200785B", "https://www.amazon.jobs/jobs/3059256/sr-applied-scientist-prime-video--personalization-and-discovery-science?cmpid=DA_INAD200785B")</f>
        <v/>
      </c>
      <c r="G22" t="inlineStr">
        <is>
          <t>Seattle, WA, US</t>
        </is>
      </c>
      <c r="H22" s="2"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in-1acf037386b892e9</t>
        </is>
      </c>
      <c r="B23" t="inlineStr">
        <is>
          <t>Applied Scientist II, Prime Video - Personalization and Discovery Science</t>
        </is>
      </c>
      <c r="C23" t="inlineStr">
        <is>
          <t>Amazon.com</t>
        </is>
      </c>
      <c r="D23" t="inlineStr">
        <is>
          <t>indeed</t>
        </is>
      </c>
      <c r="E23">
        <f>HYPERLINK("https://www.indeed.com/viewjob?jk=1acf037386b892e9", "https://www.indeed.com/viewjob?jk=1acf037386b892e9")</f>
        <v/>
      </c>
      <c r="F23">
        <f>HYPERLINK("https://www.amazon.jobs/jobs/3059253/applied-scientist-ii-prime-video--personalization-and-discovery-science?cmpid=DA_INAD200785B", "https://www.amazon.jobs/jobs/3059253/applied-scientist-ii-prime-video--personalization-and-discovery-science?cmpid=DA_INAD200785B")</f>
        <v/>
      </c>
      <c r="G23" t="inlineStr">
        <is>
          <t>Seattle, WA, US</t>
        </is>
      </c>
      <c r="H23" s="2" t="n">
        <v>45881</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in-f40385054e919cea</t>
        </is>
      </c>
      <c r="B24" t="inlineStr">
        <is>
          <t>Sr. Applied Scientist, Prime Video - Personalization and Discovery Science</t>
        </is>
      </c>
      <c r="C24" t="inlineStr">
        <is>
          <t>Amazon.com</t>
        </is>
      </c>
      <c r="D24" t="inlineStr">
        <is>
          <t>indeed</t>
        </is>
      </c>
      <c r="E24">
        <f>HYPERLINK("https://www.indeed.com/viewjob?jk=f40385054e919cea", "https://www.indeed.com/viewjob?jk=f40385054e919cea")</f>
        <v/>
      </c>
      <c r="F24">
        <f>HYPERLINK("https://www.amazon.jobs/jobs/3059256/sr-applied-scientist-prime-video--personalization-and-discovery-science?cmpid=DA_INAD200785B", "https://www.amazon.jobs/jobs/3059256/sr-applied-scientist-prime-video--personalization-and-discovery-science?cmpid=DA_INAD200785B")</f>
        <v/>
      </c>
      <c r="G24" t="inlineStr">
        <is>
          <t>Sunnyvale, CA, US</t>
        </is>
      </c>
      <c r="H24" s="2" t="n">
        <v>45881</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in-b4896a52302a4566</t>
        </is>
      </c>
      <c r="B25" t="inlineStr">
        <is>
          <t>Applied Scientist II, Prime Video - Personalization and Discovery Science</t>
        </is>
      </c>
      <c r="C25" t="inlineStr">
        <is>
          <t>Amazon.com</t>
        </is>
      </c>
      <c r="D25" t="inlineStr">
        <is>
          <t>indeed</t>
        </is>
      </c>
      <c r="E25">
        <f>HYPERLINK("https://www.indeed.com/viewjob?jk=b4896a52302a4566", "https://www.indeed.com/viewjob?jk=b4896a52302a4566")</f>
        <v/>
      </c>
      <c r="F25">
        <f>HYPERLINK("https://www.amazon.jobs/jobs/3059253/applied-scientist-ii-prime-video--personalization-and-discovery-science?cmpid=DA_INAD200785B", "https://www.amazon.jobs/jobs/3059253/applied-scientist-ii-prime-video--personalization-and-discovery-science?cmpid=DA_INAD200785B")</f>
        <v/>
      </c>
      <c r="G25" t="inlineStr">
        <is>
          <t>New York, NY, US</t>
        </is>
      </c>
      <c r="H25" s="2" t="n">
        <v>45881</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in-6f10eb0790a6836d</t>
        </is>
      </c>
      <c r="B26" t="inlineStr">
        <is>
          <t>Applied Scientist, Prime Video - Personalization and Discovery Science</t>
        </is>
      </c>
      <c r="C26" t="inlineStr">
        <is>
          <t>Amazon.com</t>
        </is>
      </c>
      <c r="D26" t="inlineStr">
        <is>
          <t>indeed</t>
        </is>
      </c>
      <c r="E26">
        <f>HYPERLINK("https://www.indeed.com/viewjob?jk=6f10eb0790a6836d", "https://www.indeed.com/viewjob?jk=6f10eb0790a6836d")</f>
        <v/>
      </c>
      <c r="F26">
        <f>HYPERLINK("https://www.amazon.jobs/jobs/3033050/applied-scientist-prime-video--personalization-and-discovery-science?cmpid=DA_INAD200785B", "https://www.amazon.jobs/jobs/3033050/applied-scientist-prime-video--personalization-and-discovery-science?cmpid=DA_INAD200785B")</f>
        <v/>
      </c>
      <c r="G26" t="inlineStr">
        <is>
          <t>Seattle, WA, US</t>
        </is>
      </c>
      <c r="H26" s="2" t="n">
        <v>45845</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in-40edddc1c5efd973</t>
        </is>
      </c>
      <c r="B27" t="inlineStr">
        <is>
          <t>Applied Scientist, Prime Video - Personalization and Discovery Science</t>
        </is>
      </c>
      <c r="C27" t="inlineStr">
        <is>
          <t>Amazon.com</t>
        </is>
      </c>
      <c r="D27" t="inlineStr">
        <is>
          <t>indeed</t>
        </is>
      </c>
      <c r="E27">
        <f>HYPERLINK("https://www.indeed.com/viewjob?jk=40edddc1c5efd973", "https://www.indeed.com/viewjob?jk=40edddc1c5efd973")</f>
        <v/>
      </c>
      <c r="F27">
        <f>HYPERLINK("https://www.amazon.jobs/jobs/3033050/applied-scientist-prime-video--personalization-and-discovery-science?cmpid=DA_INAD200785B", "https://www.amazon.jobs/jobs/3033050/applied-scientist-prime-video--personalization-and-discovery-science?cmpid=DA_INAD200785B")</f>
        <v/>
      </c>
      <c r="G27" t="inlineStr">
        <is>
          <t>Sunnyvale, CA, US</t>
        </is>
      </c>
      <c r="H27" s="2" t="n">
        <v>45845</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in-7c797e601b66d871</t>
        </is>
      </c>
      <c r="B28" t="inlineStr">
        <is>
          <t>Applied Scientist, Prime Video - Personalization and Discovery Science</t>
        </is>
      </c>
      <c r="C28" t="inlineStr">
        <is>
          <t>Amazon.com</t>
        </is>
      </c>
      <c r="D28" t="inlineStr">
        <is>
          <t>indeed</t>
        </is>
      </c>
      <c r="E28">
        <f>HYPERLINK("https://www.indeed.com/viewjob?jk=7c797e601b66d871", "https://www.indeed.com/viewjob?jk=7c797e601b66d871")</f>
        <v/>
      </c>
      <c r="F28">
        <f>HYPERLINK("https://www.amazon.jobs/jobs/3033050/applied-scientist-prime-video--personalization-and-discovery-science?cmpid=DA_INAD200785B", "https://www.amazon.jobs/jobs/3033050/applied-scientist-prime-video--personalization-and-discovery-science?cmpid=DA_INAD200785B")</f>
        <v/>
      </c>
      <c r="G28" t="inlineStr">
        <is>
          <t>New York, NY, US</t>
        </is>
      </c>
      <c r="H28" s="2" t="n">
        <v>45845</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in-6969adc6f270cf79</t>
        </is>
      </c>
      <c r="B29" t="inlineStr">
        <is>
          <t>Data Scientist Senior</t>
        </is>
      </c>
      <c r="C29" t="inlineStr">
        <is>
          <t>USAA</t>
        </is>
      </c>
      <c r="D29" t="inlineStr">
        <is>
          <t>indeed</t>
        </is>
      </c>
      <c r="E29">
        <f>HYPERLINK("https://www.indeed.com/viewjob?jk=6969adc6f270cf79", "https://www.indeed.com/viewjob?jk=6969adc6f270cf79")</f>
        <v/>
      </c>
      <c r="F29">
        <f>HYPERLINK("https://www.usaajobs.com/job/-/-/1207/90551051184", "https://www.usaajobs.com/job/-/-/1207/90551051184")</f>
        <v/>
      </c>
      <c r="G29" t="inlineStr">
        <is>
          <t>San Antonio, TX, US</t>
        </is>
      </c>
      <c r="H29" s="2" t="n">
        <v>46034</v>
      </c>
      <c r="I29"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Data Scientist Senior, you will join USAA's Insurance Data Science team using strategic insights, AI, and automation to empower our Life Company partners in protecting and serving our members. We are seeking a highly collaborative and adaptable technical leader who will innovate solutions and re\-engineer processes to fuel aggressive business growth. This critical role offers the opportunity to employ data for strategic insight, solve complex challenges, and deliver game\-changing value. If you are passionate about using data to make a real\-world difference and help our members build a legacy, we want to hear from you.
Senior Data Scientists translates business problems into applied statistical, machine learning, simulation, and optimization solutions to inform actionable business insights and drive business value through automation, revenue generation, and expense and risk reduction. In collaboration with engineering partners, delivers solutions at scale, and enables customer\-facing applications. Leverages' database, cloud, and programming knowledge to build analytical modeling solutions using statistical and machine learning techniques. Collaborates with other data scientists to improve USAA’s tooling, expanding the company’s library of internal packages and applications. Works with model risk management to validate the results and stability of models before being pushed to production at scale.
We offer a flexible work environment that requires an individual to be **in the office 4 days per week.** This position can be based in one of the following locations: San Antonio, TX, Plano, TX, or Phoenix, AZ. Relocation assistance is **not** available for this position.
**What you'll do:**
* Gathers, interprets, and manipulates structured and unstructured data to enable advanced analytical solutions for the business.
* Develops scalable, automated solutions using machine learning, simulation, and optimization to deliver business insights and business value.
* Selects the appropriate modeling technique and/or technology with consideration to data limitations, application, and business needs.
* Develops and deploys models within the Model Development Control (MDC) and Model Risk Management (MRM) framework.
* Composes, and assists peers with composing, technical documents for knowledge persistence, risk management, and technical review audiences.
* Assesses business needs to propose/recommend analytical and modeling projects to add business value. Works with business and analytics leaders to prioritize analytics and modeling problems/research efforts.
* Builds and maintains a robust library of reusable, production\-quality algorithms and supporting code, to ensure model development and research efforts are visible and based on the highest quality data.
* Translates complex business request(s) into specific analytical questions, completes the analysis and/or modeling, and then communicates outcomes to non\-technical business colleagues with focus on business action and recommendations.
* Handles project landmarks, risks, and impediments. Calls out potential issues that could limit project success or implementation.
* Develops standard methodologies for engaging with Data Engineering and IT to deploy production\-ready analytical assets consistent with modeling procedures and model risk management standards.
* Maintains expertise and awareness of pioneering techniques. Actively seeks opportunities and materials to learn new techniques, technologies, and methodologies.
* Serves as a mentor to junior data scientists in modeling, analytics, and computer science tasks.
* Participates in internal communities that drive the maintenance and transformation of data science technologies and culture.
* Ensures risks associated with business activities are effectively identified, measured, monitored, and controlled in accordance with risk and compliance policies and procedures.
**What you have:**
* Bachelor’s degree in mathematics, computer science, statistics, economics, finance, actuarial sciences, science and engineering, or other similar quantitative field; OR 4 years of experience in statistics, mathematics, quantitative analytics, or related experience (in addition to the minimum years of experience required) may be substituted in lieu of degree.
* 6 years of experience in a predictive analytics or data analysis OR Advanced Degree (e.g., Master’s, PhD) in mathematics, computer science, statistics, economics, finance, actuarial sciences, science and engineering, or other similar quantitative field and 4 years of experience in predictive analytics or data analysis.
* 4 years of experience in training and validating statistical, physical, machine learning, and other advanced analytics models.
* 4 years of experience in one or more dynamic scripted language (such as Python, R, etc.) for performing statistical analyses and/or building and scoring AI/ML models.
* Validated experience writing code that is easy to follow, well documented, and commented where necessary to explain logic (high code visibility).
* Strong experience in querying and preprocessing data from structured and/or unstructured databases using query languages such as SQL, HQL, NoSQL, etc.
* Strong experience in working with structured, semi\-structured, and unstructured data files such as delimited numeric data files, JSON/XML files, and/or text documents, images, etc.
* Demonstrated skill in performing ad\-hoc analytics using descriptive, diagnostic, and inferential statistics.
* Ability to assess and articulate regulatory implications and expectations of distinct modeling efforts.
* Advanced experience with the concepts and technologies associated with classical supervised modeling for prediction such as linear/logistic regression, discriminant analysis, support vector machines, decision trees, forest models, etc.
* Advanced experience with the concepts and technologies associated with unsupervised modeling such as k\-means clustering, hierarchical/agglomerative clustering, neighbors’ algorithms, DBSCAN, etc.
* Experience guiding and mentoring junior technical staff in business interactions and model building.
* Experience communicating analytical and modeling results to non\-technical business partners with emphasis on business recommendations and actionable applications of results.
**What sets you apart:**
* Strong history of collaborating with other data scientists, data engineers, and IT on delivering AI/ML solutions to business partners in highly regulated environments, with a foundational understanding of Model Risk Management (MRM) and governance principles.
* Proficiency in software engineering standard methodologies for data science, including robust coding standards, version control, and collaboration with engineering teams for model deployment and productionization.
* Demonstrated history of partnering with business subject matter authorities to translate complex business problems into advanced analytical solutions, critically evaluating approaches, and translating technical findings into clear, business\-oriented recommendations and driving adoption of data\-driven strategies.
* Experience in the Life Insurance, Health Insurance, and/or Annuities business both digitally and in support of call center operations.
* Validated expertise in using analytics and modeling to drive marketing engagement and optimization, designing customer journeys, persona and segmentation, positioning and messaging optimization, using data to support go\-to\-market strategies, etc.
* Experience in user acceptance testing, pilot testing, experimentation, and/or A\-B Testing to evaluate the value delivery of model solutions.
**Compensation range:** The salary range for this position is: $143,320\.00 \- $273,930\.00**.**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30">
      <c r="A30" t="inlineStr">
        <is>
          <t>in-4f44067288d44457</t>
        </is>
      </c>
      <c r="B30" t="inlineStr">
        <is>
          <t>Data Scientist</t>
        </is>
      </c>
      <c r="C30" t="inlineStr">
        <is>
          <t>USDA Food Safety and Inspection Service</t>
        </is>
      </c>
      <c r="D30" t="inlineStr">
        <is>
          <t>indeed</t>
        </is>
      </c>
      <c r="E30">
        <f>HYPERLINK("https://www.indeed.com/viewjob?jk=4f44067288d44457", "https://www.indeed.com/viewjob?jk=4f44067288d44457")</f>
        <v/>
      </c>
      <c r="F30">
        <f>HYPERLINK("https://www.usajobs.gov:443/job/854327700", "https://www.usajobs.gov:443/job/854327700")</f>
        <v/>
      </c>
      <c r="G30" t="inlineStr">
        <is>
          <t>Fort Collins, CO, US</t>
        </is>
      </c>
      <c r="H30" s="2" t="n">
        <v>46035</v>
      </c>
      <c r="I30" t="inlineStr">
        <is>
          <t>**Summary**
-----------
This position is located within the Office of Planning, Analysis, and Risk Management (OPARM). OPARM is the FSIS centralized analytics group and tasked with integrating and analyzing relational data. The program also provides data visualization and analytics services to support FSIS decision\-making, policy development, risk management, and strategic planning.
**This job is open to**
-----------------------
### **The public**
U.S. Citizens, Nationals or those who owe allegiance to the U.S.
### **Career transition (CTAP, ICTAP, RPL)**
Federal employees whose job, agency or department was eliminated and are eligible for priority over other applicants.
### **Clarification from the agency**
Applications will be accepted from any U.S. citizen. Direct Hire Authority will be used to fill these positions. Veterans' Preference and traditional rating and ranking of applicants does not apply to this vacancy.
**Duties**
----------
* Perform data cleaning and visualization.
* Perform trend analysis and algorithm development.
* Develop new prescriptive analytics used in decision making.
* Present alternate solutions to analytics and future concepts.
* Develop statistical models and machine learning models.
* Analyze outputs from analyses.
* Perform quality checks on model and analysis output.
* Develop recommendations for data integration.
* Develop testing hypothesis.
**Requirements**
----------------
### **Conditions of employment**
* You must be a US Citizen or US National.
* Males born after 12/31/1959 must be Selective Service registered or exempt.
* Subject to satisfactory adjudication of background investigation and/or fingerprint check.
* Successful completion of one\-year probationary period, unless previously served. Refer to the Next Steps section for more information.
* Direct Deposit: Per Public Law 104\-134 all Federal employees are required to have federal payments made by direct deposit to their financial institution.
* Successfully pass the E\-Verify employment verification check. To learn more about E\-Verify, including your rights and responsibilities, visit https://www.e\-verify.gov/.
* False statements or responses on a resume or application can jeopardize employment and may be grounds for disciplinary action, including removal from Federal service.
* If you are selected, you may need to complete a Declaration for Federal Employment (OF\-306\) prior to being appointed to determine suitability for Federal employment and to authorize a background investigation.
### **Qualifications**
Applicants must meet all qualifications and eligibility requirements by the closing date of the announcement including specialized experience and education, as defined below.  
For the GS\-13 grade level: Applicants must have one year of specialized experience (equivalent to the GS\-12 grade level) that demonstrates:
* Using Python or R to extract, manipulate, and integrate information from relational databases.
* Creating interactive reports or dashboards using programming languages and frameworks (e.g., Python, R, Qlik, or similar)
* Leading technical initiatives, including planning, coding, testing, and deploying solutions that support organizational data and reporting needs.
* Developing oral and written presentations communicating complex and technical analyses to inform, influence, and persuade a variety of audiences.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and can provide valuable training and experience that translates directly to paid employment. You will receive credit for all qualifying experience, including volunteer experience.
### **Education**
**Mathematical Statistics Series 1529**  
**Basic Requirements:**  
**Degree:** that included 24 semester hours of mathematics and statistics, of which at least 12 semester hours were in mathematics and 6 semester hours were in statistics.  
**or**  
**Combination of education and experience:** at least 24 semester hours of mathematics and statistics, including at least 12 hours in mathematics and 6 hours in statistics, as shown in A above, plus appropriate experience or additional education.  
**Evaluation of Education:**
Courses acceptable toward meeting the mathematics course requirement of paragraphs A or B above must have included at least four of the following: differential calculus, integral calculus, advanced calculus, theory of equations, vector analysis, advanced algebra, linear algebra, mathematical logic, differential equations, or any other advanced course in mathematics for which one of these was a prerequisite. Courses in mathematical statistics or probability theory with a prerequisite of elementary calculus or more advanced courses will be accepted toward meeting the mathematics requirements, with the provision that the same course cannot be counted toward both the mathematics and the statistics requirement.
**Evaluation of Experience:**
The experience offered in combination with educational courses to meet the requirements in paragraph B above should include evidence of statistical work such as (a) sampling, (b) collecting, computing, and analyzing statistical data, and (c) applying known statistical techniques to data such as measurement of central tendency, dispersion, skewness, sampling error, simple and multiple correlation, analysis of variance, and tests of significance.
Without other indications of statistical experience, work required in the processing of numerical or quantified information by other than statistical methods is not considered appropriate qualifying experience. Examples of such nonqualifying work include statistical clerical work; statistical drafting; calculation of totals, averages, percentages, or other arithmetic summations; preparation of simple tables or charts; or verification of data by simple comparison or proofreading.
Click here for more information on this series: OPM Mathematical Statistics Series 1529  
**Computer Science Series 1550** **Series**  
**Definition:** This series includes professional positions which primarily involve the application of, or research into, computer science methods and techniques to store, manipulate, transform or present information by means of computer systems. The primary requirements of the work are (a) professional competence in applying the theoretical foundations of computer science, including computer system architecture and system software organization, the representation and transformation of information structures, and the theoretical models for such representations and transformations; (b) specialized knowledge of the design characteristics, limitations, and potential applications of systems having the ability to transform information, and of broad areas of applications of computing which have common structures, processes, and techniques; and (c) knowledge of relevant mathematical and statistical sciences.  
**Basic Requirements:**  
Bachelor's degree in computer science or bachelor's degree with 30 semester hours in a combination of mathematics, statistics, and computer science. At least 15 of the 30 semester hours must have included any combination of statistics and mathematics that included differential and integral calculus. All academic degrees and course work must be from accredited or pre\-accredited institutions.  
**Evaluation of Education:** Applicants should have sufficient knowledge to understand the fundamental concepts and techniques of computer science. Courses designed to provide an introduction to computer science techniques and methodologies, to problems of system design, and to other specialized fields are acceptable. Courses or experience in teaching elementary, business, or shop mathematics are not acceptable.  
Click here for more information on this series: OPM Computer Science Series 1550  
**Data Science Series 1560**  
**Basic Requirements:**  
**Degree:** Mathematics, statistics, computer science, data science or field directly related to the position. The degree must be in a major field of study (at least at the baccalaureate level) that is appropriate for the position.  
***or***  
**Combination of education and experience:** Courses equivalent to a major field of study (30 semester hours) as shown in paragraph A above, plus additional education or appropriate experience.  
Click here for more information on this series: OPM Data Science Series 1560
### **Additional information**
Career Transition Assistance Plan (CTAP), Reemployment Priority List (RPL), or Interagency Career Transition Assistance Plan (ICTAP): Visit the OPM website for information on how to apply as a CTAP, RPL, or ICTAP eligible. To exercise selection priority for this vacancy, CTAP/RPL/ICTAP candidates must meet the basic eligibility requirements and all selective factors. CTAP/ICTAP candidates must be rated and determined to be well qualified (or above) based on an evaluation of the competencies listed in the How You Will Be Evaluated section. When assessed through a score\-based category rating method, CTAP/ICTAP applicants must receive a rating of at least 85 out of a possible 100\.  
Persons with disabilities who require alternative means for communication of program information (Braille, large print, audiotape, etc.) should contact: USDA's TARGET Center at 202\-720\-2600 (voice and TDD).  
It is the policy of the Government not to deny employment simply because an individual has been unemployed or has had financial difficulties that have arisen through no fault of their own. To see more information visit CHCO Council.  
This announcement may be used to fill additional like vacancies should any occur in the announced duty location(s).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application, including the assessment questionnaire, will be reviewed to determine if you meet the qualification requirements and to determine if your resume supports the answers provided to the job\-specific questions. Your resume must clearly support your responses to the questions addressing experience and education relevant to this position.  
You will be assessed on the following competencies (knowledge, skills, abilities, and other characteristics):
* Technical Competence
* Analytical Programming
* Manages and Organizes Information
* Oral Communication
Note: If, after reviewing your resume and/or supporting documentation, a determination is made that you have inflated your qualifications and or experience, your score may be adjusted to more accurately reflect your abilities, or you may be found ineligible. Please follow all instructions carefully. Errors or omissions may affect your rating. Providing inaccurate information on Federal documents could be grounds for non\-selection or disciplinary action up to including removal from the Federal service.  
Clicking the link below will present a preview of the application form; i.e. the online questionnaire. The application form link below will only provide a preview and does not initiate the application process. To initiate the online application process, click the "Apply" button to the right.  
To view the application form, visit: https://apply.usastaffing.gov/ViewQuestionnaire/12859840
**Required Documents**
----------------------
The following documents are required for your applicant package to be complete. Encrypted documents will not be accepted. Failure to submit required, legible documents may result in loss of consideration.
Resume that includes: **Personal Information:** name, address, contact information; **Education**; **Work** **Experience** related to this position as described in the major duties including work schedule, hours worked per week, dates of employment; title, series, grade (if applicable); **other qualifications**. **Resume cannot exceed 2 pages**.
* Your application may be disqualified if you include any of the information listed here: What should I leave out of my resume?
**EDUCATION:** you must submit a copy of ***all relevant*** college transcripts. An unofficial copy is sufficient with the application if it includes your name and the necessary course information; however, if you are selected, you will be required to submit official transcripts prior to entering on duty. Education must have been successfully obtained from an accredited school, college or university. If any education was completed at a foreign institute, you must submit with your application evidence that the institute was appropriately accredited by an accrediting body recognized by the U.S. Department of Education as equivalent to U.S. education standards. There are private organizations that specialize in this evaluation, and a fee is normally associated with this service. For a list of private organizations that evaluate education, visit the NACES website. All transcripts must be in English or include an English translation.
**Surplus or displaced employees eligible for CTAP, RPL, or ICTAP** priority must provide: proof of eligibility (RIF separation notice, notice of proposed removal for declining a transfer of function or directed reassignment to another commuting area, notice of disability annuity termination), SF\-50 documenting separation (as applicable), current performance appraisal with rating of at least "Fully Successful" or equivalent, and your most recent SF\-50 noting position, grade level, and duty location with your application per 5 CFR 330\.
**How to Apply**
----------------
Please read the entire announcement and all instructions before you begin. You must complete this application process and submit all required documents electronically by 11:59p.m. Eastern Time (ET) on the closing date of this announcement.  
Applying online is highly encouraged. We are available to assist you during business hours (normally 8:00a.m. \- 4:00p.m., Monday \- Friday). If applying online poses a hardship, contact the Agency Contact listed below well before the closing date for an alternate method. All hardship application packages must be complete and submitted no later than noon ET on the closing date of the announcement to be entered into the system prior to its closing. **Resumes must not exceed two pages.**  
This agency provides reasonable accommodation to applicants with disabilities on a case\-by\-case basis; contact the Agency Contact to request this.  
**Alternative Methods for Applying:** If you are unable to apply using the internet, please fax your request for an application package along with your name and mailing address to HR: 1\-833\-840\-9219  
To begin, click "Apply" and follow the instructions to complete the Assessment Questionnaire and attach your resume and all required documents.  
Please verify that documents you are uploading from USAJOBs transfer into the Agency's staffing system as there is a limitation to the number of documents that can be transferred. However, once in the Agency's staffing system, you will have the opportunity to upload additional documents. Uploaded documents must be less than 5MB and in one of the following document formats: GIF, JPG, JPEG, PNG, RTF, PDF, TXT or Word (DOC or DOCX). Do not upload Adobe Portfolio documents because they are not viewable. Please ensure your resume does not exceed two pages. **Applicants who submit a resume that exceeds two pages will be removed from consideration.**  
Our office cannot be responsible for incompatible software, your system failure, etc.
### **Agency contact information**
Doug Welder
Phone
612\-852\-7713
Email
douglas.welder@usda.gov
Address
*Food Safety and Inspection Service*  
*1400 Independence Ave SW*  
*Washington, DC 20250*  
*US*### **Next steps**
Your application will be reviewed to verify that you meet the eligibility and qualification requirements for the position prior to issuing referral lists to the selecting official. If further evaluation or interviews are required, you will be contacted. Log in to your USAJOBS account to check your application status.  
You must choose to turn on email notifications in your USAJOBS profile if you want to receive important email notifications that may impact your applicant experience (e.g. If you start an application and do not submit it prior to the closing date, USAJOBS will send an email reminder that the closing date is approaching and your application is in an incomplete status).  
Multiple positions may be filled from this announcement.  
As a condition of employment for accepting this position, you will be required to serve a 1\-year probationary period during which we will evaluate your fitness and whether your continued employment advances the public interest. In determining if your employment advances the public interest, we may consider: your performance and conduct; the needs and interests of the agency; whether your continued employment would advance organizational goals of the agency or the Government; and whether your continued employment would advance the efficiency of the Federal service. Upon completion of your probationary period your employment will be terminated unless you receive certification, in writing, that your continued employment advances the public interest.  
Under the Fair Chance Act, agencies are not allowed to request information about an applicant's criminal history until a conditional offer of employment has been made, except as allowed for access to classified information; assignment to national security duties or positions; acceptance or retention in the armed forces; or recruitment of a Federal law enforcement officer. An applicant may submit a complaint or any other information related to an organization's alleged noncompliance with the Fair Chance Act. The complaint must be submitted within 30 calendar days of the date of the alleged noncompliance. To make a Fair Chance Act inquiry or complaint, send an email with the appropriate information to fsis.fca@usda.gov, subject line: Fair Chance Act.
**Overview**
------------
Accepting applications
Open \&amp; closing dates
01/14/2026 to 01/21/2026
Salary
$106,437 to \- $138,370 per year
Salary will be determined based on duty station of selectee. Rates shown represent the Rest of the US locality pay table.
Pay scale \&amp; grade
GS 13
Locations
3 vacancies in the following locations:
Fort Collins, CO
 Raleigh, NC
Remote job
No
Telework eligible
Yes—as determined by the agency policy.
Travel Required
Occasional travel \- You may be expected to travel for this position.
Relocation expenses reimbursed
No
Appointment type
Permanent
Work schedule
Full\-time
Service
Competitive
Promotion potential
13
Job family (Series)
* 1529 Mathematical Statistics
* 1550 Computer Science
* 1560 Data Science Series
Supervisory status
No
Security clearance
Other
Drug test
No
Position sensitivity and risk
Moderate Risk (MR)
Trust determination process
* Suitability/Fitness
Financial disclosure
No
Bargaining unit status
No
Announcement number
FSIS\-26\-DHA\-12859840\-DW
Control number
854327700</t>
        </is>
      </c>
    </row>
    <row r="31">
      <c r="A31" t="inlineStr">
        <is>
          <t>in-c425e988b241514d</t>
        </is>
      </c>
      <c r="B31" t="inlineStr">
        <is>
          <t>Data Scientist</t>
        </is>
      </c>
      <c r="C31" t="inlineStr">
        <is>
          <t>SAIC</t>
        </is>
      </c>
      <c r="D31" t="inlineStr">
        <is>
          <t>indeed</t>
        </is>
      </c>
      <c r="E31">
        <f>HYPERLINK("https://www.indeed.com/viewjob?jk=c425e988b241514d", "https://www.indeed.com/viewjob?jk=c425e988b241514d")</f>
        <v/>
      </c>
      <c r="F31">
        <f>HYPERLINK("https://jsv3.recruitics.com/redirect?rx_cid=3284&amp;rx_jobId=2600309&amp;rx_url=https%3A%2F%2Fjobs.saic.com%2Fjobs%2F17217567-data-scientist%3Fbid%3D336%26rx_a%3D0%26rx_c%3D%26rx_ch%3Djobp4p%26rx_group%3D126459%26rx_id%3D1a43ad55-f117-11f0-aa51-a1ccf34c0464%26rx_job%3D2600309%26rx_medium%3Dcpc%26rx_r%3Dnone%26rx_source%3Dindeed%26rx_ts%3D20260114T160401Z%26rx_vp%3Dcpc%26tm_company%3D2520%26tm_event%3Dview%26tm_job%3D2600309", "https://jsv3.recruitics.com/redirect?rx_cid=3284&amp;rx_jobId=2600309&amp;rx_url=https%3A%2F%2Fjobs.saic.com%2Fjobs%2F17217567-data-scientist%3Fbid%3D336%26rx_a%3D0%26rx_c%3D%26rx_ch%3Djobp4p%26rx_group%3D126459%26rx_id%3D1a43ad55-f117-11f0-aa51-a1ccf34c0464%26rx_job%3D2600309%26rx_medium%3Dcpc%26rx_r%3Dnone%26rx_source%3Dindeed%26rx_ts%3D20260114T160401Z%26rx_vp%3Dcpc%26tm_company%3D2520%26tm_event%3Dview%26tm_job%3D2600309")</f>
        <v/>
      </c>
      <c r="G31" t="inlineStr">
        <is>
          <t>Fort Belvoir, VA, US</t>
        </is>
      </c>
      <c r="H31" s="2" t="n">
        <v>46034</v>
      </c>
      <c r="I31" t="inlineStr">
        <is>
          <t>Job ID: 2600309
**Location:** FORT BELVOIR, VA, US
**Date Posted:** 2026\-01\-13
**Category:** Information Technology
**Subcategory:** Data Scientist
**Schedule:** Full\-time
**Shift:** Day Job
**Travel:** Yes, 25 % of the Time
**Minimum Clearance Required:** TS/SCI
**Clearance Level Must Be Able to Obtain:** None
**Potential for Remote Work:** No
 **Description**
SAIC is looking for a Data Scientist to work with a diverse team of OSINT operations staff and interagency partners to provide support to dynamic, global intelligence operations for the Army OSINT Office (AOO).
This work will be located on site at Fort Belvoir, VA.
This position requires excellent technical, analytic, communication, and problem\-solving skills, and the ability to operate in a diverse, evolving, and high\-profile environment to oversee the development and execution of technical solutions to Open\-Source Intelligence operations aligned with organizational goals.
Job Duties:
* Designing and maintaining data pipelines to ensure efficient data flow and interoperability with existing and emerging programs of record
* Collecting and integrating large, complex data sets that meet cross\-organizational requirements
* Ensuring data quality, reliability, and efficiency throughout the data lifecycle
* Collaborating with other data scientists, software developers, operators, project managers, and clients to prepare data for predictive modeling
* Implementing internal process improvements to optimize data delivery and automate manual processes.
* Conduct system testing and validation procedures to ensure operational platforms function correctly, including the ability to gather user feedback, identify issues, conduct updates, and perform routine quality assurance checks.
* Create and maintain essential technical documentation for reference and reporting, which includes documenting processes, system specifications, and modifications
* Ensure compliance with regulations, develop guidance, and promote ethical use of developed platforms, data repositories, and relevant technical records
**Qualifications**
**Education and Experience:**
* Bachelors and five (5\) years of experience; four (4\) years of experience in lieu of degree
 **Clearance Requirement:**
* Must be a U.S. Citizen with an Active Top Secret SCI Clearance with ability to obtain SCI (PR within 6 years)
 **Additional Requirements:**
* Proficient with Power Apps (e.g., Canvas, Power Automate, PowerBI), SharePoint development, Java and CSHTML scripting
* Strong solutions development and databasing experience with excellent communication, presentation, and interpersonal skills
* Ability to execute multiple tasks and ongoing projects while ensuring compliance with applicable policies, and procedures</t>
        </is>
      </c>
    </row>
    <row r="32">
      <c r="A32" t="inlineStr">
        <is>
          <t>in-c590a63153aa3de1</t>
        </is>
      </c>
      <c r="B32" t="inlineStr">
        <is>
          <t>Senior Applied Scientist</t>
        </is>
      </c>
      <c r="C32" t="inlineStr">
        <is>
          <t>Microsoft</t>
        </is>
      </c>
      <c r="D32" t="inlineStr">
        <is>
          <t>indeed</t>
        </is>
      </c>
      <c r="E32">
        <f>HYPERLINK("https://www.indeed.com/viewjob?jk=c590a63153aa3de1", "https://www.indeed.com/viewjob?jk=c590a63153aa3de1")</f>
        <v/>
      </c>
      <c r="F32">
        <f>HYPERLINK("https://apply.careers.microsoft.com/careers/job/1970393556650846?utm_source=indeed&amp;domain=microsoft.com", "https://apply.careers.microsoft.com/careers/job/1970393556650846?utm_source=indeed&amp;domain=microsoft.com")</f>
        <v/>
      </c>
      <c r="G32" t="inlineStr">
        <is>
          <t>Redmond, WA, US</t>
        </is>
      </c>
      <c r="H32" s="2" t="n">
        <v>46008</v>
      </c>
      <c r="I32"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end\-to\-end,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**Microsoft Security Social Engineering Research Team** is dedicated to defending Microsoft's customers against threats across all messaging and web platforms through applied AI innovation. Our culture fosters a growth mindset, inspiring excellence, and encouraging teams and leaders to bring their best every day. As attackers' methods evolve, our solutions adapt and anticipate. This is an exciting opportunity to innovate and detect threats in real\-time across different platforms, technologies, and AI capabilities. Working with data at scale, utilizing emergent technologies, and being empowered by Microsoft's unique set of threat intelligence is the perfect challenge for any Applied Scientist.
We are seeking a **Senior Applied Scientist** to join our team. If you're looking to make a meaningful impact on protecting people and businesses, this is the team for you. Security is a top priority for our customers in a world filled with digital threats, regulatory scrutiny, and estate complexity.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Senior Applied Scientist focused on protecting Microsoft customers from social engineering threat vectors, you will be responsible for:
* + Engage with stakeholders across our team and beyond to identify the most critical challenges worth solving
* + Developing and supporting production AI models and heuristics to detect social engineering attacks
* + Availability and willingness to cover a periodic on\-call rotation or engage in incident response as needed
* + Embody our culture and values
**Qualifications** **Minimum Qualifications:**
* Bachelor's Degree in Statistics, Econometrics, Computer Science, Electrical or Computer Engineering, or related field AND 4\+ years related experience (e.g., statistics predictive analytics, research).
*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 + OR Doctorate in Statistics, Econometrics, Computer Science, Electrical or Computer Engineering, or related field AND 3\+ years related experience (e.g., statistics, predictive analytics, research).
	+ OR equivalent experience.
* 3\+ years experience developing and deploying live production systems, as part of a product team.
* 2\+ years experience with processing large volumes of data in distributed environment (MapReduce, Spark, MPI, CUDA, etc)
* 1\+ years experience with at least 1 statically typed object\-oriented language (C\#, Java, C\+\+, Fortran etc.)
* Familiarity with software development tools such as GIT, automated build systems, and project tracking systems.
* Proficiency in measuring the health and effectiveness of systems.
* Demonstrated ability and motivation to self\-teach and navigate through ambiguity.
* Passion for cybersecurity is a plus, although previous experience or knowledge is not required.
**\#MSFTSecurity**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3">
      <c r="A33" t="inlineStr">
        <is>
          <t>in-298cd5a3f69b567c</t>
        </is>
      </c>
      <c r="B33" t="inlineStr">
        <is>
          <t>Applied Scientist, ML Compiler</t>
        </is>
      </c>
      <c r="C33" t="inlineStr">
        <is>
          <t>Amazon Web Services</t>
        </is>
      </c>
      <c r="D33" t="inlineStr">
        <is>
          <t>indeed</t>
        </is>
      </c>
      <c r="E33">
        <f>HYPERLINK("https://www.indeed.com/viewjob?jk=298cd5a3f69b567c", "https://www.indeed.com/viewjob?jk=298cd5a3f69b567c")</f>
        <v/>
      </c>
      <c r="F33">
        <f>HYPERLINK("https://www.amazon.jobs/jobs/3136884/applied-scientist-ml-compiler?cmpid=DA_INAD200785B", "https://www.amazon.jobs/jobs/3136884/applied-scientist-ml-compiler?cmpid=DA_INAD200785B")</f>
        <v/>
      </c>
      <c r="G33" t="inlineStr">
        <is>
          <t>Cupertino, CA, US</t>
        </is>
      </c>
      <c r="H33" s="2" t="n">
        <v>45993</v>
      </c>
      <c r="I33"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in-86c30fed3ac5c175</t>
        </is>
      </c>
      <c r="B34" t="inlineStr">
        <is>
          <t>Applied Scientist, ML Compiler</t>
        </is>
      </c>
      <c r="C34" t="inlineStr">
        <is>
          <t>Amazon Web Services</t>
        </is>
      </c>
      <c r="D34" t="inlineStr">
        <is>
          <t>indeed</t>
        </is>
      </c>
      <c r="E34">
        <f>HYPERLINK("https://www.indeed.com/viewjob?jk=86c30fed3ac5c175", "https://www.indeed.com/viewjob?jk=86c30fed3ac5c175")</f>
        <v/>
      </c>
      <c r="F34">
        <f>HYPERLINK("https://www.amazon.jobs/jobs/3136884/applied-scientist-ml-compiler?cmpid=DA_INAD200785B", "https://www.amazon.jobs/jobs/3136884/applied-scientist-ml-compiler?cmpid=DA_INAD200785B")</f>
        <v/>
      </c>
      <c r="G34" t="inlineStr">
        <is>
          <t>Seattle, WA, US</t>
        </is>
      </c>
      <c r="H34" s="2" t="n">
        <v>45993</v>
      </c>
      <c r="I34"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in-304c8ee757443453</t>
        </is>
      </c>
      <c r="B35" t="inlineStr">
        <is>
          <t>Principal Applied Scientist, Amazon Special Projects</t>
        </is>
      </c>
      <c r="C35" t="inlineStr">
        <is>
          <t>Amazon.com</t>
        </is>
      </c>
      <c r="D35" t="inlineStr">
        <is>
          <t>indeed</t>
        </is>
      </c>
      <c r="E35">
        <f>HYPERLINK("https://www.indeed.com/viewjob?jk=304c8ee757443453", "https://www.indeed.com/viewjob?jk=304c8ee757443453")</f>
        <v/>
      </c>
      <c r="F35">
        <f>HYPERLINK("https://www.amazon.jobs/jobs/3132566/principal-applied-scientist-amazon-special-projects?cmpid=DA_INAD200785B", "https://www.amazon.jobs/jobs/3132566/principal-applied-scientist-amazon-special-projects?cmpid=DA_INAD200785B")</f>
        <v/>
      </c>
      <c r="G35" t="inlineStr">
        <is>
          <t>Seattle, WA, US</t>
        </is>
      </c>
      <c r="H35" s="2" t="n">
        <v>45982</v>
      </c>
      <c r="I3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in-aae698f71a46c28b</t>
        </is>
      </c>
      <c r="B36" t="inlineStr">
        <is>
          <t>Principal Applied Scientist, Amazon Special Projects</t>
        </is>
      </c>
      <c r="C36" t="inlineStr">
        <is>
          <t>Amazon.com</t>
        </is>
      </c>
      <c r="D36" t="inlineStr">
        <is>
          <t>indeed</t>
        </is>
      </c>
      <c r="E36">
        <f>HYPERLINK("https://www.indeed.com/viewjob?jk=aae698f71a46c28b", "https://www.indeed.com/viewjob?jk=aae698f71a46c28b")</f>
        <v/>
      </c>
      <c r="F36">
        <f>HYPERLINK("https://www.amazon.jobs/jobs/3132566/principal-applied-scientist-amazon-special-projects?cmpid=DA_INAD200785B", "https://www.amazon.jobs/jobs/3132566/principal-applied-scientist-amazon-special-projects?cmpid=DA_INAD200785B")</f>
        <v/>
      </c>
      <c r="G36" t="inlineStr">
        <is>
          <t>Boston, MA, US</t>
        </is>
      </c>
      <c r="H36" s="2" t="n">
        <v>45982</v>
      </c>
      <c r="I3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in-22e33db929e30fc6</t>
        </is>
      </c>
      <c r="B37" t="inlineStr">
        <is>
          <t>Senior Applied Scientist, Artificial General Intelligence</t>
        </is>
      </c>
      <c r="C37" t="inlineStr">
        <is>
          <t>Amazon.com</t>
        </is>
      </c>
      <c r="D37" t="inlineStr">
        <is>
          <t>indeed</t>
        </is>
      </c>
      <c r="E37">
        <f>HYPERLINK("https://www.indeed.com/viewjob?jk=22e33db929e30fc6", "https://www.indeed.com/viewjob?jk=22e33db929e30fc6")</f>
        <v/>
      </c>
      <c r="F37">
        <f>HYPERLINK("https://www.amazon.jobs/jobs/3131971/senior-applied-scientist-artificial-general-intelligence?cmpid=DA_INAD200785B", "https://www.amazon.jobs/jobs/3131971/senior-applied-scientist-artificial-general-intelligence?cmpid=DA_INAD200785B")</f>
        <v/>
      </c>
      <c r="G37" t="inlineStr">
        <is>
          <t>Sunnyvale, CA, US</t>
        </is>
      </c>
      <c r="H37" s="2" t="n">
        <v>45980</v>
      </c>
      <c r="I3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in-7d68b5b6778a845b</t>
        </is>
      </c>
      <c r="B38" t="inlineStr">
        <is>
          <t>Senior Applied Scientist, Artificial General Intelligence</t>
        </is>
      </c>
      <c r="C38" t="inlineStr">
        <is>
          <t>Amazon.com</t>
        </is>
      </c>
      <c r="D38" t="inlineStr">
        <is>
          <t>indeed</t>
        </is>
      </c>
      <c r="E38">
        <f>HYPERLINK("https://www.indeed.com/viewjob?jk=7d68b5b6778a845b", "https://www.indeed.com/viewjob?jk=7d68b5b6778a845b")</f>
        <v/>
      </c>
      <c r="F38">
        <f>HYPERLINK("https://www.amazon.jobs/jobs/3131971/senior-applied-scientist-artificial-general-intelligence?cmpid=DA_INAD200785B", "https://www.amazon.jobs/jobs/3131971/senior-applied-scientist-artificial-general-intelligence?cmpid=DA_INAD200785B")</f>
        <v/>
      </c>
      <c r="G38" t="inlineStr">
        <is>
          <t>New York, NY, US</t>
        </is>
      </c>
      <c r="H38" s="2" t="n">
        <v>45980</v>
      </c>
      <c r="I3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in-9f55a22e5d21de23</t>
        </is>
      </c>
      <c r="B39" t="inlineStr">
        <is>
          <t>Senior Applied Scientist, Artificial General Intelligence</t>
        </is>
      </c>
      <c r="C39" t="inlineStr">
        <is>
          <t>Amazon.com</t>
        </is>
      </c>
      <c r="D39" t="inlineStr">
        <is>
          <t>indeed</t>
        </is>
      </c>
      <c r="E39">
        <f>HYPERLINK("https://www.indeed.com/viewjob?jk=9f55a22e5d21de23", "https://www.indeed.com/viewjob?jk=9f55a22e5d21de23")</f>
        <v/>
      </c>
      <c r="F39">
        <f>HYPERLINK("https://www.amazon.jobs/jobs/3131971/senior-applied-scientist-artificial-general-intelligence?cmpid=DA_INAD200785B", "https://www.amazon.jobs/jobs/3131971/senior-applied-scientist-artificial-general-intelligence?cmpid=DA_INAD200785B")</f>
        <v/>
      </c>
      <c r="G39" t="inlineStr">
        <is>
          <t>Boston, MA, US</t>
        </is>
      </c>
      <c r="H39" s="2" t="n">
        <v>45980</v>
      </c>
      <c r="I3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in-94d05761bf130497</t>
        </is>
      </c>
      <c r="B40" t="inlineStr">
        <is>
          <t>Senior Applied Scientist, Artificial General Intelligence</t>
        </is>
      </c>
      <c r="C40" t="inlineStr">
        <is>
          <t>Amazon.com</t>
        </is>
      </c>
      <c r="D40" t="inlineStr">
        <is>
          <t>indeed</t>
        </is>
      </c>
      <c r="E40">
        <f>HYPERLINK("https://www.indeed.com/viewjob?jk=94d05761bf130497", "https://www.indeed.com/viewjob?jk=94d05761bf130497")</f>
        <v/>
      </c>
      <c r="F40">
        <f>HYPERLINK("https://www.amazon.jobs/jobs/3131971/senior-applied-scientist-artificial-general-intelligence?cmpid=DA_INAD200785B", "https://www.amazon.jobs/jobs/3131971/senior-applied-scientist-artificial-general-intelligence?cmpid=DA_INAD200785B")</f>
        <v/>
      </c>
      <c r="G40" t="inlineStr">
        <is>
          <t>Seattle, WA, US</t>
        </is>
      </c>
      <c r="H40" s="2" t="n">
        <v>45980</v>
      </c>
      <c r="I4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in-68caa462767d5b58</t>
        </is>
      </c>
      <c r="B41" t="inlineStr">
        <is>
          <t>Senior Applied Scientist, Sponsored Products and Brands</t>
        </is>
      </c>
      <c r="C41" t="inlineStr">
        <is>
          <t>Amazon.com</t>
        </is>
      </c>
      <c r="D41" t="inlineStr">
        <is>
          <t>indeed</t>
        </is>
      </c>
      <c r="E41">
        <f>HYPERLINK("https://www.indeed.com/viewjob?jk=68caa462767d5b58", "https://www.indeed.com/viewjob?jk=68caa462767d5b58")</f>
        <v/>
      </c>
      <c r="F41">
        <f>HYPERLINK("https://www.amazon.jobs/jobs/3130062/senior-applied-scientist-sponsored-products-and-brands?cmpid=DA_INAD200785B", "https://www.amazon.jobs/jobs/3130062/senior-applied-scientist-sponsored-products-and-brands?cmpid=DA_INAD200785B")</f>
        <v/>
      </c>
      <c r="G41" t="inlineStr">
        <is>
          <t>New York, NY, US</t>
        </is>
      </c>
      <c r="H41" s="2" t="n">
        <v>45979</v>
      </c>
      <c r="I4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in-97cd02eaf89c1892</t>
        </is>
      </c>
      <c r="B42" t="inlineStr">
        <is>
          <t>Senior Applied Scientist, Sponsored Products and Brands</t>
        </is>
      </c>
      <c r="C42" t="inlineStr">
        <is>
          <t>Amazon.com</t>
        </is>
      </c>
      <c r="D42" t="inlineStr">
        <is>
          <t>indeed</t>
        </is>
      </c>
      <c r="E42">
        <f>HYPERLINK("https://www.indeed.com/viewjob?jk=97cd02eaf89c1892", "https://www.indeed.com/viewjob?jk=97cd02eaf89c1892")</f>
        <v/>
      </c>
      <c r="F42">
        <f>HYPERLINK("https://www.amazon.jobs/jobs/3130062/senior-applied-scientist-sponsored-products-and-brands?cmpid=DA_INAD200785B", "https://www.amazon.jobs/jobs/3130062/senior-applied-scientist-sponsored-products-and-brands?cmpid=DA_INAD200785B")</f>
        <v/>
      </c>
      <c r="G42" t="inlineStr">
        <is>
          <t>Seattle, WA, US</t>
        </is>
      </c>
      <c r="H42" s="2" t="n">
        <v>45979</v>
      </c>
      <c r="I4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in-ea8e745de54673c0</t>
        </is>
      </c>
      <c r="B43" t="inlineStr">
        <is>
          <t>Principal Applied Scientist, Sponsored Products and Brands</t>
        </is>
      </c>
      <c r="C43" t="inlineStr">
        <is>
          <t>Amazon.com</t>
        </is>
      </c>
      <c r="D43" t="inlineStr">
        <is>
          <t>indeed</t>
        </is>
      </c>
      <c r="E43">
        <f>HYPERLINK("https://www.indeed.com/viewjob?jk=ea8e745de54673c0", "https://www.indeed.com/viewjob?jk=ea8e745de54673c0")</f>
        <v/>
      </c>
      <c r="F43">
        <f>HYPERLINK("https://www.amazon.jobs/jobs/3130855/principal-applied-scientist-sponsored-products-and-brands?cmpid=DA_INAD200785B", "https://www.amazon.jobs/jobs/3130855/principal-applied-scientist-sponsored-products-and-brands?cmpid=DA_INAD200785B")</f>
        <v/>
      </c>
      <c r="G43" t="inlineStr">
        <is>
          <t>New York, NY, US</t>
        </is>
      </c>
      <c r="H43" s="2" t="n">
        <v>45979</v>
      </c>
      <c r="I4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in-b225037378b52c5c</t>
        </is>
      </c>
      <c r="B44" t="inlineStr">
        <is>
          <t>Principal Applied Scientist, Sponsored Products and Brands</t>
        </is>
      </c>
      <c r="C44" t="inlineStr">
        <is>
          <t>Amazon.com</t>
        </is>
      </c>
      <c r="D44" t="inlineStr">
        <is>
          <t>indeed</t>
        </is>
      </c>
      <c r="E44">
        <f>HYPERLINK("https://www.indeed.com/viewjob?jk=b225037378b52c5c", "https://www.indeed.com/viewjob?jk=b225037378b52c5c")</f>
        <v/>
      </c>
      <c r="F44">
        <f>HYPERLINK("https://www.amazon.jobs/jobs/3130855/principal-applied-scientist-sponsored-products-and-brands?cmpid=DA_INAD200785B", "https://www.amazon.jobs/jobs/3130855/principal-applied-scientist-sponsored-products-and-brands?cmpid=DA_INAD200785B")</f>
        <v/>
      </c>
      <c r="G44" t="inlineStr">
        <is>
          <t>Seattle, WA, US</t>
        </is>
      </c>
      <c r="H44" s="2" t="n">
        <v>45979</v>
      </c>
      <c r="I4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in-5bc261a7f7cf7fb4</t>
        </is>
      </c>
      <c r="B45" t="inlineStr">
        <is>
          <t>Sr. Applied Scientist, AGI Foundations</t>
        </is>
      </c>
      <c r="C45" t="inlineStr">
        <is>
          <t>Amazon.com</t>
        </is>
      </c>
      <c r="D45" t="inlineStr">
        <is>
          <t>indeed</t>
        </is>
      </c>
      <c r="E45">
        <f>HYPERLINK("https://www.indeed.com/viewjob?jk=5bc261a7f7cf7fb4", "https://www.indeed.com/viewjob?jk=5bc261a7f7cf7fb4")</f>
        <v/>
      </c>
      <c r="F45">
        <f>HYPERLINK("https://www.amazon.jobs/jobs/3128807/sr-applied-scientist-agi-foundations?cmpid=DA_INAD200785B", "https://www.amazon.jobs/jobs/3128807/sr-applied-scientist-agi-foundations?cmpid=DA_INAD200785B")</f>
        <v/>
      </c>
      <c r="G45" t="inlineStr">
        <is>
          <t>Boston, MA, US</t>
        </is>
      </c>
      <c r="H45" s="2" t="n">
        <v>45978</v>
      </c>
      <c r="I4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in-216dfe8a9dd03cfd</t>
        </is>
      </c>
      <c r="B46" t="inlineStr">
        <is>
          <t>Sr. Applied Scientist, AGI Foundations</t>
        </is>
      </c>
      <c r="C46" t="inlineStr">
        <is>
          <t>Amazon.com</t>
        </is>
      </c>
      <c r="D46" t="inlineStr">
        <is>
          <t>indeed</t>
        </is>
      </c>
      <c r="E46">
        <f>HYPERLINK("https://www.indeed.com/viewjob?jk=216dfe8a9dd03cfd", "https://www.indeed.com/viewjob?jk=216dfe8a9dd03cfd")</f>
        <v/>
      </c>
      <c r="F46">
        <f>HYPERLINK("https://www.amazon.jobs/jobs/3128807/sr-applied-scientist-agi-foundations?cmpid=DA_INAD200785B", "https://www.amazon.jobs/jobs/3128807/sr-applied-scientist-agi-foundations?cmpid=DA_INAD200785B")</f>
        <v/>
      </c>
      <c r="G46" t="inlineStr">
        <is>
          <t>Bellevue, WA, US</t>
        </is>
      </c>
      <c r="H46" s="2" t="n">
        <v>45978</v>
      </c>
      <c r="I4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in-36a1f911c67c9e7c</t>
        </is>
      </c>
      <c r="B47" t="inlineStr">
        <is>
          <t>Sr. Applied Scientist, AGI Foundations</t>
        </is>
      </c>
      <c r="C47" t="inlineStr">
        <is>
          <t>Amazon.com</t>
        </is>
      </c>
      <c r="D47" t="inlineStr">
        <is>
          <t>indeed</t>
        </is>
      </c>
      <c r="E47">
        <f>HYPERLINK("https://www.indeed.com/viewjob?jk=36a1f911c67c9e7c", "https://www.indeed.com/viewjob?jk=36a1f911c67c9e7c")</f>
        <v/>
      </c>
      <c r="F47">
        <f>HYPERLINK("https://www.amazon.jobs/jobs/3128807/sr-applied-scientist-agi-foundations?cmpid=DA_INAD200785B", "https://www.amazon.jobs/jobs/3128807/sr-applied-scientist-agi-foundations?cmpid=DA_INAD200785B")</f>
        <v/>
      </c>
      <c r="G47" t="inlineStr">
        <is>
          <t>New York, NY, US</t>
        </is>
      </c>
      <c r="H47" s="2" t="n">
        <v>45978</v>
      </c>
      <c r="I4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in-f87100ebc6bc618f</t>
        </is>
      </c>
      <c r="B48" t="inlineStr">
        <is>
          <t>Sr. Applied Scientist, AGI Foundations</t>
        </is>
      </c>
      <c r="C48" t="inlineStr">
        <is>
          <t>Amazon.com</t>
        </is>
      </c>
      <c r="D48" t="inlineStr">
        <is>
          <t>indeed</t>
        </is>
      </c>
      <c r="E48">
        <f>HYPERLINK("https://www.indeed.com/viewjob?jk=f87100ebc6bc618f", "https://www.indeed.com/viewjob?jk=f87100ebc6bc618f")</f>
        <v/>
      </c>
      <c r="F48">
        <f>HYPERLINK("https://www.amazon.jobs/jobs/3128807/sr-applied-scientist-agi-foundations?cmpid=DA_INAD200785B", "https://www.amazon.jobs/jobs/3128807/sr-applied-scientist-agi-foundations?cmpid=DA_INAD200785B")</f>
        <v/>
      </c>
      <c r="G48" t="inlineStr">
        <is>
          <t>Sunnyvale, CA, US</t>
        </is>
      </c>
      <c r="H48" s="2" t="n">
        <v>45978</v>
      </c>
      <c r="I4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in-859455f8f10bf530</t>
        </is>
      </c>
      <c r="B49" t="inlineStr">
        <is>
          <t>Sr. Applied Scientist, Sponsored Products</t>
        </is>
      </c>
      <c r="C49" t="inlineStr">
        <is>
          <t>Amazon.com</t>
        </is>
      </c>
      <c r="D49" t="inlineStr">
        <is>
          <t>indeed</t>
        </is>
      </c>
      <c r="E49">
        <f>HYPERLINK("https://www.indeed.com/viewjob?jk=859455f8f10bf530", "https://www.indeed.com/viewjob?jk=859455f8f10bf530")</f>
        <v/>
      </c>
      <c r="F49">
        <f>HYPERLINK("https://www.amazon.jobs/jobs/3136156/sr-applied-scientist-sponsored-products?cmpid=DA_INAD200785B", "https://www.amazon.jobs/jobs/3136156/sr-applied-scientist-sponsored-products?cmpid=DA_INAD200785B")</f>
        <v/>
      </c>
      <c r="G49" t="inlineStr">
        <is>
          <t>Arlington, VA, US</t>
        </is>
      </c>
      <c r="H49" s="2" t="n">
        <v>45976</v>
      </c>
      <c r="I4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in-4cefa6127fb9dcf0</t>
        </is>
      </c>
      <c r="B50" t="inlineStr">
        <is>
          <t>Sr. Applied Scientist, Sponsored Products</t>
        </is>
      </c>
      <c r="C50" t="inlineStr">
        <is>
          <t>Amazon.com</t>
        </is>
      </c>
      <c r="D50" t="inlineStr">
        <is>
          <t>indeed</t>
        </is>
      </c>
      <c r="E50">
        <f>HYPERLINK("https://www.indeed.com/viewjob?jk=4cefa6127fb9dcf0", "https://www.indeed.com/viewjob?jk=4cefa6127fb9dcf0")</f>
        <v/>
      </c>
      <c r="F50">
        <f>HYPERLINK("https://www.amazon.jobs/jobs/3136156/sr-applied-scientist-sponsored-products?cmpid=DA_INAD200785B", "https://www.amazon.jobs/jobs/3136156/sr-applied-scientist-sponsored-products?cmpid=DA_INAD200785B")</f>
        <v/>
      </c>
      <c r="G50" t="inlineStr">
        <is>
          <t>New York, NY, US</t>
        </is>
      </c>
      <c r="H50" s="2" t="n">
        <v>45976</v>
      </c>
      <c r="I5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in-6d25b843b7e2054a</t>
        </is>
      </c>
      <c r="B51" t="inlineStr">
        <is>
          <t>Sr. Applied Scientist, Sponsored Products</t>
        </is>
      </c>
      <c r="C51" t="inlineStr">
        <is>
          <t>Amazon.com</t>
        </is>
      </c>
      <c r="D51" t="inlineStr">
        <is>
          <t>indeed</t>
        </is>
      </c>
      <c r="E51">
        <f>HYPERLINK("https://www.indeed.com/viewjob?jk=6d25b843b7e2054a", "https://www.indeed.com/viewjob?jk=6d25b843b7e2054a")</f>
        <v/>
      </c>
      <c r="F51">
        <f>HYPERLINK("https://www.amazon.jobs/jobs/3136156/sr-applied-scientist-sponsored-products?cmpid=DA_INAD200785B", "https://www.amazon.jobs/jobs/3136156/sr-applied-scientist-sponsored-products?cmpid=DA_INAD200785B")</f>
        <v/>
      </c>
      <c r="G51" t="inlineStr">
        <is>
          <t>Seattle, WA, US</t>
        </is>
      </c>
      <c r="H51" s="2" t="n">
        <v>45976</v>
      </c>
      <c r="I5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in-b94c452a4e41b909</t>
        </is>
      </c>
      <c r="B52" t="inlineStr">
        <is>
          <t>Applied Scientist, Sponsored Products and Brands</t>
        </is>
      </c>
      <c r="C52" t="inlineStr">
        <is>
          <t>Amazon.com</t>
        </is>
      </c>
      <c r="D52" t="inlineStr">
        <is>
          <t>indeed</t>
        </is>
      </c>
      <c r="E52">
        <f>HYPERLINK("https://www.indeed.com/viewjob?jk=b94c452a4e41b909", "https://www.indeed.com/viewjob?jk=b94c452a4e41b909")</f>
        <v/>
      </c>
      <c r="F52">
        <f>HYPERLINK("https://www.amazon.jobs/jobs/3122617/applied-scientist-sponsored-products-and-brands?cmpid=DA_INAD200785B", "https://www.amazon.jobs/jobs/3122617/applied-scientist-sponsored-products-and-brands?cmpid=DA_INAD200785B")</f>
        <v/>
      </c>
      <c r="G52" t="inlineStr">
        <is>
          <t>Seattle, WA, US</t>
        </is>
      </c>
      <c r="H52" s="2" t="n">
        <v>45965</v>
      </c>
      <c r="I5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in-3dd9d47d55db6d15</t>
        </is>
      </c>
      <c r="B53" t="inlineStr">
        <is>
          <t>Applied Scientist, Sponsored Products and Brands</t>
        </is>
      </c>
      <c r="C53" t="inlineStr">
        <is>
          <t>Amazon.com</t>
        </is>
      </c>
      <c r="D53" t="inlineStr">
        <is>
          <t>indeed</t>
        </is>
      </c>
      <c r="E53">
        <f>HYPERLINK("https://www.indeed.com/viewjob?jk=3dd9d47d55db6d15", "https://www.indeed.com/viewjob?jk=3dd9d47d55db6d15")</f>
        <v/>
      </c>
      <c r="F53">
        <f>HYPERLINK("https://www.amazon.jobs/jobs/3122617/applied-scientist-sponsored-products-and-brands?cmpid=DA_INAD200785B", "https://www.amazon.jobs/jobs/3122617/applied-scientist-sponsored-products-and-brands?cmpid=DA_INAD200785B")</f>
        <v/>
      </c>
      <c r="G53" t="inlineStr">
        <is>
          <t>New York, NY, US</t>
        </is>
      </c>
      <c r="H53" s="2" t="n">
        <v>45965</v>
      </c>
      <c r="I5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in-1f546fb1d808a6c7</t>
        </is>
      </c>
      <c r="B54" t="inlineStr">
        <is>
          <t>Principal Applied Scientist, Amazon AGI</t>
        </is>
      </c>
      <c r="C54" t="inlineStr">
        <is>
          <t>Amazon.com</t>
        </is>
      </c>
      <c r="D54" t="inlineStr">
        <is>
          <t>indeed</t>
        </is>
      </c>
      <c r="E54">
        <f>HYPERLINK("https://www.indeed.com/viewjob?jk=1f546fb1d808a6c7", "https://www.indeed.com/viewjob?jk=1f546fb1d808a6c7")</f>
        <v/>
      </c>
      <c r="F54">
        <f>HYPERLINK("https://www.amazon.jobs/jobs/3128808/principal-applied-scientist-amazon-agi?cmpid=DA_INAD200785B", "https://www.amazon.jobs/jobs/3128808/principal-applied-scientist-amazon-agi?cmpid=DA_INAD200785B")</f>
        <v/>
      </c>
      <c r="G54" t="inlineStr">
        <is>
          <t>Boston, MA, US</t>
        </is>
      </c>
      <c r="H54" s="2" t="n">
        <v>45964</v>
      </c>
      <c r="I5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in-fc6b94a775534d6b</t>
        </is>
      </c>
      <c r="B55" t="inlineStr">
        <is>
          <t>Principal Applied Scientist, Amazon AGI</t>
        </is>
      </c>
      <c r="C55" t="inlineStr">
        <is>
          <t>Amazon.com</t>
        </is>
      </c>
      <c r="D55" t="inlineStr">
        <is>
          <t>indeed</t>
        </is>
      </c>
      <c r="E55">
        <f>HYPERLINK("https://www.indeed.com/viewjob?jk=fc6b94a775534d6b", "https://www.indeed.com/viewjob?jk=fc6b94a775534d6b")</f>
        <v/>
      </c>
      <c r="F55">
        <f>HYPERLINK("https://www.amazon.jobs/jobs/3128808/principal-applied-scientist-amazon-agi?cmpid=DA_INAD200785B", "https://www.amazon.jobs/jobs/3128808/principal-applied-scientist-amazon-agi?cmpid=DA_INAD200785B")</f>
        <v/>
      </c>
      <c r="G55" t="inlineStr">
        <is>
          <t>San Francisco, CA, US</t>
        </is>
      </c>
      <c r="H55" s="2" t="n">
        <v>45964</v>
      </c>
      <c r="I55"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in-bcfe8efb854846aa</t>
        </is>
      </c>
      <c r="B56" t="inlineStr">
        <is>
          <t>Sr. Applied Scientist, AGI Foundations</t>
        </is>
      </c>
      <c r="C56" t="inlineStr">
        <is>
          <t>Amazon.com</t>
        </is>
      </c>
      <c r="D56" t="inlineStr">
        <is>
          <t>indeed</t>
        </is>
      </c>
      <c r="E56">
        <f>HYPERLINK("https://www.indeed.com/viewjob?jk=bcfe8efb854846aa", "https://www.indeed.com/viewjob?jk=bcfe8efb854846aa")</f>
        <v/>
      </c>
      <c r="F56">
        <f>HYPERLINK("https://www.amazon.jobs/jobs/3123268/sr-applied-scientist-agi-foundations?cmpid=DA_INAD200785B", "https://www.amazon.jobs/jobs/3123268/sr-applied-scientist-agi-foundations?cmpid=DA_INAD200785B")</f>
        <v/>
      </c>
      <c r="G56" t="inlineStr">
        <is>
          <t>New York, NY, US</t>
        </is>
      </c>
      <c r="H56" s="2" t="n">
        <v>45963</v>
      </c>
      <c r="I5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in-1cf92b0990efd8d3</t>
        </is>
      </c>
      <c r="B57" t="inlineStr">
        <is>
          <t>Sr. Applied Scientist, AGI Foundations</t>
        </is>
      </c>
      <c r="C57" t="inlineStr">
        <is>
          <t>Amazon.com</t>
        </is>
      </c>
      <c r="D57" t="inlineStr">
        <is>
          <t>indeed</t>
        </is>
      </c>
      <c r="E57">
        <f>HYPERLINK("https://www.indeed.com/viewjob?jk=1cf92b0990efd8d3", "https://www.indeed.com/viewjob?jk=1cf92b0990efd8d3")</f>
        <v/>
      </c>
      <c r="F57">
        <f>HYPERLINK("https://www.amazon.jobs/jobs/3123268/sr-applied-scientist-agi-foundations?cmpid=DA_INAD200785B", "https://www.amazon.jobs/jobs/3123268/sr-applied-scientist-agi-foundations?cmpid=DA_INAD200785B")</f>
        <v/>
      </c>
      <c r="G57" t="inlineStr">
        <is>
          <t>Boston, MA, US</t>
        </is>
      </c>
      <c r="H57" s="2" t="n">
        <v>45963</v>
      </c>
      <c r="I5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in-8fb6579b6cd6f61e</t>
        </is>
      </c>
      <c r="B58" t="inlineStr">
        <is>
          <t>Sr. Applied Scientist, AGI Foundations</t>
        </is>
      </c>
      <c r="C58" t="inlineStr">
        <is>
          <t>Amazon.com</t>
        </is>
      </c>
      <c r="D58" t="inlineStr">
        <is>
          <t>indeed</t>
        </is>
      </c>
      <c r="E58">
        <f>HYPERLINK("https://www.indeed.com/viewjob?jk=8fb6579b6cd6f61e", "https://www.indeed.com/viewjob?jk=8fb6579b6cd6f61e")</f>
        <v/>
      </c>
      <c r="F58">
        <f>HYPERLINK("https://www.amazon.jobs/jobs/3123268/sr-applied-scientist-agi-foundations?cmpid=DA_INAD200785B", "https://www.amazon.jobs/jobs/3123268/sr-applied-scientist-agi-foundations?cmpid=DA_INAD200785B")</f>
        <v/>
      </c>
      <c r="G58" t="inlineStr">
        <is>
          <t>Bellevue, WA, US</t>
        </is>
      </c>
      <c r="H58" s="2" t="n">
        <v>45963</v>
      </c>
      <c r="I5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in-4bee9bb2b4cc910f</t>
        </is>
      </c>
      <c r="B59" t="inlineStr">
        <is>
          <t>Principal Applied Scientist, Advertiser Growth, Amazon Sponsored Products &amp; Brands</t>
        </is>
      </c>
      <c r="C59" t="inlineStr">
        <is>
          <t>Amazon.com</t>
        </is>
      </c>
      <c r="D59" t="inlineStr">
        <is>
          <t>indeed</t>
        </is>
      </c>
      <c r="E59">
        <f>HYPERLINK("https://www.indeed.com/viewjob?jk=4bee9bb2b4cc910f", "https://www.indeed.com/viewjob?jk=4bee9bb2b4cc910f")</f>
        <v/>
      </c>
      <c r="F59">
        <f>HYPERLINK("https://www.amazon.jobs/jobs/3115279/principal-applied-scientist-advertiser-growth-amazon-sponsored-products--brands?cmpid=DA_INAD200785B", "https://www.amazon.jobs/jobs/3115279/principal-applied-scientist-advertiser-growth-amazon-sponsored-products--brands?cmpid=DA_INAD200785B")</f>
        <v/>
      </c>
      <c r="G59" t="inlineStr">
        <is>
          <t>Seattle, WA, US</t>
        </is>
      </c>
      <c r="H59" s="2" t="n">
        <v>45942</v>
      </c>
      <c r="I5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in-7e7a8d1656d98aba</t>
        </is>
      </c>
      <c r="B60" t="inlineStr">
        <is>
          <t>Principal Applied Scientist, Advertiser Growth, Amazon Sponsored Products &amp; Brands</t>
        </is>
      </c>
      <c r="C60" t="inlineStr">
        <is>
          <t>Amazon.com</t>
        </is>
      </c>
      <c r="D60" t="inlineStr">
        <is>
          <t>indeed</t>
        </is>
      </c>
      <c r="E60">
        <f>HYPERLINK("https://www.indeed.com/viewjob?jk=7e7a8d1656d98aba", "https://www.indeed.com/viewjob?jk=7e7a8d1656d98aba")</f>
        <v/>
      </c>
      <c r="F60">
        <f>HYPERLINK("https://www.amazon.jobs/jobs/3115279/principal-applied-scientist-advertiser-growth-amazon-sponsored-products--brands?cmpid=DA_INAD200785B", "https://www.amazon.jobs/jobs/3115279/principal-applied-scientist-advertiser-growth-amazon-sponsored-products--brands?cmpid=DA_INAD200785B")</f>
        <v/>
      </c>
      <c r="G60" t="inlineStr">
        <is>
          <t>New York, NY, US</t>
        </is>
      </c>
      <c r="H60" s="2" t="n">
        <v>45942</v>
      </c>
      <c r="I6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in-23fafde606498224</t>
        </is>
      </c>
      <c r="B61" t="inlineStr">
        <is>
          <t>Principal Applied Scientist, Advertiser Growth, Amazon Sponsored Products &amp; Brands</t>
        </is>
      </c>
      <c r="C61" t="inlineStr">
        <is>
          <t>Amazon.com</t>
        </is>
      </c>
      <c r="D61" t="inlineStr">
        <is>
          <t>indeed</t>
        </is>
      </c>
      <c r="E61">
        <f>HYPERLINK("https://www.indeed.com/viewjob?jk=23fafde606498224", "https://www.indeed.com/viewjob?jk=23fafde606498224")</f>
        <v/>
      </c>
      <c r="F61">
        <f>HYPERLINK("https://www.amazon.jobs/jobs/3115279/principal-applied-scientist-advertiser-growth-amazon-sponsored-products--brands?cmpid=DA_INAD200785B", "https://www.amazon.jobs/jobs/3115279/principal-applied-scientist-advertiser-growth-amazon-sponsored-products--brands?cmpid=DA_INAD200785B")</f>
        <v/>
      </c>
      <c r="G61" t="inlineStr">
        <is>
          <t>Palo Alto, CA, US</t>
        </is>
      </c>
      <c r="H61" s="2" t="n">
        <v>45942</v>
      </c>
      <c r="I6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in-55dd9949ba0726a5</t>
        </is>
      </c>
      <c r="B62" t="inlineStr">
        <is>
          <t>Principal Applied Scientist, Artificial General Intelligence</t>
        </is>
      </c>
      <c r="C62" t="inlineStr">
        <is>
          <t>Amazon.com</t>
        </is>
      </c>
      <c r="D62" t="inlineStr">
        <is>
          <t>indeed</t>
        </is>
      </c>
      <c r="E62">
        <f>HYPERLINK("https://www.indeed.com/viewjob?jk=55dd9949ba0726a5", "https://www.indeed.com/viewjob?jk=55dd9949ba0726a5")</f>
        <v/>
      </c>
      <c r="F62">
        <f>HYPERLINK("https://www.amazon.jobs/jobs/3092462/principal-applied-scientist-artificial-general-intelligence?cmpid=DA_INAD200785B", "https://www.amazon.jobs/jobs/3092462/principal-applied-scientist-artificial-general-intelligence?cmpid=DA_INAD200785B")</f>
        <v/>
      </c>
      <c r="G62" t="inlineStr">
        <is>
          <t>Sunnyvale, CA, US</t>
        </is>
      </c>
      <c r="H62" s="2" t="n">
        <v>45923</v>
      </c>
      <c r="I6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in-fd47f326cb5bff66</t>
        </is>
      </c>
      <c r="B63" t="inlineStr">
        <is>
          <t>Principal Applied Scientist, Artificial General Intelligence</t>
        </is>
      </c>
      <c r="C63" t="inlineStr">
        <is>
          <t>Amazon.com</t>
        </is>
      </c>
      <c r="D63" t="inlineStr">
        <is>
          <t>indeed</t>
        </is>
      </c>
      <c r="E63">
        <f>HYPERLINK("https://www.indeed.com/viewjob?jk=fd47f326cb5bff66", "https://www.indeed.com/viewjob?jk=fd47f326cb5bff66")</f>
        <v/>
      </c>
      <c r="F63">
        <f>HYPERLINK("https://www.amazon.jobs/jobs/3092462/principal-applied-scientist-artificial-general-intelligence?cmpid=DA_INAD200785B", "https://www.amazon.jobs/jobs/3092462/principal-applied-scientist-artificial-general-intelligence?cmpid=DA_INAD200785B")</f>
        <v/>
      </c>
      <c r="G63" t="inlineStr">
        <is>
          <t>Bellevue, WA, US</t>
        </is>
      </c>
      <c r="H63" s="2" t="n">
        <v>45923</v>
      </c>
      <c r="I6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in-18be53ad5b91b7b7</t>
        </is>
      </c>
      <c r="B64" t="inlineStr">
        <is>
          <t>Principal Applied Scientist, Artificial General Intelligence</t>
        </is>
      </c>
      <c r="C64" t="inlineStr">
        <is>
          <t>Amazon.com</t>
        </is>
      </c>
      <c r="D64" t="inlineStr">
        <is>
          <t>indeed</t>
        </is>
      </c>
      <c r="E64">
        <f>HYPERLINK("https://www.indeed.com/viewjob?jk=18be53ad5b91b7b7", "https://www.indeed.com/viewjob?jk=18be53ad5b91b7b7")</f>
        <v/>
      </c>
      <c r="F64">
        <f>HYPERLINK("https://www.amazon.jobs/jobs/3092462/principal-applied-scientist-artificial-general-intelligence?cmpid=DA_INAD200785B", "https://www.amazon.jobs/jobs/3092462/principal-applied-scientist-artificial-general-intelligence?cmpid=DA_INAD200785B")</f>
        <v/>
      </c>
      <c r="G64" t="inlineStr">
        <is>
          <t>New York, NY, US</t>
        </is>
      </c>
      <c r="H64" s="2" t="n">
        <v>45923</v>
      </c>
      <c r="I6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in-2f4afa8a46d1e629</t>
        </is>
      </c>
      <c r="B65" t="inlineStr">
        <is>
          <t>Principal Applied Scientist, Artificial General Intelligence</t>
        </is>
      </c>
      <c r="C65" t="inlineStr">
        <is>
          <t>Amazon.com</t>
        </is>
      </c>
      <c r="D65" t="inlineStr">
        <is>
          <t>indeed</t>
        </is>
      </c>
      <c r="E65">
        <f>HYPERLINK("https://www.indeed.com/viewjob?jk=2f4afa8a46d1e629", "https://www.indeed.com/viewjob?jk=2f4afa8a46d1e629")</f>
        <v/>
      </c>
      <c r="F65">
        <f>HYPERLINK("https://www.amazon.jobs/jobs/3092462/principal-applied-scientist-artificial-general-intelligence?cmpid=DA_INAD200785B", "https://www.amazon.jobs/jobs/3092462/principal-applied-scientist-artificial-general-intelligence?cmpid=DA_INAD200785B")</f>
        <v/>
      </c>
      <c r="G65" t="inlineStr">
        <is>
          <t>Boston, MA, US</t>
        </is>
      </c>
      <c r="H65" s="2" t="n">
        <v>45923</v>
      </c>
      <c r="I6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in-ed3c5cac31e89149</t>
        </is>
      </c>
      <c r="B66" t="inlineStr">
        <is>
          <t>Senior Applied Scientist, Model Customization, Generative AI Innovation Center</t>
        </is>
      </c>
      <c r="C66" t="inlineStr">
        <is>
          <t>Amazon Web Services</t>
        </is>
      </c>
      <c r="D66" t="inlineStr">
        <is>
          <t>indeed</t>
        </is>
      </c>
      <c r="E66">
        <f>HYPERLINK("https://www.indeed.com/viewjob?jk=ed3c5cac31e89149", "https://www.indeed.com/viewjob?jk=ed3c5cac31e89149")</f>
        <v/>
      </c>
      <c r="F66">
        <f>HYPERLINK("https://www.amazon.jobs/jobs/3088254/senior-applied-scientist-model-customization-generative-ai-innovation-center?cmpid=DA_INAD200785B", "https://www.amazon.jobs/jobs/3088254/senior-applied-scientist-model-customization-generative-ai-innovation-center?cmpid=DA_INAD200785B")</f>
        <v/>
      </c>
      <c r="G66" t="inlineStr">
        <is>
          <t>Seattle, WA, US</t>
        </is>
      </c>
      <c r="H66" s="2" t="n">
        <v>45908</v>
      </c>
      <c r="I6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in-01e7a6a900e8340a</t>
        </is>
      </c>
      <c r="B67" t="inlineStr">
        <is>
          <t>Senior Applied Scientist, Model Customization, Generative AI Innovation Center</t>
        </is>
      </c>
      <c r="C67" t="inlineStr">
        <is>
          <t>Amazon Web Services</t>
        </is>
      </c>
      <c r="D67" t="inlineStr">
        <is>
          <t>indeed</t>
        </is>
      </c>
      <c r="E67">
        <f>HYPERLINK("https://www.indeed.com/viewjob?jk=01e7a6a900e8340a", "https://www.indeed.com/viewjob?jk=01e7a6a900e8340a")</f>
        <v/>
      </c>
      <c r="F67">
        <f>HYPERLINK("https://www.amazon.jobs/jobs/3088254/senior-applied-scientist-model-customization-generative-ai-innovation-center?cmpid=DA_INAD200785B", "https://www.amazon.jobs/jobs/3088254/senior-applied-scientist-model-customization-generative-ai-innovation-center?cmpid=DA_INAD200785B")</f>
        <v/>
      </c>
      <c r="G67" t="inlineStr">
        <is>
          <t>New York, NY, US</t>
        </is>
      </c>
      <c r="H67" s="2" t="n">
        <v>45908</v>
      </c>
      <c r="I6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in-40ff69228f13d1cb</t>
        </is>
      </c>
      <c r="B68" t="inlineStr">
        <is>
          <t>Senior Applied Scientist, Model Customization, Generative AI Innovation Center</t>
        </is>
      </c>
      <c r="C68" t="inlineStr">
        <is>
          <t>Amazon Web Services</t>
        </is>
      </c>
      <c r="D68" t="inlineStr">
        <is>
          <t>indeed</t>
        </is>
      </c>
      <c r="E68">
        <f>HYPERLINK("https://www.indeed.com/viewjob?jk=40ff69228f13d1cb", "https://www.indeed.com/viewjob?jk=40ff69228f13d1cb")</f>
        <v/>
      </c>
      <c r="F68">
        <f>HYPERLINK("https://www.amazon.jobs/jobs/3088254/senior-applied-scientist-model-customization-generative-ai-innovation-center?cmpid=DA_INAD200785B", "https://www.amazon.jobs/jobs/3088254/senior-applied-scientist-model-customization-generative-ai-innovation-center?cmpid=DA_INAD200785B")</f>
        <v/>
      </c>
      <c r="G68" t="inlineStr">
        <is>
          <t>Arlington, VA, US</t>
        </is>
      </c>
      <c r="H68" s="2" t="n">
        <v>45908</v>
      </c>
      <c r="I6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in-ff2601568d54e746</t>
        </is>
      </c>
      <c r="B69" t="inlineStr">
        <is>
          <t>Senior Applied Scientist, Model Customization, Generative AI Innovation Center</t>
        </is>
      </c>
      <c r="C69" t="inlineStr">
        <is>
          <t>Amazon Web Services</t>
        </is>
      </c>
      <c r="D69" t="inlineStr">
        <is>
          <t>indeed</t>
        </is>
      </c>
      <c r="E69">
        <f>HYPERLINK("https://www.indeed.com/viewjob?jk=ff2601568d54e746", "https://www.indeed.com/viewjob?jk=ff2601568d54e746")</f>
        <v/>
      </c>
      <c r="F69">
        <f>HYPERLINK("https://www.amazon.jobs/jobs/3088254/senior-applied-scientist-model-customization-generative-ai-innovation-center?cmpid=DA_INAD200785B", "https://www.amazon.jobs/jobs/3088254/senior-applied-scientist-model-customization-generative-ai-innovation-center?cmpid=DA_INAD200785B")</f>
        <v/>
      </c>
      <c r="G69" t="inlineStr">
        <is>
          <t>Bellevue, WA, US</t>
        </is>
      </c>
      <c r="H69" s="2" t="n">
        <v>45908</v>
      </c>
      <c r="I6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in-26194453beffc0bb</t>
        </is>
      </c>
      <c r="B70" t="inlineStr">
        <is>
          <t>Applied Scientist II, Creative X - RAPID</t>
        </is>
      </c>
      <c r="C70" t="inlineStr">
        <is>
          <t>Amazon.com</t>
        </is>
      </c>
      <c r="D70" t="inlineStr">
        <is>
          <t>indeed</t>
        </is>
      </c>
      <c r="E70">
        <f>HYPERLINK("https://www.indeed.com/viewjob?jk=26194453beffc0bb", "https://www.indeed.com/viewjob?jk=26194453beffc0bb")</f>
        <v/>
      </c>
      <c r="F70">
        <f>HYPERLINK("https://www.amazon.jobs/jobs/3083576/applied-scientist-ii-creative-x--rapid?cmpid=DA_INAD200785B", "https://www.amazon.jobs/jobs/3083576/applied-scientist-ii-creative-x--rapid?cmpid=DA_INAD200785B")</f>
        <v/>
      </c>
      <c r="G70" t="inlineStr">
        <is>
          <t>New York, NY, US</t>
        </is>
      </c>
      <c r="H70" s="2" t="n">
        <v>45908</v>
      </c>
      <c r="I70"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in-bc720b5de95815f3</t>
        </is>
      </c>
      <c r="B71" t="inlineStr">
        <is>
          <t>Applied Scientist II, Creative X - RAPID</t>
        </is>
      </c>
      <c r="C71" t="inlineStr">
        <is>
          <t>Amazon.com</t>
        </is>
      </c>
      <c r="D71" t="inlineStr">
        <is>
          <t>indeed</t>
        </is>
      </c>
      <c r="E71">
        <f>HYPERLINK("https://www.indeed.com/viewjob?jk=bc720b5de95815f3", "https://www.indeed.com/viewjob?jk=bc720b5de95815f3")</f>
        <v/>
      </c>
      <c r="F71">
        <f>HYPERLINK("https://www.amazon.jobs/jobs/3083576/applied-scientist-ii-creative-x--rapid?cmpid=DA_INAD200785B", "https://www.amazon.jobs/jobs/3083576/applied-scientist-ii-creative-x--rapid?cmpid=DA_INAD200785B")</f>
        <v/>
      </c>
      <c r="G71" t="inlineStr">
        <is>
          <t>Seattle, WA, US</t>
        </is>
      </c>
      <c r="H71" s="2" t="n">
        <v>45908</v>
      </c>
      <c r="I71"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in-eece7ddde20b9878</t>
        </is>
      </c>
      <c r="B72" t="inlineStr">
        <is>
          <t>Senior Applied Scientist, Artificial General Intelligence</t>
        </is>
      </c>
      <c r="C72" t="inlineStr">
        <is>
          <t>Amazon.com</t>
        </is>
      </c>
      <c r="D72" t="inlineStr">
        <is>
          <t>indeed</t>
        </is>
      </c>
      <c r="E72">
        <f>HYPERLINK("https://www.indeed.com/viewjob?jk=eece7ddde20b9878", "https://www.indeed.com/viewjob?jk=eece7ddde20b9878")</f>
        <v/>
      </c>
      <c r="F72">
        <f>HYPERLINK("https://www.amazon.jobs/jobs/3078137/senior-applied-scientist-artificial-general-intelligence?cmpid=DA_INAD200785B", "https://www.amazon.jobs/jobs/3078137/senior-applied-scientist-artificial-general-intelligence?cmpid=DA_INAD200785B")</f>
        <v/>
      </c>
      <c r="G72" t="inlineStr">
        <is>
          <t>Cambridge, MA, US</t>
        </is>
      </c>
      <c r="H72" s="2" t="n">
        <v>45907</v>
      </c>
      <c r="I7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in-934c8f563996e771</t>
        </is>
      </c>
      <c r="B73" t="inlineStr">
        <is>
          <t>Senior Applied Scientist, Artificial General Intelligence</t>
        </is>
      </c>
      <c r="C73" t="inlineStr">
        <is>
          <t>Amazon.com</t>
        </is>
      </c>
      <c r="D73" t="inlineStr">
        <is>
          <t>indeed</t>
        </is>
      </c>
      <c r="E73">
        <f>HYPERLINK("https://www.indeed.com/viewjob?jk=934c8f563996e771", "https://www.indeed.com/viewjob?jk=934c8f563996e771")</f>
        <v/>
      </c>
      <c r="F73">
        <f>HYPERLINK("https://www.amazon.jobs/jobs/3078137/senior-applied-scientist-artificial-general-intelligence?cmpid=DA_INAD200785B", "https://www.amazon.jobs/jobs/3078137/senior-applied-scientist-artificial-general-intelligence?cmpid=DA_INAD200785B")</f>
        <v/>
      </c>
      <c r="G73" t="inlineStr">
        <is>
          <t>New York, NY, US</t>
        </is>
      </c>
      <c r="H73" s="2" t="n">
        <v>45907</v>
      </c>
      <c r="I73"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in-33119bb5d84ed5ac</t>
        </is>
      </c>
      <c r="B74" t="inlineStr">
        <is>
          <t>Senior Applied Scientist, Artificial General Intelligence</t>
        </is>
      </c>
      <c r="C74" t="inlineStr">
        <is>
          <t>Amazon.com</t>
        </is>
      </c>
      <c r="D74" t="inlineStr">
        <is>
          <t>indeed</t>
        </is>
      </c>
      <c r="E74">
        <f>HYPERLINK("https://www.indeed.com/viewjob?jk=33119bb5d84ed5ac", "https://www.indeed.com/viewjob?jk=33119bb5d84ed5ac")</f>
        <v/>
      </c>
      <c r="F74">
        <f>HYPERLINK("https://www.amazon.jobs/jobs/3078137/senior-applied-scientist-artificial-general-intelligence?cmpid=DA_INAD200785B", "https://www.amazon.jobs/jobs/3078137/senior-applied-scientist-artificial-general-intelligence?cmpid=DA_INAD200785B")</f>
        <v/>
      </c>
      <c r="G74" t="inlineStr">
        <is>
          <t>Bellevue, WA, US</t>
        </is>
      </c>
      <c r="H74" s="2" t="n">
        <v>45907</v>
      </c>
      <c r="I7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in-bed8c5386ba476e6</t>
        </is>
      </c>
      <c r="B75" t="inlineStr">
        <is>
          <t>Senior Applied Scientist, Artificial General Intelligence</t>
        </is>
      </c>
      <c r="C75" t="inlineStr">
        <is>
          <t>Amazon.com</t>
        </is>
      </c>
      <c r="D75" t="inlineStr">
        <is>
          <t>indeed</t>
        </is>
      </c>
      <c r="E75">
        <f>HYPERLINK("https://www.indeed.com/viewjob?jk=bed8c5386ba476e6", "https://www.indeed.com/viewjob?jk=bed8c5386ba476e6")</f>
        <v/>
      </c>
      <c r="F75">
        <f>HYPERLINK("https://www.amazon.jobs/jobs/3078137/senior-applied-scientist-artificial-general-intelligence?cmpid=DA_INAD200785B", "https://www.amazon.jobs/jobs/3078137/senior-applied-scientist-artificial-general-intelligence?cmpid=DA_INAD200785B")</f>
        <v/>
      </c>
      <c r="G75" t="inlineStr">
        <is>
          <t>Sunnyvale, CA, US</t>
        </is>
      </c>
      <c r="H75" s="2" t="n">
        <v>45907</v>
      </c>
      <c r="I7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in-5a9d2bf90f637c63</t>
        </is>
      </c>
      <c r="B76" t="inlineStr">
        <is>
          <t>Senior Data Scientist, Data and Machine Learning, WWPS US Federal</t>
        </is>
      </c>
      <c r="C76" t="inlineStr">
        <is>
          <t>Amazon Web Services</t>
        </is>
      </c>
      <c r="D76" t="inlineStr">
        <is>
          <t>indeed</t>
        </is>
      </c>
      <c r="E76">
        <f>HYPERLINK("https://www.indeed.com/viewjob?jk=5a9d2bf90f637c63", "https://www.indeed.com/viewjob?jk=5a9d2bf90f637c63")</f>
        <v/>
      </c>
      <c r="F76">
        <f>HYPERLINK("https://www.amazon.jobs/jobs/3054883/senior-data-scientist-data-and-machine-learning-wwps-us-federal?cmpid=DA_INAD200785B", "https://www.amazon.jobs/jobs/3054883/senior-data-scientist-data-and-machine-learning-wwps-us-federal?cmpid=DA_INAD200785B")</f>
        <v/>
      </c>
      <c r="G76" t="inlineStr">
        <is>
          <t>Jessup, MD, US</t>
        </is>
      </c>
      <c r="H76" s="2" t="n">
        <v>45872</v>
      </c>
      <c r="I7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in-ebe141d3b67b4d01</t>
        </is>
      </c>
      <c r="B77" t="inlineStr">
        <is>
          <t>Senior Data Scientist, Data and Machine Learning, WWPS US Federal</t>
        </is>
      </c>
      <c r="C77" t="inlineStr">
        <is>
          <t>Amazon Web Services</t>
        </is>
      </c>
      <c r="D77" t="inlineStr">
        <is>
          <t>indeed</t>
        </is>
      </c>
      <c r="E77">
        <f>HYPERLINK("https://www.indeed.com/viewjob?jk=ebe141d3b67b4d01", "https://www.indeed.com/viewjob?jk=ebe141d3b67b4d01")</f>
        <v/>
      </c>
      <c r="F77">
        <f>HYPERLINK("https://www.amazon.jobs/jobs/3054883/senior-data-scientist-data-and-machine-learning-wwps-us-federal?cmpid=DA_INAD200785B", "https://www.amazon.jobs/jobs/3054883/senior-data-scientist-data-and-machine-learning-wwps-us-federal?cmpid=DA_INAD200785B")</f>
        <v/>
      </c>
      <c r="G77" t="inlineStr">
        <is>
          <t>Herndon, VA, US</t>
        </is>
      </c>
      <c r="H77" s="2" t="n">
        <v>45872</v>
      </c>
      <c r="I77"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in-988d007935a50301</t>
        </is>
      </c>
      <c r="B78" t="inlineStr">
        <is>
          <t>Senior Data Scientist, Data and Machine Learning, WWPS US Federal</t>
        </is>
      </c>
      <c r="C78" t="inlineStr">
        <is>
          <t>Amazon Web Services</t>
        </is>
      </c>
      <c r="D78" t="inlineStr">
        <is>
          <t>indeed</t>
        </is>
      </c>
      <c r="E78">
        <f>HYPERLINK("https://www.indeed.com/viewjob?jk=988d007935a50301", "https://www.indeed.com/viewjob?jk=988d007935a50301")</f>
        <v/>
      </c>
      <c r="F78">
        <f>HYPERLINK("https://www.amazon.jobs/jobs/3054883/senior-data-scientist-data-and-machine-learning-wwps-us-federal?cmpid=DA_INAD200785B", "https://www.amazon.jobs/jobs/3054883/senior-data-scientist-data-and-machine-learning-wwps-us-federal?cmpid=DA_INAD200785B")</f>
        <v/>
      </c>
      <c r="G78" t="inlineStr">
        <is>
          <t>Arlington, VA, US</t>
        </is>
      </c>
      <c r="H78" s="2" t="n">
        <v>45872</v>
      </c>
      <c r="I7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in-bf713925f4e88ad5</t>
        </is>
      </c>
      <c r="B79" t="inlineStr">
        <is>
          <t>Principal Applied Scientist, AGI Foundations, AGI Foundations</t>
        </is>
      </c>
      <c r="C79" t="inlineStr">
        <is>
          <t>Amazon.com</t>
        </is>
      </c>
      <c r="D79" t="inlineStr">
        <is>
          <t>indeed</t>
        </is>
      </c>
      <c r="E79">
        <f>HYPERLINK("https://www.indeed.com/viewjob?jk=bf713925f4e88ad5", "https://www.indeed.com/viewjob?jk=bf713925f4e88ad5")</f>
        <v/>
      </c>
      <c r="F79">
        <f>HYPERLINK("https://www.amazon.jobs/jobs/3047563/principal-applied-scientist-agi-foundations-agi-foundations?cmpid=DA_INAD200785B", "https://www.amazon.jobs/jobs/3047563/principal-applied-scientist-agi-foundations-agi-foundations?cmpid=DA_INAD200785B")</f>
        <v/>
      </c>
      <c r="G79" t="inlineStr">
        <is>
          <t>Sunnyvale, CA, US</t>
        </is>
      </c>
      <c r="H79" s="2" t="n">
        <v>45856</v>
      </c>
      <c r="I7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in-22f77be6e0563e78</t>
        </is>
      </c>
      <c r="B80" t="inlineStr">
        <is>
          <t>Principal Applied Scientist, AGI Foundations, AGI Foundations</t>
        </is>
      </c>
      <c r="C80" t="inlineStr">
        <is>
          <t>Amazon.com</t>
        </is>
      </c>
      <c r="D80" t="inlineStr">
        <is>
          <t>indeed</t>
        </is>
      </c>
      <c r="E80">
        <f>HYPERLINK("https://www.indeed.com/viewjob?jk=22f77be6e0563e78", "https://www.indeed.com/viewjob?jk=22f77be6e0563e78")</f>
        <v/>
      </c>
      <c r="F80">
        <f>HYPERLINK("https://www.amazon.jobs/jobs/3047563/principal-applied-scientist-agi-foundations-agi-foundations?cmpid=DA_INAD200785B", "https://www.amazon.jobs/jobs/3047563/principal-applied-scientist-agi-foundations-agi-foundations?cmpid=DA_INAD200785B")</f>
        <v/>
      </c>
      <c r="G80" t="inlineStr">
        <is>
          <t>Bellevue, WA, US</t>
        </is>
      </c>
      <c r="H80" s="2" t="n">
        <v>45856</v>
      </c>
      <c r="I8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in-88ee1d1fbd9d132c</t>
        </is>
      </c>
      <c r="B81" t="inlineStr">
        <is>
          <t>Principal Applied Scientist, AGI Foundations, AGI Foundations</t>
        </is>
      </c>
      <c r="C81" t="inlineStr">
        <is>
          <t>Amazon.com</t>
        </is>
      </c>
      <c r="D81" t="inlineStr">
        <is>
          <t>indeed</t>
        </is>
      </c>
      <c r="E81">
        <f>HYPERLINK("https://www.indeed.com/viewjob?jk=88ee1d1fbd9d132c", "https://www.indeed.com/viewjob?jk=88ee1d1fbd9d132c")</f>
        <v/>
      </c>
      <c r="F81">
        <f>HYPERLINK("https://www.amazon.jobs/jobs/3047563/principal-applied-scientist-agi-foundations-agi-foundations?cmpid=DA_INAD200785B", "https://www.amazon.jobs/jobs/3047563/principal-applied-scientist-agi-foundations-agi-foundations?cmpid=DA_INAD200785B")</f>
        <v/>
      </c>
      <c r="G81" t="inlineStr">
        <is>
          <t>Boston, MA, US</t>
        </is>
      </c>
      <c r="H81" s="2" t="n">
        <v>45856</v>
      </c>
      <c r="I8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in-e491f34b5dbd44ca</t>
        </is>
      </c>
      <c r="B82" t="inlineStr">
        <is>
          <t>Principal Applied Scientist, AGI Foundations, AGI Foundations</t>
        </is>
      </c>
      <c r="C82" t="inlineStr">
        <is>
          <t>Amazon.com</t>
        </is>
      </c>
      <c r="D82" t="inlineStr">
        <is>
          <t>indeed</t>
        </is>
      </c>
      <c r="E82">
        <f>HYPERLINK("https://www.indeed.com/viewjob?jk=e491f34b5dbd44ca", "https://www.indeed.com/viewjob?jk=e491f34b5dbd44ca")</f>
        <v/>
      </c>
      <c r="F82">
        <f>HYPERLINK("https://www.amazon.jobs/jobs/3047563/principal-applied-scientist-agi-foundations-agi-foundations?cmpid=DA_INAD200785B", "https://www.amazon.jobs/jobs/3047563/principal-applied-scientist-agi-foundations-agi-foundations?cmpid=DA_INAD200785B")</f>
        <v/>
      </c>
      <c r="G82" t="inlineStr">
        <is>
          <t>New York, NY, US</t>
        </is>
      </c>
      <c r="H82" s="2" t="n">
        <v>45856</v>
      </c>
      <c r="I8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in-6a42f8ff5c4634bf</t>
        </is>
      </c>
      <c r="B83" t="inlineStr">
        <is>
          <t>Sr. Applied Scientist, Amazon Advertising</t>
        </is>
      </c>
      <c r="C83" t="inlineStr">
        <is>
          <t>Amazon.com</t>
        </is>
      </c>
      <c r="D83" t="inlineStr">
        <is>
          <t>indeed</t>
        </is>
      </c>
      <c r="E83">
        <f>HYPERLINK("https://www.indeed.com/viewjob?jk=6a42f8ff5c4634bf", "https://www.indeed.com/viewjob?jk=6a42f8ff5c4634bf")</f>
        <v/>
      </c>
      <c r="F83">
        <f>HYPERLINK("https://www.amazon.jobs/jobs/3035686/sr-applied-scientist-amazon-advertising?cmpid=DA_INAD200785B", "https://www.amazon.jobs/jobs/3035686/sr-applied-scientist-amazon-advertising?cmpid=DA_INAD200785B")</f>
        <v/>
      </c>
      <c r="G83" t="inlineStr">
        <is>
          <t>Seattle, WA, US</t>
        </is>
      </c>
      <c r="H83" s="2" t="n">
        <v>45851</v>
      </c>
      <c r="I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in-6c2b11a4848b92de</t>
        </is>
      </c>
      <c r="B84" t="inlineStr">
        <is>
          <t>Sr. Applied Scientist, Amazon Advertising</t>
        </is>
      </c>
      <c r="C84" t="inlineStr">
        <is>
          <t>Amazon.com</t>
        </is>
      </c>
      <c r="D84" t="inlineStr">
        <is>
          <t>indeed</t>
        </is>
      </c>
      <c r="E84">
        <f>HYPERLINK("https://www.indeed.com/viewjob?jk=6c2b11a4848b92de", "https://www.indeed.com/viewjob?jk=6c2b11a4848b92de")</f>
        <v/>
      </c>
      <c r="F84">
        <f>HYPERLINK("https://www.amazon.jobs/jobs/3035686/sr-applied-scientist-amazon-advertising?cmpid=DA_INAD200785B", "https://www.amazon.jobs/jobs/3035686/sr-applied-scientist-amazon-advertising?cmpid=DA_INAD200785B")</f>
        <v/>
      </c>
      <c r="G84" t="inlineStr">
        <is>
          <t>Los Angeles, CA, US</t>
        </is>
      </c>
      <c r="H84" s="2" t="n">
        <v>45851</v>
      </c>
      <c r="I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in-9fa59e6c21a55799</t>
        </is>
      </c>
      <c r="B85" t="inlineStr">
        <is>
          <t>Sr. Applied Scientist, Amazon Advertising</t>
        </is>
      </c>
      <c r="C85" t="inlineStr">
        <is>
          <t>Amazon.com</t>
        </is>
      </c>
      <c r="D85" t="inlineStr">
        <is>
          <t>indeed</t>
        </is>
      </c>
      <c r="E85">
        <f>HYPERLINK("https://www.indeed.com/viewjob?jk=9fa59e6c21a55799", "https://www.indeed.com/viewjob?jk=9fa59e6c21a55799")</f>
        <v/>
      </c>
      <c r="F85">
        <f>HYPERLINK("https://www.amazon.jobs/jobs/3035686/sr-applied-scientist-amazon-advertising?cmpid=DA_INAD200785B", "https://www.amazon.jobs/jobs/3035686/sr-applied-scientist-amazon-advertising?cmpid=DA_INAD200785B")</f>
        <v/>
      </c>
      <c r="G85" t="inlineStr">
        <is>
          <t>West Hollywood, CA, US</t>
        </is>
      </c>
      <c r="H85" s="2" t="n">
        <v>45851</v>
      </c>
      <c r="I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in-3f77eb24ea8a15e7</t>
        </is>
      </c>
      <c r="B86" t="inlineStr">
        <is>
          <t>Sr. Applied Scientist, Amazon Advertising</t>
        </is>
      </c>
      <c r="C86" t="inlineStr">
        <is>
          <t>Amazon.com</t>
        </is>
      </c>
      <c r="D86" t="inlineStr">
        <is>
          <t>indeed</t>
        </is>
      </c>
      <c r="E86">
        <f>HYPERLINK("https://www.indeed.com/viewjob?jk=3f77eb24ea8a15e7", "https://www.indeed.com/viewjob?jk=3f77eb24ea8a15e7")</f>
        <v/>
      </c>
      <c r="F86">
        <f>HYPERLINK("https://www.amazon.jobs/jobs/3035686/sr-applied-scientist-amazon-advertising?cmpid=DA_INAD200785B", "https://www.amazon.jobs/jobs/3035686/sr-applied-scientist-amazon-advertising?cmpid=DA_INAD200785B")</f>
        <v/>
      </c>
      <c r="G86" t="inlineStr">
        <is>
          <t>Palo Alto, CA, US</t>
        </is>
      </c>
      <c r="H86" s="2" t="n">
        <v>45851</v>
      </c>
      <c r="I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in-9682df91719c0c9b</t>
        </is>
      </c>
      <c r="B87" t="inlineStr">
        <is>
          <t>Sr. Applied Scientist, Amazon Advertising</t>
        </is>
      </c>
      <c r="C87" t="inlineStr">
        <is>
          <t>Amazon.com</t>
        </is>
      </c>
      <c r="D87" t="inlineStr">
        <is>
          <t>indeed</t>
        </is>
      </c>
      <c r="E87">
        <f>HYPERLINK("https://www.indeed.com/viewjob?jk=9682df91719c0c9b", "https://www.indeed.com/viewjob?jk=9682df91719c0c9b")</f>
        <v/>
      </c>
      <c r="F87">
        <f>HYPERLINK("https://www.amazon.jobs/jobs/3035686/sr-applied-scientist-amazon-advertising?cmpid=DA_INAD200785B", "https://www.amazon.jobs/jobs/3035686/sr-applied-scientist-amazon-advertising?cmpid=DA_INAD200785B")</f>
        <v/>
      </c>
      <c r="G87" t="inlineStr">
        <is>
          <t>Simi Valley, CA, US</t>
        </is>
      </c>
      <c r="H87" s="2" t="n">
        <v>45851</v>
      </c>
      <c r="I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in-f45a1af431a3b887</t>
        </is>
      </c>
      <c r="B88" t="inlineStr">
        <is>
          <t>Sr. Applied Scientist, Amazon Advertising</t>
        </is>
      </c>
      <c r="C88" t="inlineStr">
        <is>
          <t>Amazon.com</t>
        </is>
      </c>
      <c r="D88" t="inlineStr">
        <is>
          <t>indeed</t>
        </is>
      </c>
      <c r="E88">
        <f>HYPERLINK("https://www.indeed.com/viewjob?jk=f45a1af431a3b887", "https://www.indeed.com/viewjob?jk=f45a1af431a3b887")</f>
        <v/>
      </c>
      <c r="F88">
        <f>HYPERLINK("https://www.amazon.jobs/jobs/3035686/sr-applied-scientist-amazon-advertising?cmpid=DA_INAD200785B", "https://www.amazon.jobs/jobs/3035686/sr-applied-scientist-amazon-advertising?cmpid=DA_INAD200785B")</f>
        <v/>
      </c>
      <c r="G88" t="inlineStr">
        <is>
          <t>New York, NY, US</t>
        </is>
      </c>
      <c r="H88" s="2" t="n">
        <v>45851</v>
      </c>
      <c r="I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in-8bba254bed77a9d1</t>
        </is>
      </c>
      <c r="B89" t="inlineStr">
        <is>
          <t>Sr. Applied Scientist, Amazon Advertising</t>
        </is>
      </c>
      <c r="C89" t="inlineStr">
        <is>
          <t>Amazon.com</t>
        </is>
      </c>
      <c r="D89" t="inlineStr">
        <is>
          <t>indeed</t>
        </is>
      </c>
      <c r="E89">
        <f>HYPERLINK("https://www.indeed.com/viewjob?jk=8bba254bed77a9d1", "https://www.indeed.com/viewjob?jk=8bba254bed77a9d1")</f>
        <v/>
      </c>
      <c r="F89">
        <f>HYPERLINK("https://www.amazon.jobs/jobs/3035686/sr-applied-scientist-amazon-advertising?cmpid=DA_INAD200785B", "https://www.amazon.jobs/jobs/3035686/sr-applied-scientist-amazon-advertising?cmpid=DA_INAD200785B")</f>
        <v/>
      </c>
      <c r="G89" t="inlineStr">
        <is>
          <t>Austin, TX, US</t>
        </is>
      </c>
      <c r="H89" s="2" t="n">
        <v>45851</v>
      </c>
      <c r="I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in-c75f094d5fd4ce80</t>
        </is>
      </c>
      <c r="B90" t="inlineStr">
        <is>
          <t>Sr. Applied Scientist, Amazon Advertising</t>
        </is>
      </c>
      <c r="C90" t="inlineStr">
        <is>
          <t>Amazon.com</t>
        </is>
      </c>
      <c r="D90" t="inlineStr">
        <is>
          <t>indeed</t>
        </is>
      </c>
      <c r="E90">
        <f>HYPERLINK("https://www.indeed.com/viewjob?jk=c75f094d5fd4ce80", "https://www.indeed.com/viewjob?jk=c75f094d5fd4ce80")</f>
        <v/>
      </c>
      <c r="F90">
        <f>HYPERLINK("https://www.amazon.jobs/jobs/3035686/sr-applied-scientist-amazon-advertising?cmpid=DA_INAD200785B", "https://www.amazon.jobs/jobs/3035686/sr-applied-scientist-amazon-advertising?cmpid=DA_INAD200785B")</f>
        <v/>
      </c>
      <c r="G90" t="inlineStr">
        <is>
          <t>Arlington, VA, US</t>
        </is>
      </c>
      <c r="H90" s="2" t="n">
        <v>45851</v>
      </c>
      <c r="I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in-649bd3618ab48b08</t>
        </is>
      </c>
      <c r="B91" t="inlineStr">
        <is>
          <t>Sr. Data Scientist, Amazon Leo Global Planning, Amazon Leo</t>
        </is>
      </c>
      <c r="C91" t="inlineStr">
        <is>
          <t>Amazon.com</t>
        </is>
      </c>
      <c r="D91" t="inlineStr">
        <is>
          <t>indeed</t>
        </is>
      </c>
      <c r="E91">
        <f>HYPERLINK("https://www.indeed.com/viewjob?jk=649bd3618ab48b08", "https://www.indeed.com/viewjob?jk=649bd3618ab48b08")</f>
        <v/>
      </c>
      <c r="F91">
        <f>HYPERLINK("https://www.amazon.jobs/jobs/3016062/sr-data-scientist-amazon-leo-global-planning-amazon-leo?cmpid=DA_INAD200785B", "https://www.amazon.jobs/jobs/3016062/sr-data-scientist-amazon-leo-global-planning-amazon-leo?cmpid=DA_INAD200785B")</f>
        <v/>
      </c>
      <c r="G91" t="inlineStr">
        <is>
          <t>Bellevue, WA, US</t>
        </is>
      </c>
      <c r="H91" s="2" t="n">
        <v>45830</v>
      </c>
      <c r="I91"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in-75e43bcf23107c7a</t>
        </is>
      </c>
      <c r="B92" t="inlineStr">
        <is>
          <t>Sr. Data Scientist, Amazon Leo Global Planning, Amazon Leo</t>
        </is>
      </c>
      <c r="C92" t="inlineStr">
        <is>
          <t>Amazon.com</t>
        </is>
      </c>
      <c r="D92" t="inlineStr">
        <is>
          <t>indeed</t>
        </is>
      </c>
      <c r="E92">
        <f>HYPERLINK("https://www.indeed.com/viewjob?jk=75e43bcf23107c7a", "https://www.indeed.com/viewjob?jk=75e43bcf23107c7a")</f>
        <v/>
      </c>
      <c r="F92">
        <f>HYPERLINK("https://www.amazon.jobs/jobs/3016062/sr-data-scientist-amazon-leo-global-planning-amazon-leo?cmpid=DA_INAD200785B", "https://www.amazon.jobs/jobs/3016062/sr-data-scientist-amazon-leo-global-planning-amazon-leo?cmpid=DA_INAD200785B")</f>
        <v/>
      </c>
      <c r="G92" t="inlineStr">
        <is>
          <t>Redmond, WA, US</t>
        </is>
      </c>
      <c r="H92" s="2" t="n">
        <v>45830</v>
      </c>
      <c r="I92"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in-52fd3a134996984d</t>
        </is>
      </c>
      <c r="B93" t="inlineStr">
        <is>
          <t>Sr. Applied Scientist, Sales AI</t>
        </is>
      </c>
      <c r="C93" t="inlineStr">
        <is>
          <t>Amazon.com</t>
        </is>
      </c>
      <c r="D93" t="inlineStr">
        <is>
          <t>indeed</t>
        </is>
      </c>
      <c r="E93">
        <f>HYPERLINK("https://www.indeed.com/viewjob?jk=52fd3a134996984d", "https://www.indeed.com/viewjob?jk=52fd3a134996984d")</f>
        <v/>
      </c>
      <c r="F93">
        <f>HYPERLINK("https://www.amazon.jobs/jobs/3020528/sr-applied-scientist-sales-ai?cmpid=DA_INAD200785B", "https://www.amazon.jobs/jobs/3020528/sr-applied-scientist-sales-ai?cmpid=DA_INAD200785B")</f>
        <v/>
      </c>
      <c r="G93" t="inlineStr">
        <is>
          <t>Seattle, WA, US</t>
        </is>
      </c>
      <c r="H93" s="2" t="n">
        <v>45830</v>
      </c>
      <c r="I9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in-542352becfd61d4c</t>
        </is>
      </c>
      <c r="B94" t="inlineStr">
        <is>
          <t>Sr. Applied Scientist, Sales AI</t>
        </is>
      </c>
      <c r="C94" t="inlineStr">
        <is>
          <t>Amazon.com</t>
        </is>
      </c>
      <c r="D94" t="inlineStr">
        <is>
          <t>indeed</t>
        </is>
      </c>
      <c r="E94">
        <f>HYPERLINK("https://www.indeed.com/viewjob?jk=542352becfd61d4c", "https://www.indeed.com/viewjob?jk=542352becfd61d4c")</f>
        <v/>
      </c>
      <c r="F94">
        <f>HYPERLINK("https://www.amazon.jobs/jobs/3020528/sr-applied-scientist-sales-ai?cmpid=DA_INAD200785B", "https://www.amazon.jobs/jobs/3020528/sr-applied-scientist-sales-ai?cmpid=DA_INAD200785B")</f>
        <v/>
      </c>
      <c r="G94" t="inlineStr">
        <is>
          <t>New York, NY, US</t>
        </is>
      </c>
      <c r="H94" s="2" t="n">
        <v>45830</v>
      </c>
      <c r="I9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in-cb9d5805bc5280b5</t>
        </is>
      </c>
      <c r="B95" t="inlineStr">
        <is>
          <t>Sr. Applied Scientist, Sales AI</t>
        </is>
      </c>
      <c r="C95" t="inlineStr">
        <is>
          <t>Amazon.com</t>
        </is>
      </c>
      <c r="D95" t="inlineStr">
        <is>
          <t>indeed</t>
        </is>
      </c>
      <c r="E95">
        <f>HYPERLINK("https://www.indeed.com/viewjob?jk=cb9d5805bc5280b5", "https://www.indeed.com/viewjob?jk=cb9d5805bc5280b5")</f>
        <v/>
      </c>
      <c r="F95">
        <f>HYPERLINK("https://www.amazon.jobs/jobs/3020528/sr-applied-scientist-sales-ai?cmpid=DA_INAD200785B", "https://www.amazon.jobs/jobs/3020528/sr-applied-scientist-sales-ai?cmpid=DA_INAD200785B")</f>
        <v/>
      </c>
      <c r="G95" t="inlineStr">
        <is>
          <t>Sunnyvale, CA, US</t>
        </is>
      </c>
      <c r="H95" s="2" t="n">
        <v>45830</v>
      </c>
      <c r="I9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in-2ec318cf9e1d34c1</t>
        </is>
      </c>
      <c r="B96" t="inlineStr">
        <is>
          <t>Sr. Applied Scientist, Prime Video - Personalization and Discovery Science</t>
        </is>
      </c>
      <c r="C96" t="inlineStr">
        <is>
          <t>Amazon.com</t>
        </is>
      </c>
      <c r="D96" t="inlineStr">
        <is>
          <t>indeed</t>
        </is>
      </c>
      <c r="E96">
        <f>HYPERLINK("https://www.indeed.com/viewjob?jk=2ec318cf9e1d34c1", "https://www.indeed.com/viewjob?jk=2ec318cf9e1d34c1")</f>
        <v/>
      </c>
      <c r="F96">
        <f>HYPERLINK("https://www.amazon.jobs/jobs/3011754/sr-applied-scientist-prime-video--personalization-and-discovery-science?cmpid=DA_INAD200785B", "https://www.amazon.jobs/jobs/3011754/sr-applied-scientist-prime-video--personalization-and-discovery-science?cmpid=DA_INAD200785B")</f>
        <v/>
      </c>
      <c r="G96" t="inlineStr">
        <is>
          <t>Sunnyvale, CA, US</t>
        </is>
      </c>
      <c r="H96" s="2" t="n">
        <v>45819</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in-1c00c43fe1a60802</t>
        </is>
      </c>
      <c r="B97" t="inlineStr">
        <is>
          <t>Sr. Applied Scientist, Prime Video - Personalization and Discovery Science</t>
        </is>
      </c>
      <c r="C97" t="inlineStr">
        <is>
          <t>Amazon.com</t>
        </is>
      </c>
      <c r="D97" t="inlineStr">
        <is>
          <t>indeed</t>
        </is>
      </c>
      <c r="E97">
        <f>HYPERLINK("https://www.indeed.com/viewjob?jk=1c00c43fe1a60802", "https://www.indeed.com/viewjob?jk=1c00c43fe1a60802")</f>
        <v/>
      </c>
      <c r="F97">
        <f>HYPERLINK("https://www.amazon.jobs/jobs/3011754/sr-applied-scientist-prime-video--personalization-and-discovery-science?cmpid=DA_INAD200785B", "https://www.amazon.jobs/jobs/3011754/sr-applied-scientist-prime-video--personalization-and-discovery-science?cmpid=DA_INAD200785B")</f>
        <v/>
      </c>
      <c r="G97" t="inlineStr">
        <is>
          <t>Seattle, WA, US</t>
        </is>
      </c>
      <c r="H97" s="2" t="n">
        <v>45819</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in-01b3966c60186d79</t>
        </is>
      </c>
      <c r="B98" t="inlineStr">
        <is>
          <t>Sr. Applied Scientist, AGI Info</t>
        </is>
      </c>
      <c r="C98" t="inlineStr">
        <is>
          <t>Amazon.com</t>
        </is>
      </c>
      <c r="D98" t="inlineStr">
        <is>
          <t>indeed</t>
        </is>
      </c>
      <c r="E98">
        <f>HYPERLINK("https://www.indeed.com/viewjob?jk=01b3966c60186d79", "https://www.indeed.com/viewjob?jk=01b3966c60186d79")</f>
        <v/>
      </c>
      <c r="F98">
        <f>HYPERLINK("https://www.amazon.jobs/jobs/2999351/sr-applied-scientist-agi-info?cmpid=DA_INAD200785B", "https://www.amazon.jobs/jobs/2999351/sr-applied-scientist-agi-info?cmpid=DA_INAD200785B")</f>
        <v/>
      </c>
      <c r="G98" t="inlineStr">
        <is>
          <t>Bellevue, WA, US</t>
        </is>
      </c>
      <c r="H98" s="2" t="n">
        <v>45811</v>
      </c>
      <c r="I98"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in-64e39fd898e325c7</t>
        </is>
      </c>
      <c r="B99" t="inlineStr">
        <is>
          <t>Sr. Applied Scientist, AGI Info</t>
        </is>
      </c>
      <c r="C99" t="inlineStr">
        <is>
          <t>Amazon.com</t>
        </is>
      </c>
      <c r="D99" t="inlineStr">
        <is>
          <t>indeed</t>
        </is>
      </c>
      <c r="E99">
        <f>HYPERLINK("https://www.indeed.com/viewjob?jk=64e39fd898e325c7", "https://www.indeed.com/viewjob?jk=64e39fd898e325c7")</f>
        <v/>
      </c>
      <c r="F99">
        <f>HYPERLINK("https://www.amazon.jobs/jobs/2999351/sr-applied-scientist-agi-info?cmpid=DA_INAD200785B", "https://www.amazon.jobs/jobs/2999351/sr-applied-scientist-agi-info?cmpid=DA_INAD200785B")</f>
        <v/>
      </c>
      <c r="G99" t="inlineStr">
        <is>
          <t>Sunnyvale, CA, US</t>
        </is>
      </c>
      <c r="H99" s="2" t="n">
        <v>45811</v>
      </c>
      <c r="I99"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in-7a9f06800792f565</t>
        </is>
      </c>
      <c r="B100" t="inlineStr">
        <is>
          <t>Principal Applied Scientist, FAR (Frontier AI &amp; Robotics)</t>
        </is>
      </c>
      <c r="C100" t="inlineStr">
        <is>
          <t>Amazon.com</t>
        </is>
      </c>
      <c r="D100" t="inlineStr">
        <is>
          <t>indeed</t>
        </is>
      </c>
      <c r="E100">
        <f>HYPERLINK("https://www.indeed.com/viewjob?jk=7a9f06800792f565", "https://www.indeed.com/viewjob?jk=7a9f06800792f565")</f>
        <v/>
      </c>
      <c r="F100">
        <f>HYPERLINK("https://www.amazon.jobs/jobs/2938625/principal-applied-scientist-far-frontier-ai--robotics?cmpid=DA_INAD200785B", "https://www.amazon.jobs/jobs/2938625/principal-applied-scientist-far-frontier-ai--robotics?cmpid=DA_INAD200785B")</f>
        <v/>
      </c>
      <c r="G100" t="inlineStr">
        <is>
          <t>San Francisco, CA, US</t>
        </is>
      </c>
      <c r="H100" s="2" t="n">
        <v>45740</v>
      </c>
      <c r="I10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in-7747684588e556fc</t>
        </is>
      </c>
      <c r="B101" t="inlineStr">
        <is>
          <t>Principal Applied Scientist, FAR (Frontier AI &amp; Robotics)</t>
        </is>
      </c>
      <c r="C101" t="inlineStr">
        <is>
          <t>Amazon.com</t>
        </is>
      </c>
      <c r="D101" t="inlineStr">
        <is>
          <t>indeed</t>
        </is>
      </c>
      <c r="E101">
        <f>HYPERLINK("https://www.indeed.com/viewjob?jk=7747684588e556fc", "https://www.indeed.com/viewjob?jk=7747684588e556fc")</f>
        <v/>
      </c>
      <c r="F101">
        <f>HYPERLINK("https://www.amazon.jobs/jobs/2938625/principal-applied-scientist-far-frontier-ai--robotics?cmpid=DA_INAD200785B", "https://www.amazon.jobs/jobs/2938625/principal-applied-scientist-far-frontier-ai--robotics?cmpid=DA_INAD200785B")</f>
        <v/>
      </c>
      <c r="G101" t="inlineStr">
        <is>
          <t>Seattle, WA, US</t>
        </is>
      </c>
      <c r="H101" s="2" t="n">
        <v>45740</v>
      </c>
      <c r="I10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in-ba19027d6547e211</t>
        </is>
      </c>
      <c r="B102" t="inlineStr">
        <is>
          <t>DATA SCIENTIST/MACHINE LEARNING (ML) ENGINEER - 74416</t>
        </is>
      </c>
      <c r="C102" t="inlineStr">
        <is>
          <t>Tennessee Department of Finance &amp; Administration</t>
        </is>
      </c>
      <c r="D102" t="inlineStr">
        <is>
          <t>indeed</t>
        </is>
      </c>
      <c r="E102">
        <f>HYPERLINK("https://www.indeed.com/viewjob?jk=ba19027d6547e211", "https://www.indeed.com/viewjob?jk=ba19027d6547e211")</f>
        <v/>
      </c>
      <c r="F102">
        <f>HYPERLINK("https://stateoftn-careers.ttcportals.com/jobs/17214480-data-scientist-slash-machine-learning-ml-engineer-74416?tm_job=74416-1A&amp;tm_event=view&amp;tm_company=47469", "https://stateoftn-careers.ttcportals.com/jobs/17214480-data-scientist-slash-machine-learning-ml-engineer-74416?tm_job=74416-1A&amp;tm_event=view&amp;tm_company=47469")</f>
        <v/>
      </c>
      <c r="G102" t="inlineStr">
        <is>
          <t>Nashville, TN, US</t>
        </is>
      </c>
      <c r="H102" s="2" t="n">
        <v>46035</v>
      </c>
      <c r="I102" t="inlineStr">
        <is>
          <t>**Executive Service**
**DATA SCIENTIST/MACHINE LEARNING (ML) ENGINEER**
-------------------------------------------------
### **Finance \&amp; Administration**
### **Strategic Technology Solutions**
### **Nashville, TN**
### **Salary: $11,353\.00/monthly\-$14,750\.00/Monthly $136,236\.00/yearly\-$177,000\.00/yearly**
### **Closing Date: 01/27/2026**
This position is designed as Hybrid.
 **Background Check:**
Requires CJIS/FTI Fingerprints and name\-based checks. This position requires a criminal background check. Therefore, you may be required to provide information about your criminal history in order to be considered for this position.
 **Who we are and what we do:**
The Data Scientist leverages advanced analytics, machine learning, and AI techniques to solve complex business problems. This role involves translating business needs into data\-driven solutions, performing exploratory analysis, and developing predictive and generative models. The ideal candidate combines strong technical expertise with business acumen and thrives in collaborative environments.
**How you make a difference in this role:**
See key responsibilities below.
**Key Responsibilities:**
* Works closely with agencies and STSs functional, engineering, and technology teams to solve difficult, non\-routine analysis problems, applying advanced analytical methods as needed.
* Conducts end\-to\-end analysis that includes data gathering and requirements specification, processing, analysis, ongoing deliverables, and presentations.
* Develop, validate, and deploy machine learning and AI models, including GenAI frameworks.
* Conduct feature engineering and optimize algorithms for performance.
* Communicate insights and recommendations through clear visualizations and presentations.
* Collaborate with stakeholders, engineers, and MLOps teams to integrate solutions into production.
* Research emerging technologies and contribute to internal innovation initiatives
***Required Skills \&amp; Qualifications:***
* Proficiency in Python and data analysis libraries (e.g., Pandas, NumPy, Scikit\-learn).
* Experience with GenAI frameworks and deep learning techniques such as retrieval augmented generation (RAG), AI agents, and model fine\-tuning.
* Experience with SQL and data manipulation (e.g., Snowflake, Redshift).
* Strong understanding of statistical modeling, machine learning, and AI concepts.
* Familiarity with AWS\-based AI tools (Bedrock, Sagemaker). Ability to communicate technical concepts to non\-technical audiences.
**Minimum Qualifications:**
***Preferred Skills:***
* Knowledge of data visualization tools (Tableau, Power BI).
* Familiarity with MLOps practices and version control (Git). Exposure to cloud\-based data pipelines and streaming technologies.
* Ability to write scripts to automate ETL tasks Actively participates and contributes in brain\-storming session.
* Can work seamlessly with people from other disciplines: IT engineers, Agency SMEs, business consultants
**Education \&amp; Experience:** Bachelors degree in a quantitative field (Computer Science, Statistics, Mathematics, Engineering). Masters degree preferred. 2\+ years of experience in data science, analytics, or related roles.
*Pursuant to the State of Tennessee's Workplace Discrimination and Harassment policy, the State is firmly committed to the principle of fair and equal employment opportunities for its citizens and strives to protect the rights and opportunities of all people to seek, obtain, and hold employment without being subjected to illegal discrimination and harassment in the workplace. It is the State's policy to provide an environment free of discrimination and harassment of an individual because of that person's race, color, national origin, age (40 and over), sex, pregnancy, religion, creed, disability, veteran's status or any other category protected by state and/or federal civil rights laws.*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li-4338906519</t>
        </is>
      </c>
      <c r="B2" t="inlineStr">
        <is>
          <t>Data Scientist (Intelligence) - Remote</t>
        </is>
      </c>
      <c r="C2" t="inlineStr">
        <is>
          <t>Teamworks</t>
        </is>
      </c>
      <c r="D2" t="inlineStr">
        <is>
          <t>linkedin</t>
        </is>
      </c>
      <c r="E2">
        <f>HYPERLINK("https://www.linkedin.com/jobs/view/4338906519", "https://www.linkedin.com/jobs/view/4338906519")</f>
        <v/>
      </c>
      <c r="F2">
        <f>HYPERLINK("https://ats.rippling.com/teamworks-careers/jobs/5930b338-54b0-4b31-9e64-74b3e3b387b4?jobSite=LinkedIn&amp;urlHash=y7JN", "https://ats.rippling.com/teamworks-careers/jobs/5930b338-54b0-4b31-9e64-74b3e3b387b4?jobSite=LinkedIn&amp;urlHash=y7JN")</f>
        <v/>
      </c>
      <c r="G2" t="inlineStr"/>
      <c r="H2" t="inlineStr"/>
      <c r="I2" t="inlineStr">
        <is>
          <t>Teamworks, the Operating System for Sports™, powers more than 6,500 sports organizations worldwide, including collegiate athletic departments and teams across all major professional leagues. With almost 500 exceptional employees located in over a dozen different countries, Teamworks’ software solutions drive the operations of the most recognizable sports properties in the world.
 Teamworks Intelligence, formerly Zelus Analytics, is the sports analytics division of Teamworks, focused on delivering cutting\-edge insights to elite teams through advanced data science. We use advanced machine learning to deliver sport\-specific predictive models and metrics that inform everything from athlete evaluation and roster construction to contract valuation and game strategy. We're hiring Data Scientists at all levels across multiple sports—including Football, Baseball, Basketball, and Ice Hockey—to help build the next generation of sports intelligence solutions. These roles offer opportunities to work directly with professional and collegiate teams to provide actionable insights and drive innovation in sports intelligence.
 This is an exciting opportunity to help shape the future of athlete performance management in one of the fastest\-growing companies in sports tech.
**Game Plan \- How You'll Drive Impact**
* Build end\-to\-end data science solutions involving predictive models, data retrieval, statistical modeling, and productionalization
* Design and implement sports analytics tools and metrics for athlete evaluation and roster optimization
* Lead the design and development of complex, high\-impact data science tools involving technically complex methodology
* Contribute to project design decisions, applying standard patterns and best practices
* Manage tasks and priorities independently, making strategic decisions with appropriate oversight
* Actively participate in team discussions and engage in cross\-functional collaboration with engineering teams
* Drive conversations with stakeholders to align technical solutions with business objectives
* Provide technical mentorship and guidance to data scientists, fostering innovation and best practices
* Contribute to the evolution of Teamworks Intelligence products through deep product knowledge
* Solve complex, cross\-functional problems and navigate high ambiguity situations
* Engage with sports operations teams to translate complex analytics into actionable insights for elite performance
* Work with Python, R, and SQL to build comprehensive sports intelligence solutions
**Player Profile \- What You Bring To The Team**
* Strong to extensive experience working with sports data and analytics, with understanding of athlete evaluation methodologies
* Solid to deep foundation in statistical modeling, machine learning techniques, optimization, and predictive analytics
* Proficiency in building and implementing data science solutions from concept to deployment
* Experience working with large, complex datasets, database systems, and tracking data
* Advanced proficiency in cloud\-based computing platforms for large\-scale data processing and model deployment
* Ability to communicate technical concepts effectively to both technical and non\-technical stakeholders
* Understanding of collaborative development practices including version control and code review processes
* Proven track record of leading complex data science projects from conception through production
* Strong technical leadership skills with experience mentoring and developing team members
* Excellent communication abilities, with proven success translating technical findings to sports operations stakeholders
**The Ideal Recruit \- Skills \&amp; Experience**
* Advanced degree (Master's or PhD) in Statistics, Data Science, Computer Science, or related quantitative field
* Demonstrated experience applying data science techniques to sports analytics or similar domains
* Familiarity with distributed computing concepts and cloud\-based data processing
* Experience with sports tracking data, athlete evaluation metrics, or team analytics
* Understanding of Agile project management methodologies
* Track record of delivering data science projects from concept to production
* Experience in sports analytics with professional or collegiate teams is highly valued
* Expertise in MLOps practices and production\-scale model deployment is a plus
* Track record of publishing research or presenting at sports analytics conferences is a plus
* Proven ability to mentor team members and lead technical initiatives is a plus
**Champion Mindset \- Traits For Success**
* Curiosity and passion for sports and data\-driven insights
* Strong work ethic and commitment to delivering high\-quality results
* Collaborative mindset with ability to learn from and support teammates
* Adaptability and openness to feedback in a dynamic environment
* Self\-motivated with ability to manage priorities and deliver results
* Excellent communication skills and strategic thinking capabilities
* Visionary mindset with ability to identify and drive innovative research opportunities
* Strong leadership qualities with commitment to developing and mentoring team members
* Passion for pushing the boundaries of sports analytics and contributing to the broader data science community
* Aligned with our core values: honesty, humility, hard work, commitment, innovation, and exceptionalism
**The Perks Of Playing For Teamworks**
 At Teamworks, you’re not just joining a company—you’re joining a team that’s shaping the future of sports. We believe that success starts with investing in our people, and here’s how we support and reward every teammate:
* Play to Win: Grow your career as we grow. Shape the future of sports technology while building a career that scales with your ambition.
* Winning Culture: Join a global team of high achievers, innovators, and problem solvers who value teamwork and humility.
* Competitive Compensation: Earn a competitive salary, performance\-based incentives, and equity so you share in our success.
* Comprehensive Benefits: Access region\-specific benefits designed to support your well\-being, including health coverage, life and disability insurance, retirement plans, unlimited paid time off, flexible and remote work options, catered lunches (where applicable), and more.
* Investing in Your Growth: Receive stipends for learning and development, home office equipment, and company gear to set you up for success—no matter where you are in the world.
**Compensation Philosophy**
 For this role, the salary range is
 ****$120,000 to $160,000,****
 with your final offer determined by your experience, skills, and interview performance.
 We’ve built our compensation framework to attract, retain, and reward top performers. We believe in pay for performance, ensuring that your growth and impact are reflected in your rewards. As Teamworks grows, so do your opportunities—whether that’s through advancing your career, contributing to game\-changing innovations, or building long\-term financial security.
 We continuously review and refine our compensation practices to ensure fairness and alignment with both company goals and individual aspirations. We encourage open discussions about career growth and compensation, and your hiring manager is always available to answer your questions.
 At Teamworks, we’re committed to supporting you in and out of the game—empowering you to do your best work while enjoying meaningful rewards.
**Inside Our Locker Room**
 Teamworks is the leading operating system for elite sports, empowering organizations worldwide to optimize performance, streamline operations, and unlock athlete potential. Founded in 2006, we’ve grown from a messaging platform for collegiate football into a global leader with over $165 million in funding and a technology suite that supports every phase of the athlete lifecycle.
**Our Solutions Span Four Key Categories**
* Personnel: Manage the complete roster lifecycle, from recruiting and NIL management to financial operations.
* Performance: Optimize athlete health and training with advanced tools for nutrition, strength \&amp; conditioning, and holistic performance tracking.
* Operations: Streamline logistics, communication, compliance, and inventory management to keep teams running efficiently.
* Intelligence: Leverage data\-driven insights to inform decisions and maximize competitive advantage across professional and collegiate sports.
 At Teamworks, we’re driven by innovation and a passion for sports. We serve more than 6,500 sports organizations globally, helping teams achieve excellence on and off the field. Join us and be part of the future of sports technology.
 Our offices are open for work, collaboration, and optional team\-building events – but as a remote\-first company, we also have teammates working from places across the globe, including New York, London, Perth, and Austin.
**What To Expect When Interviewing At Teamworks**
 Our interview process is designed to be transparent, engaging, and reflective of our team culture. You can expect authentic conversations, clear steps, and the opportunity to connect with key team members. We encourage you to ask questions and get to know us as much as we get to know you.
 Learn more about our process here.
****Teamworks is an equal opportunity employer \- if you live our core values every day and are honest, hardworking, humble, committed, innovative, and an all\-around exceptional person, you'll thrive at Teamworks. We are committed to building a diverse and inclusive workforce and take affirmative action to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This policy applies to all employment practices within our organization, including but not limited to recruiting, hiring, promotion, termination, compensation, benefits, and training. Teamworks is committed to providing reasonable accommodations for candidates with disabilities who need assistance during the hiring process. To request a reasonable accommodation, please email hiring@teamworks.com.****
*****To all recruitment agencies: Teamworks does not accept agency resumes. Please do not forward resumes to our jobs alias, Teamwork employees or any other organization location. Teamworks is not responsible for any fees related to unsolicited resumes.*****
**The Pay Range For This Role Is**
 120,000 \- 160,000 USD per year(United States)</t>
        </is>
      </c>
    </row>
    <row r="3">
      <c r="A3" t="inlineStr">
        <is>
          <t>li-4359050403</t>
        </is>
      </c>
      <c r="B3" t="inlineStr">
        <is>
          <t>Data Scientist/AI Engineer</t>
        </is>
      </c>
      <c r="C3" t="inlineStr">
        <is>
          <t>LucyRx</t>
        </is>
      </c>
      <c r="D3" t="inlineStr">
        <is>
          <t>linkedin</t>
        </is>
      </c>
      <c r="E3">
        <f>HYPERLINK("https://www.linkedin.com/jobs/view/4359050403", "https://www.linkedin.com/jobs/view/4359050403")</f>
        <v/>
      </c>
      <c r="F3" t="inlineStr"/>
      <c r="G3" t="inlineStr">
        <is>
          <t>Maryland, United States</t>
        </is>
      </c>
      <c r="H3" t="inlineStr"/>
      <c r="I3" t="inlineStr">
        <is>
          <t>**Summary** 
 We are seeking a Data Scientist/AI Engineer to develop predictive analytics, machine learning models, and AI\-driven solutions that support clinical, operational, and financial initiatives across the pharmacy benefits ecosystem. This role works cross\-functionally to identify opportunities, build data products, and translate insights into business impact.
 In addition to traditional data science responsibilities, this position plays a key role in designing agentic workflows, integrating LLM\-powered tools, and building automation that operationalizes AI throughout the organization. The role collaborates closely with the AI team to design, maintain, and continuously improve intelligent systems and AI\-enabled processes.
**Roles and Responsibilities** 
* Build, validate, and deploy predictive and machine learning models supporting PBM operations.
* Work with enterprise data sources including Snowflake, Azure, and Oracle Fusion.
* Develop data pipelines, transformations, and analytical workflows to support real\-time and batch processing.
* Create dashboards, reports, and analytical artifacts using Power BI or Tableau.
* Collaborate with internal business units to identify opportunities for data science and AI integration.
* Translate analytics and model outputs into actionable recommendations that support strategic decision\-making.
* Design, build, and refine agentic workflows and LLM\-based applications, leveraging frameworks such as LangChain, Semantic Kernel, or Azure AI Studio.
* Implement AI agents capable of task automation, retrieval\-augmented generation (RAG), and enterprise workflow orchestration.
* Evaluate emerging AI technologies and prototype new capabilities for future deployment.
* Work with the AI team to build scalable, reliable, and secure AI systems.</t>
        </is>
      </c>
    </row>
    <row r="4">
      <c r="A4" t="inlineStr">
        <is>
          <t>li-4362471409</t>
        </is>
      </c>
      <c r="B4" t="inlineStr">
        <is>
          <t>Data Scientist I</t>
        </is>
      </c>
      <c r="C4" t="inlineStr">
        <is>
          <t>Boston Scientific</t>
        </is>
      </c>
      <c r="D4" t="inlineStr">
        <is>
          <t>linkedin</t>
        </is>
      </c>
      <c r="E4">
        <f>HYPERLINK("https://www.linkedin.com/jobs/view/4362471409", "https://www.linkedin.com/jobs/view/4362471409")</f>
        <v/>
      </c>
      <c r="F4" t="inlineStr"/>
      <c r="G4" t="inlineStr">
        <is>
          <t>Maple Grove, MN</t>
        </is>
      </c>
      <c r="H4" t="inlineStr"/>
      <c r="I4"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Data Scientist I
**About The Role**
 Boston Scientific is a leading company in the healthcare industry, specializing in the development and manufacturing of cutting\-edge medical devices. We are dedicated to transforming lives through innovative medical solutions that improve the health of patients around the world.
 We are seeking a motivated Data Scientist I to join our dynamic team within the Process Development division. As a Data Scientist I, you will work closely with senior data scientists and engineers to help leverage data analytics to drive insights, inform decision\-making processes, derive actionable insights, and optimize performance within our medical device organization. You will collaborate closely with cross\-functional teams to assist in the development and implementation of data analytics solutions that support our mission of delivering high\-quality products and improving patient outcomes.
**Your Responsibilities Will Include**
* Collaborate with cross\-functional teams to understand project requirements and objectives.
* Assess manufacturing processes for automation and analytics opportunities.
* Collect, clean, and preprocess large datasets from various sources, ensuring data quality and integrity.
* Develop and implement statistical models, machine learning algorithms, and data mining techniques to analyze data.
* Assist in designing and conducting experiments to test hypotheses and validate models.
* Generate and visualize insights from data analysis, creating detailed reports and presentations for stakeholders.
* Prepares and presents technical data and recommendations at technical reviews.
* Continuously monitor and improve the performance of existing models and algorithms.
* Stay up\-to\-date with the latest advancements in data science, machine learning, and healthcare technology.
**Required Qualifications**
* 0 \- 2 years of experience in the medical device space.
* Bachelors degree in Data Science.
* Must be eligible to work in the U.S. without company sponsorship, now or in the future, for employment\-based work authorization.
* Previous internship experience with Boston Scientific.
**Preferred Qualifications**
* Proficiency in Python programming language as well as other languages (e.g. R, Matlab, Julia, C\+\+, Java, etc.)
* Experience with data analysis and visualization tools such as Pandas, NumPy, Matplotlib, Plotly, Seaborn, or similar.
* Excellent familiarity with machine learning frameworks and libraries such as PyTorch, Scikit\-learn, TensorFlow, or similar.
* Robust understanding of large language models (LLM) and frameworks including retrieval\-augmented generation (RAG). (e.g. LangChain, LlaMA, GPT, Bard, etc.)
* Basic understanding of statistical modeling, machine learning algorithms, and predictive analytics techniques.
* Experience with cloud platforms such as AWS, Azure, or Google Cloud.
* Basic understanding of database management systems.
* Experience with version control systems such as Git.
* Strong problem\-solving skills and attention to detail.
* Excellent communication skills, with the ability to convey complex technical concepts to non\-technical stakeholders.
* Ability to work independently as well as collaboratively in a team environment.
**Requisition ID: 622164**
**Minimum Salary: $ 59900**
**Maximum Salary: $ 113800**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Among other requirements, Boston Scientific maintains specific prohibited substance test requirements for safety\-sensitive positions. This role is deemed safety\-sensitive and, as such, candidates will be subject to a prohibited substance test as a requirement. The goal of the prohibited substance testing is to increase workplace safety in compliance with the applicable law.</t>
        </is>
      </c>
    </row>
    <row r="5">
      <c r="A5" t="inlineStr">
        <is>
          <t>li-4352964409</t>
        </is>
      </c>
      <c r="B5" t="inlineStr">
        <is>
          <t>Marketing Data Scientist</t>
        </is>
      </c>
      <c r="C5" t="inlineStr">
        <is>
          <t>Vonage</t>
        </is>
      </c>
      <c r="D5" t="inlineStr">
        <is>
          <t>linkedin</t>
        </is>
      </c>
      <c r="E5">
        <f>HYPERLINK("https://www.linkedin.com/jobs/view/4352964409", "https://www.linkedin.com/jobs/view/4352964409")</f>
        <v/>
      </c>
      <c r="F5" t="inlineStr"/>
      <c r="G5" t="inlineStr"/>
      <c r="H5" t="inlineStr"/>
      <c r="I5" t="inlineStr">
        <is>
          <t>**Join Vonage and help us innovate cloud communications for businesses worldwide!**
**Why This Role Matters**
 We are looking for a Marketing Data Scientist to synchronize our data intelligence with our strategic vision. You will play a pivotal role in refining our decision\-making through advanced predictive analytics and translating complex insights into a roadmap for growth. Your work will ensure we are not reacting to the market, but proactively shaping customer engagement through the power of data science.
**Your Key Responsibilities**
* Liaise with the data warehousing team to define and activate data set requirements.
* Collaborate with data engineers to automate data collection and cleaning from various sources, including new ones.
* Identify and correct data irregularities.
* Synthesize disparate data sets to focus on predictive insights and repeatable success.
* Build and deploy predictive models to inform growth strategies.
* Apply machine learning models to anticipate consumer behavior.
* Inform Marketing Mix Models (MMM) to reallocate budget for higher ROI.
* Influence change across the organization by translating complex model outputs into 'business\-speak'.
**What You’ll Bring**
* Strong business acumen with the ability to connect analytical findings to strategic marketing and financial objectives.
* Proven ability to influence executive and cross\-functional stakeholders to drive data\-led change.
* Exceptional leadership and communication skills.
* A creative and rigorous approach to problem\-solving, capable of navigating and integrating complex, multi\-source data environments.
* A proven self\-starter capable of thriving in a fast\-paced environment and independently developing innovative approaches when faced with ambiguous data or technical challenges.
**What Is Required**
* Proven experience in building, deploying, and monitoring predictive models to inform growth strategies and revenue optimization.
* Deep expertise in using machine learning techniques to anticipate and model complex consumer behavior and journey analysis.
* Familiarity with informing and leveraging Marketing Mix Models (MMM) to reallocate marketing budgets for higher ROI
* Advanced proficiency in data manipulation and modeling languages (e.g., Python, R, SQL).
* Proficiency with data visualization tools (Tableau, Power BI or similar)
* Min 8\+ years of related experience
**What We Consider a Plus**
* Experience in a B2B setting
* Experience with customer lifetime value modeling
* Working knowledge of digital marketing platforms and their underlying data structures
* Advanced degree (Master's or PhD) in a quantitative field such as Computer Science, Statistics, or Economics.
**There’s no perfect candidate.** 
 You don't need all the preferred qualifications to make a valuable impact on our team. Our employees and customers come from diverse backgrounds, so if you're passionate about what you could achieve at Vonage, we'd love to hear from you.
 To learn how we process your personal data during the recruitment process, please refer to our
 **Privacy Notice** 
 .
**Who We Are**
 Vonage is a global cloud communications leader. And your talent will further help brands \- such as Airbnb, Viber, WhatsApp, and Snapchat \- accelerate their digital transformation through our fully programmable\-based unified communications, contact center solutions, and communications APIs. Ready to innovate? Then join us today.
 Note: The purpose of this profile is to provide a general summary of essential responsibilities for the position and is not meant as an exhaustive list. Assignments may differ for individuals within the same role based on business conditions, departmental need or geographic location.</t>
        </is>
      </c>
    </row>
    <row r="6">
      <c r="A6" t="inlineStr">
        <is>
          <t>li-4321781612</t>
        </is>
      </c>
      <c r="B6" t="inlineStr">
        <is>
          <t>Product Data Scientist</t>
        </is>
      </c>
      <c r="C6" t="inlineStr">
        <is>
          <t>Bevi</t>
        </is>
      </c>
      <c r="D6" t="inlineStr">
        <is>
          <t>linkedin</t>
        </is>
      </c>
      <c r="E6">
        <f>HYPERLINK("https://www.linkedin.com/jobs/view/4321781612", "https://www.linkedin.com/jobs/view/4321781612")</f>
        <v/>
      </c>
      <c r="F6" t="inlineStr"/>
      <c r="G6" t="inlineStr">
        <is>
          <t>Boston, MA</t>
        </is>
      </c>
      <c r="H6" t="inlineStr"/>
      <c r="I6" t="inlineStr">
        <is>
          <t>Bevi is on a mission to transform how beverages are delivered and consumed. Our smart hydration systems eliminate the need for single\-use bottles and cans—making it easy, fun, and sustainable to stay hydrated. As the category leader in IoT\-enabled beverage technology, we're building a future where Bevi machines are everywhere people live, work, and connect. We've raised over $160M in venture capital, serve thousands of customers across the US, Canada, UK and Ireland, and we've been rapidly growing year over year—saving over 1 billion bottles from waste. In addition to driving hypergrowth with our current product line, Bevi is heavily investing in new product development.
 We are seeking a Senior Product Data Scientist to join our high\-performing Data \&amp; Analytics team. This role is pivotal in transforming our rich datasets into actionable insights that optimize the customer experience, quantify the impact of new features/flavors, and enhance our partner\-facing tools. The Senior Product Data Scientist will partner directly with Product, Design, and Engineering to drive data\-backed product recommendations and decisions. The right candidate is naturally curious and thrives in solving unique and challenging analytical problems, applying a rigorous foundation in experimentation, causal inference, and machine learning.
**Your Day To Day**
* Proactively identify opportunities within flavor consumption, UI, and partner web portal data to improve the user experience and drive business value.
* Develop a testing framework to balance analytical rigor with speed to insight, accounting for data challenges including indirect sales, long decision cycles, and intra\-week variability.
* Collaborate with Product, Design, and Engineering to identify success metrics, define decision criteria, and evaluate new flavors, features, and experiences.
* Design, execute, and analyze A/B and quasi non\-randomized tests to measure incremental impact on flavor consumption and user behavior.
* Build advanced analytics models such as machine flavor profile.
* Translate data and analytics into clear insights and recommendations.
* Build clear, informative dashboards and drive adoption to democratize product data.
* Partner with data engineering and software teams to ensure data quality, tagging, and instrumentation best practices.
**Who You Are**
* Bachelors degree in Statistics, Mathematics, Computer Science, or similar quantitative field; Masters degree preferred
* 2\-5 years of professional experience in product analytics, digital analytics, or data science.
* Proven hands\-on experience in designing and analyzing experiments including different types of A/B testing methodologies, multivariate, hold out, difference in differences, propensity score matching, etc.
* Proven hands\-on experience building applied data science models such as random forest, gradient boosting, clustering, ensemble, etc.
* Strong proficiency in SQL and R/Python for data querying, manipulation, and analysis.
* Experience with digital analytics platforms (eg Google Analytics, Adobe Analytics).
* Experience with data visualization tools (eg Looker, PowerBI, Hex, Grafana, DataDog).
* Familiarity with cloud data platforms (eg Snowflake).
* Excellent communication and presentation skills with the ability to explain complex findings to non\-technical audiences.
 At Bevi, We Believe Compensation Is a Powerful Tool To Attract, Retain, And Grow Talent. Our Compensation Philosophy Centers On 5 Principles
* Market\-driven \- We anchor pay decisions in real\-time market data
* Performance\-based \- We reward individual impact, not just tenure
* Equitable \- We ensure fairness across teams, roles, and demographics
* Growth\-focused \- We invest in talent that scales with Bevi
* Total Rewards approach \- We strategically balance base pay, bonuses, benefits, and equity
 The posted compensation range reflects the salary\* for this position. Some roles may be eligible for a commission plan or a bonus incentive. All Bevi employees receive equity in the form of stock options. All full\-time employees are invited to participate in our Total Rewards plan, which includes health \&amp; medical benefits, flexible spending accounts, flexible PTO, and more. Offers to join Bevi are based on a few criteria, including the scope of the role, the candidate's work experience, targeted skills, internal equity of the team, and external market data.
* For Sales roles: The posted range reflects base salary plus commission which is the total potential on target earnings (OTE) for the position.
 Pay Range
 $114,963—$142,013 USD
**Benefits**
* Comprehensive medical, dental and vision insurance plans with BlueCross BlueShield, 95% paid by employer
* 401(k) with company match
* Flexible PTO plus 12 company holidays, and additional paid days for sick leave, etc
* Generous fully paid parental leave for both birth parents and non\-birth parents
* Fully employer paid disability and life insurances
* Wellness and fitness reimbursements
* Monthly stipends for cell phone use and commuting costs
* Onsite snacks, weekly catered lunch, and (of course) unlimited Bevi ... plus composting and terra\-cycling, too
* Happy hours, team\-building events, bagel breakfasts, Values awards \- and more.
*We're excited about supporting career growth and would love to be part of your professional journey. We know that talent comes in many forms, and we value individual accomplishments, specialized knowledge, and genuine passion over just checking boxes on a requirements list. If any of our positions interest you, please apply! Our recruiting team will contact you about next steps if we'd like to move forward together.*
*A member of the Bevi Talent team 'recruiting@bevi.co' will be reaching out about next steps if we would like to move forward.*
**Accommodations**
 Bevi is committed to an inclusive hiring process and we aim to provide accommodations for persons with disabilities. If you need any accommodations for the application or throughout the interview process please contact recruiting@bevi.co.</t>
        </is>
      </c>
    </row>
    <row r="7">
      <c r="A7" t="inlineStr">
        <is>
          <t>li-4355120144</t>
        </is>
      </c>
      <c r="B7" t="inlineStr">
        <is>
          <t>Data Scientist</t>
        </is>
      </c>
      <c r="C7" t="inlineStr">
        <is>
          <t>Dexian</t>
        </is>
      </c>
      <c r="D7" t="inlineStr">
        <is>
          <t>linkedin</t>
        </is>
      </c>
      <c r="E7">
        <f>HYPERLINK("https://www.linkedin.com/jobs/view/4355120144", "https://www.linkedin.com/jobs/view/4355120144")</f>
        <v/>
      </c>
      <c r="F7" t="inlineStr"/>
      <c r="G7" t="inlineStr">
        <is>
          <t>Reston, VA</t>
        </is>
      </c>
      <c r="H7" t="inlineStr"/>
      <c r="I7" t="inlineStr">
        <is>
          <t>**Role: Data Scientist** 
**Location: Reston, VA** 
**Required:** 
 • Strong proficiency in Python, R, SQL, and experience with data manipulation libraries (e.g., Pandas, NumPy).
 • Hands\-on experience with machine learning frameworks (e.g., scikit\-learn, TensorFlow, PyTorch).
 • Solid understanding of statistical modeling, hypothesis testing, and data visualization.
 • Experience with big data platforms (e.g., Spark, Hadoop) and cloud environments (AWS, Azure, GCP).
 • Excellent problem\-solving skills and ability to communicate complex concepts clearly.
 • Strong analytical thinking and attention to detail.
 • Ability to work independently and in a team environment.
***Dexian is a leading provider of staffing, IT, and workforce solutions with over 12,000 employees and 70 locations worldwide. As one of the largest IT staffing companies and the 2nd largest minority\-owned staffing company in the U.S., Dexian was formed in 2023 through the merger of DISYS and Signature Consultants. Combining the best elements of its core companies, Dexian's platform connects talent, technology, and organizations to produce game\-changing results that help everyone achieve their ambitions and goals.***
***Dexian's brands include Dexian DISYS, Dexian Signature Consultants, Dexian Government Solutions, Dexian Talent Development and Dexian IT Solutions. Visit https://dexian.com/ to learn more.***
***Dexian is an Equal Opportunity Employer that recruits and hires qualified candidates without regard to race, religion, sex, sexual orientation, gender identity, age, national origin, ancestry, citizenship, disability, or veteran status.***</t>
        </is>
      </c>
    </row>
    <row r="8">
      <c r="A8" t="inlineStr">
        <is>
          <t>li-4359020375</t>
        </is>
      </c>
      <c r="B8" t="inlineStr">
        <is>
          <t>Data Scientist</t>
        </is>
      </c>
      <c r="C8" t="inlineStr">
        <is>
          <t>Bimbo Bakeries USA</t>
        </is>
      </c>
      <c r="D8" t="inlineStr">
        <is>
          <t>linkedin</t>
        </is>
      </c>
      <c r="E8">
        <f>HYPERLINK("https://www.linkedin.com/jobs/view/4359020375", "https://www.linkedin.com/jobs/view/4359020375")</f>
        <v/>
      </c>
      <c r="F8" t="inlineStr"/>
      <c r="G8" t="inlineStr">
        <is>
          <t>Irving, TX</t>
        </is>
      </c>
      <c r="H8" t="inlineStr"/>
      <c r="I8" t="inlineStr">
        <is>
          <t>***Have you ever enjoyed Arnold®, Brownberry® or Oroweat® bread? A Thomas’® English muffin or bagel? Or perhaps snacked on a Sara Lee®, Entenmann’s® or Marinela® cake or donut? If the answer is yes, then you know Bimbo Bakeries USA!***
***More than 20,000 associates in bakeries, sales centers, offices and on sales routes work to ensure our consumers have the freshest products at every meal. In addition to competitive pay and benefits, we provide a safe and inclusive work environment that appreciates***
***diversity, promotes development and allows our associates to be their authentic selves.***
**Come join the largest baking company in the world and our family of 20,000 associates** 
**nationwide!**
**Top Reasons To Work At Bimbo Bakeries USA**
**Salary Range:** 
 $91,500 \- $119,000
 Comprehensive Benefits Package
 Annual Bonus Eligibility
 401k \&amp; Company Match
**Position Summary**
 BBU is seeking a motivated Data Scientist to join our growing data science team. In this role, you'll work alongside experienced data scientists to develop analytical solutions, build predictive models, and extract insights from complex datasets. This is an excellent opportunity for early\-career professionals to gain hands\-on experience with real\-world data science applications while contributing to business\-critical projects. You'll receive mentorship, professional development, and exposure to cutting\-edge technologies in a collaborative environment.
**Key Responsibilities**
**Data Analysis \&amp; Exploration**
* Clean, transform, and analyze large datasets to identify patterns and trends
* Perform exploratory data analysis (EDA) to understand data quality and characteristics
* Create data visualizations to communicate findings to stakeholders
* Document data sources, methodologies, and analytical approaches.
**Model Development \&amp; Implementation**
* Build and test predictive models using supervised and unsupervised learning techniques
* Assist in feature engineering and selection for machine learning models
* Perform model evaluation using appropriate metrics and validation techniques
* Support deployment of models to production environments
**Data Pipeline \&amp; Automation**
* Develop and maintain data pipelines for model training and scoring
* Write clean, efficient, and well\-documented code in Python and SQL
* Automate repetitive data processing tasks
* Follow software development best practices including version control (Git)
**Required Qualifications**
**Education**
* Bachelor's degree in Computer Science, Statistics, Mathematics, Data Science, Economics, Engineering, or related quantitative field
* Master's degree preferred but not required
**Experience**
* 4 years of data science or analytics experience (internships, projects, or academic research count)
* Demonstrated experience through personal projects, Kaggle competitions, or open\-source contributions
* Exposure to real\-world datasets and problem\-solving
**Programming**
**Technical Skills**
* Python: pandas, NumPy, scikit\-learn, matplotlib/seaborn
* SQL: Writing queries, joins, aggregations, and basic optimization
**Machine Learning**
* Supervised learning: Linear/logistic regression, decision trees, random forests
* Unsupervised learning: K\-means clustering, PCA
* Understanding of model evaluation metrics (accuracy, precision, recall, F1, RMSE)
* Familiarity with train/test splits and cross\-validation
**Statistics \&amp; Mathematics**
* Descriptive statistics (mean, median, standard deviation, distributions)
* Probability concepts and statistical inference
* Hypothesis testing and confidence intervals
* Basic understanding of experimental design
**Data Tools**
* Jupyter Notebooks or similar interactive development environments
* Version control with Git/GitHub
* Data visualization tools (matplotlib, seaborn, Plotly)
* Basic SQL database querying
**Other**
* Strong problem\-solving and analytical thinking skills
* Attention to detail and commitment to data quality
* Ability to learn quickly and adapt to new technologies
**Physical Demands**
 The physical and mental demands described here are representative of those that must be met by an associate to successfully perform the essential functions of this job. Reasonable accommodations may be requested to enable individuals with disabilities to perform the essential functions.
 Bimbo Bakeries USA is an equal opportunity employer with a policy that provides equal employment opportunity for applicants and employees regardless of race, color, religion, sex (including pregnancy, sexual orientation, or gender identity), national origin, age, disability, genetic information, marital status, veteran status, any other classification protected by law.
 It is unlawful in Massachusetts to require or administer a lie detector test as a condition of employment or continued employment. An employer who violates this law shall be subject to criminal penalties and civil liability.</t>
        </is>
      </c>
    </row>
    <row r="9">
      <c r="A9" t="inlineStr">
        <is>
          <t>li-4362471567</t>
        </is>
      </c>
      <c r="B9" t="inlineStr">
        <is>
          <t>Data Scientist</t>
        </is>
      </c>
      <c r="C9" t="inlineStr">
        <is>
          <t>General Mills</t>
        </is>
      </c>
      <c r="D9" t="inlineStr">
        <is>
          <t>linkedin</t>
        </is>
      </c>
      <c r="E9">
        <f>HYPERLINK("https://www.linkedin.com/jobs/view/4362471567", "https://www.linkedin.com/jobs/view/4362471567")</f>
        <v/>
      </c>
      <c r="F9" t="inlineStr"/>
      <c r="G9" t="inlineStr"/>
      <c r="H9" t="inlineStr"/>
      <c r="I9" t="inlineStr">
        <is>
          <t>**About The Company**
 General Mills is a renowned leader in the food industry, committed to producing high\-quality food products that delight consumers worldwide. With a rich history of innovation and a focus on sustainability, the company operates across multiple segments including cereals, snacks, baking products, and more. Dedicated to fostering a collaborative and inclusive work environment, General Mills emphasizes continuous improvement, technological advancement, and data\-driven decision\-making to maintain its competitive edge. The organization values integrity, accountability, and excellence, ensuring that every product delivered meets the highest standards of quality and safety.
**About The Role**
 The Lead Data Scientist at General Mills is a strategic technical role responsible for designing, developing, and deploying advanced analytics solutions that drive business growth and operational efficiency. This position requires a highly skilled individual with expertise in statistics, mathematics, AI, machine learning, and data mining to create scalable models and frameworks. The role involves collaborating with cross\-functional teams, including product owners, business partners, and data scientists, to identify key challenges and opportunities within areas such as supply chain, demand planning, logistics, trade optimization, and pricing. The Lead Data Scientist will serve as a technical leader, providing mentorship, strategic insights, and thought leadership to shape the company's data science initiatives. The ideal candidate will possess a strong problem\-solving mindset, a passion for innovation, and the ability to communicate complex technical concepts effectively to non\-technical stakeholders. This role offers the opportunity to influence decision\-making processes at the highest levels and contribute to the company's digital transformation efforts.
**Qualifications**
* 6\+ years of relevant experience in data science, with at least 4 years focused on optimization models
* Bachelor’s Degree in operations research, statistics, industrial engineering, computer science, or a related quantitative field
* Proficiency in Python programming, especially in developing optimization models with commercial solver suites
* Hands\-on experience with IP/MIP modeling and supporting algorithms
* Strong SQL skills with the ability to work with large and dynamic data sets
* Proven ability to partner with business leaders and influence decision\-making
* Excellent problem\-solving, analytical, and communication skills
* Ability to work independently and manage complex projects effectively
* High adaptability and curiosity to explore innovative solutions
**Responsibilities**
* Collaborate with data science leadership, engineering teams, and business partners to develop advanced optimization and machine learning models using state\-of\-the\-art tools and technologies
* Provide strategic technical guidance, actionable insights, and recommendations to stakeholders
* Design and build scalable, production\-ready models for real\-time insights in areas such as supply chain, logistics, and pricing
* Develop a robust modeling framework and architecture for deterministic and combinatorial optimization problems
* Explain data\-driven insights and model recommendations to cross\-functional teams to facilitate informed decision\-making
* Advise business partners on technical solutions and best practices
* Participate in setting technical standards, strategic planning, and documentation of modeling processes
* Mentor junior data scientists, fostering technical growth and expertise within the team
* Monitor and enhance model performance, incorporating feedback from business stakeholders to improve accuracy and recommendations
* Engage actively with team members, solicit feedback, and contribute to a collaborative work environment
**Benefits**
* Competitive salary within the range of $126,700 \- $211,200 annually
* Comprehensive health, dental, and vision insurance benefits
* Retirement savings plans and financial wellness programs
* Generous paid time\-off and holiday leave policies
* Wellness programs and employee assistance resources
* Opportunities for professional development and continuous learning
* Participation in performance\-based incentive programs
* Flexible work arrangements, including remote work options within the United States
 Equal Opportunity
 General Mills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a diverse workforce enhances our innovation and success and are dedicated to fostering a workplace where everyone can thrive.</t>
        </is>
      </c>
    </row>
    <row r="10">
      <c r="A10" t="inlineStr">
        <is>
          <t>li-4354943634</t>
        </is>
      </c>
      <c r="B10" t="inlineStr">
        <is>
          <t>Data Scientist</t>
        </is>
      </c>
      <c r="C10" t="inlineStr">
        <is>
          <t>Hirenza</t>
        </is>
      </c>
      <c r="D10" t="inlineStr">
        <is>
          <t>linkedin</t>
        </is>
      </c>
      <c r="E10">
        <f>HYPERLINK("https://www.linkedin.com/jobs/view/4354943634", "https://www.linkedin.com/jobs/view/4354943634")</f>
        <v/>
      </c>
      <c r="F10">
        <f>HYPERLINK("https://www.bestjobtool.com/job-description/3059262039?source=LinkedIn&amp;urlHash=7Va3", "https://www.bestjobtool.com/job-description/3059262039?source=LinkedIn&amp;urlHash=7Va3")</f>
        <v/>
      </c>
      <c r="G10" t="inlineStr"/>
      <c r="H10" t="inlineStr"/>
      <c r="I10" t="inlineStr">
        <is>
          <t>**About The Company**
 Guidehouse is a leading global consulting firm dedicated to delivering innovative solutions across various industries, including government, financial services, healthcare, energy, and more. Renowned for its commitment to excellence and integrity, Guidehouse helps organizations navigate complex challenges by providing strategic advisory, technology, and data\-driven insights. The company fosters a collaborative and inclusive environment that values diversity, continuous learning, and professional growth. With a focus on impactful results, Guidehouse strives to enable its clients to achieve operational excellence, enhance decision\-making, and drive sustainable success in an ever\-evolving landscape.
**About The Role**
 The Data Scientist position at Guidehouse offers an exciting opportunity to work within the AI and Data Capability team, supporting high\-profile clients in unlocking the full potential of their data assets. As a vital member of this team, you will be responsible for designing and implementing data analytics solutions that facilitate data\-driven decision\-making. Your expertise will contribute to a broad range of projects, from data collection and management to advanced predictive modeling and automation initiatives. This role requires a proactive mindset, strong analytical skills, and the ability to communicate complex insights effectively to both technical and non\-technical stakeholders. The ideal candidate will thrive in a collaborative environment, demonstrating creativity and curiosity to uncover hidden patterns and opportunities within data sets.
**Qualifications**
 To be successful in this role, candidates must meet the following qualifications:
* U.S. Citizenship is required.
* A bachelor's degree in Computer Science, Data Science, Statistics, or a related field.
* Minimum of three (3\) years of experience working with data visualization tools such as Power BI, Tableau, or similar platforms to develop intuitive dashboards and visual reports.
* Proficiency in SQL, R, and other programming languages used for data querying, statistical analysis, and automation.
* Strong foundational knowledge of statistics, probability, and experimental design principles.
* Experience with cloud platforms like Amazon Web Services (AWS), Azure, or Google Cloud, along with familiarity with containerization technologies such as Docker.
* Understanding of data governance frameworks to ensure high data quality and reliability.
* Excellent communication skills to bridge technical and business perspectives effectively.
* A curious and creative mindset to identify patterns, opportunities, and innovative solutions within complex datasets.
**Responsibilities**
 The core responsibilities of this role include:
* Identifying, gathering, and managing data from diverse primary and secondary sources, ensuring accuracy, consistency, and integrity.
* Cleaning and preprocessing raw data by addressing inconsistencies, missing values, and errors to prepare datasets for analysis.
* Applying statistical techniques and analytical methods to explore data, uncover trends, and derive actionable insights.
* Developing reports, dashboards, and visualizations using tools like Tableau or Power BI to communicate findings clearly and effectively to stakeholders.
* Collaborating with cross\-functional teams to understand business requirements and translating them into technical solutions.
* Supporting problem\-solving initiatives by analyzing data to identify underperforming processes, growth opportunities, and strategic recommendations.
* Participating in the development of predictive models and automation solutions to enhance operational efficiency.
* Ensuring adherence to data governance policies and maintaining high standards of data security and quality.
**Benefits**
 Guidehouse offers a comprehensive total rewards package designed to support the well\-being and professional development of its employees. Benefits include:
* Medical, prescription, dental, and vision insurance coverage.
* Paid personal and family sick leave, along with company\-recognized holidays.
* Potential eligibility for a discretionary variable incentive bonus.
* Parental leave and adoption assistance programs.
* 401(k) retirement savings plan with company matching contributions.
* Basic and supplemental life insurance options.
* Health Savings Accounts, Flexible Spending Accounts for dental, vision, and dependent care.
* Short\-term and long\-term disability coverage.
* Student loan repayment assistance programs.
* Tuition reimbursement and ongoing learning opportunities to support continuous skill development.
* Access to certifications, skills development programs, and career advancement resources.
* Employee referral programs and community engagement initiatives.
* Emergency backup childcare services and mobility stipends to support work\-life balance.
 Equal Opportunity
 Guidehouse is an Equal Opportunity Employer committed to fostering an inclusive workplace. We welcome and value diversity in all its forms, including protected veterans, individuals with disabilities, and other protected categories under applicable law. We ensure fair hiring practices and provide accommodations during the application process to qualified candidates. Our organization does not discriminate based on race, color, religion, gender, sexual orientation, national origin, age, or any other characteristic protected by law. We are dedicated to creating a workplace where all employees can thrive and contribute to our collective success.</t>
        </is>
      </c>
    </row>
    <row r="11">
      <c r="A11" t="inlineStr">
        <is>
          <t>li-4341225127</t>
        </is>
      </c>
      <c r="B11" t="inlineStr">
        <is>
          <t>Sr. Data Scientist - Business Data Team</t>
        </is>
      </c>
      <c r="C11" t="inlineStr">
        <is>
          <t>Zillow</t>
        </is>
      </c>
      <c r="D11" t="inlineStr">
        <is>
          <t>linkedin</t>
        </is>
      </c>
      <c r="E11">
        <f>HYPERLINK("https://www.linkedin.com/jobs/view/4341225127", "https://www.linkedin.com/jobs/view/4341225127")</f>
        <v/>
      </c>
      <c r="F11" t="inlineStr"/>
      <c r="G11" t="inlineStr"/>
      <c r="H11" t="inlineStr"/>
      <c r="I11" t="inlineStr">
        <is>
          <t>**About The Team**
 Zillow Group’s Business Data organization represents the next step forward in the company's dedication to integrate an improved set of B2B agent software \&amp; advertising products for customers and partners, their clients, and the real estate industry as a whole.
 Zillow has built and acquired a portfolio of market\-leading products for agent productivity, listing media, showing coordination, transaction management and analytics solutions. Our wide array of products and services are built on technological innovations crafted to bring efficiencies to all users.
**About The Role**
 The Business Data Science team within Zillow is hiring a Data Scientist to lead analytics to uncover insights to drive both better business decisions and customer experiences across our product portfolio.
**You Will Get To:**
* Collaborate with team members across product, engineering, marketing, sales, operations, and more to develop evidence\-based approaches to finding gaps \&amp; optimizing the customer experience.
* Use advanced analytics, including clustering, propensity modeling, statistical knowledge, and other explanatory and causal inference techniques to gain a clearer picture of customer behavior.
* Build compelling data stories and visualizations to inform and influence decision\-makers.
* Serve as a mentor and resource to other data scientists on the team.
* Design and implement A/B tests, perform regression modeling, and provide recommendations for the product roadmap.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 In Colorado, Hawaii, Illinois, Minnesota, Nevada, Ohio, Rhode Island, and Vermont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You are ready to bring your data and analytics expertise to transform what it means for the real estate industry to unlock the ability for consumers to dream, search, and find a home. You have an appreciation of the unique challenges posed by business to business product development and go\-to\-market.
**Additionally, we expect you to have:**
* An undergraduate or Master’s degree in a quantitative field (e.g. mathematics, engineering, statistics, finance, or similar)
* 5\+ years of work experience involving quantitative data analysis and complex problem\-solving. Experience working with product teams strongly preferred.
* A strong understanding of statistical concepts, measurement issues, and inference techniques.
* Proficiency in SQL, Excel, and either Python or R, along with some experience with Tableau, Mode, or other visualization software.
* Extensive experience querying multi\-terabyte\-sized noisy data sets such as clickstream data.
* Experience with ETL pipelines, scheduling and productionalizing is a plus.
* Experience with A/B Testing, Experimentation, or Casual Inference
* Strong written, verbal, and visual communication skills with the ability to work cross\-functionally.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2">
      <c r="A12" t="inlineStr">
        <is>
          <t>li-4362373255</t>
        </is>
      </c>
      <c r="B12" t="inlineStr">
        <is>
          <t>Sr. Data Scientist, TLM</t>
        </is>
      </c>
      <c r="C12" t="inlineStr">
        <is>
          <t>Uber</t>
        </is>
      </c>
      <c r="D12" t="inlineStr">
        <is>
          <t>linkedin</t>
        </is>
      </c>
      <c r="E12">
        <f>HYPERLINK("https://www.linkedin.com/jobs/view/4362373255", "https://www.linkedin.com/jobs/view/4362373255")</f>
        <v/>
      </c>
      <c r="F12">
        <f>HYPERLINK("https://tnl2.jometer.com/v2/job?jz=5wqzsae2faefdfa759b3329be74a9d9aba6edKIAGUCAAAABQ&amp;iis=Job%20Board%20-%20Recruitment%20Marketing&amp;iisn=LinkedIn&amp;urlHash=w6N5", "https://tnl2.jometer.com/v2/job?jz=5wqzsae2faefdfa759b3329be74a9d9aba6edKIAGUCAAAABQ&amp;iis=Job%20Board%20-%20Recruitment%20Marketing&amp;iisn=LinkedIn&amp;urlHash=w6N5")</f>
        <v/>
      </c>
      <c r="G12" t="inlineStr">
        <is>
          <t>San Francisco, CA</t>
        </is>
      </c>
      <c r="H12" t="inlineStr"/>
      <c r="I12" t="inlineStr">
        <is>
          <t>**About The Role**
 Uber is home to one of the largest and most unique insurance programs in the world and insurance data lies at its foundation. We're looking for an experienced manager to lead our critical insurance data infrastructure. This will involve everything from designing new data models and improving existing data processes to expanding the scope of the data program to support Uber's ever\-growing portfolio. This team works cross\-functionally to ensure our data processes align with industry best practices and stakeholder needs.
**What You Will Do**
* Manage a team of 3 to deliver projects on time with high quality
* Design comprehensive quality checks to facilitate accurate analyses and to ensure Uber's insurance data meets compliance standards
* Collaborate with data scientists and engineers to build and improve on the availability, integrity, accuracy, and reliability of data logging and data pipelines.
* Collaborate with business leaders to manage project intake, roadmap, prioritize, and manage staffing against key initiatives
* Partner with internal and external stakeholders, including actuaries, engineers, program managers, and data scientists to identify challenges and opportunities for insurance data models
**Basic Qualifications**
* M.S. or Bachelor's degree in Math, Economics, Bioinformatics, Statistics, Engineering, Computer Science, or other quantitative fields
* 5\+ years of relevant professional experience
* Minimum 2 years of management experience
* Proficiency with SQL, Python, big data frameworks (ex. Hadoop, Spark)
* Proficiency in a scripting language (Python preferred)
* Experience with Excel and some dashboarding/data visualization (ex. Tableau)
**Preferred Qualifications**
* Experience building/maintaining SOX compliant control data environment
* Basic understanding of insurance concepts and working with insurance loss data
* Experience with an ETL framework like Airflow
* Project management skills \- Ability to drive projects end\-to\-end
 For New York, NY\-based roles: The base salary range for this role is USD$169,000 per year \- USD$188,000 per year. For San Francisco, CA\-based roles: The base salary range for this role is USD$169,000 per year \- USD$188,000 per year. For Sunnyvale, CA\-based roles: The base salary range for this role is USD$169,000 per year \- USD$188,000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USD$169,000 per year \- USD$188,000 per year. For San Francisco, CA\-based roles: The base salary range for this role is USD$169,000 per year \- USD$188,000 per year. For Sunnyvale, CA\-based roles: The base salary range for this role is USD$169,000 per year \- USD$188,000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3">
      <c r="A13" t="inlineStr">
        <is>
          <t>li-4353210679</t>
        </is>
      </c>
      <c r="B13" t="inlineStr">
        <is>
          <t>Data Scientist / ML Engineer</t>
        </is>
      </c>
      <c r="C13" t="inlineStr">
        <is>
          <t>US Tech Solutions</t>
        </is>
      </c>
      <c r="D13" t="inlineStr">
        <is>
          <t>linkedin</t>
        </is>
      </c>
      <c r="E13">
        <f>HYPERLINK("https://www.linkedin.com/jobs/view/4353210679", "https://www.linkedin.com/jobs/view/4353210679")</f>
        <v/>
      </c>
      <c r="F13" t="inlineStr"/>
      <c r="G13" t="inlineStr">
        <is>
          <t>Sunnyvale, CA</t>
        </is>
      </c>
      <c r="H13" t="inlineStr"/>
      <c r="I13" t="inlineStr">
        <is>
          <t>**Duration: Full Time Opportunity** 
**Job Description:** 
* We are seeking a Principal Data Scientist to lead the design, development, and deployment of advanced machine learning and statistical solutions that support strategic business decisions.
* This role requires strong expertise in time series forecasting, predictive modeling, and scalable ML systems. You will work closely with cross\-functional stakeholders to translate complex business challenges into high\-impact, production\-ready data science solutions while mentoring and guiding team members.
* This position combines hands\-on technical leadership with strategic influence, owning initiatives end\-to\-end—from problem framing and exploratory analysis to deployment and performance monitoring.
**Responsibilities:** 
**Technical Leadership \&amp; Modeling** 
* Design, develop, and deploy advanced machine learning and statistical models.
* Lead time series forecasting initiatives, including demand forecasting, trend analysis, anomaly detection, and scenario modeling.
* Conduct exploratory data analysis, feature engineering, and data validation.
* Build scalable, maintainable, and production\-grade pipelines.
**Model Lifecycle Management** 
* Own the full model lifecycle: development, validation, tuning, deployment, monitoring, and retraining.
* Ensure robustness, accuracy, explainability, and long\-term sustainability of models.
* Implement drift detection, automated retraining, and performance monitoring.
**Experience:** 
* Strong proficiency in Python and ML frameworks (e.g., scikit\-learn, TensorFlow, PyTorch).
* Extensive experience with statistical modeling, predictive analytics, and time series forecasting.
* Strong understanding of feature engineering, model validation, and evaluation techniques.
* Experience deploying models into production environments.
* Experience with large\-scale or global forecasting systems.
* Expertise in probabilistic forecasting and uncertainty quantification.
* Familiarity with cloud platforms (AWS, GCP, Azure).
* Experience with big data tools (e.g., Spark, distributed systems).
* Publications or peer\-review experience.
* Knowledge of accessibility and inclusive design standards (e.g., WCAG).
**Skills:** 
* **Modeling \&amp; Analytics:**
* Machine Learning, Time Series Forecasting, Statistical Analysis, Feature Engineering, Probabilistic Modeling
* **Engineering \&amp; MLOps:**
* Python, SQL, Model Deployment, Monitoring, Automated Retraining, Drift Detection, Cloud ML Systems
* **Leadership \&amp; Collaboration:**
* Mentorship, Cross\-functional Communication, Stakeholder Management, Strategic Problem Solving
**Education:** 
* Bachelor’s degree with 5\+ years of experience, or Master’s degree with 3\+ years of experience, or 7\+ years of relevant industry experience.
**About US Tech Solutions:** 
 US Tech Solutions is a global staff augmentation firm providing a wide range of talent on\-demand and total workforce solutions. To know more about US Tech Solutions, please visit www.ustechsolutions.com.
 US Tech Solutions is an Equal Opportunity Employer. All qualified applicants will receive consideration for employment without regard to race, colour, religion, sex, sexual orientation, gender identity, national origin, disability, or status as a protected veteran.
 Recruiter Details:
 Karan Madan
 karanm@ustechsolutionsinc.com
 Internal ID: 25\-47502</t>
        </is>
      </c>
    </row>
    <row r="14">
      <c r="A14" t="inlineStr">
        <is>
          <t>li-4326787294</t>
        </is>
      </c>
      <c r="B14" t="inlineStr">
        <is>
          <t>Data Scientist</t>
        </is>
      </c>
      <c r="C14" t="inlineStr">
        <is>
          <t>Sysco</t>
        </is>
      </c>
      <c r="D14" t="inlineStr">
        <is>
          <t>linkedin</t>
        </is>
      </c>
      <c r="E14">
        <f>HYPERLINK("https://www.linkedin.com/jobs/view/4326787294", "https://www.linkedin.com/jobs/view/4326787294")</f>
        <v/>
      </c>
      <c r="F14" t="inlineStr"/>
      <c r="G14" t="inlineStr">
        <is>
          <t>Houston, TX</t>
        </is>
      </c>
      <c r="H14" t="inlineStr"/>
      <c r="I14"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**RESPONSIBILITIES**
* Identify necessary data elements and their sources, leverage appropriate tools to acquire and consolidate large volumes of data from different internal and external sources, and identify and resolve any irrelevant, corrupt, missing, or incongruent data
* 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training
**QUALIFICATIONS**
 Education and / or Experience:
* Master’s degree or PhD or Bachelor’s degree \+ 3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1\-4 years of overall analytics experience, can be inclusive of post\-graduate work
* 2\+ years of experience accessing and manipulating data in SQL or NoSQL database environments
* 1\+ years of experience with scientific scripting languages (e.g., Python) and/or object\-oriented programming (e.g., C\+\+, Java)
* 2\+ years of experience with Bayesian statistics, regression analysis (beyond linear regression), supervised learning, unsupervised learning or time\-series analysis required
**Professional Skills** 
* Experience accessing and manipulating data in SQL or NoSQL database environments
* Experience with scientific scripting languages (e.g., Python) and/or object\-oriented programming (e.g., C\+\+, Java)
* Experience with regression analysis (beyond linear regression), supervised learning, unsupervised learning or time\-series analysis required</t>
        </is>
      </c>
    </row>
    <row r="15">
      <c r="A15" t="inlineStr">
        <is>
          <t>li-4362430902</t>
        </is>
      </c>
      <c r="B15" t="inlineStr">
        <is>
          <t>DATA SCIENTIST/MACHINE LEARNING (ML) ENGINEER - 74416</t>
        </is>
      </c>
      <c r="C15" t="inlineStr">
        <is>
          <t>State of Tennessee</t>
        </is>
      </c>
      <c r="D15" t="inlineStr">
        <is>
          <t>linkedin</t>
        </is>
      </c>
      <c r="E15">
        <f>HYPERLINK("https://www.linkedin.com/jobs/view/4362430902", "https://www.linkedin.com/jobs/view/4362430902")</f>
        <v/>
      </c>
      <c r="F15">
        <f>HYPERLINK("https://stateoftn-careers.ttcportals.com/jobs/17214480-data-scientist-slash-machine-learning-ml-engineer-74416&amp;urlHash=Wgwi", "https://stateoftn-careers.ttcportals.com/jobs/17214480-data-scientist-slash-machine-learning-ml-engineer-74416&amp;urlHash=Wgwi")</f>
        <v/>
      </c>
      <c r="G15" t="inlineStr">
        <is>
          <t>Davidson County, TN</t>
        </is>
      </c>
      <c r="H15" t="inlineStr"/>
      <c r="I15" t="inlineStr">
        <is>
          <t>Work Activities
**Executive Service**
**DATA SCIENTIST/MACHINE LEARNING (ML) ENGINEER**
**Finance \&amp; Administration**
**Strategic Technology Solutions**
**Nashville, TN**
**Salary: $11,353\.00/monthly\-$14,750\.00/Monthly $136,236\.00/yearly\-$177,000\.00/yearly**
**Closing Date: 01/27/2026**
 This position is designed as Hybrid.
**Background Check**
 Requires CJIS/FTI Fingerprints and name\-based checks. This position requires a criminal background check. Therefore, you may be required to provide information about your criminal history in order to be considered for this position.
**Who We Are And What We Do**
 The Data Scientist leverages advanced analytics, machine learning, and AI techniques to solve complex business problems. This role involves translating business needs into data\-driven solutions, performing exploratory analysis, and developing predictive and generative models. The ideal candidate combines strong technical expertise with business acumen and thrives in collaborative environments.
**How You Make a Difference In This Role**
 See key responsibilities below.
**Key Responsibilities**
* Works closely with agencies and STSs functional, engineering, and technology teams to solve difficult, non\-routine analysis problems, applying advanced analytical methods as needed.
* Conducts end\-to\-end analysis that includes data gathering and requirements specification, processing, analysis, ongoing deliverables, and presentations.
* Develop, validate, and deploy machine learning and AI models, including GenAI frameworks.
* Conduct feature engineering and optimize algorithms for performance.
* Communicate insights and recommendations through clear visualizations and presentations.
* Collaborate with stakeholders, engineers, and MLOps teams to integrate solutions into production.
* Research emerging technologies and contribute to internal innovation initiatives
**Required Skills \&amp; Qualifications**
* Proficiency in Python and data analysis libraries (e.g., Pandas, NumPy, Scikit\-learn).
* Experience with GenAI frameworks and deep learning techniques such as retrieval augmented generation (RAG), AI agents, and model fine\-tuning.
* Experience with SQL and data manipulation (e.g., Snowflake, Redshift).
* Strong understanding of statistical modeling, machine learning, and AI concepts.
* Familiarity with AWS\-based AI tools (Bedrock, Sagemaker). Ability to communicate technical concepts to non\-technical audiences.
**Minimum Qualifications**
***Preferred Skills:***
* Knowledge of data visualization tools (Tableau, Power BI).
* Familiarity with MLOps practices and version control (Git). Exposure to cloud\-based data pipelines and streaming technologies.
* Ability to write scripts to automate ETL tasks Actively participates and contributes in brain\-storming session.
* Can work seamlessly with people from other disciplines: IT engineers, Agency SMEs, business consultants
**Education \&amp; Experience:** 
 Bachelors degree in a quantitative field (Computer Science, Statistics, Mathematics, Engineering). Masters degree preferred. 2\+ years of experience in data science, analytics, or related roles.
*Pursuant to the State of Tennessee's Workplace Discrimination and Harassment policy, the State is firmly committed to the principle of fair and equal employment opportunities for its citizens and strives to protect the rights and opportunities of all people to seek, obtain, and hold employment without being subjected to illegal discrimination and harassment in the workplace. It is the State's policy to provide an environment free of discrimination and harassment of an individual because of that person's race, color, national origin, age (40 and over), sex, pregnancy, religion, creed, disability, veteran's status or any other category protected by state and/or federal civil rights laws.*</t>
        </is>
      </c>
    </row>
    <row r="16">
      <c r="A16" t="inlineStr">
        <is>
          <t>li-4362333896</t>
        </is>
      </c>
      <c r="B16" t="inlineStr">
        <is>
          <t>Data Scientist</t>
        </is>
      </c>
      <c r="C16" t="inlineStr">
        <is>
          <t>Alined Consulting Group</t>
        </is>
      </c>
      <c r="D16" t="inlineStr">
        <is>
          <t>linkedin</t>
        </is>
      </c>
      <c r="E16">
        <f>HYPERLINK("https://www.linkedin.com/jobs/view/4362333896", "https://www.linkedin.com/jobs/view/4362333896")</f>
        <v/>
      </c>
      <c r="F16" t="inlineStr"/>
      <c r="G16" t="inlineStr">
        <is>
          <t>Chicago, IL</t>
        </is>
      </c>
      <c r="H16" t="inlineStr"/>
      <c r="I16" t="inlineStr">
        <is>
          <t>Minimum Qualifications:
 ● 5\+ years of experience leading data science projects that have a direct impact on a company's
 objectives or PhD degree in quantitative fields such as Statistics, Data Science, Computer Science
 with 3\+ years of experience
 ● 5\+ years of experience utilizing data mining techniques, ML models to assist business decision
 making. Hands\-on experience with deep learning frameworks , LLMs, GenAI tools, and NLP
 techniques.
 ● Deep expertise in statistical methods and machine learning concepts, with the ability to mentor
 team members on methodologies, model tuning, and evaluation techniques.
 ● 2\+ years hands\-on experience with deep learning frameworks, LLMs, GenAI tools, and NLP
 techniques.
 ● 5\+ years of experience using Python to process large, diverse datasets, and develop and deploy
 predictive models in cloud\-based environments and other computing platforms.
 ● 5\+ years of experience in SQL and cloud\-hosted data platforms (Google Cloud Platform, AWS,
 etc.).
 ● Demonstrated ability to assist business decision\-making through data mining and machine
 learning.
 ● Strong communication skills to collaborate effectively with business stakeholders. Must be able
 to interact cross\-functionally and drive both business and technical discussions.
 ● Ability to translate complex business problems into actionable project plans and solve</t>
        </is>
      </c>
    </row>
    <row r="17">
      <c r="A17" t="inlineStr">
        <is>
          <t>li-4362402623</t>
        </is>
      </c>
      <c r="B17" t="inlineStr">
        <is>
          <t>Data Scientist</t>
        </is>
      </c>
      <c r="C17" t="inlineStr">
        <is>
          <t>Quantum World Technologies Inc.</t>
        </is>
      </c>
      <c r="D17" t="inlineStr">
        <is>
          <t>linkedin</t>
        </is>
      </c>
      <c r="E17">
        <f>HYPERLINK("https://www.linkedin.com/jobs/view/4362402623", "https://www.linkedin.com/jobs/view/4362402623")</f>
        <v/>
      </c>
      <c r="F17" t="inlineStr"/>
      <c r="G17" t="inlineStr"/>
      <c r="H17" t="inlineStr"/>
      <c r="I17" t="inlineStr">
        <is>
          <t>**Quick Interview \|\| Data Scientist \|\| Remote \|\| Full Time** 
**Data Science role** 
 Causal AI
 Knowledge Graph \+ IDR
**Harsh Jain** 
**Sr.Technical Recruiter** 
**harsh.jain@quantumworldit.com** 
**linkedin.com/in/harsh\-jain\-a7b541b0** 
**18059094497**</t>
        </is>
      </c>
    </row>
    <row r="18">
      <c r="A18" t="inlineStr">
        <is>
          <t>li-4354603487</t>
        </is>
      </c>
      <c r="B18" t="inlineStr">
        <is>
          <t>Data Scientist</t>
        </is>
      </c>
      <c r="C18" t="inlineStr">
        <is>
          <t>STAND 8 Technology Consulting</t>
        </is>
      </c>
      <c r="D18" t="inlineStr">
        <is>
          <t>linkedin</t>
        </is>
      </c>
      <c r="E18">
        <f>HYPERLINK("https://www.linkedin.com/jobs/view/4354603487", "https://www.linkedin.com/jobs/view/4354603487")</f>
        <v/>
      </c>
      <c r="F18" t="inlineStr"/>
      <c r="G18" t="inlineStr">
        <is>
          <t>Long Beach, CA</t>
        </is>
      </c>
      <c r="H18" t="inlineStr"/>
      <c r="I18" t="inlineStr">
        <is>
          <t>STAND 8 provides end to end IT solutions to enterprise partners across the United States and with offices in Los Angeles, New York, New Jersey, Atlanta, and more including internationally in Mexico and India
 We are seeking a highly analytical and technically skilled Data Scientist to transform complex, multi\-source data into unified, actionable insights used for executive reporting and decision\-making.
 This role requires expertise in business intelligence design, data modeling, metadata management, data integrity validation, and the development of dashboards, reports, and analytics used across operational and strategic environments.
 The ideal candidate thrives in a fast\-paced environment, demonstrates strong investigative skills, and can collaborate effectively with technical teams, business stakeholders, and leadership.
**Essential Duties \&amp; Responsibilities** 
* As a Data Scientist, participate across the full solution lifecycle: business case, planning, design, development, testing, migration, and production support.
* Analyze large and complex datasets with accuracy and attention to detail.
* Collaborate with users to develop effective metadata and data relationships.
* Identify reporting and dashboard requirements across business units.
* Determine strategic placement of business logic within ETL or metadata models.
* Build enterprise data warehouse metadata/semantic models.
* Design and develop unified dashboards, reports, and data extractions from multiple data sources.
* Develop and execute testing methodologies for reports and metadata models.
* Document BI architecture, data lineage, and project report requirements.
* Provide technical specifications and data definitions to support the enterprise data dictionary.
* Apply analytical skills and Data Science techniques to understand business processes, financial calculations, data flows, and application interactions.
* Identify and implement improvements, workarounds, or alternative solutions related to ETL processes, ensuring integrity and timeliness.
* Create UI components or portal elements (e.g., SharePoint) for dynamic or interactive stakeholder reporting.
* As a Data Scientist, download and process SQL database information to build Power BI or Tableau reports (including cybersecurity awareness campaigns).
* Utilize SQL, Python, R, or similar languages for data analysis and modeling.
* Support process optimization through advanced modeling, leveraging experience as a Data Scientist where needed.
**Required Knowledge \&amp; Attributes** 
* Highly self\-motivated with strong organizational skills and ability to manage multiple verbal and written assignments.
* Experience collaborating across organizational boundaries for data sourcing and usage.
* Analytical understanding of business processes, forecasting, capacity planning, and data governance.
* Proficient with BI tools (Power BI, Tableau, PBIRS, SSRS, SSAS).
* Strong Microsoft Office skills (Word, Excel, Visio, PowerPoint).
* High attention to detail and accuracy.
* Ability to work independently, demonstrate ownership, and ensure high\-quality outcomes.
* Strong communication, interpersonal, and stakeholder engagement skills.
* Deep understanding that data integrity and consistency are essential for adoption and trust.
* Ability to shift priorities and adapt within fast\-paced environments.
**Required Education \&amp; Experience** 
* Bachelor's degree in Computer Science, Mathematics, or Statistics (or equivalent experience).
* 3\+ years of BI development experience.
* 3\+ years with Power BI and supporting Microsoft stack tools (SharePoint 2019, PBIRS/SSRS, Excel 2019/2021\).
* 3\+ years of experience with SDLC/project lifecycle processes
* 3\+ years of experience with data warehousing methodologies (ETL, Data Modeling).
* 3\+ years of VBA experience in Excel and Access.
* Strong ability to write SQL queries and work with SQL Server 2017\-2022\.
* Experience with BI tools including PBIRS, SSRS, SSAS, Tableau.
* Strong analytical skills in business processes, financial modeling, forecasting, and data flow understanding.
* Critical thinking and problem\-solving capabilities.
* Experience producing high\-quality technical documentation and presentations.
* Excellent communication and presentation skills, with the ability to explain insights to leadership and business teams.
**Benefits** 
* Medical coverage and Health Savings Account (HSA) through Anthem
* Dental/Vision/Various Ancillary coverages through Unum
* 401(k) retirement savings plan
* Paid\-time\-off options
* Company\-paid Employee Assistance Program (EAP)
* Discount programs through ADP WorkforceNow
**Additional Details**
 The base range for this contract position is $73 \- $83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row>
    <row r="19">
      <c r="A19" t="inlineStr">
        <is>
          <t>li-4354868977</t>
        </is>
      </c>
      <c r="B19" t="inlineStr">
        <is>
          <t>Lead Data Scientist-(GenAI Researcher)</t>
        </is>
      </c>
      <c r="C19" t="inlineStr">
        <is>
          <t>Fractal</t>
        </is>
      </c>
      <c r="D19" t="inlineStr">
        <is>
          <t>linkedin</t>
        </is>
      </c>
      <c r="E19">
        <f>HYPERLINK("https://www.linkedin.com/jobs/view/4354868977", "https://www.linkedin.com/jobs/view/4354868977")</f>
        <v/>
      </c>
      <c r="F19" t="inlineStr"/>
      <c r="G19" t="inlineStr"/>
      <c r="H19" t="inlineStr"/>
      <c r="I19" t="inlineStr">
        <is>
          <t>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**Key Responsibilities** 
* Build AI agents using Python, LLMs, LangChain/LangGraph, ReACT/ReWOO, RAG, and A2A protocol.
* Explore platforms like Copilot Studio, Azure AI Foundry, and NotebookLM etc for advanced GenAI capabilities.
* Prototype workflows and integrations for agentic AI, multimodal experiences, and enterprise copilots.
* Assess emerging tools for scalability, security, and alignment with organizational AI strategy.
* Document findings and provide recommendations for platform adoption and architecture patterns.
* Collaborate with engineering and QE teams to convert prototypes into production\-ready solutions.
* Experiment with evaluation frameworks and guardrails for research prototypes.
* Stay
**Pay:** 
*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Fractal, it is not typical for an individual to be hired at or near the top of the range for their role and compensation decisions are dependent on the facts and circumstances of each case. A reasonable estimate of the current range is: $120,000 \- $165,000\. In addition, you may be eligible for a discretionary bonus for the current performance period.
**Benefits:** 
* 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for 11 paid holidays and 12 weeks of Parental Leave. We also follow a “free time” PTO policy, allowing you the flexibility to take time needed for either sick time or vacation.
*Fractal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t>
        </is>
      </c>
    </row>
    <row r="20">
      <c r="A20" t="inlineStr">
        <is>
          <t>li-4329203154</t>
        </is>
      </c>
      <c r="B20" t="inlineStr">
        <is>
          <t>Data Scientist</t>
        </is>
      </c>
      <c r="C20" t="inlineStr">
        <is>
          <t>TriWest Healthcare Alliance</t>
        </is>
      </c>
      <c r="D20" t="inlineStr">
        <is>
          <t>linkedin</t>
        </is>
      </c>
      <c r="E20">
        <f>HYPERLINK("https://www.linkedin.com/jobs/view/4329203154", "https://www.linkedin.com/jobs/view/4329203154")</f>
        <v/>
      </c>
      <c r="F20">
        <f>HYPERLINK("https://recruiter.triwest.com/psc/hrprdcg/EMPLOYEE/HRMS/c/HRS_HRAM_FL.HRS_CG_SEARCH_FL.GBL?Page=HRS_APP_JBPST_FL&amp;Action=U&amp;FOCUS=Applicant&amp;SiteId=1&amp;JobOpeningId=30298&amp;PostingSeq=1&amp;urlHash=o5l4", "https://recruiter.triwest.com/psc/hrprdcg/EMPLOYEE/HRMS/c/HRS_HRAM_FL.HRS_CG_SEARCH_FL.GBL?Page=HRS_APP_JBPST_FL&amp;Action=U&amp;FOCUS=Applicant&amp;SiteId=1&amp;JobOpeningId=30298&amp;PostingSeq=1&amp;urlHash=o5l4")</f>
        <v/>
      </c>
      <c r="G20" t="inlineStr">
        <is>
          <t>Phoenix, AZ</t>
        </is>
      </c>
      <c r="H20" t="inlineStr"/>
      <c r="I20" t="inlineStr">
        <is>
          <t>Profile
 We offer remote work opportunities (AK, AR, AZ, CO, FL, HI, IA, ID, IL, KS, LA, MD, MN, MO, MT, NE, NV, NM, NC, ND, OK, OR, SC, SD, TN, TX, UT, VA/DC, WA, WI \&amp; WY only).
 Our Department of Defense contract requires US citizenship and a favorably adjudicated DOD background investigation for this position.
 Veterans, Reservists, Guardsmen and military family members are encouraged to apply!
**Job Summary**
 The main objective of this role is to assess vast quantities of healthcare data and collaborate with our business teams to create predictive modeling for KPI tools that evaluate our processes and services.
**Education \&amp; Experience**
**Required:**
* A master’s degree in computer science, mathematics, statistics, or engineering
* U.S. Citizenship
* Must be able to receive favorable Interim and adjudicated final Department of Defense D0D) background investigation
* Experience using statistical computer languages including Python and SQL
* Working knowledge of a variety of advanced machine\-learning techniques, including regression, simulation, scenario analysis, modeling, and artificial neural networks
* Expertise with statistical and data mining techniques including GLM/Regression, Random Forest, Boosting, Trees, text mining, social network analysis, etc.
* Experience analyzing data from third\-party providers
* Strong technical writing and presentation skills
* Exceptional analytical and problem\-solving skills
* Strong data analysis, statistics, problem solving and project management experience
* Advanced in MS Excel and proficient in MS Office Suite
**Preferred**
* Knowledge of healthcare claims processing, health care or insurance industry experience
* Knowledge of data visualization software (e.g. Tableau, Power BI)
* Coding experience with C, C\+\+, Java, and JavaScript
**Key Responsibilities**
* Collect data from established channels and by analyzing business results or new studies.
* Create new, experimental frameworks and build tools to automate data collection.
* Carry out preprocessing, cleansing, and validating data.
* Mine and analyze data from company databases.
* Correlate similar data to ¿nd actionable information and present results concisely.
* Collaborate with stakeholders to leverage data and expand data collection procedures.
* Assess the effectiveness and accuracy of new data sources and data\-gathering techniques.
* Develop custom data models/algorithms to apply to data sets, and use predictive modeling.
* Institute company A/B testing framework and test model quality.
* Create processes and tools to monitor and analyze model performance and data accuracy.
* Performs administrative and other duties as assigned.
* Regular and reliable attendance is required.
**Competencies**
**Computer Literacy:** 
 Ability to function in a multi\-system Microsoft environment using Word, Outlook, TriWest Intranet, the Internet, and department software applications.
**Coping / Flexibility:** 
 Resiliency in adapting to a variety of situations and individuals while maintaining a sense of purpose and mature problem\-solving approach is required.
**Independent Thinking / Self\-Initiative:** 
 Critical thinkers with ability to focus on things which matter most to achieving outcomes; commitment to task to produce outcomes without direction and to find necessary resources.
**Information Management:** 
 Ability to manage large amounts of complex information easily, communicate clearly, and draw sound conclusions.
**Multi\-Tasking / Time Management:** 
 Prioritize and manage actions to meet changing deadlines and requirements within a high volume, high stress environment.
**Organizational Skills:** 
 Ability to organize people or tasks, adjust to priorities, learn systems, within time constraints and with available resources; detail\-oriented.
**Team\-Building / Team Player:** 
 Influence the actions and opinions of others in a positive direction and build group commitment.
**Technical Skills:** 
 MS Office Suite and advanced in Excel.
**Working Conditions**
**Working Conditions**
* Availability to cover any work shift
* Onsite: Works within a standard office environment
* Remote: Private and secure work space and work station with high speed internet is required
* Extensive computer work with prolonged sitting, wearing of headset, typing, speaking on a phone
**Company Overview**
**Taking Care of Our Nation’s Heroes.**
**It’s Who We Are. It’s What We Do.**
 Do you have a passion for serving those who served?
**Join the TriWest Healthcare Alliance Team! We’re On a Mission to Serve®!**
 Our job is to make sure that America’s heroes get connected to health care in the community.
 At TriWest Healthcare Alliance, we’ve proudly been on that important mission since 1996\.
**Benefits**
 We’re more than just a health care company. We’re passionate about serving others! We believe in rewarding loyal, hard\-working people who are willing to learn as they grow. TriWest Healthcare Alliance values teamwork. Join our team, fulfill your responsibilities, and you may also be considered for frequent pay raises, overtime opportunities to earn even more, recognition and reward programs, and much more. Of course, we also offer a comprehensive and progressive compensation and benefits package that includes:
* Medical, Dental and Vision Coverage
* Paid time off
* 401(k) Retirement Savings Plan (with matching)
* Short\-term and long\-term disability, basic life, and accidental death and dismemberment insurance
* Tuition reimbursement
* Paid volunteer time
 TriWest job postings typically include a salary range,
 **which can vary based on the specific role and location** 
 , but generally this position ranges from around $110,000 \- $122,000 per year.
 Equal Employment Opportunity
 TriWest Healthcare Alliance is an equal employment opportunity employer. We are proud to have an inclusive work environment and know that a diverse team is a strength that will drive our success. To that end, TriWest strives to create an inclusive environment that supports diversity at every organizational level, and we highly encourage candidates from all backgrounds to apply. Applicants are considered for positions based on merit and without discrimination on the basis of race, color, religion, sex, sexual orientation, gender identity, national origin, age, disability or any other consideration made unlawful by applicable federal, state, or local laws.</t>
        </is>
      </c>
    </row>
    <row r="21">
      <c r="A21" t="inlineStr">
        <is>
          <t>li-4357630282</t>
        </is>
      </c>
      <c r="B21" t="inlineStr">
        <is>
          <t>Data Scientist - Pittsburgh</t>
        </is>
      </c>
      <c r="C21" t="inlineStr">
        <is>
          <t>iO Associates</t>
        </is>
      </c>
      <c r="D21" t="inlineStr">
        <is>
          <t>linkedin</t>
        </is>
      </c>
      <c r="E21">
        <f>HYPERLINK("https://www.linkedin.com/jobs/view/4357630282", "https://www.linkedin.com/jobs/view/4357630282")</f>
        <v/>
      </c>
      <c r="F21" t="inlineStr"/>
      <c r="G21" t="inlineStr">
        <is>
          <t>Pittsburgh, PA</t>
        </is>
      </c>
      <c r="H21" t="inlineStr"/>
      <c r="I21" t="inlineStr">
        <is>
          <t>**Job Title: Data Scientist** 
**Organisation Overview**
 Our Client is at the forefront of transforming Defense Acquisition through innovative software solutions. They support the national security community and military branches by enabling rapid and informed acquisition decisions using advanced data analysis and AI\-driven applications. Known for their collaborative culture and commitment to excellence, Our Client is a place where creativity and quality thrive, providing employees with opportunities for personal and professional growth.
**Role Summary**
 Our Client is seeking a curious and results\-oriented Data Scientist to join their dynamic team. This role is essential as the organisation continues to enhance its data\-driven capabilities and strategic decision\-making processes. You will engage with large datasets to uncover meaningful insights and drive the development of scalable statistical systems. This exciting position offers the chance to make a substantial impact by applying advanced analytics to critical challenges facing government clients.
**Responsibilities** 
* Design experiments, test hypotheses, and construct models for advanced data analysis.
* Apply statistical and predictive modelling techniques to improve real\-time decision systems.
* Make strategic recommendations on data collection and integration based on business requirements.
* Model and frame business scenarios to enhance critical processes and decisions.
* Streamline complex client data analyses into repeatable processes within the SaaS platform.
* Collaborate with internal teams and external clients to develop optimal data\-driven solutions.
* Participate in an agile software development process, working closely with team members from various disciplines.
**Essential Skills \&amp; Experience** 
* Minimum of 3 years of hands\-on data science experience.
* Demonstrable expertise in deriving key insights and KPIs for both internal and external customers.
* Proficiency in Python and regular experience in software development.
* Strong background in statistical and quantitative analysis, predictive modelling, and optimization algorithms.
* Experience with machine learning algorithms (e.g., gradient\-boosted machines, neural networks).
* Exceptional problem\-solving skills with the ability to work independently.
* Excellent communication and interpersonal skills.
**Desirable Skills \&amp; Experience** 
* Current U.S. security clearance or ability to obtain one with sponsorship.
* Familiarity with agile/scrum methodologies and startup settings.
* Experience with SQL and building datasets from common database tools.
* Knowledge of major NLP frameworks (e.g., spaCy, fasttext, BERT) and big data frameworks (e.g., HDFS, Spark).
* Familiarity with Git source control management and product organisations.
* Experience analysing financial, supply chain/logistics, or intellectual property data.
 If you have a strong desire to work in a fast\-paced environment, enjoy tackling complex problems, and are passionate about contributing to global security, we invite you to apply by submitting your CV. Join Our Client and be part of a team that is dedicated to excellence and innovation!</t>
        </is>
      </c>
    </row>
    <row r="22">
      <c r="A22" t="inlineStr">
        <is>
          <t>li-4346026024</t>
        </is>
      </c>
      <c r="B22" t="inlineStr">
        <is>
          <t>Senior Data Scientist, Strategy- Weights &amp; Biases</t>
        </is>
      </c>
      <c r="C22" t="inlineStr">
        <is>
          <t>Weights &amp; Biases</t>
        </is>
      </c>
      <c r="D22" t="inlineStr">
        <is>
          <t>linkedin</t>
        </is>
      </c>
      <c r="E22">
        <f>HYPERLINK("https://www.linkedin.com/jobs/view/4346026024", "https://www.linkedin.com/jobs/view/4346026024")</f>
        <v/>
      </c>
      <c r="F22">
        <f>HYPERLINK("https://coreweave.com/careers/job?4628295006&amp;board=weights_and_biases&amp;gh_jid=4628295006&amp;urlHash=7jhb", "https://coreweave.com/careers/job?4628295006&amp;board=weights_and_biases&amp;gh_jid=4628295006&amp;urlHash=7jhb")</f>
        <v/>
      </c>
      <c r="G22" t="inlineStr">
        <is>
          <t>Sunnyvale, CA</t>
        </is>
      </c>
      <c r="H22" t="inlineStr"/>
      <c r="I22"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**Who You Are**
 You’re someone who loves exploring abstract questions and finding answers in imperfect data. You enjoy collaborating with senior executives, and you’re motivated by influencing high\-level company direction with data. You’re equally comfortable writing SQL, building causal models, or explaining your findings in plain English.
* Top 1% written and verbal communication skills, comfortable communicating with C\-level executives.
* Strong SQL and python skills; experience with large, event\-driven datasets.
* Strong working familiarity with analytical and statistical techniques for general analysis, time series modeling, forecasting and identifying casual relationships.
* Familiarity with common analytics concepts (funnels, retention, cohort analysis, experiment design).
* Ability to partner with business leaders, and turn questions into structured analysis.
* History of writing easy\-to\-follow code and effective documentation for your projects
* Experience with dbt, Hex, and experimentation platforms is a plus.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have worked in investment banking, private equity or top tier management consulting.
* You’re an expert in stakeholder management: You'll love this role if you enjoy connecting with real users day to day, helping them solve issues and understand good patterns for using our tools. Day to day you'll be answering questions and requests with a kind, thoughtful tone that makes users feel appreciated and connected to our team.
* You’re curious about machine learning: theoretical or practical knowledge of machine learning workflows and terminology.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3">
      <c r="A23" t="inlineStr">
        <is>
          <t>li-4353033757</t>
        </is>
      </c>
      <c r="B23" t="inlineStr">
        <is>
          <t>Data Scientist - TS/SCI</t>
        </is>
      </c>
      <c r="C23" t="inlineStr">
        <is>
          <t>EVONA</t>
        </is>
      </c>
      <c r="D23" t="inlineStr">
        <is>
          <t>linkedin</t>
        </is>
      </c>
      <c r="E23">
        <f>HYPERLINK("https://www.linkedin.com/jobs/view/4353033757", "https://www.linkedin.com/jobs/view/4353033757")</f>
        <v/>
      </c>
      <c r="F23" t="inlineStr"/>
      <c r="G23" t="inlineStr">
        <is>
          <t>St Louis, MO</t>
        </is>
      </c>
      <c r="H23" t="inlineStr"/>
      <c r="I23" t="inlineStr">
        <is>
          <t>**Data Scientist (TS/SCI)** 
 St Louis, Missouri \| Onsite
 We’re supporting a mission\-driven defence and intelligence organisation seeking a
 **Data Scientist** 
 to work on complex GEOINT and multi\-source intelligence problems. This role sits at the intersection of big data, geospatial analysis, and operational intelligence, with direct impact on national security outcomes.
 You’ll be working with large, complex datasets across intelligence disciplines, building tools, optimising databases, and applying advanced statistical and mathematical techniques to uncover patterns, relationships, and insights that matter.
**What you’ll be doing** 
* Querying, aggregating, correlating, and analysing large intelligence datasets
* Optimising databases to improve query speed, ingestion, export, and visualisation
* Developing custom tools and scripts to support analytic teams
* Applying statistical modelling and mathematical techniques to GEOINT challenges
* Visualising data spatially and temporally to support analysis and decision\-making
* Working across SQL, relational and NoSQL databases, and geospatial platforms
* Supporting repeatable, explainable tradecraft and training for analytics teams
**Tech \&amp; tools you’ll touch** 
 SQL, Python, R, MATLAB, ArcGIS, Tableau, Excel, SPSS, SAS, Hadoop, Spark, Oracle, NoSQL databases, ArcServer, GEOINT datasets
**What we’re looking for** 
* Active TS/SCI clearance (required)
* Bachelor’s degree in Computer Science, Mathematics, Statistics, or similar
* 3\+ years of experience in data science or advanced data analysis
* Strong SQL and database fundamentals
* Experience with Python, R, or similar statistical languages
* Understanding of geospatial analysis concepts and tools
* Strong problem\-solving skills and the ability to communicate insights clearly
**Nice to have** 
* Experience in the intelligence community
* GEOINT\-specific data or mission exposure
* Familiarity with NGA or IC analytic methodologies
* Machine learning model development experience
* Leadership or mentoring experience
 If you’re excited by complex data, geospatial intelligence, and working on problems with real\-world impact, this is a strong opportunity to step into a high\-visibility, mission\-critical role.</t>
        </is>
      </c>
    </row>
    <row r="24">
      <c r="A24" t="inlineStr">
        <is>
          <t>li-4362422087</t>
        </is>
      </c>
      <c r="B24" t="inlineStr">
        <is>
          <t>Data Scientist [Multiple Positions Available]</t>
        </is>
      </c>
      <c r="C24" t="inlineStr">
        <is>
          <t>JPMorganChase</t>
        </is>
      </c>
      <c r="D24" t="inlineStr">
        <is>
          <t>linkedin</t>
        </is>
      </c>
      <c r="E24">
        <f>HYPERLINK("https://www.linkedin.com/jobs/view/4362422087", "https://www.linkedin.com/jobs/view/4362422087")</f>
        <v/>
      </c>
      <c r="F24" t="inlineStr"/>
      <c r="G24" t="inlineStr">
        <is>
          <t>Palo Alto, CA</t>
        </is>
      </c>
      <c r="H24" t="inlineStr"/>
      <c r="I24" t="inlineStr">
        <is>
          <t>**Description**
**JOB DESCRIPTION**
 Duties: Build data solutions and extract insights from big data environments to design metrics and conduct in\-depth analyses that drive business decisions. Partner with leaders across the business of Sales, Marketing, Finance and Account Management to deliver high\-impact analytics. Establish strong partnerships with our stakeholders across Chase Payment Solutions. Collaborate with analytics and non\-analytics groups to design solutions and provide actionable insights. Drive the execution of analytics and data science initiatives. Analyze data from a variety of data sources and identify key insights. Demonstrate strong analytical ability through understanding and implementation of various analytical and statistical techniques to answer high\-priority business questions. Interpret analytical results and present findings to stakeholders. Build data visualization and provide ongoing enhancements to business dashboards. Experiment, develop, and produce high\-quality machine learning models that drive business growth.
**Qualifications**
 Minimum education and experience required: Bachelor's degree in Data Science, Business Analytics, or related field of study plus 1 year of experience in the job offered or as Data Scientist, Business Analyst, or related occupation.
 Skills Required: This position requires any amount of experience with the following: Creating and maintaining dynamic and interactive dashboards using Tableau and Looker leveraging ETL automation, ODBC connector; creating advanced visualizations including heat maps, drill\-down charts and tools including parameters, and LOD (Level of Detail) expressions; Conducting in\-depth exploratory data analysis within large enterprise databases (Terabytes\- scale) using SQL via CTE and window functions; transforming raw data into actionable insights using Python libraries including Pandas and NumPy for data manipulation, scikit\-learn for machine learning, matplotlib, and seaborn for data visualization; Presenting data findings, model results, and performance metrics to cross\- functional teams and translating complex analyses into strategic recommendations for business growth; Designing and building robust, scalable data processing and model training pipelines by leveraging Random Forest and K\-Nearest Neighbors (KNN) machine learning algorithms; Developing, optimizing, and producing predictive modeling pipelines by Tree\-based Pipeline Optimization Tool (TPOT) python libraries that automate hyperparameter tuning and model selection to enhance prediction performance and model efficiency; Automating and streamlining ETL workflows in order to produce recurring reports and data updates leveraging Excel and Alteryx workflows; Leverage advanced Excel functionalities including vlookup, index match, and pivot tables; PySpark and Snowpark data science libraries in Python; and data engineering pipelines for big data.
 Job Location: 3223 Hanover St, Palo Alto, CA 94304\.
 Full\-Time. Salary: $148,699 \- $170,000 per year.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5">
      <c r="A25" t="inlineStr">
        <is>
          <t>li-4345966747</t>
        </is>
      </c>
      <c r="B25" t="inlineStr">
        <is>
          <t>Senior Data Scientist, Strategy- Weights &amp; Biases</t>
        </is>
      </c>
      <c r="C25" t="inlineStr">
        <is>
          <t>Weights &amp; Biases</t>
        </is>
      </c>
      <c r="D25" t="inlineStr">
        <is>
          <t>linkedin</t>
        </is>
      </c>
      <c r="E25">
        <f>HYPERLINK("https://www.linkedin.com/jobs/view/4345966747", "https://www.linkedin.com/jobs/view/4345966747")</f>
        <v/>
      </c>
      <c r="F25">
        <f>HYPERLINK("https://coreweave.com/careers/job?4628295006&amp;board=weights_and_biases&amp;gh_jid=4628295006&amp;urlHash=7jhb", "https://coreweave.com/careers/job?4628295006&amp;board=weights_and_biases&amp;gh_jid=4628295006&amp;urlHash=7jhb")</f>
        <v/>
      </c>
      <c r="G25" t="inlineStr">
        <is>
          <t>San Francisco, CA</t>
        </is>
      </c>
      <c r="H25" t="inlineStr"/>
      <c r="I25"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**Who You Are**
 You’re someone who loves exploring abstract questions and finding answers in imperfect data. You enjoy collaborating with senior executives, and you’re motivated by influencing high\-level company direction with data. You’re equally comfortable writing SQL, building causal models, or explaining your findings in plain English.
* Top 1% written and verbal communication skills, comfortable communicating with C\-level executives.
* Strong SQL and python skills; experience with large, event\-driven datasets.
* Strong working familiarity with analytical and statistical techniques for general analysis, time series modeling, forecasting and identifying casual relationships.
* Familiarity with common analytics concepts (funnels, retention, cohort analysis, experiment design).
* Ability to partner with business leaders, and turn questions into structured analysis.
* History of writing easy\-to\-follow code and effective documentation for your projects
* Experience with dbt, Hex, and experimentation platforms is a plus.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have worked in investment banking, private equity or top tier management consulting.
* You’re an expert in stakeholder management: You'll love this role if you enjoy connecting with real users day to day, helping them solve issues and understand good patterns for using our tools. Day to day you'll be answering questions and requests with a kind, thoughtful tone that makes users feel appreciated and connected to our team.
* You’re curious about machine learning: theoretical or practical knowledge of machine learning workflows and terminology.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6">
      <c r="A26" t="inlineStr">
        <is>
          <t>li-4345937872</t>
        </is>
      </c>
      <c r="B26" t="inlineStr">
        <is>
          <t>Senior Data Scientist, Strategy- Weights &amp; Biases</t>
        </is>
      </c>
      <c r="C26" t="inlineStr">
        <is>
          <t>Weights &amp; Biases</t>
        </is>
      </c>
      <c r="D26" t="inlineStr">
        <is>
          <t>linkedin</t>
        </is>
      </c>
      <c r="E26">
        <f>HYPERLINK("https://www.linkedin.com/jobs/view/4345937872", "https://www.linkedin.com/jobs/view/4345937872")</f>
        <v/>
      </c>
      <c r="F26" t="inlineStr"/>
      <c r="G26" t="inlineStr">
        <is>
          <t>New York, NY</t>
        </is>
      </c>
      <c r="H26" t="inlineStr"/>
      <c r="I26"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**Who You Are**
 You’re someone who loves exploring abstract questions and finding answers in imperfect data. You enjoy collaborating with senior executives, and you’re motivated by influencing high\-level company direction with data. You’re equally comfortable writing SQL, building causal models, or explaining your findings in plain English.
* Top 1% written and verbal communication skills, comfortable communicating with C\-level executives.
* Strong SQL and python skills; experience with large, event\-driven datasets.
* Strong working familiarity with analytical and statistical techniques for general analysis, time series modeling, forecasting and identifying casual relationships.
* Familiarity with common analytics concepts (funnels, retention, cohort analysis, experiment design).
* Ability to partner with business leaders, and turn questions into structured analysis.
* History of writing easy\-to\-follow code and effective documentation for your projects
* Experience with dbt, Hex, and experimentation platforms is a plus.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have worked in investment banking, private equity or top tier management consulting.
* You’re an expert in stakeholder management: You'll love this role if you enjoy connecting with real users day to day, helping them solve issues and understand good patterns for using our tools. Day to day you'll be answering questions and requests with a kind, thoughtful tone that makes users feel appreciated and connected to our team.
* You’re curious about machine learning: theoretical or practical knowledge of machine learning workflows and terminology.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7">
      <c r="A27" t="inlineStr">
        <is>
          <t>li-4208903177</t>
        </is>
      </c>
      <c r="B27" t="inlineStr">
        <is>
          <t>Data Scientist / AI Engineer</t>
        </is>
      </c>
      <c r="C27" t="inlineStr">
        <is>
          <t>Innovative Defense Technologies (IDT)</t>
        </is>
      </c>
      <c r="D27" t="inlineStr">
        <is>
          <t>linkedin</t>
        </is>
      </c>
      <c r="E27">
        <f>HYPERLINK("https://www.linkedin.com/jobs/view/4208903177", "https://www.linkedin.com/jobs/view/4208903177")</f>
        <v/>
      </c>
      <c r="F27" t="inlineStr"/>
      <c r="G27" t="inlineStr">
        <is>
          <t>Mount Laurel, NJ</t>
        </is>
      </c>
      <c r="H27" t="inlineStr"/>
      <c r="I27" t="inlineStr">
        <is>
          <t>**Description**
 Background Information:
 Innovative Defense Technologies(IDT), provider of cutting\-edge cloud\-based integration, automated testing and data analysis for complex, mission\-critical systems in the US Department of Defense (DOD), is seeking a Data Scientist/AI Engineer to be based in our Arlington, VA or Mount Laurel, NJ office. Leveraging advanced software automation, model\-based systems engineering (MBSE), and AI\-driven capabilities, IDT accelerates capability development, enhances operational readiness, and reduces lifecycle costs for the Department of Defense. The company is dedicated to transforming defense systems through innovation, efficiency, and mission\-critical results.
 Overview:
 The Data Scientist position offers an engineer the opportunity to showcase their knowledge and talents as part of a collaborative team developing innovative AI and Data Analysis solutions for Innovative Defense Technologies. The responsibilities of this role include leading and supporting feasibility studies, building capabilities to discover explanatory features in high\-dimensionality datasets, and developing and integrating state\-of\-the\-art AI/ML solutions to support mission\-critical software capabilities.
 All applicants must be able to obtain/maintain an active U.S. Security Clearance.
 Responsibilities Include:
* Develop solutions to deliver analytical and AI/ML capabilities from problem formulation to a productized, deployable, maintainable capability
* Leverage state\-of\-the\-art theory and technologies to solve complex problems
* Establish and leverage Big Data frameworks to store, extract and analyze relevant data
* Develop software solutions by understanding customer requirements and program intent
* Determine operational feasibility by evaluating analysis, problem definition, requirements, solution development, and proposed solutions
* Be responsible for solutions that meet software design, quality, and performance requirements
* Work with minimal supervision in a collaborative work environment to implement best\-in\-class solutions
 Minimum Required Qualifications:
* Bachelor’s Degree in Statistics, Data Science, Computer Science, Math, or a quantitative field or equivalent full\-time professional experience required; Master’s Degree in Data Science or other technical field highly preferred
* 3\+ years of experience in predictive modeling, data science and analysis
 Required Skills:
* Previous experience in a ML or data scientist role and a track record of building ML and Data Science capabilities
* Experience working with data mining and ML algorithms including decision trees, probability networks, association rules, clustering, and neural networks
* Experience in and knowledge of mathematical optimization techniques, non\-linear programming, evolutionary and biologically\-inspired optimization algorithms
* In\-depth understanding and knowledge of statistical analysis, sampling, statistical learning theory, and Design of Experiments (DOE)
* Strong proficiency in Python
* Experience using ML libraries, such as scikit\-learn, PyTorch, Keras, etc.
* Knowledge of data and information visualization principles and experience using related tools
 Preferred Skills:
* Strong software engineering background
* Skills with other programming languages, such as Julia, Java or C/C\+\+
* Demonstrated ability to develop experimental and analytic plans for data modeling processes, use of strong baselines, ability to accurately determine cause and effect relations
* Experience with application container platforms
* Familiarity with continuous integration/delivery tools (e.g. Jenkins)
* Familiarity with version control tools (e.g. Subversion, Git, etc.)
* Familiarity with VMware or other virtualization software
* Experience developing applications for DOD command and control systems
* Familiarity with Large Language Models (LLM) and LLM parameter tuning
* Familiarity with network science and graph theory
 Competencies:
* Solid analytical abilities, coupled with a strong sense of ownership, urgency, and drive
* Attention to detail
* Strong sense of intellectual curiosity and desire to learn
* Initiative, creativity, reliability, teamwork
* Ability to deal well with ambiguity, prioritize needs, and deliver results in a dynamic environment
 Price range: $90,000 \- $150,000 or $114,000 \- $184,000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New Jersey Senate Bill 2310\. IDT is often looking to place multiple candidates at various levels. Therefore, more than one pay range has been included, commensurate with experience.
 EEO Statement:
 IDT is an Equal Opportunity employer.</t>
        </is>
      </c>
    </row>
    <row r="28">
      <c r="A28" t="inlineStr">
        <is>
          <t>li-4346110676</t>
        </is>
      </c>
      <c r="B28" t="inlineStr">
        <is>
          <t>Senior Data Scientist, Strategy- Weights &amp; Biases</t>
        </is>
      </c>
      <c r="C28" t="inlineStr">
        <is>
          <t>Weights &amp; Biases</t>
        </is>
      </c>
      <c r="D28" t="inlineStr">
        <is>
          <t>linkedin</t>
        </is>
      </c>
      <c r="E28">
        <f>HYPERLINK("https://www.linkedin.com/jobs/view/4346110676", "https://www.linkedin.com/jobs/view/4346110676")</f>
        <v/>
      </c>
      <c r="F28" t="inlineStr"/>
      <c r="G28" t="inlineStr">
        <is>
          <t>Bellevue, WA</t>
        </is>
      </c>
      <c r="H28" t="inlineStr"/>
      <c r="I28"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**Who You Are**
 You’re someone who loves exploring abstract questions and finding answers in imperfect data. You enjoy collaborating with senior executives, and you’re motivated by influencing high\-level company direction with data. You’re equally comfortable writing SQL, building causal models, or explaining your findings in plain English.
* Top 1% written and verbal communication skills, comfortable communicating with C\-level executives.
* Strong SQL and python skills; experience with large, event\-driven datasets.
* Strong working familiarity with analytical and statistical techniques for general analysis, time series modeling, forecasting and identifying casual relationships.
* Familiarity with common analytics concepts (funnels, retention, cohort analysis, experiment design).
* Ability to partner with business leaders, and turn questions into structured analysis.
* History of writing easy\-to\-follow code and effective documentation for your projects
* Experience with dbt, Hex, and experimentation platforms is a plus.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have worked in investment banking, private equity or top tier management consulting.
* You’re an expert in stakeholder management: You'll love this role if you enjoy connecting with real users day to day, helping them solve issues and understand good patterns for using our tools. Day to day you'll be answering questions and requests with a kind, thoughtful tone that makes users feel appreciated and connected to our team.
* You’re curious about machine learning: theoretical or practical knowledge of machine learning workflows and terminology.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9">
      <c r="A29" t="inlineStr">
        <is>
          <t>li-4362323673</t>
        </is>
      </c>
      <c r="B29" t="inlineStr">
        <is>
          <t>Data Scientist</t>
        </is>
      </c>
      <c r="C29" t="inlineStr">
        <is>
          <t>TalentAlly</t>
        </is>
      </c>
      <c r="D29" t="inlineStr">
        <is>
          <t>linkedin</t>
        </is>
      </c>
      <c r="E29">
        <f>HYPERLINK("https://www.linkedin.com/jobs/view/4362323673", "https://www.linkedin.com/jobs/view/4362323673")</f>
        <v/>
      </c>
      <c r="F29">
        <f>HYPERLINK("https://tracking.prodivnet.com/track/apply/a0d0eff8-d9c0-4d2d-96ae-95f34eb5fc6c&amp;urlHash=GZVA", "https://tracking.prodivnet.com/track/apply/a0d0eff8-d9c0-4d2d-96ae-95f34eb5fc6c&amp;urlHash=GZVA")</f>
        <v/>
      </c>
      <c r="G29" t="inlineStr">
        <is>
          <t>Johnston, RI</t>
        </is>
      </c>
      <c r="H29" t="inlineStr"/>
      <c r="I29" t="inlineStr">
        <is>
          <t>Established nearly two centuries ago, FM is a leading mutual insurance company whose capital, scientific research capability and engineering expertise are solely dedicated to property risk management and the resilience of its policyholder\-owners. These owners, who share the belief that the majority of property loss is preventable, represent many of the world's largest organizations, including one of every four Fortune 500 companies. They work with FM to better understand the hazards that can impact their business continuity to make cost\-effective risk management decisions, combining property loss prevention with insurance protection.
 As a Data Scientist, you will focus on translating business needs into analytics, interpretation of analytics into business applications, sophisticated technologies, and artificial intelligence solutions. This role will allow you to innovate, explore, and build solutions for FM using new technologies. You will develop and apply statistics, artificial intelligence, machine learning, and deep learning to various business problems in loss prevention.
 You'll be part of our innovative and diverse team of sophisticated data and analytics professionals. You'll work alongside multiple departments, including operations, innovation, business technology transformation, underwriting, and engineering. Through constant learning, innovation, discovery, and collaboration you'll not only help FM deliver on the promise of loss prevention, but you'll also grow your career and the scope of your impact across our company.
 Using your creativity and applying a vast array of techniques and tools, you will plan, conduct, and advise the development and evaluation of real\-world, large\-scale problems using artificial intelligence/machine learning with minimal or limited supervision.
 Your projects will be interesting, exciting and ambitious! You will use statistics to advance the mission and goals of FM.
 Ph.D. in Statistics, Biostatistics or Operational Research with 2\+ years of industry experience or a Master's degree with 5\+ years of industry working experience in data science modelling
 5\+ years of experience of data processing, statistical analysis and modelling using tools such as Python,R, or SQL
 2\+ years of experience of working with cloud data analytics platform, such as Databricks
 Advanced Knowledge and Working Experience in:
 Generalized Linear Models (Logistic Regression, Zero\-Inflated Model, etc.)
 Model Regularization
 Probability Distributions
 Hypothesis testing
 Statistical Inference
 Machine Learning (Random Forest, Clustering, Gradient Descent, Gradient Boosting, etc.)
 Simulation
 Experiment Design
 Non\-Parametric Statistics
 Experience as the lead role of full\-cycle data science projects
 Working experience in risk management and/or property insurance is strongly preferred
 Compensation, Grade, and Job Title will be determined based on qualifications, experience, and technical skillset.
 The position is eligible to participate in FM's comprehensive Total Rewards program that includes an incentive plan, generous health and well\-being programs, a 401(k) and pension plan, career development opportunities, tuition reimbursement, flexible work, paid time off allowances and much more.
 FM is an Equal Opportunity Employer and is committed to attracting, developing, and retaining a diverse workforce.
**\#LI\-TA1** 
 PDN\-a0d0eff8\-d9c0\-4d2d\-96ae\-95f34eb5fc6c</t>
        </is>
      </c>
    </row>
    <row r="30">
      <c r="A30" t="inlineStr">
        <is>
          <t>li-4346151670</t>
        </is>
      </c>
      <c r="B30" t="inlineStr">
        <is>
          <t>Senior Data Scientist, Advanced Risk Modeling</t>
        </is>
      </c>
      <c r="C30" t="inlineStr">
        <is>
          <t>Oscar Health</t>
        </is>
      </c>
      <c r="D30" t="inlineStr">
        <is>
          <t>linkedin</t>
        </is>
      </c>
      <c r="E30">
        <f>HYPERLINK("https://www.linkedin.com/jobs/view/4346151670", "https://www.linkedin.com/jobs/view/4346151670")</f>
        <v/>
      </c>
      <c r="F30" t="inlineStr"/>
      <c r="G30" t="inlineStr">
        <is>
          <t>San Francisco, CA</t>
        </is>
      </c>
      <c r="H30" t="inlineStr"/>
      <c r="I30" t="inlineStr">
        <is>
          <t>Hi, we're Oscar. We're hiring a Senior Data Scientist to join our Data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The Senior Data Scientist, Advanced Risk Modeling, is a senior individual contributor role focused on utilizing advanced machine learning (ML) and artificial intelligence (AI) methodologies on modern ML platforms. This role will build and deploy sophisticated models to help solve complex business problems specifically within Oscar's risk adjustment domain.
 You will report into the Director of Data.
**Work Location:** 
 This is a remote position, open to candidates who reside in: San Francisco, CA. You will be fully remote; however, our approach to work may adapt over time. Future models could potentially involve a hybrid presence at the hub office associated with your metro area.
**Pay Transparency:** 
 The base pay for this role is: $158,400\- $207,900 per year. You are also eligible for employee benefits, participation in Oscar's unlimited vacation program, company equity grants, and annual performance bonuses.
**Responsibilities**
* Conduct in\-depth data analysis and advanced feature engineering using large, complex healthcare datasets to create robust predictors.
* Design, develop, and validate advanced ML/AI models (e.g., regression/classification, deep learning, NLP, gradient boosting, LLM experimentations) to solve complex clinical and business problems within the risk adjustment domain.
* Leverage modern ML Ops platforms (e.g., Vertex AI) and data science best practices to efficiently train, test, deploy, and maintain production\-level models.
* Build and maintain the supporting data systems, analytics, and monitoring infrastructure required for complex, production\-level AI/ML systems.
* Research, develop, and evaluate new AI applications using cutting\-edge techniques, including LLM models and agentic frameworks, to solve critical business challenges in risk adjustment.
* Work closely with business stakeholders, engineering teams, and product managers to gain a deep understanding of business operations and technical systems.
* Build strong partnerships to foster close, effective integrations between data science, engineering, product, and business units.
* Partner with leaders to identify high\-impact opportunities, translate complex business challenges into data science solutions, and ensure successful model implementation within business workflows.
**Requirements**
* 4\+ years of industry or other quantitative technical fields (which may include academia).
* 3\+ years of work experience working with SQL, R, and/or Python to query, manipulate and analyze data
* 3\+ years experience building data models, using more advanced analytics methods, statistical modeling, and/or data processing
**Bonus Points**
* Advanced degree in a quantitative or technical field
* Experience in the healthcare, finance and/or insurance industries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31">
      <c r="A31" t="inlineStr">
        <is>
          <t>li-4353064116</t>
        </is>
      </c>
      <c r="B31" t="inlineStr">
        <is>
          <t>Senior Data Scientist, Sustainable Technology</t>
        </is>
      </c>
      <c r="C31" t="inlineStr">
        <is>
          <t>Mastercard</t>
        </is>
      </c>
      <c r="D31" t="inlineStr">
        <is>
          <t>linkedin</t>
        </is>
      </c>
      <c r="E31">
        <f>HYPERLINK("https://www.linkedin.com/jobs/view/4353064116", "https://www.linkedin.com/jobs/view/4353064116")</f>
        <v/>
      </c>
      <c r="F31">
        <f>HYPERLINK("https://careers.mastercard.com/us/en/job/MASRUSR263035EXTERNALENUS/Senior-Data-Scientist-Sustainable-Technology?utm_source=linkedin&amp;utm_medium=phenom-feeds&amp;source=LINKEDIN&amp;urlHash=5fUN", "https://careers.mastercard.com/us/en/job/MASRUSR263035EXTERNALENUS/Senior-Data-Scientist-Sustainable-Technology?utm_source=linkedin&amp;utm_medium=phenom-feeds&amp;source=LINKEDIN&amp;urlHash=5fUN")</f>
        <v/>
      </c>
      <c r="G31" t="inlineStr">
        <is>
          <t>O'Fallon, MO</t>
        </is>
      </c>
      <c r="H31" t="inlineStr"/>
      <c r="I31"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Data Scientist, Sustainable Technology
**Job Overview:**
 As the Senior Data Engineer / Scientist for Mastercard's Sustainable Technology, you will be the driving force behind the development and execution of cutting\-edge data strategies and data environment frameworks. Your expertise will ensure the effective utilization of data, enabling the delivery of dependable Data \&amp; Analytics Services. You will collaborate with cross\-functional teams and establish data\-related best practices in alignment with Mastercard standards.
**Responsibilities:**
* Design, develop, and maintain new data capabilities and infrastructure for Mastercard's Sustainable Technology Internal Data Lake.
* Create new data pipelines, data transfers, and compliance\-oriented infrastructure to facilitate seamless data utilization within on\-premise/cloud environments.
* Identify existing data capability and infrastructure gaps or opportunities within and across initiatives and provide subject matter expertise in support of remediation.
* Collaborate with technical teams and business stakeholders to understand data requirements and translate them into technical solutions.
* Work with large datasets, ensuring data quality, accuracy, and performance.
* Implement data transformation, integration, and validation processes to support analytics/BI and reporting needs.
* Optimize and fine\-tune data pipelines for improved speed, reliability, and efficiency.
* Implement best practices for data storage, retrieval, and archival to ensure data accessibility and security.
* Troubleshoot and resolve data\-related issues, collaborating with the team to identify root causes.
* Document data processes, data lineage, and technical specifications for future reference.
* Participate in code reviews, ensuring adherence to coding standards and best practices.
* Collaborate with DevOps teams to automate deployment and monitoring of data pipelines.
* Additional tasks as required.
**Education:**
 All About You
* Bachelor’s degree in Computer Science, Engineering, Data Science, or a related field.
**Knowledge / Experience:**
* Proven experience as a Data Engineer / Scientist or similar role.
* Deep understanding of data visualization, statistics, hypothesis testing, business intelligence tools, SQL, data cleaning, and data lifecycle management.
* Proficiency in designing and implementing data tools, technologies, and processes.
* Expertise in data engineering, ETL/ELT processes, data warehousing, and data modeling.
* Strong command of data integration techniques and data quality management.
* Hands\-on experience with data technologies such as Hadoop, Spark, Python, SQL, Alteryx, NiFi, SSIS, etc.
* Familiarity with cloud platforms and services, such as AWS, GCP, or Azure.
* Excellent problem\-solving skills and ability to provide innovative data solutions.
* Strong leadership skills with a proven track record of guiding and mentoring a team.
* 3\+ years of experience in related field.
* 3\+ years of experience in delivering secure solutions in Financial Services Sector is preferred.
* Broad understanding of Software Engineering Concepts and Methodologies is required.
* Demonstrate MC Core Competencies.
**Skills/ Abilities:**
* Must be high\-energy, detail\-oriented, proactive and have the ability to function under pressure in an independent environment.
* Experience building data pipelines through Spark with Scala/Python/Java on Hadoop or Object storage.
* Expertise in Data Engineering and Data Analysis: implementing multiple end\-to\-end DW projects in Big Data Hadoop environment.
* Experience working with databases like MS SQL Server, Oracle, and strong SQL knowledge.
* Experience in BI tools like Tableau, Power BI.
* Experience with Alteryx, SSIS, NiFi, Spark, Cloudera Machine Learning, S3 Protocol, PowerBI, NoSQL data structures, Splunk, Databricks, (added advantage)
* Experience automating data flow processes in a Big Data environment.
* Pulling in data from various monitoring platforms to aggregate and enable data science work to support ESG (ie sustainable impact)
* Must provide the necessary skills to have a high degree of initiative and self\-motivation to drive results.
* Possesses strong communication skills \-\- both verbal and written – and strong relationship, collaborative skills and organizational skills.
* Willingness and ability to learn and take on challenging opportunities and to work as a member of matrix based diverse and geographically distributed project team.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$115,000 \- $184,000 USD</t>
        </is>
      </c>
    </row>
    <row r="32">
      <c r="A32" t="inlineStr">
        <is>
          <t>li-4329001822</t>
        </is>
      </c>
      <c r="B32" t="inlineStr">
        <is>
          <t>Senior Data Scientist</t>
        </is>
      </c>
      <c r="C32" t="inlineStr">
        <is>
          <t>Wikimedia Foundation</t>
        </is>
      </c>
      <c r="D32" t="inlineStr">
        <is>
          <t>linkedin</t>
        </is>
      </c>
      <c r="E32">
        <f>HYPERLINK("https://www.linkedin.com/jobs/view/4329001822", "https://www.linkedin.com/jobs/view/4329001822")</f>
        <v/>
      </c>
      <c r="F32" t="inlineStr"/>
      <c r="G32" t="inlineStr"/>
      <c r="H32" t="inlineStr"/>
      <c r="I32" t="inlineStr">
        <is>
          <t>**Summary**
 The Community Growth team at the Wikimedia Foundation works to improve knowledge equity by supporting our global communities of volunteers through grantmaking, capacity development, and strategic partnership building. We are looking for a Senior Data Scientist, reporting to the Manager of Data, Learning \&amp; Evaluation (Community Growth), who will support the strategic work of Community Growth with impactful, accessible, and ethical data and insights.
 As a Senior Data Scientist, you will work in a complex data ecosystem to build critical, resilient data pipelines and self\-service dashboards and reports, empowering Community Growth teams and leaders to make data\-informed decisions to iterate and adapt their support of Wikimedia communities.
**You Are Responsible For**
* In partnership with the DL\&amp;E Manager, building data systems for grant\-funded activities and outcomes that enable standardization and connection with our primary data pipelines
**Creation and maintenance of internal data dashboards to track Community Growth programs' outcomes and impacts**
* Identifying actionable insights from trends and themes across datasets to inform reports and decision\-making about grantmaking, partnerships, and programmatic interventions
**Designing Community Growth data processes for maximum effectiveness, building data frames and connecting to pipelines for effective and efficient storage and retrieval, basic aggregation and ETL**
* Collaborating across departments, including with technology data teams, to ensure that calculation of metrics are aligned with Foundation\-level metric practices
* Proactively identifying requirements to support and improve an evolving data ecosystem
**Skills And Experience**
* Fluency in English
* Bachelor’s degree and five years related experience OR a Master’s degree and at least three years related experience; or equivalent advanced work experience in data analysis, data science, research and analytics or a related field
* Proven experience with programming languages, particularly SQL and Python
* Experience calling and working with APIs in Python, including authentication, pagination, and JSON data handling
* Experience working with large\-scale data processing \&amp; storage tools (we use Hadoop, Hive, Presto, and Spark)
* Experience with data visualization and dashboarding tools like Apache Superset, Google Looker Studio, or similar tools
* Experience with Google Suite (Including the full suite of collaborative apps and advanced coding in Google Sheets/MS Excel)
**Qualities That Are Important To Us**
* Ability to address problems of diverse scope using good judgment in selecting methods and techniques for obtaining quality and efficient solutions
* Ability to communicate findings and recommendations clearly to colleagues with diverse backgrounds and areas of expertise
* Experience with or exposure to ethical data management and privacy practices
* Ability to problem solve and to learn and apply new technologies and tools
* Desire to learn, share knowledge, and help other colleagues
* Flexibility and openness to change and new information
**And We'd Love It If You Have**
* Advanced statistical training and experience
* Interest in or knowledge of Wikimedia projects, the free knowledge movement, global education and/or international development
* Cross\-cultural sensitivity and awareness
* Experience with open\-source tools
* Fluency in languages other than English
* Nonprofit, NGO or INGO experience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US$106,227 to US$167,858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 Please note that we are currently able to hire in the following countries: Australia, Austria, Bangladesh, Belgium, Brazil, Canada, Colombia, Costa Rica, Croatia, Czech Republic, Denmark, Egypt, Estonia, Finland, France, Germany, Ghana, Greece, India, Indonesia, Ireland, Israel, Italy, Kenya, Mexico, Netherlands, Nigeria, Peru, Poland, Singapore, South Africa, Spain, Sweden, Switzerland, Uganda, United Kingdom, United States of America and Uruguay. Our non\-US employees are hired through a local third party Employer of Record (EOR).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**U.S. Benefits \&amp; Perks**
**Applicant Privacy Policy**
**Wikimedia Foundation**
**What does the Wikimedia Foundation do?**
**What makes Wikipedia different from social media platforms?**
**Our Projects**
**Our Tech Stack**
**News from across the Wikimedia movement**
**Wikimedia Blog**
**Wikimedia 2030**</t>
        </is>
      </c>
    </row>
    <row r="33">
      <c r="A33" t="inlineStr">
        <is>
          <t>li-4338416458</t>
        </is>
      </c>
      <c r="B33" t="inlineStr">
        <is>
          <t>Principal Data Scientist</t>
        </is>
      </c>
      <c r="C33" t="inlineStr">
        <is>
          <t>Maximus</t>
        </is>
      </c>
      <c r="D33" t="inlineStr">
        <is>
          <t>linkedin</t>
        </is>
      </c>
      <c r="E33">
        <f>HYPERLINK("https://www.linkedin.com/jobs/view/4338416458", "https://www.linkedin.com/jobs/view/4338416458")</f>
        <v/>
      </c>
      <c r="F33" t="inlineStr"/>
      <c r="G33" t="inlineStr"/>
      <c r="H33" t="inlineStr"/>
      <c r="I33" t="inlineStr">
        <is>
          <t>**General information**
**Date**
 Monday, November 17, 2025
**City**
 Remote
**Country**
 United States
**Working time**
 Full\-time
**Description \&amp; Requirements**
 We now have an exciting opportunity for a
 **Principal Data Scientist to join the Maximus** 
 AI Accelerator supporting both the enterprise and our clients. We are looking for an accomplished hands\-on individual contributor and team player to be a part of the AI Accelerator team.
 You will be responsible for architecting and optimizing scalable, secure AI systems and integrating AI models in production using MLOps best practices, ensuring systems are resilient, compliant, and efficient. This role requires strong systems thinking, problem\-solving abilities, and the capacity to manage risk and change in complex environments. Success depends on cross\-functional collaboration, strategic communication, and adaptability in fast\-paced, evolving technology landscapes.
 This position will be focused on strategic company\-wide initiatives but will also play a role in project delivery and capture solutioning (i.e., leaning in on existing or future projects and providing solutioning to capture new work.)
**This position requires occasional travel to the DC area for client meetings.**
**U.S. citizenship is required for this position due to government contract requirements.**
 Essential Duties and Responsibilities:
* Make deep dives into the data, pulling out objective insights for business leaders.
* Initiate, craft, and lead advanced analyses of operational data.
* Provide a strong voice for the importance of data\-driven decision making.
* Provide expertise to others in data wrangling and analysis.
* Convert complex data into visually appealing presentations.
* Develop and deploy advanced methods to analyze operational data and derive meaningful, actionable insights for stakeholders and business development partners.
* Understand the importance of automation and look to implement and initiate automated solutions where appropriate.
* Initiate and take the lead on AI/ML initiatives as well as develop AI/ML code for projects.
* Utilize various languages for scripting and write SQL queries. Serve as the primary point of contact for data and analytical usage across multiple projects.
* Guide operational partners on product performance and solution improvement/maturity options.
* Participate in intra\-company data\-related initiatives as well as help foster and develop relationships throughout the organization.
* Learn new skills in advanced analytics/AI/ML tools, techniques, and languages.
* Mentor more junior data analysts/data scientists as needed.
* Apply strategic approach to lead projects from start to finish;
**Job\-Specific Minimum Requirements:**
* Develop, collaborate, and advance the applied and responsible use of AI, ML and data science solutions throughout the enterprise and for our clients by finding the right fit of tools, technologies, processes, and automation to enable effective and efficient solutions for each unique situation.
* Contribute and lead the creation, curation, and promotion of playbooks, best practices, lessons learned and firm intellectual capital.
* Contribute to efforts across the enterprise to support the creation of solutions and real mission outcomes leveraging AI capabilities from Computer Vision, Natural Language Processing, LLMs and classical machine learning.
* Contribute to the development of mathematically rigorous process improvement procedures.
* Maintain current knowledge and evaluation of the AI technology landscape and emerging. developments and their applicability for use in production/operational environments.
**Minimum Requirements**
* Bachelor's degree in related field required.
* 10\-12 years of relevant professional experience required.
**Job\-Specific Minimum Requirements:**
* 10\+ years of relevant Software Development \+ AI / ML / DS experience.
* Professional Programming experience (e.g. Python, R, etc.).
* Experience in two of the following: Computer Vision, Natural Language Processing, Deep Learning, and/or Classical ML.
* Experience with API programming.
* Experience with Linux.
* Experience with Statistics.
* Experience with Classical Machine Learning.
* Experience working as a contributor on a team.
**Preferred Skills and Qualifications:**
* Masters or BS in quantitative discipline (e.g. Math, Physics, Engineering, Economics, Computer Science, etc.).
* Experience developing machine learning or signal processing algorithms:
* Ability to leverage mathematical principles to model new and novel behaviors.
* Ability to leverage statistics to identify true signals from noise or clutter.
* Experience working as an individual contributor in AI.
* Use of state\-of\-the\-art technology to solve operational problems in AI and Machine Learning.
* Strong knowledge of data structures, common computing infrastructures/paradigms (stand alone and cloud), and software engineering principles.
* Ability to design custom solutions in the AI and Advanced Analytics sphere for customers. This includes the ability to scope customer needs, identify currently existing technologies, and develop custom software solutions to fill any gaps in available off the shelf solutions.
* Ability to build reference implementations of operational AI \&amp; Advanced Analytics processing solutions.
**Background Investigations:**
* IRS MBI \- Eligibility
 \#techjobs \#VeteransPage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**applicantaccom@maximus.com** 
 .
**Minimum Salary**
 $ 156,740\.00
**Maximum Salary**
 $ 234,960\.00</t>
        </is>
      </c>
    </row>
    <row r="34">
      <c r="A34" t="inlineStr">
        <is>
          <t>li-4353113240</t>
        </is>
      </c>
      <c r="B34" t="inlineStr">
        <is>
          <t>Data Scientist Senior</t>
        </is>
      </c>
      <c r="C34" t="inlineStr">
        <is>
          <t>USAA</t>
        </is>
      </c>
      <c r="D34" t="inlineStr">
        <is>
          <t>linkedin</t>
        </is>
      </c>
      <c r="E34">
        <f>HYPERLINK("https://www.linkedin.com/jobs/view/4353113240", "https://www.linkedin.com/jobs/view/4353113240")</f>
        <v/>
      </c>
      <c r="F34">
        <f>HYPERLINK("https://dsp.prng.co/GzlyMMb&amp;urlHash=v5ok", "https://dsp.prng.co/GzlyMMb&amp;urlHash=v5ok")</f>
        <v/>
      </c>
      <c r="G34" t="inlineStr">
        <is>
          <t>San Antonio, TX</t>
        </is>
      </c>
      <c r="H34" t="inlineStr"/>
      <c r="I34"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Data Scientist Senior, you will join USAA's Insurance Data Science team using strategic insights, AI, and automation to empower our Life Company partners in protecting and serving our members. We are seeking a highly collaborative and adaptable technical leader who will innovate solutions and re\-engineer processes to fuel aggressive business growth. This critical role offers the opportunity to employ data for strategic insight, solve complex challenges, and deliver game\-changing value. If you are passionate about using data to make a real\-world difference and help our members build a legacy, we want to hear from you.
 Senior Data Scientists translates business problems into applied statistical, machine learning, simulation, and optimization solutions to inform actionable business insights and drive business value through automation, revenue generation, and expense and risk reduction. In collaboration with engineering partners, delivers solutions at scale, and enables customer\-facing applications. Leverages' database, cloud, and programming knowledge to build analytical modeling solutions using statistical and machine learning techniques. Collaborates with other data scientists to improve USAA’s tooling, expanding the company’s library of internal packages and applications. Works with model risk management to validate the results and stability of models before being pushed to production at scale.
 We offer a flexible work environment that requires an individual to be
 **in the office 4 days per week.** 
 This position can be based in one of the following locations: San Antonio, TX, Plano, TX, or Phoenix, AZ. Relocation assistance is
 **not** 
 available for this position.
**What You'll Do**
* Gathers, interprets, and manipulates structured and unstructured data to enable advanced analytical solutions for the business.
* Develops scalable, automated solutions using machine learning, simulation, and optimization to deliver business insights and business value.
* Selects the appropriate modeling technique and/or technology with consideration to data limitations, application, and business needs.
* Develops and deploys models within the Model Development Control (MDC) and Model Risk Management (MRM) framework.
* Composes, and assists peers with composing, technical documents for knowledge persistence, risk management, and technical review audiences.
* Assesses business needs to propose/recommend analytical and modeling projects to add business value. Works with business and analytics leaders to prioritize analytics and modeling problems/research efforts.
* Builds and maintains a robust library of reusable, production\-quality algorithms and supporting code, to ensure model development and research efforts are visible and based on the highest quality data.
* Translates complex business request(s) into specific analytical questions, completes the analysis and/or modeling, and then communicates outcomes to non\-technical business colleagues with focus on business action and recommendations.
* Handles project landmarks, risks, and impediments. Calls out potential issues that could limit project success or implementation.
* Develops standard methodologies for engaging with Data Engineering and IT to deploy production\-ready analytical assets consistent with modeling procedures and model risk management standards.
* Maintains expertise and awareness of pioneering techniques. Actively seeks opportunities and materials to learn new techniques, technologies, and methodologies.
* Serves as a mentor to junior data scientists in modeling, analytics, and computer science tasks.
* Participates in internal communities that drive the maintenance and transformation of data science technologies and culture.
* Ensures risks associated with business activities are effectively identified, measured, monitored, and controlled in accordance with risk and compliance policies and procedures.
**What You Have**
* Bachelor’s degree in mathematics, computer science, statistics, economics, finance, actuarial sciences, science and engineering, or other similar quantitative field; OR 4 years of experience in statistics, mathematics, quantitative analytics, or related experience (in addition to the minimum years of experience required) may be substituted in lieu of degree.
* 6 years of experience in a predictive analytics or data analysis OR Advanced Degree (e.g., Master’s, PhD) in mathematics, computer science, statistics, economics, finance, actuarial sciences, science and engineering, or other similar quantitative field and 4 years of experience in predictive analytics or data analysis.
* 4 years of experience in training and validating statistical, physical, machine learning, and other advanced analytics models.
* 4 years of experience in one or more dynamic scripted language (such as Python, R, etc.) for performing statistical analyses and/or building and scoring AI/ML models.
* Validated experience writing code that is easy to follow, well documented, and commented where necessary to explain logic (high code visibility).
* Strong experience in querying and preprocessing data from structured and/or unstructured databases using query languages such as SQL, HQL, NoSQL, etc.
* Strong experience in working with structured, semi\-structured, and unstructured data files such as delimited numeric data files, JSON/XML files, and/or text documents, images, etc.
* Demonstrated skill in performing ad\-hoc analytics using descriptive, diagnostic, and inferential statistics.
* Ability to assess and articulate regulatory implications and expectations of distinct modeling efforts.
* Advanced experience with the concepts and technologies associated with classical supervised modeling for prediction such as linear/logistic regression, discriminant analysis, support vector machines, decision trees, forest models, etc.
* Advanced experience with the concepts and technologies associated with unsupervised modeling such as k\-means clustering, hierarchical/agglomerative clustering, neighbors’ algorithms, DBSCAN, etc.
* Experience guiding and mentoring junior technical staff in business interactions and model building.
* Experience communicating analytical and modeling results to non\-technical business partners with emphasis on business recommendations and actionable applications of results.
**What Sets You Apart**
* Strong history of collaborating with other data scientists, data engineers, and IT on delivering AI/ML solutions to business partners in highly regulated environments, with a foundational understanding of Model Risk Management (MRM) and governance principles.
* Proficiency in software engineering standard methodologies for data science, including robust coding standards, version control, and collaboration with engineering teams for model deployment and productionization.
* Demonstrated history of partnering with business subject matter authorities to translate complex business problems into advanced analytical solutions, critically evaluating approaches, and translating technical findings into clear, business\-oriented recommendations and driving adoption of data\-driven strategies.
* Experience in the Life Insurance, Health Insurance, and/or Annuities business both digitally and in support of call center operations.
* Validated expertise in using analytics and modeling to drive marketing engagement and optimization, designing customer journeys, persona and segmentation, positioning and messaging optimization, using data to support go\-to\-market strategies, etc.
* Experience in user acceptance testing, pilot testing, experimentation, and/or A\-B Testing to evaluate the value delivery of model solutions.
**Compensation range:** 
 The salary range for this position is: $143,320\.00 \- $273,930\.00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35">
      <c r="A35" t="inlineStr">
        <is>
          <t>li-4334243512</t>
        </is>
      </c>
      <c r="B35" t="inlineStr">
        <is>
          <t>Applied Scientist, Artificial General Intelligence</t>
        </is>
      </c>
      <c r="C35" t="inlineStr">
        <is>
          <t>Amazon</t>
        </is>
      </c>
      <c r="D35" t="inlineStr">
        <is>
          <t>linkedin</t>
        </is>
      </c>
      <c r="E35">
        <f>HYPERLINK("https://www.linkedin.com/jobs/view/4334243512", "https://www.linkedin.com/jobs/view/4334243512")</f>
        <v/>
      </c>
      <c r="F35" t="inlineStr"/>
      <c r="G35" t="inlineStr">
        <is>
          <t>Boston, MA</t>
        </is>
      </c>
      <c r="H35" t="inlineStr"/>
      <c r="I35" t="inlineStr">
        <is>
          <t>**Description**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A3120585</t>
        </is>
      </c>
    </row>
    <row r="36">
      <c r="A36" t="inlineStr">
        <is>
          <t>li-4284320590</t>
        </is>
      </c>
      <c r="B36" t="inlineStr">
        <is>
          <t>Lead Data Scientist - Autonomous Goal Management</t>
        </is>
      </c>
      <c r="C36" t="inlineStr">
        <is>
          <t>Humana</t>
        </is>
      </c>
      <c r="D36" t="inlineStr">
        <is>
          <t>linkedin</t>
        </is>
      </c>
      <c r="E36">
        <f>HYPERLINK("https://www.linkedin.com/jobs/view/4284320590", "https://www.linkedin.com/jobs/view/4284320590")</f>
        <v/>
      </c>
      <c r="F36" t="inlineStr"/>
      <c r="G36" t="inlineStr"/>
      <c r="H36" t="inlineStr"/>
      <c r="I36" t="inlineStr">
        <is>
          <t>**Become a part of our caring community and help us put health first**
 The Enterprise AI organization at Humana is a pioneering force, driving AI innovation across our Insurance and CenterWell business segments. By collaborating with world\-leading experts, we are at the forefront of delivering cutting\-edge AI technologies for improving care quality and experience of millions of consumers. We are actively seeking top talent to develop robust and reusable AI modules and pipelines, ensuring adherence to best practices in accountable AI for effective risk management and measurement. Join us in shaping the future of healthcare through AI excellence.
 We are building advanced agentic systems capable of autonomously managing and decomposing complex goals. We are seeking an expert in agent design, planning, and control to develop and evaluate agents that can set, adapt, and execute goals in dynamic, real\-world environments. You’ll contribute to the scientific and engineering foundations that make AI agents reliable, interpretable, and robust across long\-horizon tasks.
**Key Responsibilities**
* Architect goal setting and goal decomposition mechanisms for autonomous agents operating in uncertain or open\-ended environments
* Design and implement dynamic planning systems (e.g., hierarchical planning, curriculum learning, scratchpad/self\-refinement loops)
* Collaborate on memory, tool\-use, and feedback\-loop designs enabling multi\-step, self\-directed agent behavior
* Develop evaluation frameworks for alignment with human intent, consistency, progress against long\-horizon objectives
* Prototype agents that interface with APIs, MCP servers, search engines, databases, or real\-world actuators to pursue goals safely and efficiency
* Explore mechanisms to detect and mitigate goal misalignment, looping behavior, or undesirable emergent strategies
* Work across teams to integrate goal alignment with safety, alignment, and operational reliability mechanisms
**Technical Skills**
* Proficiency in SQL, Python, and data analysis/data mining tools.
* Experience with machine learning frameworks like Pytorch, Jax, LangChain, LangGraph or AutoGen
* Experience with high performance, large\-scale ML systems
* Experience with language modeling with transformers
* Experience with symbolic planning, causal reasoning, and model\-based RL
* Experience with large\-scale ETL
**Required Qualifications**
**Use your skills to make an impact**
* Master's Degree and 4\+ years of experience in research/ML engineering or an applied research scientist position preferably with a focus on developing production\-ready AI solutions
* 2\+ years of experience leading development of AI/ML systems
**Preferred Qualifications**
* Ph.D. in Computer Science, Data Science, Machine Learning, or a related field
* Demonstrated experience shipping autonomous, or semi\-autonomous agents in production or simulation
* Experience with LLM\-based agents with scratchpad/self\-reflection or hierarchical task decomposition
* Understanding of autonomy risk mitigation strategies, including off\-switch protocols, or bounded rationality
**Additional Information**
**Location/Work Style:** 
 Remote US
**Why Humana?**
 At Humana, We Know Your Well\-being Is Important To You, And It’s Important To Us Too. That’s Why We’re Committed To Making Resources Available To You That Will Enable You To Become Happier, Healthier, And More Productive In All Areas Of Your Life. Just To Name a Few
* Work\-Life Balance
* Generous PTO package
* Health benefits effective day 1
* Annual Incentive Plan
* 401K \- Excellent company match
* Well\-being program
* Paid Volunteer Time Off
 If you share our passion for helping people, we likely have the right place for you at Humana.
**Work at Home Guidance**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**SSN Alert Statement**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$142,300 \- $195,700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01\-29\-2026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37">
      <c r="A37" t="inlineStr">
        <is>
          <t>li-4308148192</t>
        </is>
      </c>
      <c r="B37" t="inlineStr">
        <is>
          <t>Principal Data Scientist - Payment</t>
        </is>
      </c>
      <c r="C37" t="inlineStr">
        <is>
          <t>Early Warning®</t>
        </is>
      </c>
      <c r="D37" t="inlineStr">
        <is>
          <t>linkedin</t>
        </is>
      </c>
      <c r="E37">
        <f>HYPERLINK("https://www.linkedin.com/jobs/view/4308148192", "https://www.linkedin.com/jobs/view/4308148192")</f>
        <v/>
      </c>
      <c r="F37">
        <f>HYPERLINK("https://earlywarning.wd5.myworkdayjobs.com/earlywarningcareers/job/San-Francisco/Principal-Data-Scientist\u002d\u002d-Payment_REQ2025813?source=LinkedIn&amp;urlHash=hcrB", "https://earlywarning.wd5.myworkdayjobs.com/earlywarningcareers/job/San-Francisco/Principal-Data-Scientist\u002d\u002d-Payment_REQ2025813?source=LinkedIn&amp;urlHash=hcrB")</f>
        <v/>
      </c>
      <c r="G37" t="inlineStr">
        <is>
          <t>New York, NY</t>
        </is>
      </c>
      <c r="H37" t="inlineStr"/>
      <c r="I37"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is a senior technical role within Data Sciences. This role assumes analytic project ownership, starting from conceptualization and design. Oversees the process of development, implementation and enhancement of the analytically derived models and products in a moment in time in a multifaceted, high\-volume, high\-throughput data environment. Responsibilities also include providing leadership and mentoring to junior analysts in the technical aspects of their assignments. This position will have frequent interactions with other departments as necessary.
**Essential Functions**
* Participate in or lead the design, development, and maintenance of analytically derived models for assessing risk and detecting and preventing fraud.
* Design data ETL and storage schemes for complex datasets from various sources.
* Play leading role in supporting large scale business initiatives.
* Preparation of analytic detail design documentation.
* Oversees documentation of analytic solutions developed
* Responsible for overall analytic data processes, designing and directing program development.
* Research and recommend new analytical techniques / software and train the team members accordingly.
* Manage a team of data scientists, if needed
* Ability to support multiple projects concurrently. Develop and manage timelines for all project activities
* Prepare and present technical information in appropriate form to management as well as to technical colleagues
* Support the company's commitment to protect the integrity and confidentiality of systems and data.
**Minimum Qualifications**
* Bachelor’s Degree in Mathematics, Statistics, or related field.
* A minimum of 10 years data analytics experience in a data rich environment (or equivalent education and experience).
* A minimum of 7 years experience in efficient programming enabling timely manipulation and analysis of large data sets.
* Advanced experience in data mining, data manipulation and data step programming required using Pyspark, Scala and Hive.
* Advanced experience in designing and utilizing a wide variety of machine learning, predictive modeling, and optimization techniques.
* Extensive knowledge on commonly used, industry related analytical data sources
* Proven experience with understanding business requirement and translating into an analytic design
* Strong ability to effectively communicate findings from complex analyses to non\-technical audiences.
* Proven ability to evaluate different analytical approaches and select the optimal design and techniques.
* Capability to lead large scale analytic projects independently involving multiple analysts and partner with other departments
* Background and drug screen
**Preferred Qualifications**
* Advanced degree strongly preferred.
* Experience building and deploying Risk and Fraud models into production
* Must have worked for a financial company and understand banking regulations
* Extensive experience with PySpark
* Deep knowledge of advanced ML algorithms
* Experience using ML\-related libraries, such as scikit\-learn, pandas, etc.
* Experience in writing and tuning SQL.
* 2\+ years experience working with financial data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**The Base Pay Scale For This Position In**
 Phoenix, AZ/ Chicago, IL in USD per year is: $173,000 \- $259,000\.
 New York, NY/ San Francisco, CA in USD per year is: $242,000 \- $311,000\.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Employee must be able to perform essential functions and physical requirements of position with or without reasonable accommodation.
 The above job description is not intended to be an all\-inclusive list of duties and standards of the position. Incumbents will follow instructions and perform other related duties as assigned by their supervisor.
 Early Warning Services is an equal opportunity employer.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38">
      <c r="A38" t="inlineStr">
        <is>
          <t>li-4355082092</t>
        </is>
      </c>
      <c r="B38" t="inlineStr">
        <is>
          <t>Principal Data Scientist</t>
        </is>
      </c>
      <c r="C38" t="inlineStr">
        <is>
          <t>Microsoft</t>
        </is>
      </c>
      <c r="D38" t="inlineStr">
        <is>
          <t>linkedin</t>
        </is>
      </c>
      <c r="E38">
        <f>HYPERLINK("https://www.linkedin.com/jobs/view/4355082092", "https://www.linkedin.com/jobs/view/4355082092")</f>
        <v/>
      </c>
      <c r="F38">
        <f>HYPERLINK("https://apply.careers.microsoft.com/careers/job/1970393556668206?utm_source=linkedin&amp;domain=microsoft.com&amp;src=LinkedIn&amp;urlHash=rAV5", "https://apply.careers.microsoft.com/careers/job/1970393556668206?utm_source=linkedin&amp;domain=microsoft.com&amp;src=LinkedIn&amp;urlHash=rAV5")</f>
        <v/>
      </c>
      <c r="G38" t="inlineStr">
        <is>
          <t>Redmond, WA</t>
        </is>
      </c>
      <c r="H38" t="inlineStr"/>
      <c r="I38" t="inlineStr">
        <is>
          <t>**Overview**
 Do you enjoy solving problems, looking at problems through a different lens, and working closely with customers to innovate new solutions to complex problems? Do you jump with excitement at the opportunity to identify trends and provide unique business solutions? Do you want to join a team where learning about a new technology or solution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We are hiring a
 **Principal Data Scientist** 
 to help drive high\-impact engineering projects with our customers and their partners, transforming their missions using AI and other cloud\-based solutions and services. Data scientists have data management and expertise in developing statistical techniques to analyze data and find patterns. You will be part of a cross\-functional team of software engineers, data scientists, technical program managers, and designers who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oversee data acquisition and ensure data is properly formatted and described. You’ll also coach engineers in data cleaning and analysis best practices, identify gaps in current data sets, and drive ethics and privacy discussions around data collection and preparation.
* You will evaluate your team’s models and recommend improvements as necessary, drive best practices for models, and develop operational models that run at scale. You’ll also conduct thorough reviews of data analysis and modeling techniques, and identify and invent new evaluation methods.
* You will research and maintain a deep knowledge of the industry, including trends and technologies, so that you can identify strategy opportunities and contribute to thought leadership best practices. You’ll also write extensible code that spans multiple features, and develop expertise in proper debugging techniques.
* You will define business, customer, and solution strategy goals, and partner with other teams to identify and explore new opportunities. You’ll also commit to a customer\-oriented focus by acknowledging their needs, and offer customer pragmatic solutions that align with their data capabilities.
* You will embody our culture and values.
**Qualifications**
**Required/minimum qualifications**
* Doctorate in Data Science, Mathematics, Statistics, Econometrics, Economics, Operations Research, Computer Science, or related field AND 5\+ years data\-science experience (e.g., managing structured and unstructured data, applying statistical techniques and reporting results) OR Master's Degree in Data Science, Mathematics, Statistics, Econometrics, Economics, Operations Research, Computer Science, or related field AND 7\+ years data\-science experience (e.g., managing structured and unstructured data, applying statistical techniques and reporting results) OR Bachelor's Degree in Data Science, Mathematics, Statistics, Econometrics, Economics, Operations Research, Computer Science, or related field AND 10\+ years data science experience (e.g., managing structured and unstructured data, applying statistical techniques and reporting results) OR equivalent experience.
**Other Requirements**
* This position is not eligible for visa sponsorship. Candidates must have authorization to work in the United States that does not now or in the future require employer sponsorship.
**Additional Or Preferred Qualifications**
* Doctorate in Data Science, Mathematics, Statistics, Econometrics, Economics, Operations Research, Computer Science, or related field AND 8\+ years data\-science experience (e.g., managing structured and unstructured data, applying statistical techniques and reporting results) OR Master's Degree in Data Science, Mathematics, Statistics, Econometrics, Economics, Operations Research, Computer Science, or related field AND 10\+ years data\-science experience (e.g., managing structured and unstructured data, applying statistical techniques and reporting results) OR Bachelor's Degree in Data Science, Mathematics, Statistics, Econometrics, Economics, Operations Research, Computer Science, or related field AND 12\+ years data\-science experience (e.g., managing structured and unstructured data, applying statistical techniques and reporting results) OR equivalent experience.
* 3\+ years customer\-facing, project\-delivery experience, professional services, and/or consulting experience.
 \#ISEngineering
 \#WSS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
      <c r="A39" t="inlineStr">
        <is>
          <t>li-4321198606</t>
        </is>
      </c>
      <c r="B39" t="inlineStr">
        <is>
          <t>Sr Manager Data Scientist (Pricing)</t>
        </is>
      </c>
      <c r="C39" t="inlineStr">
        <is>
          <t>Sysco</t>
        </is>
      </c>
      <c r="D39" t="inlineStr">
        <is>
          <t>linkedin</t>
        </is>
      </c>
      <c r="E39">
        <f>HYPERLINK("https://www.linkedin.com/jobs/view/4321198606", "https://www.linkedin.com/jobs/view/4321198606")</f>
        <v/>
      </c>
      <c r="F39" t="inlineStr"/>
      <c r="G39" t="inlineStr">
        <is>
          <t>Houston, TX</t>
        </is>
      </c>
      <c r="H39" t="inlineStr"/>
      <c r="I39" t="inlineStr">
        <is>
          <t>**POSITION SUMMARY:**
 Sysco is seeking a Senior Manager, Data Science for Pricing to help drive the development of industry\-leading predictive models. As a Sr Manager, you will be responsible for the technical development of predictive models to support the pricing group.
 There are three primary responsibilities of the Pricing Sr. Manager Data Scientist:
* Develop predictive analytics (“hands\-on\-keyboard”) via statistical, machine learning, and mathematical models on Sysco’s corporate data to get actionable business insights as the technical expert in pricing.
* Oversee pricing experimental design to ensure robust validation and technical rigor.
* Lead and coach data scientists to succeed in their areas of responsibility and in support of the pricing portfolio of models that you are accountable for
**RESPONSIBILITIES:**
* Lead the technical development of an industry\-leading predictive analytics portfolio in support of key functional \&amp; business priorities (e.g., demand generation, assortment optimization, supply chain design \&amp; optimization)
* Work with Sr. Directors and Directors throughout Sysco to frame business opportunities and develop appropriate analytic strategies. Ensure the appropriate analytical techniques are used to solve those business opportunities.
* Implement data science models and visualizations using SQL, Python, Tableau and open source libraries
* Manage, attract, coach, retain, and motivate a world class team of scientists and engineers
* Lead multiple projects simultaneously and help team resource planning.
* Perform regular code reviews and give feedback on approach and coding standards to junior data scientists.
* Design and execute experiments to validate solutions during product rollout and present results to leadership.
* Collaborate with cross\-functional teams to drive business results through various use cases of customer\-level in
* Work with Sysco’s technology teams on data integration to architect, build and continuously improve data assets, which are the foundation of data\-driven and customer\-centric initiatives
* Research industry leading analytics practices and recommend continuous improvement opportunities for Sysco
* Represent Sysco in industry events
**QUALIFICATIONS:**
**Education and / or Experience:**
* Master’s degree \+ 4 years or PhD \+ 2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4\+ years of experience accessing and manipulating data in SQL or NoSQL database environments
* 3\+ years of experience with scientific scripting languages (e.g., Python) and/or object\-oriented programming (e.g., C\+\+, Java)
* 4\+ years of experience with Bayesian statistics, regression analysis (beyond linear regression), supervised learning, unsupervised learning or timeseries analysis required
**Basic Qualifications:**
* Must be able to think conceptually, strategically, and creatively with little oversight or direction (i.e. display thought leadership vs. simply "do" or execute something that was developed or directed by someone else)
* Must have experience initiating, driving and delivering complex analytical projects
* Able to perform quantitative analysis using appropriate analytical and visualization tools such as Python, Tableau and open source libraries
* Strong software design and OOP fundamentals (must be functional in nearly any language)
* Demonstrated experience using machine learning algorithms in a commercial setting
* High proficiency in the use of statistical packages, understanding advantages and limitations of each
* Proficiency in statistical analysis, quantitative analytics, forecasting/predictive analytics, multivariate testing, and optimization algorithms
* Must be very comfortable with numbers and have a solid understanding of various analytical techniques and where they should be best deployed
* Must have a basic understanding of the latest trends in database systems and technologies that enable advanced analytics including cloud based solutions such as AWS
**Preferred Qualifications:**
* Experience in Pricing Strategy, CPG, Retail and /or Foodservice
* Experience with Agile Software Development
**Attributes:**
* Inquisitive, innovative, and opportunistic
* Highly motivated, inspired overachiever
* Strong communication and interpersonal skills
* Understanding of end to end process for deploying analytics within a business organization to create value</t>
        </is>
      </c>
    </row>
    <row r="40">
      <c r="A40" t="inlineStr">
        <is>
          <t>li-4334635601</t>
        </is>
      </c>
      <c r="B40" t="inlineStr">
        <is>
          <t>Senior Applied Scientist, Sponsored Products and Brands</t>
        </is>
      </c>
      <c r="C40" t="inlineStr">
        <is>
          <t>Amazon</t>
        </is>
      </c>
      <c r="D40" t="inlineStr">
        <is>
          <t>linkedin</t>
        </is>
      </c>
      <c r="E40">
        <f>HYPERLINK("https://www.linkedin.com/jobs/view/4334635601", "https://www.linkedin.com/jobs/view/4334635601")</f>
        <v/>
      </c>
      <c r="F40">
        <f>HYPERLINK("https://www.amazon.jobs/jobs/3122587/senior-applied-scientist-sponsored-products-and-brands?cmpid=SPLICX0248M&amp;utm_source=linkedin.com&amp;utm_campaign=cxro&amp;utm_medium=social_media&amp;utm_content=job_posting&amp;ss=paid&amp;urlHash=v4Nf", "https://www.amazon.jobs/jobs/3122587/senior-applied-scientist-sponsored-products-and-brands?cmpid=SPLICX0248M&amp;utm_source=linkedin.com&amp;utm_campaign=cxro&amp;utm_medium=social_media&amp;utm_content=job_posting&amp;ss=paid&amp;urlHash=v4Nf")</f>
        <v/>
      </c>
      <c r="G40" t="inlineStr">
        <is>
          <t>Seattle, WA</t>
        </is>
      </c>
      <c r="H40" t="inlineStr"/>
      <c r="I40"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Amazon Brand Store team (such as www.amazon.com/lego) within Sponsored Products and Brands is a core product offering in the Amazon Advertising portfolio. The brand’s store are their dedicated place on Amazon to differentiate, grow sales, and build loyalty with millions of shoppers. Our mission is to empower brands of all sizes to tell their story in their own unique voice to consumers. We help brands create engaging shopping experiences that assist shoppers in discovering and evaluating them as part of their purchase decisions. We succeed when we are both useful to shoppers and when brands can attract and retain shopper’s attention using our products. A cool case study on brand stores can be found here: https://advertising.amazon.com/library/case\-studies/nespresso\-brand\-store\-increases\-shopper\-engagement.
 We are looking for a Senior Applied Scientist to lead the generation of data\-driven insights that bring long\-term value to brands, as well as the ideation and creation of personalized shopping experiences for brand stores through industry\-leading generative AI technologies. In this role, you will influence our team's science and business strategy with your expertise and deep business understanding. You will be expected to identify and solve ambiguous problems and science deficiencies, and to provide informed solutions based on state\-of\-the\-art machine learning research.
 Impact and Career Growth
 You will invent new experiences and influence customer\-facing shopping experiences to help brands grow their retail businesses. This is your opportunity to work within the fastest\-growing businesses across all of Amazon! You'll define a long\-term science vision for AI\-driven brand shopping experiences, working backwards from our customers' needs and translating that direction into specific plans for research and applied scientists, as well as engineering and product teams. This role combines science leadership, organizational ability, technical strength, product focus, and business understanding.
 Key job responsibilities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**Basic Qualifications**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Experience with large scale machine learning systems such as profiling and debugging and understanding of system performance and scalability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Amazon.com Services LLC
 Job ID: A3122587</t>
        </is>
      </c>
    </row>
    <row r="41">
      <c r="A41" t="inlineStr">
        <is>
          <t>li-4267540621</t>
        </is>
      </c>
      <c r="B41" t="inlineStr">
        <is>
          <t>Sr. Applied Scientist, Amazon Advertising</t>
        </is>
      </c>
      <c r="C41" t="inlineStr">
        <is>
          <t>Amazon</t>
        </is>
      </c>
      <c r="D41" t="inlineStr">
        <is>
          <t>linkedin</t>
        </is>
      </c>
      <c r="E41">
        <f>HYPERLINK("https://www.linkedin.com/jobs/view/4267540621", "https://www.linkedin.com/jobs/view/4267540621")</f>
        <v/>
      </c>
      <c r="F41" t="inlineStr"/>
      <c r="G41" t="inlineStr"/>
      <c r="H41" t="inlineStr"/>
      <c r="I41"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42">
      <c r="A42" t="inlineStr">
        <is>
          <t>li-4229829457</t>
        </is>
      </c>
      <c r="B42" t="inlineStr">
        <is>
          <t>Senior Applied Scientist, Alexa Smart Home</t>
        </is>
      </c>
      <c r="C42" t="inlineStr">
        <is>
          <t>Amazon</t>
        </is>
      </c>
      <c r="D42" t="inlineStr">
        <is>
          <t>linkedin</t>
        </is>
      </c>
      <c r="E42">
        <f>HYPERLINK("https://www.linkedin.com/jobs/view/4229829457", "https://www.linkedin.com/jobs/view/4229829457")</f>
        <v/>
      </c>
      <c r="F42">
        <f>HYPERLINK("https://www.amazon.jobs/jobs/2981595/senior-applied-scientist-alexa-smart-home?cmpid=SPLICX0248M&amp;utm_source=linkedin.com&amp;utm_campaign=cxro&amp;utm_medium=social_media&amp;utm_content=job_posting&amp;ss=paid&amp;urlHash=wQn6", "https://www.amazon.jobs/jobs/2981595/senior-applied-scientist-alexa-smart-home?cmpid=SPLICX0248M&amp;utm_source=linkedin.com&amp;utm_campaign=cxro&amp;utm_medium=social_media&amp;utm_content=job_posting&amp;ss=paid&amp;urlHash=wQn6")</f>
        <v/>
      </c>
      <c r="G42" t="inlineStr">
        <is>
          <t>Seattle, WA</t>
        </is>
      </c>
      <c r="H42" t="inlineStr"/>
      <c r="I42" t="inlineStr">
        <is>
          <t>**Description**
 The Smart Home team is focused on making Alexa the user interface for the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As a Senior Applied Scientist, you will work with other scientists and software developers to design and build the next generation of Smart Home voice control using the latest Large Language Models. And, you will have the satisfaction of working on a product your friends and family can relate to, and want to use every day.
 Key job responsibilities
* Developing new inference and training techniques to improve the performance of Large Language Models for Smart Home control and Automation
* Developing robust techniques for synthetic data generation for training large models and maintaining model generalization
* Mentoring junior scientists to improve their skills, knowledge, and their ability to get things done
**About The Team**
 We are a team of Scientists, Machine Learning Engineers, and Software Developers that work together to make Alexa more insightful and proactive through ambient intelligence \- with features like Alexa Hunches that automatically control Smart Home devices.
 We are interdisciplinary and we act like it \- we ask each other questions and value our different perspectives.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Amazon.com Services LLC
 Job ID: A2981595</t>
        </is>
      </c>
    </row>
    <row r="43">
      <c r="A43" t="inlineStr">
        <is>
          <t>li-4334164322</t>
        </is>
      </c>
      <c r="B43" t="inlineStr">
        <is>
          <t>Sr. Applied Scientist, Sponsored Product Off-Search</t>
        </is>
      </c>
      <c r="C43" t="inlineStr">
        <is>
          <t>Amazon</t>
        </is>
      </c>
      <c r="D43" t="inlineStr">
        <is>
          <t>linkedin</t>
        </is>
      </c>
      <c r="E43">
        <f>HYPERLINK("https://www.linkedin.com/jobs/view/4334164322", "https://www.linkedin.com/jobs/view/4334164322")</f>
        <v/>
      </c>
      <c r="F43">
        <f>HYPERLINK("https://www.amazon.jobs/jobs/3120815/sr-applied-scientist-sponsored-product-offsearch-?cmpid=SPLICX0248M&amp;utm_source=linkedin.com&amp;utm_campaign=cxro&amp;utm_medium=social_media&amp;utm_content=job_posting&amp;ss=paid&amp;urlHash=xx2t", "https://www.amazon.jobs/jobs/3120815/sr-applied-scientist-sponsored-product-offsearch-?cmpid=SPLICX0248M&amp;utm_source=linkedin.com&amp;utm_campaign=cxro&amp;utm_medium=social_media&amp;utm_content=job_posting&amp;ss=paid&amp;urlHash=xx2t")</f>
        <v/>
      </c>
      <c r="G43" t="inlineStr">
        <is>
          <t>Seattle, WA</t>
        </is>
      </c>
      <c r="H43" t="inlineStr"/>
      <c r="I43" t="inlineStr">
        <is>
          <t>**Description**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**Basic Qualifications**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A3120815</t>
        </is>
      </c>
    </row>
    <row r="44">
      <c r="A44" t="inlineStr">
        <is>
          <t>li-4258560882</t>
        </is>
      </c>
      <c r="B44" t="inlineStr">
        <is>
          <t>Sr. Applied Scientist, Sales AI</t>
        </is>
      </c>
      <c r="C44" t="inlineStr">
        <is>
          <t>Amazon</t>
        </is>
      </c>
      <c r="D44" t="inlineStr">
        <is>
          <t>linkedin</t>
        </is>
      </c>
      <c r="E44">
        <f>HYPERLINK("https://www.linkedin.com/jobs/view/4258560882", "https://www.linkedin.com/jobs/view/4258560882")</f>
        <v/>
      </c>
      <c r="F44" t="inlineStr"/>
      <c r="G44" t="inlineStr">
        <is>
          <t>New York, United States</t>
        </is>
      </c>
      <c r="H44" t="inlineStr"/>
      <c r="I44" t="inlineStr">
        <is>
          <t>**Description**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A3020528</t>
        </is>
      </c>
    </row>
    <row r="45">
      <c r="A45" t="inlineStr">
        <is>
          <t>li-4355063182</t>
        </is>
      </c>
      <c r="B45" t="inlineStr">
        <is>
          <t>Data Scientist</t>
        </is>
      </c>
      <c r="C45" t="inlineStr">
        <is>
          <t>Jobs via Dice</t>
        </is>
      </c>
      <c r="D45" t="inlineStr">
        <is>
          <t>linkedin</t>
        </is>
      </c>
      <c r="E45">
        <f>HYPERLINK("https://www.linkedin.com/jobs/view/4355063182", "https://www.linkedin.com/jobs/view/4355063182")</f>
        <v/>
      </c>
      <c r="F45">
        <f>HYPERLINK("https://click.appcast.io/t/rlaveq05nelLrmkn5umjLxNzamp-isFIrJ2VatZjBIg=&amp;urlHash=drQL", "https://click.appcast.io/t/rlaveq05nelLrmkn5umjLxNzamp-isFIrJ2VatZjBIg=&amp;urlHash=drQL")</f>
        <v/>
      </c>
      <c r="G45" t="inlineStr">
        <is>
          <t>McLean, VA</t>
        </is>
      </c>
      <c r="H45" t="inlineStr"/>
      <c r="I45" t="inlineStr">
        <is>
          <t>Job ID: 2600315
**Location:** 
 MCLEAN, VA, US
**Date Posted:** 
 2026\-01\-13
**Category:** 
 Information Technology
**Subcategory:** 
 Data Scientist
**Schedule:** 
 Full\-time
**Shift:** 
 Day Job
**Travel:** 
 No
**Minimum Clearance Required:** 
 TS/SCI with Poly
**Clearance Level Must Be Able to Obtain:** 
 None
**Potential for Remote Work:** 
 No
**Description**
 SAIC is seeking a
 **Data Scientist** 
 to provide specialized support across multiple projects from a Team of Systems Integrators and Data Scientists. In this role you would work on an IT Resource management and operations integration component that is responsible for leading all aspects of budget formulations and execution, the IT portfolio management program and managing business transformation activities.
 This position is located in
 **McLean, VA** 
 and requires an a
 **ctive TS/SCI clearance with Polygraph** 
 .
 Job responsibilities include, but are not limited to:
* Providing system and requirements integration with the components that perform the IT development/engineering of capabilities in support of an enterprise portfolio and project management tool.
* Support the overall financial and business efforts including a new initiative related to cost recovery model.
* Assessing and analyzing data through conversations with IT and finance Subject Matter Experts (SMEs), as well as documenting and briefing data related to subject.
* Support a startup integrated security initiative with a focus on analyzing current processes, approvals and training while formulating a plan. The work will include communications with security SMEs and developing a roadmap.
* Integrate different requirements and capabilities from other offices across the broader Sponsor community into a centralized system.
* Design, test, and integrate new security products.
* Provide technical oversight and direction to designated boards for integrating new technology or major new mission capabilities into an existing environment.
* Engage with customers to determine the nature of requirement/analytic problem, evaluate options, and offer Information Technology (IT)\-based recommendations.
* Resolve complex IT problems efficiently and accurately while adhering to standards and procedures.
* Plan, test, and integrate new and upgraded versions of the relevant IT components, systems, applications, tools.
* Identify opportunities to integrate and improve resources to accomplish customer needs. Review existing Information Technology (IT) programs and assist in making refinements, reducing operating time, and improve current techniques.
* Strategically plan new designs for integration into a budget reconciliation database structure, using knowledge of the characteristics of the systems being added to the structure and the specifications for database interfaces to ensure effective integration and optimal database performance.
* Review and acquire data from primary or secondary cost recovery data sources and maintain databases/data systems.
* Identify, analyze, and interpret trends or patterns in complex data sets to include expenditure plan requirements, and business process analysis.
* Provide insight into industry trends and make recommendations on future direction; identify new technologies and assess their technical and performance characteristics.
* Analyze current processes, available tools to enhance the change management processes.
* Be responsible for the development of all types of documents and reports by creating and updating graphics presentations to improve the quality and enhance the usability of these documents.
**Qualifications**
* Active TS/SCI with Polygraph.
* Bachelors and 9 years or more experience; Masters 7 years or more experience.
* 5 years of experience tracking budgetary funds.
* 5 years of experience with portfolio \&amp; resource management.
* Experience developing use cases that improve the ability to find information in a more timely fashion.
* Demonstrated experience in data analysis, requirements gathering, translations, and visualizing information in a clear way to explain the data at hand.
* Demonstrated experience developing and managing project schedules, utilizing MS Project to identify critical tasks, and EVM for overall project status.
* Experience with resource allocation and optimizing resource assignments by identifying key resources and the right set of skill sets required for a project.
* Experience developing Minimum Viable Increments (MVIs) based on requirements gathered.
* Background in Business/Financial areas.
* Experience working on both development and integration projects.
* Experience with Service Now.
 SAIC is a premier technology integrator providing full life cycle services and solutions in the technical, engineering, intelligence, and enterprise information technology markets. SAIC is Redefining Ingenuity through its deep customer and domain knowledge to enable the delivery of systems engineering and integration offerings for large, complex projects. SAIC's approximately 15,000 employees are driven by integrity and mission focus to serve customers in the U.S. federal government. Headquartered in Reston, Virginia, SAIC has annual revenues of approximately $4\.5 billion. For more information, visit saic.com. For information on the benefits SAIC offers, see .</t>
        </is>
      </c>
    </row>
    <row r="46">
      <c r="A46" t="inlineStr">
        <is>
          <t>li-4341035758</t>
        </is>
      </c>
      <c r="B46" t="inlineStr">
        <is>
          <t>Principal Applied Scientist (Multiple Positions) - MSAI Office of CTO</t>
        </is>
      </c>
      <c r="C46" t="inlineStr">
        <is>
          <t>Microsoft</t>
        </is>
      </c>
      <c r="D46" t="inlineStr">
        <is>
          <t>linkedin</t>
        </is>
      </c>
      <c r="E46">
        <f>HYPERLINK("https://www.linkedin.com/jobs/view/4341035758", "https://www.linkedin.com/jobs/view/4341035758")</f>
        <v/>
      </c>
      <c r="F46" t="inlineStr"/>
      <c r="G46" t="inlineStr"/>
      <c r="H46" t="inlineStr"/>
      <c r="I46" t="inlineStr">
        <is>
          <t>**Overview**
 As Microsoft continues to push the boundaries of AI, we are looking for passionate individuals to work with us on new strategic efforts. Microsoft 365 Copilot is a groundbreaking productivity tool that leverages the power of large language models, the Microsoft Graph, and the web to drive unparalleled creativity and transform productivity in the enterprise.
 As a
 **Principal Applied Scientist (Multiple Positions)** 
 \- MSAI Office of CTO you will design and develop LLMs (Large Language Model) and underlying subsystems to tailor to various product scenarios. We are looking for an individual who has the proven capability of working with research and engineering teams and partnering with them to deliver the best of joint class solutions. This can range from alignments with senior stakeholders, working together to building models, to coming up, with ways to build custom LLMs and architecture for specific product needs (especially GenAI).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a broad area or research and understand any applicable research techniques. You’ll also serve as a team expert on changes in industry trends, products, and other advances, and apply this knowledge to influence product needs.
* You will review business and product requirement, incorporate research, and provide strategic direction for problem solving. You’ll also ensure scientific rigor, support the development of methods, and apply your expertise to support business impact.
* Collaborate with stakeholders to gather and understand user requirements and expectations. Seek and incorporate continuous feedback from users and stakeholders to iteratively improve designs and solutions.
* You will document work and experimentation results and share findings to promote innovation. You’ll provide guidance when capturing processes and contribute to ethics and privacy policies related to research processes and data collection.
* Facilitate design meetings, creates design documents, and ensures alignment with project goals. Design system architecture that meets security, compliance, and scalability requirements.
* Lead implementation and deployment of solutions, ensuring they meet quality standards. Translate project vision into actionable milestones and guide the team in project estimation and planning. Mentor and guide team members to produce extensible and maintainable code through code reviews and pair programming.
* You will identify and inspire peers and new research talent to join Microsoft, build relationships, and advocate for research initiatives. You’ll share research findings through industry outreach, collaborate with the academic community, and help develop the recruiting pipeline.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8\+ years related experience (e.g., statistics, predictive analytics, research)
+ OR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5\+ years related experience (e.g., statistics, predictive analytics, research)
+ OR equivalent experience.
* 3\+ years’ experience developing and deploying AI/ML products or systems at multiple points in the product cycle from ideation to shipping.
* 3\+ years experience presenting at conferences or other events in the outside research/industry community as an invited speaker.
* 5\+ years experience conducting research as part of a research program (in academic or industry settings).
* 5\+ years experience creating publications (e.g., patents, libraries, peer\-reviewed academic papers).
* 5\+ years experience developing and deploying GenAI products or systems at multiple points in the product cycle from ideation to shipping.
 \#agentic \#llm \#M365Core \#MSAI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Applied Sciences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7">
      <c r="A47" t="inlineStr">
        <is>
          <t>li-4353094318</t>
        </is>
      </c>
      <c r="B47" t="inlineStr">
        <is>
          <t>Sr. Exploitation Specialist/Data Scientist (TS/SCI)</t>
        </is>
      </c>
      <c r="C47" t="inlineStr">
        <is>
          <t>Culmen International</t>
        </is>
      </c>
      <c r="D47" t="inlineStr">
        <is>
          <t>linkedin</t>
        </is>
      </c>
      <c r="E47">
        <f>HYPERLINK("https://www.linkedin.com/jobs/view/4353094318", "https://www.linkedin.com/jobs/view/4353094318")</f>
        <v/>
      </c>
      <c r="F47" t="inlineStr"/>
      <c r="G47" t="inlineStr">
        <is>
          <t>Arnold, MO</t>
        </is>
      </c>
      <c r="H47" t="inlineStr"/>
      <c r="I47" t="inlineStr">
        <is>
          <t>Culmen International is hiring
**Sr.
 Exploitation Specialist/Data Scientist
 s**
 to provide support
**on\-site**
 at
 the
**National
 Geospatial\-Intelligence
 Agency (NGA)**
 in
**Arnold, MO.**
 The National Geospatial\-Intelligence Agency (NGA
 )
 expects to deliver AOS Metadata Cataloging and Management Services to enhance product and asset management of content enabling rapid creation of discoverable, modular, web enabled, and visually enriched Geospatial Intelligence (GEOINT) products for intelligence producers in NGA, across the National System for Geospatial\-Intelligence (NSG).
**TALENT PIPELINE \- Qualified applicants will be contacted as soon as funding for this position is secured.**
 The Data Scientist will coordinate with our clients to understand questions and issues involving the client’s datasets, then determine the best method and approach to create data\-driven solutions within program guidelines. This position will be relied upon as a Subject Matter Expert (SME), and be expected to lead/assist in the development of automated processes, architect data science solutions, automated workflows, conduct analysis, use available tools to analyze data, remain adaptable to mission requirements, and identify patterns to help solve some of the complex problems that face the DoD and Intelligence Community (IC).
* Work with large structured / unstructured data in a modeling and analytical environment to define and create streamline processes in the evaluation of unique datasets and solve challenging intelligence issues
* Lead and participate in the design of solutions and refinement of pre\-existing processes
* Work with Customer Stakeholders, Program Managers, and Product Owners to translate road map features into components/tasks, estimate timelines, identify resources, suggest solutions, and recognize possible risks
* Use exploratory data analysis techniques to identify meaningful relationships, patterns, or trends from complex data
* Combine applied mathematics, programming skills, analytical techniques, and data to provide impactful insights for decision makers
* Research and implement optimization models, strategies, and methods to inform data management activities and analysis
* Apply big data analytic tools to large, diverse sets of data to deliver impactful insights and assessments
* Conduct peer reviews to improve quality of workflows, procedures, and methodologies
* Help build high\-performing teams; mentor team members providing development opportunities to increase their technical skills and knowledge
* Possess Master's degree in Data Science or related technical field
* Experience developing and working with Artificial Intelligence and Machine Learning (AI/ML)
* Demonstrated experience of advanced programming techniques, using one or more of the following: HTML 5/Javascript, ArcObjects, Python, Model Builder, Oracle, SQL, GIScience, GeospatiavAnalysis, Statistics, ArcGIS Desktop, ArcGIS Server, Arc SDE, ArcIMS.
* Experience using NET, Python, C\+\+, and/or JAVA programming for web interface development and geodatabase development.
* Experience building and maintaining databases of GEOINT, SIGINT, or OSINT data related to the area of interest needs.
* Data Visualization Experience which may include Matrix Analytics, Network Analytics, Graphing Data that assist the analytical workforce in generating common operational pictures depicting fused intelligence and information to support informal assessments and finished products</t>
        </is>
      </c>
    </row>
    <row r="48">
      <c r="A48" t="inlineStr">
        <is>
          <t>li-4278061877</t>
        </is>
      </c>
      <c r="B48" t="inlineStr">
        <is>
          <t>Principal Applied Scientist, AGI Foundations, AGI Foundations</t>
        </is>
      </c>
      <c r="C48" t="inlineStr">
        <is>
          <t>Amazon</t>
        </is>
      </c>
      <c r="D48" t="inlineStr">
        <is>
          <t>linkedin</t>
        </is>
      </c>
      <c r="E48">
        <f>HYPERLINK("https://www.linkedin.com/jobs/view/4278061877", "https://www.linkedin.com/jobs/view/4278061877")</f>
        <v/>
      </c>
      <c r="F48">
        <f>HYPERLINK("https://www.amazon.jobs/jobs/3047563/principal-applied-scientist-agi-foundations-agi-foundations?cmpid=SPLICX0248M&amp;utm_source=linkedin.com&amp;utm_campaign=cxro&amp;utm_medium=social_media&amp;utm_content=job_posting&amp;ss=paid&amp;urlHash=eD-6", "https://www.amazon.jobs/jobs/3047563/principal-applied-scientist-agi-foundations-agi-foundations?cmpid=SPLICX0248M&amp;utm_source=linkedin.com&amp;utm_campaign=cxro&amp;utm_medium=social_media&amp;utm_content=job_posting&amp;ss=paid&amp;urlHash=eD-6")</f>
        <v/>
      </c>
      <c r="G48" t="inlineStr">
        <is>
          <t>New York, United States</t>
        </is>
      </c>
      <c r="H48" t="inlineStr"/>
      <c r="I48" t="inlineStr">
        <is>
          <t>**Description**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A3047563</t>
        </is>
      </c>
    </row>
    <row r="49">
      <c r="A49" t="inlineStr">
        <is>
          <t>li-4278065275</t>
        </is>
      </c>
      <c r="B49" t="inlineStr">
        <is>
          <t>Principal Applied Scientist, AGI Foundations, AGI Foundations</t>
        </is>
      </c>
      <c r="C49" t="inlineStr">
        <is>
          <t>Amazon</t>
        </is>
      </c>
      <c r="D49" t="inlineStr">
        <is>
          <t>linkedin</t>
        </is>
      </c>
      <c r="E49">
        <f>HYPERLINK("https://www.linkedin.com/jobs/view/4278065275", "https://www.linkedin.com/jobs/view/4278065275")</f>
        <v/>
      </c>
      <c r="F49" t="inlineStr"/>
      <c r="G49" t="inlineStr">
        <is>
          <t>Boston, MA</t>
        </is>
      </c>
      <c r="H49" t="inlineStr"/>
      <c r="I49" t="inlineStr">
        <is>
          <t>**Description**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A3047563</t>
        </is>
      </c>
    </row>
    <row r="50">
      <c r="A50" t="inlineStr">
        <is>
          <t>li-4278063579</t>
        </is>
      </c>
      <c r="B50" t="inlineStr">
        <is>
          <t>Principal Applied Scientist, AGI Foundations, AGI Foundations</t>
        </is>
      </c>
      <c r="C50" t="inlineStr">
        <is>
          <t>Amazon</t>
        </is>
      </c>
      <c r="D50" t="inlineStr">
        <is>
          <t>linkedin</t>
        </is>
      </c>
      <c r="E50">
        <f>HYPERLINK("https://www.linkedin.com/jobs/view/4278063579", "https://www.linkedin.com/jobs/view/4278063579")</f>
        <v/>
      </c>
      <c r="F50" t="inlineStr"/>
      <c r="G50" t="inlineStr">
        <is>
          <t>Bellevue, WA</t>
        </is>
      </c>
      <c r="H50" t="inlineStr"/>
      <c r="I50" t="inlineStr">
        <is>
          <t>**Description**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A3047563</t>
        </is>
      </c>
    </row>
    <row r="51">
      <c r="A51" t="inlineStr">
        <is>
          <t>li-4359050395</t>
        </is>
      </c>
      <c r="B51" t="inlineStr">
        <is>
          <t>Principal AI/ML Scientist, Drug Discovery</t>
        </is>
      </c>
      <c r="C51" t="inlineStr">
        <is>
          <t>SciPro</t>
        </is>
      </c>
      <c r="D51" t="inlineStr">
        <is>
          <t>linkedin</t>
        </is>
      </c>
      <c r="E51">
        <f>HYPERLINK("https://www.linkedin.com/jobs/view/4359050395", "https://www.linkedin.com/jobs/view/4359050395")</f>
        <v/>
      </c>
      <c r="F51" t="inlineStr"/>
      <c r="G51" t="inlineStr">
        <is>
          <t>Cambridge, MA</t>
        </is>
      </c>
      <c r="H51" t="inlineStr"/>
      <c r="I51" t="inlineStr">
        <is>
          <t>About the job:
 SciPro is partnered with a fast growing Scientific Data and AI platform startup who is searching for a Senior Applied AI/ML Engineer to join their team. They are catalyzing the Scientific AI revolution by designing and industrializing AI\-native scientific data across the scientific value chain and scientific vertices. They bring this AI data to life in a fast growing suite of universal lab data management solutions, scientific use cases, and AI\-based scientific outcomes.
 Requirements:
* You will be a critical team member in a unique partnership to industrialize Scientific AI. As such, you will engage directly with customers onsite up to 4\-5 days per week in the Boston region.
* Advanced degree in Biological, Data, or Computer Science
* Portfolio demonstrating end\-to\-end ownership of AI/ML products
* Proven track record of deploying AI models addressing real world problems
* Experience in biotech, biopharma, or pharma\-adjacent projects
* Superior talent developing at least one of: ML\-Reinforcement Learning, LLM/NLP, or Protein Design/Diffusion Models
 Responsibilities:
* Responsible for designing, developing, training, and validation of AI/ML products
* Support and advise executive leadership regarding technical and commercial feasibility
* Work with commercial teams to understand the impact of AI in life\-sciences
* Collaborate with cross functional teams to build products
 Preferred Qualifications:
* Deep understanding of hurdles facing pharmaceutical drug development
* Demonstrated ability to make productized applications (for use by more than one group)
* Excellent communication skills
* Ability to advocate and evangelize for AI initiatives internally and externally
* Experience collaborating with teams on large software projects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2026-01-14T17:07:42Z</dcterms:created>
  <dcterms:modified xsi:type="dcterms:W3CDTF">2026-01-14T17:07:42Z</dcterms:modified>
</cp:coreProperties>
</file>