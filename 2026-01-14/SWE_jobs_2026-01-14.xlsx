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in-d768e78f8fac03fd</t>
        </is>
      </c>
      <c r="B2" t="inlineStr">
        <is>
          <t>Director, Software Engineering</t>
        </is>
      </c>
      <c r="C2" t="inlineStr">
        <is>
          <t>Visa</t>
        </is>
      </c>
      <c r="D2" t="inlineStr">
        <is>
          <t>indeed</t>
        </is>
      </c>
      <c r="E2">
        <f>HYPERLINK("https://www.indeed.com/viewjob?jk=d768e78f8fac03fd", "https://www.indeed.com/viewjob?jk=d768e78f8fac03fd")</f>
        <v/>
      </c>
      <c r="F2">
        <f>HYPERLINK("https://jobs.smartrecruiters.com/Visa/744000103548245-director-software-engineering", "https://jobs.smartrecruiters.com/Visa/744000103548245-director-software-engineering")</f>
        <v/>
      </c>
      <c r="G2" t="inlineStr">
        <is>
          <t>Austin, TX, US</t>
        </is>
      </c>
      <c r="H2" s="2" t="n">
        <v>46036</v>
      </c>
      <c r="I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Aligns enhancements and modifications to existing software coding standard processes and design specifications, across regions, and ensures they are aligned with current security standards.
* Guides the implementation of automation to improve effectiveness and efficiencies of systems and tools across regions and supports development and implementation of new automation, identifying where investment will yield the greatest efficiencies.
* Maintains communication with regional leadership across functions to monitor and direct the cadence of code reviews, on\-call rotations, and incident responses throughout product development and operations cycles.
* Leverages back\-end technical expertise on underlying systems/platforms across the organization to lead the development systematic improvements in processes to ensure the fulfillment of customer/business objectives.
This is a hybrid position. Expectation of days in office will be confirmed by your hiring manager.
 **Qualifications**  
Basic Qualifications:  
10\+ years of relevant work experience and a Bachelors degree, OR 13\+ years of relevant work experience  
Preferred Qualifications:  
12 or more years of work experience with a Bachelor’s Degree or 8\-10 years of experience with an Advanced Degree (e.g. Masters, MBA, JD, MD) or 6\+ years of work experience with a PhD  
Experience in commercial software development on Unix/Linux environment.  
Experience in Security engineering and API Gateway development.  
Experience in Java/J2EE technologies, Containers, Kubernetes and database technologies  
3\+ years of experience leading product development and delivery using multiple technologies \- Java/J2EE, Vert.x, Spring MVC, Spring Boot, React, JavaScript, SQL, Maven, Rest, design patterns, test automation frameworks  
Understanding of architecture and operations of highly available and scalable transactional systems  
Domain knowledge of Security engineering, IAM and Authentication patterns and frameworks  
Experienced in using Gen AI tools and strong understanding of Agentic solutions.  
Strong experience with agile methodologies \&amp; software development lifecycle principles  
Excel in partnering with Product leaders and technical product managers on requirements, helping define joint product/technology roadmaps \&amp; driving prioritization  
Experience driving continuous improvements to processes/tools for better developer efficiency and productivity  
Demonstrated ability to drive measurable improvements across engineering, delivery and performance metrics  
Demonstrated ability to hire, develop and retain high\-caliber talent  
Excellent problem solving and analytics skills. Capable of forming and advocating an independent viewpoint  
Strong collaboration and effective communication, with focus on win\-win outcomes  
Payments industry experience is a plus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$186,800 to $299,200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
      <c r="A3" t="inlineStr">
        <is>
          <t>in-fe60f9a8ba2c2b31</t>
        </is>
      </c>
      <c r="B3" t="inlineStr">
        <is>
          <t>Senior Software Engineer</t>
        </is>
      </c>
      <c r="C3" t="inlineStr">
        <is>
          <t>HiEd Success</t>
        </is>
      </c>
      <c r="D3" t="inlineStr">
        <is>
          <t>indeed</t>
        </is>
      </c>
      <c r="E3">
        <f>HYPERLINK("https://www.indeed.com/viewjob?jk=fe60f9a8ba2c2b31", "https://www.indeed.com/viewjob?jk=fe60f9a8ba2c2b31")</f>
        <v/>
      </c>
      <c r="F3">
        <f>HYPERLINK("http://www.indeed.com/job/senior-software-engineer-fe60f9a8ba2c2b31", "http://www.indeed.com/job/senior-software-engineer-fe60f9a8ba2c2b31")</f>
        <v/>
      </c>
      <c r="G3" t="inlineStr">
        <is>
          <t>Palo Alto, CA, US</t>
        </is>
      </c>
      <c r="H3" s="2" t="n">
        <v>46036</v>
      </c>
      <c r="I3" t="inlineStr">
        <is>
          <t>**Position: Senior Software Engineer**
**Location: Palo Alto, CA**
**Interview: F2F (Mandatory)**
The Senior Software Engineer\-Integrations primary responsibilities are to analyse, design, implement, and test customized software applications/integrations. The Developer will have a strong knowledge of software development and design and will have experience working to develop business\-critical applications. This position will collaborate with a diverse group of product managers, designers, engineers, and infrastructure teams to build and deliver robust front\-end web solutions that showcase customer s brand while providing a high\-quality experience for patients and providers.
**Responsibilities**
* Designs, develops, and maintains complex integrations.
* Develops unit tests and provides code coverage to accurately test business logic and functionality.
* Participates in developing specifications such as user stories and designs.
* Solves or recommends solutions for complex issues and problems.
* Assist in the development of logical and physical specifications.
* Documents designs, issues, solutions, tips \&amp; tricks as needed.
* Fosters a team approach to software development and delivery.
* Stays current in new IT technologies to maintain a high level of subject matter expertise.
* Expertise in a number of areas including cloud computing, API integration, cloud messaging, ground\- \-to\- \-cloud connectivity, highly scalable distributed systems.
* Implement and Deploy Azure Solutions.
**Educational Qualifications**
* Bachelor s Degree in Computer and Information Science, or equivalent from an accredited college or university.
**Experience**
* 5\+ years of experience in Python or .NET development and concepts, including debugging against REST APIs.
* 5\+ years of experience with Azure administration and deployment.
* 5\+ years of experience providing technical solutions development for enterprise software or hosted high\- \-tech services using Azure, AWS or Google Cloud Platform.
* 5\+ years of relevant consulting or industry experience.
**Preferred**
* Azure development within a highly complex and secure network environment.
* Strong problem solving and troubleshooting skills with the ability to exercise mature judgment.
* Solid understanding of the design patterns.
* Experience using and integrating LLMs into clinical workflows.
Job Type: Contract
Pay: $55\.00 \- $57\.00 per hour
Expected hours: 8 per week
Work Location: In person</t>
        </is>
      </c>
    </row>
    <row r="4">
      <c r="A4" t="inlineStr">
        <is>
          <t>in-74ae90d0e2160266</t>
        </is>
      </c>
      <c r="B4" t="inlineStr">
        <is>
          <t>Senior Software Engineer - Azure Storage Observability</t>
        </is>
      </c>
      <c r="C4" t="inlineStr">
        <is>
          <t>Microsoft</t>
        </is>
      </c>
      <c r="D4" t="inlineStr">
        <is>
          <t>indeed</t>
        </is>
      </c>
      <c r="E4">
        <f>HYPERLINK("https://www.indeed.com/viewjob?jk=74ae90d0e2160266", "https://www.indeed.com/viewjob?jk=74ae90d0e2160266")</f>
        <v/>
      </c>
      <c r="F4">
        <f>HYPERLINK("https://apply.careers.microsoft.com/careers/job/1970393556658232?utm_source=indeed&amp;domain=microsoft.com", "https://apply.careers.microsoft.com/careers/job/1970393556658232?utm_source=indeed&amp;domain=microsoft.com")</f>
        <v/>
      </c>
      <c r="G4" t="inlineStr">
        <is>
          <t>US</t>
        </is>
      </c>
      <c r="H4" s="2" t="n">
        <v>46030</v>
      </c>
      <c r="I4" t="inlineStr">
        <is>
          <t>**Overview**  
Microsoft Azure Storage is a highly distributed, massively scalable, and ubiquitously accessible cloud storage platform. Azure storage already runs at Exascale (storing Exabytes of data) and we will scale our designs over the next decade to support Zettascale (storing Zettabytes of data).
* As a Senior Software Engineer \- Azure Storage Observability you will design, implement, optimize, and maintain core components of the Azure Storage stack that operate at massive global scale. You will work across the full storage lifecycle—including architecture, implementation, testing, deployment, and operational support—to deliver highly reliable and performant backend systems that power Azure’s storage platform. A key part of this role is driving observability across the storage fleet. You will build and enhance telemetry, monitoring, alerting, diagnostics, and analytics capabilities that ensure deep visibility into system behavior, performance, reliability, and efficiency. Your work will help engineers detect anomalies earlier, understand system health more accurately, and respond to issues with faster root‑cause identification.  
You will also partner with data scientists and engineering peers to design and integrate AI/ML\-driven intelligence into the storage platform. This includes using machine learning techniques and statistical methods to detect patterns, optimize operations, predict failures, and automatically tune systems. You’ll experiment with data, validate models, and ship production\-ready intelligent features that directly improve storage efficiency and reliability for Azure’s global customer base.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If you share our values, love working with data, and want to solve some of the most exciting challenges on a massive product like Azure storage, this could be the perfect position for you.
**Responsibilities**  
* Architect, implement, and maintain reliable, scalable, and secure distributed systems and Application Programming Interfaces (API); write high‑quality, extensible, and diagnosable code with strong attention to performance, resiliency, and maintainability.
* Drive end‑to‑end observability and operational excellence by instrumenting services with robust telemetry, logging, tracing, alerting, and dashboards; improve Mean Time to Detect (MTTD)/Mean Time to Repair (MTTR) through proactive monitoring, health checks, and data‑driven Site Reliability Engineering (SRE) practices that raise availability and efficiency at global scale. Act as Directly Responsible Individual (DRI) for critical components and mentor engineers. Hold on‑call ownership to triage and resolve incidents; lead root‑cause analysis and postmortems; coach teammates on production readiness, safe deploys, rollback strategies, and sustainable operations.
* Collaborate with Program Manager (PM), User Experience (UX), and partner teams to clarify user and business needs; decompose work into project/release plans and executable items; incorporate feedback from customers, telemetry, and support channels into iterative improvements.
* Integrate Artificial Intelligence (AI)/Machine Learning (ML) to enhance storage intelligence and efficiency by partnering with data scientists to design and productionize Machine Learning (ML) capabilities (e.g., anomaly detection, capacity forecasting, auto‑tuning); build scalable pipelines; define online/offline evaluation, A/B Testing (A/B) experiments, and telemetry‑based model iteration.
* Apply modern engineering best practices across the lifecycle. Uphold high bars for code reviews, testing (unit/integration/end‑to‑end (e2e)), security, reliability, and performance; reuse and refactor shared components; enforce Continuous Integration/Continuous Deployment (CI/CD) quality gates and incremental rollouts to reduce risk.
* Elevate technical strategy through data‑driven insights. Use metrics, experiments, and statistical analyses to inform design trade‑offs and platform investments; advocate Artificial Intelligence (AI)/Machine Learning (ML) and observability standards; share learnings and patterns that drive consistency in monitoring and operations across teams.
**Qualifications** **Required Qualifications:**
* Bachelor's Degree in Computer Science or related technical field AND 4\+ years technical engineering experience with coding in languages including, but not limited to, C\+\+, Rust
	+ OR equivalent experience.
* 4\+ years experience with system design, distributed systems, or service\-level engineering skills AI/ML integration.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Rust
	+ OR Bachelor's Degree in Computer Science or related technical field AND 8\+ years technical engineering experience with coding in languages including, but not limited to, C\+\+, Rust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in-79342873dab36841</t>
        </is>
      </c>
      <c r="B5" t="inlineStr">
        <is>
          <t>Software Engineer II</t>
        </is>
      </c>
      <c r="C5" t="inlineStr">
        <is>
          <t>Microsoft</t>
        </is>
      </c>
      <c r="D5" t="inlineStr">
        <is>
          <t>indeed</t>
        </is>
      </c>
      <c r="E5">
        <f>HYPERLINK("https://www.indeed.com/viewjob?jk=79342873dab36841", "https://www.indeed.com/viewjob?jk=79342873dab36841")</f>
        <v/>
      </c>
      <c r="F5">
        <f>HYPERLINK("https://apply.careers.microsoft.com/careers/job/1970393556656793?utm_source=indeed&amp;domain=microsoft.com", "https://apply.careers.microsoft.com/careers/job/1970393556656793?utm_source=indeed&amp;domain=microsoft.com")</f>
        <v/>
      </c>
      <c r="G5" t="inlineStr">
        <is>
          <t>Redmond, WA, US</t>
        </is>
      </c>
      <c r="H5" s="2" t="n">
        <v>46026</v>
      </c>
      <c r="I5" t="inlineStr">
        <is>
          <t>**Overview**  
Come join us in the Azure Core Software\-Defined Networking (SDN) team. SDN represents a key transformative technology that enabled the cloud computing industry through the virtualization of customer networks. We are hiring a Software Engineer II for our team where you can help build highly available, robust, performant, secure, and global solutions that enable our customers use to run mission\-critical workloads on Azure.
We drive innovation across Microsoft’s cloud infrastructure, pushing ever\-growing scale and capabilities to support 200\+ Microsoft services, including Bing, Office 365, Xbox Live, and hundreds of thousands of Azure customers across 100\+ datacenters running millions of servers and edge computing nodes all over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Creates and implements code following SOLID based practices with minimal supervision. Leverages existing code and collaborates with other developers to ensure quality code.
* Creates a clear test strategy that ensures solution quality, prevents regression from being introduced into existing code, understands and implements a variety types of tests (e.g. unit tests) with minimal supervision.
* Contributes to code reviews to help improve code quality, coaching and providing feedback to develop other engineers' skills with minimal guidance.
* Maintains operations of live site service, following security best practices when responding quickly to mitigate issues while using the minimum required permissions to do so that arise on a rotational, on\-call basis. This means responding to incidents, mitigation, identifying root causes of problems, implementing repair actions, and identifying mechanisms to prevent incident recurrence with minimal supervision.
* Embody our culture and values
* 
* Understands and provides feedback for proposals for architecture, with technical leadership from others. With minimal supervision, tests and explores various design options for a product/solution feature, outlining strengths and weaknesses of each option. Collaborates with architects with minimal supervision to build and modify a product/solution feature, providing feedback as needed.
* Contributes to the identification of requirements for, and development of automation within production and deployment of a complex product feature, targeting zero\-touch deployment when possible.
* Works with appropriate internal stakeholders (e.g., product manager) to understand and determine customer/user requirements for a set of features.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avJaScript, OR Python
	+ OR Master's Degree in Computer Science or related technical field AND 2\+ years technical engineering experience with coding in languages including, but not limited to, C, C\+\+, C\#, Java, JavaScript, or Python
	+ OR equivalent experience.
\#azure \#axurenetworking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in-34391feb9455eb0d</t>
        </is>
      </c>
      <c r="B6" t="inlineStr">
        <is>
          <t>Software Engineer II - PowerPoint</t>
        </is>
      </c>
      <c r="C6" t="inlineStr">
        <is>
          <t>Microsoft</t>
        </is>
      </c>
      <c r="D6" t="inlineStr">
        <is>
          <t>indeed</t>
        </is>
      </c>
      <c r="E6">
        <f>HYPERLINK("https://www.indeed.com/viewjob?jk=34391feb9455eb0d", "https://www.indeed.com/viewjob?jk=34391feb9455eb0d")</f>
        <v/>
      </c>
      <c r="F6">
        <f>HYPERLINK("https://apply.careers.microsoft.com/careers/job/1970393556654964?utm_source=indeed&amp;domain=microsoft.com", "https://apply.careers.microsoft.com/careers/job/1970393556654964?utm_source=indeed&amp;domain=microsoft.com")</f>
        <v/>
      </c>
      <c r="G6" t="inlineStr">
        <is>
          <t>Redmond, WA, US</t>
        </is>
      </c>
      <c r="H6" s="2" t="n">
        <v>46019</v>
      </c>
      <c r="I6" t="inlineStr">
        <is>
          <t>**Overview**  
The **PowerPoint Product Group** is seeking a **Software Engineer II** to build impactful AI\-powered solutions that enhance creativity and productivity across Microsoft 365 Copilot. In this role, you’ll design and develop high\-performance, visually rich, and user\-friendly experiences for apps like PowerPoint, Designer, and Copilot—focusing on canvas interactivity, web graphics performance, and AI\-driven workflows.
We’re looking for a hands\-on engineer who values clean, maintainable code, conducts constructive reviews, and can contribute across the stack—from prototyping and deploying user\-facing features to refining core technologies. You’ll collaborate closely with designers, product managers, researchers, and applied scientists to bring innovative ideas to life, balancing rapid experimentation with architectural rigor. If you’re passionate about crafting intuitive UX, optimizing performance, and solving complex technical challenges, this is the role for you.
Microsoft’s mission is to empower individuals and organizations worldwide to achieve more. As employees, we embrace a growth mindset, foster innovation, and collaborate towards shared objectives. Each day, we build upon our core values of respect, integrity, and accountability, cultivating a culture of inclusion where everyone can thrive professionally and personally.  
**Responsibilities**  
* Design and Develop: Build and maintain scalable front\-end components and interactive canvas experiences using TypeScript and React.
* Optimize Performance: Improve web graphics rendering and responsiveness for complex, interactive surfaces; ensure robust testing and maintainability.
* Extend Across the Stack: Contribute to client, server and WASM components for richer functionality.
* Collaborate Across Disciplines: Partner with engineering, design, PM, and applied science teams to deliver end\-to\-end solutions.
* Innovate: Prototype new ideas, experiment with emerging technologies, and shape next\-generation interactivity for AI\-powered creativity tools.
* Maintain Standards: Write clean, maintainable code and participate in thorough reviews to uphold engineering excellence.
* Act on Insights: Use customer feedback and telemetry signals to identify pain points and drive improvements that enhance user experience.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 Bachelor's Degree in Computer Science or related technical field AND 5\+ years technical engineering experience with coding in languages including, but not limited to, C, C\+\+, C\#, Java, JavaScript, or Python OR equivalent experience.
* Web Platform Expertise: Experience with modern web technologies such as TypeScript, React, WebGL, WASM, and related tooling.
* UI/UX Focus: Passion for creating intuitive, visually rich user experiences; familiarity with canvas rendering or graphics frameworks is a plus.
* Performance Optimization: Skilled in profiling, debugging, and applying optimization techniques for responsive, high\-performance web applications.
* Full\-Stack Development: Ability to work across layers/abstractions, front\-end, client/server, and cross\-platform components.
* Collaboration and Communication: Proven ability to work effectively across teams and geographies; excellent problem\-solving, critical thinking, and customer empathy.
* AI Fluency: Knowledgeable about emerging AI capabilities and tooling; adept at leveraging AI\-powered solutions to accelerate development, automate repetitive tasks, and streamline code refactoring.
\#W\+D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in-9a5faaa1d2c28109</t>
        </is>
      </c>
      <c r="B7" t="inlineStr">
        <is>
          <t>Senior Software Engineer</t>
        </is>
      </c>
      <c r="C7" t="inlineStr">
        <is>
          <t>Microsoft</t>
        </is>
      </c>
      <c r="D7" t="inlineStr">
        <is>
          <t>indeed</t>
        </is>
      </c>
      <c r="E7">
        <f>HYPERLINK("https://www.indeed.com/viewjob?jk=9a5faaa1d2c28109", "https://www.indeed.com/viewjob?jk=9a5faaa1d2c28109")</f>
        <v/>
      </c>
      <c r="F7">
        <f>HYPERLINK("https://apply.careers.microsoft.com/careers/job/1970393556654049?utm_source=indeed&amp;domain=microsoft.com", "https://apply.careers.microsoft.com/careers/job/1970393556654049?utm_source=indeed&amp;domain=microsoft.com")</f>
        <v/>
      </c>
      <c r="G7" t="inlineStr">
        <is>
          <t>Redmond, WA, US</t>
        </is>
      </c>
      <c r="H7" s="2" t="n">
        <v>46013</v>
      </c>
      <c r="I7" t="inlineStr">
        <is>
          <t>**Overview**  
The Edge browser is a core strategic product and key entry point to Microsoft’s new AI ecosystem, serving hundreds of millions of users daily. As the hypercompetitive AI browser ecosystem evolves, the Edge team is focused on continuing to lead.
The Edge Web Platform team is looking for an exceptional Senior Software Engineer to join our Rendering team to help deliver high quality, interoperable web experiences by shaping how modern web content is rendered, animated, and interacted with across platforms. This role is ideal for engineers who enjoy deep systems and performance work, thrive in complex codebases, and want to shape how modern web content is rendered and interacted with by billions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improve web platform features in Chromium rendering pipeline to bridge the gap between native applications and the web.
* Collaborate and communicate effectively with engineers and program managers on open\-source projects.
* Partner with standards and upstream communities (W3C, Chromium) to shape APIs and implementation details.
* Deliver web platform innovation in important areas of the browser engine with a focus on the needs of our customers and web developers.
* Contribute directly to the Chromium project for aspects that can be shared with other Chromium\-based browsers.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Cross\-platform development experience.
* Experience contributing to a large\-scale software engineering project.
* Design, coding, and debugging skills in modern programming languages.
\#MicrosoftAI \#microsoftedge \#Chromium \#Rendering \#BrowserEngineering \#WebPerformance \#WebPlatform \#GraphicsEngineering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in-7542733d65312a2b</t>
        </is>
      </c>
      <c r="B8" t="inlineStr">
        <is>
          <t>Senior Software Engineer</t>
        </is>
      </c>
      <c r="C8" t="inlineStr">
        <is>
          <t>Microsoft</t>
        </is>
      </c>
      <c r="D8" t="inlineStr">
        <is>
          <t>indeed</t>
        </is>
      </c>
      <c r="E8">
        <f>HYPERLINK("https://www.indeed.com/viewjob?jk=7542733d65312a2b", "https://www.indeed.com/viewjob?jk=7542733d65312a2b")</f>
        <v/>
      </c>
      <c r="F8">
        <f>HYPERLINK("https://apply.careers.microsoft.com/careers/job/1970393556653243?utm_source=indeed&amp;domain=microsoft.com", "https://apply.careers.microsoft.com/careers/job/1970393556653243?utm_source=indeed&amp;domain=microsoft.com")</f>
        <v/>
      </c>
      <c r="G8" t="inlineStr">
        <is>
          <t>Redmond, WA, US</t>
        </is>
      </c>
      <c r="H8" s="2" t="n">
        <v>46010</v>
      </c>
      <c r="I8" t="inlineStr">
        <is>
          <t>**Overview**  
Join the Windows Cloud Experiences team and help shape the future of remote desktop technology. As part of the Windows \+ Devices organization, our team is dedicated to building innovative, beautifully crafted, and cloud\-powered solutions that redefine how users connect and collaborate from anywhere.  
The Windows Cloud Experiences team is seeking a Software Engineer who is passionate about exploring new technologies, writing high\-quality code, pushing delightful user interactions, and driving engineering excellence. In this role, you’ll contribute to rapid, iterative releases and have the opportunity to innovate across multiple areas of our product (such as clients, device redirections, SDKs, and cross\-platform foundational code). Our team values smart, driven, and motivated engineers who bring a positive attitude, a growth mindset, and the ability to turn ambiguity into impactful solutions for our customers.
* **Drive the Future of Remote Work**: Join a team at the forefront of delivering seamless, secure, and high\-performance remote desktop experiences directly in the browser, empowering users to access Windows desktops and apps from anywhere, on any device.
* **Cloud\-Powered Windows Experiences**: Contribute to the next generation of cloud\-integrated Windows solutions, leveraging Azure and Microsoft 365 to enable scalable, resilient, and enterprise\-grade remote desktop services.
* **Cutting\-Edge Technologies**: Work with a modern tech stack including C\+\+, C\# .net, JavaScript/TypeScript, FAST and React, while developing deep expertise in developing scalable native client applications for Windows.
* **End\-to\-End Product Ownership**: Collaborate across architecture, development, deployment, and Live Site operations, ensuring robust telemetry, proactive monitoring, and rapid incident response for a global user base.
* **Agile and Impactful Delivery**: Operate in a fast\-paced, iterative environment with short release cycles, where innovation and customer impact are prioritized, and every engineer has the opportunity to shape product direction.
 *Learn More*: https://learn.microsoft.com/en\-us/windows\-app/overview  
*Video*: https://youtu.be/j0XU59VbKOc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experienced engineers, product managers, and designers to deliver seamless, secure, and high\-performance remote desktop experiences.
* Contribute to the design and development of scalable, reliable, and user\-friendly native client applications using modern technologies.
* Participate in the full software development lifecycle — from implementation and testing to deployment and live site monitoring.
* Write clean, maintainable, and efficient code while following team coding standards and best practices.
* Troubleshoot and fix issues related to operating system integration, app performance, and connectivity.
* Use telemetry and customer feedback to validate solutions and continuously improve product quality.
* Learn from senior engineers and actively participate in code reviews, design discussions, and knowledge\-sharing sessions.
* Embrace agile development and a DevOps mindset — delivering iterative improvements and contributing to service reliability.
* Embody Microsoft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Expertise in native app development for Windows, iOS, iPadOS and Android.
* Expertise in Virtual Desktop Infrastructure (VDI) solutions.
* Expertise with remote desktop protocols (e.g. RDP, ICA, VNC).
\#W\+DJOBS \#EiP \#IC2SWE \#Windows365 \#AVD \#RemoteDesktop \#VDI \#W\+DJOBS \#GTA \#WCXClients \#WindowsAppEngineeringJobs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in-9d25ebb8335f7e97</t>
        </is>
      </c>
      <c r="B9" t="inlineStr">
        <is>
          <t>Software Engineer II</t>
        </is>
      </c>
      <c r="C9" t="inlineStr">
        <is>
          <t>Amazon.com</t>
        </is>
      </c>
      <c r="D9" t="inlineStr">
        <is>
          <t>indeed</t>
        </is>
      </c>
      <c r="E9">
        <f>HYPERLINK("https://www.indeed.com/viewjob?jk=9d25ebb8335f7e97", "https://www.indeed.com/viewjob?jk=9d25ebb8335f7e97")</f>
        <v/>
      </c>
      <c r="F9">
        <f>HYPERLINK("https://www.amazon.jobs/jobs/3104730/software-engineer-ii?cmpid=DA_INAD200785B", "https://www.amazon.jobs/jobs/3104730/software-engineer-ii?cmpid=DA_INAD200785B")</f>
        <v/>
      </c>
      <c r="G9" t="inlineStr">
        <is>
          <t>San Francisco, CA, US</t>
        </is>
      </c>
      <c r="H9" s="2"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in-281dbc682b42607f</t>
        </is>
      </c>
      <c r="B10" t="inlineStr">
        <is>
          <t>Software Engineer II</t>
        </is>
      </c>
      <c r="C10" t="inlineStr">
        <is>
          <t>Amazon.com</t>
        </is>
      </c>
      <c r="D10" t="inlineStr">
        <is>
          <t>indeed</t>
        </is>
      </c>
      <c r="E10">
        <f>HYPERLINK("https://www.indeed.com/viewjob?jk=281dbc682b42607f", "https://www.indeed.com/viewjob?jk=281dbc682b42607f")</f>
        <v/>
      </c>
      <c r="F10">
        <f>HYPERLINK("https://www.amazon.jobs/jobs/3104730/software-engineer-ii?cmpid=DA_INAD200785B", "https://www.amazon.jobs/jobs/3104730/software-engineer-ii?cmpid=DA_INAD200785B")</f>
        <v/>
      </c>
      <c r="G10" t="inlineStr">
        <is>
          <t>Irvine,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in-378c5e415746ea9a</t>
        </is>
      </c>
      <c r="B11" t="inlineStr">
        <is>
          <t>Forward Deployed Software Engineer</t>
        </is>
      </c>
      <c r="C11" t="inlineStr">
        <is>
          <t>Instinctools</t>
        </is>
      </c>
      <c r="D11" t="inlineStr">
        <is>
          <t>indeed</t>
        </is>
      </c>
      <c r="E11">
        <f>HYPERLINK("https://www.indeed.com/viewjob?jk=378c5e415746ea9a", "https://www.indeed.com/viewjob?jk=378c5e415746ea9a")</f>
        <v/>
      </c>
      <c r="F11">
        <f>HYPERLINK("https://www.instinctools.eu/vacancies/forward-deployed-engineer/", "https://www.instinctools.eu/vacancies/forward-deployed-engineer/")</f>
        <v/>
      </c>
      <c r="G11" t="inlineStr">
        <is>
          <t>US</t>
        </is>
      </c>
      <c r="H11" s="2" t="n">
        <v>46035</v>
      </c>
      <c r="I11" t="inlineStr">
        <is>
          <t>* ***instinctools*** is a software development company that provides custom software solutions for businesses of all sizes. Our team works closely with clients to understand their specific needs and provide personalized solutions that meet their business requirements.
* ***instinctools*** is looking for a **Forward Deployed Software Engineer** to grow Palantir expertise within the company.
**The project** focuses on the integration of Palantir Foundry and AIP into the WISPR insurance delivery framework to create a unified, data\-driven and AI\-enabled insurance operations platform.
**Tasks:**
* Design and implement end\-to\-end data pipelines in **Palantir Foundry**;
* integrate data from ERP, CRM, Guidewire, financial, operational, and external systems;
* build and maintain the Enterprise Ontology (object types, link types, actions);
* develop operational applications and dashboards using Workshop and OSDK;
* build AI\-powered workflows using Palantir AIP (RAG, LLM agents, evaluations);
* work directly with customer stakeholders (business, operations, IT, leadership);
* translate business problems into data models, applications, and AI solutions;
* support production deployments, performance tuning, and scaling;
* work on\-site with customers as required.
**Our expectations of the ideal candidate:**
* 2–3\+ years of hands\-on experience with **Palantir Foundry**, including proven production deployment and customer implementation cases;
* strong proficiency in Python, PySpark, and SQL;
* experience building and operating distributed data pipelines (Spark, large\-scale ETL/ELT, data modeling);
* experience integrating enterprise systems via REST APIs, JDBC, SFTP, and cloud data platforms;
* experience with or strong understanding of RAG systems, LLM workflows, and AI\-enabled applications;
* bachelor’s or master’s degree in computer science, mathematics, physics, or a related technical field.
**Will be a plus:**
* Certification: Palantir Certified Data Engineer or Application Developer is highly preferred;
* experience with Java or Scala.
**Soft Skills:**
* **Problem\-Solving**: The ability to analyze complex problems, break them down into smaller components, and devise effective solutions;
* **Attention to Detail**: Meticulous attention to detail is crucial for identifying subtle errors and inconsistencies in code;
* **Communication Skills**: Strong written and verbal communication skills to effectively convey ideas, collaborate with team members, and document processes;
* **Teamwork**: The ability to work collaboratively with diverse teams, sharing knowledge and fostering a positive work environment.
* **Business trips:** Willingness to travel and work on\-site.
***English:*** *Upper\-Intermediate or higher*
**We offer:**
* flexible working time;
* professional and ambitious team;
* learning opportunities, seminars and conferences and time for exploring new technologies;
* full remote work.</t>
        </is>
      </c>
    </row>
    <row r="12">
      <c r="A12" t="inlineStr">
        <is>
          <t>in-254af289aef6bbfc</t>
        </is>
      </c>
      <c r="B12" t="inlineStr">
        <is>
          <t>Senior Software Engineer, Twitch</t>
        </is>
      </c>
      <c r="C12" t="inlineStr">
        <is>
          <t>Amazon.com</t>
        </is>
      </c>
      <c r="D12" t="inlineStr">
        <is>
          <t>indeed</t>
        </is>
      </c>
      <c r="E12">
        <f>HYPERLINK("https://www.indeed.com/viewjob?jk=254af289aef6bbfc", "https://www.indeed.com/viewjob?jk=254af289aef6bbfc")</f>
        <v/>
      </c>
      <c r="F12">
        <f>HYPERLINK("https://www.amazon.jobs/jobs/3138042/senior-software-engineer-twitch?cmpid=DA_INAD200785B", "https://www.amazon.jobs/jobs/3138042/senior-software-engineer-twitch?cmpid=DA_INAD200785B")</f>
        <v/>
      </c>
      <c r="G12" t="inlineStr">
        <is>
          <t>San Francisco, CA, US</t>
        </is>
      </c>
      <c r="H12" s="2" t="n">
        <v>45995</v>
      </c>
      <c r="I1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in-2a8390c035a730dd</t>
        </is>
      </c>
      <c r="B13" t="inlineStr">
        <is>
          <t>Senior Software Engineer, Twitch</t>
        </is>
      </c>
      <c r="C13" t="inlineStr">
        <is>
          <t>Amazon.com</t>
        </is>
      </c>
      <c r="D13" t="inlineStr">
        <is>
          <t>indeed</t>
        </is>
      </c>
      <c r="E13">
        <f>HYPERLINK("https://www.indeed.com/viewjob?jk=2a8390c035a730dd", "https://www.indeed.com/viewjob?jk=2a8390c035a730dd")</f>
        <v/>
      </c>
      <c r="F13">
        <f>HYPERLINK("https://www.amazon.jobs/jobs/3138042/senior-software-engineer-twitch?cmpid=DA_INAD200785B", "https://www.amazon.jobs/jobs/3138042/senior-software-engineer-twitch?cmpid=DA_INAD200785B")</f>
        <v/>
      </c>
      <c r="G13" t="inlineStr">
        <is>
          <t>Seattle, WA, US</t>
        </is>
      </c>
      <c r="H13" s="2"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in-98f8fd6ab84e0eb4</t>
        </is>
      </c>
      <c r="B14" t="inlineStr">
        <is>
          <t>Software Engineer I</t>
        </is>
      </c>
      <c r="C14" t="inlineStr">
        <is>
          <t>Microsoft</t>
        </is>
      </c>
      <c r="D14" t="inlineStr">
        <is>
          <t>indeed</t>
        </is>
      </c>
      <c r="E14">
        <f>HYPERLINK("https://www.indeed.com/viewjob?jk=98f8fd6ab84e0eb4", "https://www.indeed.com/viewjob?jk=98f8fd6ab84e0eb4")</f>
        <v/>
      </c>
      <c r="F14">
        <f>HYPERLINK("https://apply.careers.microsoft.com/careers/job/1970393556654596?utm_source=indeed&amp;domain=microsoft.com", "https://apply.careers.microsoft.com/careers/job/1970393556654596?utm_source=indeed&amp;domain=microsoft.com")</f>
        <v/>
      </c>
      <c r="G14" t="inlineStr">
        <is>
          <t>Redmond, WA, US</t>
        </is>
      </c>
      <c r="H14" s="2" t="n">
        <v>46016</v>
      </c>
      <c r="I14" t="inlineStr">
        <is>
          <t>**Overview**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in-eafeb2360c5bc945</t>
        </is>
      </c>
      <c r="B15" t="inlineStr">
        <is>
          <t>Sr. Software Engineer (ML), AGI Customization</t>
        </is>
      </c>
      <c r="C15" t="inlineStr">
        <is>
          <t>Amazon.com</t>
        </is>
      </c>
      <c r="D15" t="inlineStr">
        <is>
          <t>indeed</t>
        </is>
      </c>
      <c r="E15">
        <f>HYPERLINK("https://www.indeed.com/viewjob?jk=eafeb2360c5bc945", "https://www.indeed.com/viewjob?jk=eafeb2360c5bc945")</f>
        <v/>
      </c>
      <c r="F15">
        <f>HYPERLINK("https://www.amazon.jobs/jobs/3127625/sr-software-engineer-ml-agi-customization?cmpid=DA_INAD200785B", "https://www.amazon.jobs/jobs/3127625/sr-software-engineer-ml-agi-customization?cmpid=DA_INAD200785B")</f>
        <v/>
      </c>
      <c r="G15" t="inlineStr">
        <is>
          <t>Sunnyvale, CA, US</t>
        </is>
      </c>
      <c r="H15" s="2" t="n">
        <v>45964</v>
      </c>
      <c r="I1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in-d4e2609c3d35807d</t>
        </is>
      </c>
      <c r="B16" t="inlineStr">
        <is>
          <t>Sr. Software Engineer (ML), AGI Customization</t>
        </is>
      </c>
      <c r="C16" t="inlineStr">
        <is>
          <t>Amazon.com</t>
        </is>
      </c>
      <c r="D16" t="inlineStr">
        <is>
          <t>indeed</t>
        </is>
      </c>
      <c r="E16">
        <f>HYPERLINK("https://www.indeed.com/viewjob?jk=d4e2609c3d35807d", "https://www.indeed.com/viewjob?jk=d4e2609c3d35807d")</f>
        <v/>
      </c>
      <c r="F16">
        <f>HYPERLINK("https://www.amazon.jobs/jobs/3127625/sr-software-engineer-ml-agi-customization?cmpid=DA_INAD200785B", "https://www.amazon.jobs/jobs/3127625/sr-software-engineer-ml-agi-customization?cmpid=DA_INAD200785B")</f>
        <v/>
      </c>
      <c r="G16" t="inlineStr">
        <is>
          <t>Boston, MA,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in-7667cf415124553e</t>
        </is>
      </c>
      <c r="B17" t="inlineStr">
        <is>
          <t>Sr. Software Engineer (ML), AGI Foundations</t>
        </is>
      </c>
      <c r="C17" t="inlineStr">
        <is>
          <t>Amazon.com</t>
        </is>
      </c>
      <c r="D17" t="inlineStr">
        <is>
          <t>indeed</t>
        </is>
      </c>
      <c r="E17">
        <f>HYPERLINK("https://www.indeed.com/viewjob?jk=7667cf415124553e", "https://www.indeed.com/viewjob?jk=7667cf415124553e")</f>
        <v/>
      </c>
      <c r="F17">
        <f>HYPERLINK("https://www.amazon.jobs/jobs/2993074/sr-software-engineer-ml-agi-foundations?cmpid=DA_INAD200785B", "https://www.amazon.jobs/jobs/2993074/sr-software-engineer-ml-agi-foundations?cmpid=DA_INAD200785B")</f>
        <v/>
      </c>
      <c r="G17" t="inlineStr">
        <is>
          <t>Bellevue, WA, US</t>
        </is>
      </c>
      <c r="H17" s="2" t="n">
        <v>45803</v>
      </c>
      <c r="I1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in-0322b69914caab1c</t>
        </is>
      </c>
      <c r="B18" t="inlineStr">
        <is>
          <t>Sr. Software Engineer (ML), AGI Foundations</t>
        </is>
      </c>
      <c r="C18" t="inlineStr">
        <is>
          <t>Amazon.com</t>
        </is>
      </c>
      <c r="D18" t="inlineStr">
        <is>
          <t>indeed</t>
        </is>
      </c>
      <c r="E18">
        <f>HYPERLINK("https://www.indeed.com/viewjob?jk=0322b69914caab1c", "https://www.indeed.com/viewjob?jk=0322b69914caab1c")</f>
        <v/>
      </c>
      <c r="F18">
        <f>HYPERLINK("https://www.amazon.jobs/jobs/2993074/sr-software-engineer-ml-agi-foundations?cmpid=DA_INAD200785B", "https://www.amazon.jobs/jobs/2993074/sr-software-engineer-ml-agi-foundations?cmpid=DA_INAD200785B")</f>
        <v/>
      </c>
      <c r="G18" t="inlineStr">
        <is>
          <t>Sunnyvale, CA, US</t>
        </is>
      </c>
      <c r="H18" s="2" t="n">
        <v>45803</v>
      </c>
      <c r="I1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in-9ad641282ad3d086</t>
        </is>
      </c>
      <c r="B19" t="inlineStr">
        <is>
          <t>Software Engineer- AI/ML, AWS Neuron Distributed Training</t>
        </is>
      </c>
      <c r="C19" t="inlineStr">
        <is>
          <t>Amazon Web Services</t>
        </is>
      </c>
      <c r="D19" t="inlineStr">
        <is>
          <t>indeed</t>
        </is>
      </c>
      <c r="E19">
        <f>HYPERLINK("https://www.indeed.com/viewjob?jk=9ad641282ad3d086", "https://www.indeed.com/viewjob?jk=9ad641282ad3d086")</f>
        <v/>
      </c>
      <c r="F19">
        <f>HYPERLINK("https://www.amazon.jobs/jobs/2937757/software-engineer-aiml-aws-neuron-distributed-training?cmpid=DA_INAD200785B", "https://www.amazon.jobs/jobs/2937757/software-engineer-aiml-aws-neuron-distributed-training?cmpid=DA_INAD200785B")</f>
        <v/>
      </c>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in-4ec70d3c4932c405</t>
        </is>
      </c>
      <c r="B20" t="inlineStr">
        <is>
          <t>Software Engineer- AI/ML, AWS Neuron Distributed Training</t>
        </is>
      </c>
      <c r="C20" t="inlineStr">
        <is>
          <t>Amazon Web Services</t>
        </is>
      </c>
      <c r="D20" t="inlineStr">
        <is>
          <t>indeed</t>
        </is>
      </c>
      <c r="E20">
        <f>HYPERLINK("https://www.indeed.com/viewjob?jk=4ec70d3c4932c405", "https://www.indeed.com/viewjob?jk=4ec70d3c4932c405")</f>
        <v/>
      </c>
      <c r="F20">
        <f>HYPERLINK("https://www.amazon.jobs/jobs/2937757/software-engineer-aiml-aws-neuron-distributed-training?cmpid=DA_INAD200785B", "https://www.amazon.jobs/jobs/2937757/software-engineer-aiml-aws-neuron-distributed-training?cmpid=DA_INAD200785B")</f>
        <v/>
      </c>
      <c r="G20" t="inlineStr">
        <is>
          <t>Seattle, WA, US</t>
        </is>
      </c>
      <c r="H20" s="2" t="n">
        <v>45727</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in-9cf2cc5756eaa81f</t>
        </is>
      </c>
      <c r="B21" t="inlineStr">
        <is>
          <t>Sr. Software Engineer- AI/ML, AWS Neuron Distributed Training</t>
        </is>
      </c>
      <c r="C21" t="inlineStr">
        <is>
          <t>Amazon Web Services</t>
        </is>
      </c>
      <c r="D21" t="inlineStr">
        <is>
          <t>indeed</t>
        </is>
      </c>
      <c r="E21">
        <f>HYPERLINK("https://www.indeed.com/viewjob?jk=9cf2cc5756eaa81f", "https://www.indeed.com/viewjob?jk=9cf2cc5756eaa81f")</f>
        <v/>
      </c>
      <c r="F21">
        <f>HYPERLINK("https://www.amazon.jobs/jobs/2912412/sr-software-engineer-aiml-aws-neuron-distributed-training?cmpid=DA_INAD200785B", "https://www.amazon.jobs/jobs/2912412/sr-software-engineer-aiml-aws-neuron-distributed-training?cmpid=DA_INAD200785B")</f>
        <v/>
      </c>
      <c r="G21" t="inlineStr">
        <is>
          <t>Seattle, WA, US</t>
        </is>
      </c>
      <c r="H21" s="2" t="n">
        <v>45713</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in-caef27cdad9504c0</t>
        </is>
      </c>
      <c r="B22" t="inlineStr">
        <is>
          <t>Sr. Software Engineer- AI/ML, AWS Neuron Distributed Training</t>
        </is>
      </c>
      <c r="C22" t="inlineStr">
        <is>
          <t>Amazon Web Services</t>
        </is>
      </c>
      <c r="D22" t="inlineStr">
        <is>
          <t>indeed</t>
        </is>
      </c>
      <c r="E22">
        <f>HYPERLINK("https://www.indeed.com/viewjob?jk=caef27cdad9504c0", "https://www.indeed.com/viewjob?jk=caef27cdad9504c0")</f>
        <v/>
      </c>
      <c r="F22">
        <f>HYPERLINK("https://www.amazon.jobs/jobs/2912412/sr-software-engineer-aiml-aws-neuron-distributed-training?cmpid=DA_INAD200785B", "https://www.amazon.jobs/jobs/2912412/sr-software-engineer-aiml-aws-neuron-distributed-training?cmpid=DA_INAD200785B")</f>
        <v/>
      </c>
      <c r="G22" t="inlineStr">
        <is>
          <t>Cupertino, CA, US</t>
        </is>
      </c>
      <c r="H22" s="2" t="n">
        <v>45713</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in-cfe5020b49866f5b</t>
        </is>
      </c>
      <c r="B23" t="inlineStr">
        <is>
          <t>Software Engineer</t>
        </is>
      </c>
      <c r="C23" t="inlineStr">
        <is>
          <t>GHG Corporation</t>
        </is>
      </c>
      <c r="D23" t="inlineStr">
        <is>
          <t>indeed</t>
        </is>
      </c>
      <c r="E23">
        <f>HYPERLINK("https://www.indeed.com/viewjob?jk=cfe5020b49866f5b", "https://www.indeed.com/viewjob?jk=cfe5020b49866f5b")</f>
        <v/>
      </c>
      <c r="F23">
        <f>HYPERLINK("https://www.applicantpro.com/openings/ghgcorp/jobs/3961534-30772", "https://www.applicantpro.com/openings/ghgcorp/jobs/3961534-30772")</f>
        <v/>
      </c>
      <c r="G23" t="inlineStr">
        <is>
          <t>Houston, TX, US</t>
        </is>
      </c>
      <c r="H23" s="2" t="n">
        <v>46036</v>
      </c>
      <c r="I23" t="inlineStr">
        <is>
          <t>**Software Engineer – GHG Corporation**
**Statement of Work:**
The Software Engineer will support the IBM team and the project. They are responsible to provide support and maintain operation for Postal 2750\+ Self\-service Kiosks (SSKs) across the United Stated.
**Task Description:**
The engineer is to provide support on the SSK program in software development/testing, root cause analysis and device management activities.
**Required skills/Level of Experience :**
Have 1\+ years of hands\-on experience in C\# development
Have 1\+ years of hands\-on experience in React, Node.js, Bootstrap, JavaScript, HTML, GraphQL development.
Have 1\+ years of hands\-on experience in ElasticSearch/Kibana development.
Have working experience to be comfortable around both front\-end and back\-end coding languages, development frameworks and third\-party libraries.
**Nice to have skills:**
Have experience with Point Of Sales (POS) retail systems.
Have excellent communication skills.
**Other Details:**
Work Location \- 12301 Kurland Dr Suite 300 Houston, TX 77034
To be considered for work, A CANDIDATE MUST BE EITHER A U.S. CITIZEN and successfully complete the clearance process.
 **We are an Equal Employment Opportunity employer as defined by the EEOC**</t>
        </is>
      </c>
    </row>
    <row r="24">
      <c r="A24" t="inlineStr">
        <is>
          <t>in-05648171550ffb7c</t>
        </is>
      </c>
      <c r="B24" t="inlineStr">
        <is>
          <t>Back-End Developer (Senior Software Developer – AI)</t>
        </is>
      </c>
      <c r="C24" t="inlineStr">
        <is>
          <t>Fustis LLC</t>
        </is>
      </c>
      <c r="D24" t="inlineStr">
        <is>
          <t>indeed</t>
        </is>
      </c>
      <c r="E24">
        <f>HYPERLINK("https://www.indeed.com/viewjob?jk=05648171550ffb7c", "https://www.indeed.com/viewjob?jk=05648171550ffb7c")</f>
        <v/>
      </c>
      <c r="F24">
        <f>HYPERLINK("https://fustis.oorwin.ai/#/careers/index.html/job/details/3f15b9957ade0433fc133bede90851e29476e9b9?source=indeed&amp;postedby=3", "https://fustis.oorwin.ai/#/careers/index.html/job/details/3f15b9957ade0433fc133bede90851e29476e9b9?source=indeed&amp;postedby=3")</f>
        <v/>
      </c>
      <c r="G24" t="inlineStr">
        <is>
          <t>Seattle, WA, US</t>
        </is>
      </c>
      <c r="H24" s="2" t="n">
        <v>46036</v>
      </c>
      <c r="I24" t="inlineStr">
        <is>
          <t>**Back\-End Developer (Senior Software Developer \- AI)**
**Location: Seattle, WA \- hybrid**
**Local Candidates only**
**Job Description:**
Outline of the Role:  
**Lululemon is looking to hire a dynamic Senior Software Developer in AI to participate in AI proof\-of\-concept projects within Site Reliability Engineering. The Senior\-level Back\-end Developer is expected to have 10\+ years of experience with at least 2 years of hands\-on AI development and testing experience with a variety of AI models and tools.**  
This role will work alongside SRE teams as they develop POCs to utilize AI tools to drive metrics\-based outcomes. This software developer role will bring their applied AI experience to SRE use cases.
Principal Duties and Responsibilities:  
**• Lead development of AI POCs in the SRE space, driving operational, reliability, quality and cost\-saving outcomes**  
* **Make decisions about which AI tools and models best match which use cases**
* **Teach fellow team members techniques for getting the most out of AI**
* Evaluate and document outcomes of POCs and make recommendations for next steps
* Act as subject matter expert for AI
* Create and maintain relevant documentation and conduct knowledge transfer activities
Qualifications, Skills, Experience and Personal Requirements:  
* Bachelor//'s degree in computer science or equivalent
* **Hands on experience with Claude, Gemini, GPT, Hugging Face ecosystem**
* **Proficiency in back\-end technologies and programming languages and a deep understanding of distributed systems and microservices architecture.**
* Familiarity with cloud computing platforms
* An ability to adapt to changing priorities and deliver high\-quality results on time.
* Excellent analytical and troubleshooting skills, with a proactive approach to identifying and resolving technical challenges.
* Effective verbal and written communication skills, capable of articulating complex technical concepts to diverse audiences and collaborating effectively with cross\-functional teams.</t>
        </is>
      </c>
    </row>
    <row r="25">
      <c r="A25" t="inlineStr">
        <is>
          <t>in-f98003ab78580004</t>
        </is>
      </c>
      <c r="B25" t="inlineStr">
        <is>
          <t>AI Software Engineer</t>
        </is>
      </c>
      <c r="C25" t="inlineStr">
        <is>
          <t>Allstate Insurance</t>
        </is>
      </c>
      <c r="D25" t="inlineStr">
        <is>
          <t>indeed</t>
        </is>
      </c>
      <c r="E25">
        <f>HYPERLINK("https://www.indeed.com/viewjob?jk=f98003ab78580004", "https://www.indeed.com/viewjob?jk=f98003ab78580004")</f>
        <v/>
      </c>
      <c r="F25">
        <f>HYPERLINK("https://allstateinsurance.contacthr.com/150625595", "https://allstateinsurance.contacthr.com/150625595")</f>
        <v/>
      </c>
      <c r="G25" t="inlineStr">
        <is>
          <t>Remote, US</t>
        </is>
      </c>
      <c r="H25" s="2" t="n">
        <v>46035</v>
      </c>
      <c r="I25"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Job Description  
Key Responsibilities:
Design, develop, and maintain backend services and APIs using modern frameworks (e.g., Java Spring Boot, Node.js, or Python FastAPI).
Integrate and deploy Generative AI models (e.g., OpenAI, Hugging Face, LangChain) into production environments.
Fine\-tune and optimize LLMs for specific use cases.
Build secure, scalable, and high\-performance microservices.
Monitor and improve system performance, reliability, and scalability.
Implement CI/CD pipelines, containerization (Docker), and orchestration (Kubernetes).
Deploy and manage applications on cloud platforms, preferably Microsoft Azure.
Participate in code reviews, testing, and continuous integration processes.* 3\+ years of backend development experience using Java Spring Boot or Python.
* Strong understanding of RESTful APIs, microservices architecture, and asynchronous processing.
* Experience working with **Generative AI** APIs and/or **open\-source models**.
* Experience with LangChain, **LLM orchestration, or RAG (Retrieval\-Augmented Generation)** pipelines.
* Familiarity with **prompt engineering**, embedding models, or **vector databases**.
* Strong problem\-solving and debugging skills.
**Preferred Skills:**
* Exposure to multi\-modal AI systems and agentic AI frameworks.
* Exposure to MLOps and model deployment workflows.
* Experience with Docker, Kubernetes, and CI/CD pipelines.
* Experience with cloud platforms (Azure, AWS or GCP).
* Knowledge of frontend frameworks like React or Angular.
**Education**
* 4 year Bachelor’s Degree
**Experience**
* 3 or more years of experience
**Skills**
Application Programming Interface (API), Java, Java Spring, Microservices Architecture, Python (Programming Language)**Compensation**
Compensation offered for this role is 0\.00 \- 0\.00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6">
      <c r="A26" t="inlineStr">
        <is>
          <t>in-ffbf17a9f51a79d4</t>
        </is>
      </c>
      <c r="B26" t="inlineStr">
        <is>
          <t>Principal Software Engineer - Remote</t>
        </is>
      </c>
      <c r="C26" t="inlineStr">
        <is>
          <t>Optum</t>
        </is>
      </c>
      <c r="D26" t="inlineStr">
        <is>
          <t>indeed</t>
        </is>
      </c>
      <c r="E26">
        <f>HYPERLINK("https://www.indeed.com/viewjob?jk=ffbf17a9f51a79d4", "https://www.indeed.com/viewjob?jk=ffbf17a9f51a79d4")</f>
        <v/>
      </c>
      <c r="F26">
        <f>HYPERLINK("https://uhg.taleo.net/careersection/10000/jobdetail.ftl?job=2323252&amp;lang=en", "https://uhg.taleo.net/careersection/10000/jobdetail.ftl?job=2323252&amp;lang=en")</f>
        <v/>
      </c>
      <c r="G26" t="inlineStr">
        <is>
          <t>Eden Prairie, MN, US</t>
        </is>
      </c>
      <c r="H26" s="2" t="n">
        <v>46035</v>
      </c>
      <c r="I2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Aikyam is the most advanced "Identity as a Service" Platform at UnitedHealth Group that is aimed to provide a central and universal user identity for identifying and authenticating a user in the healthcare domain. It is built upon open standards like OAuth 2\.0, OpenID Connect, SAML 2\.0 Web SSO etc. It is a highly available, reliable and scalable service hosted in public cloud. We enjoy the trust of large customers in healthcare industry and government services with operations across United States of America.
You'll enjoy the flexibility to work remotely \* from anywhere within the U.S. as you take on some tough challenges. For all hires in the Minneapolis or Washington, D.C. area, you will be required to work in the office a minimum of four days per week. Locations in DC or MN they will be required to be onsite 4 days per week. All other locations are remote.
 **Primary Responsibilities:**
* Plan, define, design, implement and maintain the solution architecture in the area of internal and external identity \&amp; access management solution in public and private cloud environments
* Adopt, implement and define guidelines using open standard identity protocols and mechanisms such as OAuth 2\.0/ OpenID Connect, SAML 2\.0, Federated Identity Management and SSO
* Assess overall Identity platform and cloud security posture at frequent intervals. Redesign or evolve the posture as necessary
* Researches, Implements and promotes the adoption of proactive security concepts, such as threat hunting and threat modelling to improve the existing security strategy
* Drive architectural initiatives that align our business needs and technical capabilities for Identity Management solutions
You'll be rewarded and recognized for your performance in an environment that will challenge you and give you clear direction on what it takes to succeed in your role as well as provide development for other roles you may be interested in.
**Required Qualifications:**
* 8\+ years of hands\-on technical experience in implementing secure large\-scale enterprise applications or SaaS platforms using cloud technologies
* 6\+ years of relevant experience in Identity \&amp; Access Management and Information Security
* 3\+ years of experience in OAuth 2\.0, OpenID Connect, SAML 2\.0, Identity federation, Single Sign\-On, RBAC, ABAC, MFA, RBA, and Passwordless
* 3\+ years of experience in Threat, Vulnerability \&amp; Risk management, Infrastructure security
* 3\+ years of development experience on Java, SpringBoot, RESTful Web Services and Microservices
* 3\+ years of experience in Scripting languages (Python and PowerShell)
* 3\+ years of experience in web application architectures, TCP/IP networking, cloud computing and data integrity and confidentiality including cryptographic techniques
* 2\+ years of demonstrable experience in Site Reliability Engineering and DDoS mitigation techniques
* 2\+ years/knowledge of Web Application Firewalls, HTTP(s), TCP/UDP, SSL/TLS, Forward and reverse proxies, Load balancers
* 2\+ years/knowledge of SANS Top 20 Critical Security Controls and OWASP Top 10 vulnerabilities
 **Preferred Qualifications:**
* Implementation of Technology specifications and/or RFCs
* AWS Certifications
* Hands\-on working experience with SailPoint, ForgeRock, Ping, Okta, OneLogin, Azure AD or similar IAM product development
* Experience in implementing Security Analytics using AI and machine learning
* Experience in healthcare industry applications development and support
* Familiarity with security, privacy and compliance standards such as FISMA, FedRAMP, HIPAA, NIST800\-53, NIST800\-63 and GDPR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$132,200 to $226,600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7">
      <c r="A27" t="inlineStr">
        <is>
          <t>in-9ae0b44ec4ca8b4c</t>
        </is>
      </c>
      <c r="B27" t="inlineStr">
        <is>
          <t>Software Engineer/Application Developer</t>
        </is>
      </c>
      <c r="C27" t="inlineStr">
        <is>
          <t>Baker Tilly</t>
        </is>
      </c>
      <c r="D27" t="inlineStr">
        <is>
          <t>indeed</t>
        </is>
      </c>
      <c r="E27">
        <f>HYPERLINK("https://www.indeed.com/viewjob?jk=9ae0b44ec4ca8b4c", "https://www.indeed.com/viewjob?jk=9ae0b44ec4ca8b4c")</f>
        <v/>
      </c>
      <c r="F27">
        <f>HYPERLINK("https://bakertilly.wd5.myworkdayjobs.com/BTCareers/job/Madison-WI/Technical-Support-Senior_JR104423", "https://bakertilly.wd5.myworkdayjobs.com/BTCareers/job/Madison-WI/Technical-Support-Senior_JR104423")</f>
        <v/>
      </c>
      <c r="G27" t="inlineStr">
        <is>
          <t>Milwaukee, WI, US</t>
        </is>
      </c>
      <c r="H27" s="2" t="n">
        <v>46035</v>
      </c>
      <c r="I27"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Baker Tilly’s Industry Applications team develops data\-driven technology solutions for clients. Our development philosophy is that we build the best products, most expediently, when the builders are intimately involved in the solutioning. Working with us, expect to ship often, to get outsized ownership over the products you build, and to be a leader in solving our clients problems. For this reason, we prioritize creativity, and a passion for delivering excellence.
We typically work with manufacturing clients, though we also get tapped for complicated insurance projects, forensics, and other data\-heavy work.
Our solutions fundamentally start with the problems we’re working to solve with our clients. Accordingly, the tools we leverage vary from use\-case to use\-case. Our core stack leverages Anvil, and we integrate other solutions and systems as required. Examples include:
* State\-machine driven applications for business process management
* “Rules Engine” development for measuring and reporting compliance against legislation/regulations
* Machine learning models for categorization (developed with AWS SageMaker)
* Text and key term extraction from PDFs
* Mixed integer linear programming for supply chain optimization modeling
* Monte Carlo techniques for probabilistic forecasting
We’re currently recruiting for our Applications Development team. You will:
* Develop full\-stack applications in just Python using Anvil (https://anvil.works),
* Bring new solutions to the table, in particular leveraging the AWS ecosystem, and
* Identify and develop service opportunities to assist Baker Tilly’s manufacturing industry and development and community adclients.
**What we offer you:**
* The chance to own the development process. We use Azure Dev Ops for our project and issue management, but this role is a lot more than “take an issue, open a PR”. We want people excited to own a problem and figure out a solution.
* A collaborative, engaged team. You’ll work closely with analysts, Tableau Developers, and management consultants to help solve our clients’ problems. Our team is distributed, but we meet quarterly and make the most of it when we do.
* Diversity. No two days are alike, depending on the projects you’re working on (and the technologies required).
* The chance to immerse yourself in an up\-and\-coming framework – Anvil allows full stack development using just Python, and is key to our rapid\-development approach.
* A chance to leave your mark. You will own projects and see them through with our clients. Meanwhile, we are constantly adding to our library of ‘building blocks’ so we aren’t solving the same problem twice.
**Successful candidates will meet the following requirements:**
* You have a technical background and genuine interest in computer science and software development. Maybe you got a Bachelor’s in Computer Science, or a Master’s in Data Science and Analytics, or you have a portfolio of awesome projects.
* You have at least an intermediate knowledge of Python, or advanced understanding of another high\-level language (e.g. Java, C\#)
* You are deep down a “maker” – you just like to build stuff.
* You have an eye for excellence. You might not be a UI/UX buff, but you know what annoys you, and you strive for an excellent user experience in everything you build.
* You’re a problem solver, and love learning new things to solve new problems.
**Bonus criteria:**
* You’ve used the Anvil framework before (show us those hobby projects!)
* You have 2\-5 years building solutions in industry. Maybe these were in a low\-code framework, or expansive Excel workbooks, or contributing to full\-stack projects, but you’ve been in the trenches in business application development.
* You have a background in traditional web development, such as back\-end Python frameworks like Django or Flask, Net, or Node JS. You are comfortable with version control using Git, database administration, and DevOps.
* You are familiar with (and maybe certified in) one of Azure, AWS, or Google Cloud.
* You’ve used the Anvil framework before.
\#LI\-JM3 \#LI\-HYBRID</t>
        </is>
      </c>
    </row>
    <row r="28">
      <c r="A28" t="inlineStr">
        <is>
          <t>in-4b28428ee86dc92c</t>
        </is>
      </c>
      <c r="B28" t="inlineStr">
        <is>
          <t>Software Engineer/Application Developer</t>
        </is>
      </c>
      <c r="C28" t="inlineStr">
        <is>
          <t>Baker Tilly</t>
        </is>
      </c>
      <c r="D28" t="inlineStr">
        <is>
          <t>indeed</t>
        </is>
      </c>
      <c r="E28">
        <f>HYPERLINK("https://www.indeed.com/viewjob?jk=4b28428ee86dc92c", "https://www.indeed.com/viewjob?jk=4b28428ee86dc92c")</f>
        <v/>
      </c>
      <c r="F28">
        <f>HYPERLINK("https://bakertilly.wd5.myworkdayjobs.com/BTCareers/job/Madison-WI/Technical-Support-Senior_JR104423", "https://bakertilly.wd5.myworkdayjobs.com/BTCareers/job/Madison-WI/Technical-Support-Senior_JR104423")</f>
        <v/>
      </c>
      <c r="G28" t="inlineStr">
        <is>
          <t>Chicago, IL, US</t>
        </is>
      </c>
      <c r="H28" s="2" t="n">
        <v>46035</v>
      </c>
      <c r="I28"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Baker Tilly’s Industry Applications team develops data\-driven technology solutions for clients. Our development philosophy is that we build the best products, most expediently, when the builders are intimately involved in the solutioning. Working with us, expect to ship often, to get outsized ownership over the products you build, and to be a leader in solving our clients problems. For this reason, we prioritize creativity, and a passion for delivering excellence.
We typically work with manufacturing clients, though we also get tapped for complicated insurance projects, forensics, and other data\-heavy work.
Our solutions fundamentally start with the problems we’re working to solve with our clients. Accordingly, the tools we leverage vary from use\-case to use\-case. Our core stack leverages Anvil, and we integrate other solutions and systems as required. Examples include:
* State\-machine driven applications for business process management
* “Rules Engine” development for measuring and reporting compliance against legislation/regulations
* Machine learning models for categorization (developed with AWS SageMaker)
* Text and key term extraction from PDFs
* Mixed integer linear programming for supply chain optimization modeling
* Monte Carlo techniques for probabilistic forecasting
We’re currently recruiting for our Applications Development team. You will:
* Develop full\-stack applications in just Python using Anvil (https://anvil.works),
* Bring new solutions to the table, in particular leveraging the AWS ecosystem, and
* Identify and develop service opportunities to assist Baker Tilly’s manufacturing industry and development and community adclients.
**What we offer you:**
* The chance to own the development process. We use Azure Dev Ops for our project and issue management, but this role is a lot more than “take an issue, open a PR”. We want people excited to own a problem and figure out a solution.
* A collaborative, engaged team. You’ll work closely with analysts, Tableau Developers, and management consultants to help solve our clients’ problems. Our team is distributed, but we meet quarterly and make the most of it when we do.
* Diversity. No two days are alike, depending on the projects you’re working on (and the technologies required).
* The chance to immerse yourself in an up\-and\-coming framework – Anvil allows full stack development using just Python, and is key to our rapid\-development approach.
* A chance to leave your mark. You will own projects and see them through with our clients. Meanwhile, we are constantly adding to our library of ‘building blocks’ so we aren’t solving the same problem twice.
**Successful candidates will meet the following requirements:**
* You have a technical background and genuine interest in computer science and software development. Maybe you got a Bachelor’s in Computer Science, or a Master’s in Data Science and Analytics, or you have a portfolio of awesome projects.
* You have at least an intermediate knowledge of Python, or advanced understanding of another high\-level language (e.g. Java, C\#)
* You are deep down a “maker” – you just like to build stuff.
* You have an eye for excellence. You might not be a UI/UX buff, but you know what annoys you, and you strive for an excellent user experience in everything you build.
* You’re a problem solver, and love learning new things to solve new problems.
**Bonus criteria:**
* You’ve used the Anvil framework before (show us those hobby projects!)
* You have 2\-5 years building solutions in industry. Maybe these were in a low\-code framework, or expansive Excel workbooks, or contributing to full\-stack projects, but you’ve been in the trenches in business application development.
* You have a background in traditional web development, such as back\-end Python frameworks like Django or Flask, Net, or Node JS. You are comfortable with version control using Git, database administration, and DevOps.
* You are familiar with (and maybe certified in) one of Azure, AWS, or Google Cloud.
* You’ve used the Anvil framework before.
\#LI\-JM3 \#LI\-HYBRID</t>
        </is>
      </c>
    </row>
    <row r="29">
      <c r="A29" t="inlineStr">
        <is>
          <t>in-1d4cd1360e039466</t>
        </is>
      </c>
      <c r="B29" t="inlineStr">
        <is>
          <t>Software Engineer/Application Developer</t>
        </is>
      </c>
      <c r="C29" t="inlineStr">
        <is>
          <t>Baker Tilly</t>
        </is>
      </c>
      <c r="D29" t="inlineStr">
        <is>
          <t>indeed</t>
        </is>
      </c>
      <c r="E29">
        <f>HYPERLINK("https://www.indeed.com/viewjob?jk=1d4cd1360e039466", "https://www.indeed.com/viewjob?jk=1d4cd1360e039466")</f>
        <v/>
      </c>
      <c r="F29">
        <f>HYPERLINK("https://bakertilly.wd5.myworkdayjobs.com/BTCareers/job/Madison-WI/Technical-Support-Senior_JR104423", "https://bakertilly.wd5.myworkdayjobs.com/BTCareers/job/Madison-WI/Technical-Support-Senior_JR104423")</f>
        <v/>
      </c>
      <c r="G29" t="inlineStr">
        <is>
          <t>Austin, TX, US</t>
        </is>
      </c>
      <c r="H29" s="2" t="n">
        <v>46035</v>
      </c>
      <c r="I29"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Baker Tilly’s Industry Applications team develops data\-driven technology solutions for clients. Our development philosophy is that we build the best products, most expediently, when the builders are intimately involved in the solutioning. Working with us, expect to ship often, to get outsized ownership over the products you build, and to be a leader in solving our clients problems. For this reason, we prioritize creativity, and a passion for delivering excellence.
We typically work with manufacturing clients, though we also get tapped for complicated insurance projects, forensics, and other data\-heavy work.
Our solutions fundamentally start with the problems we’re working to solve with our clients. Accordingly, the tools we leverage vary from use\-case to use\-case. Our core stack leverages Anvil, and we integrate other solutions and systems as required. Examples include:
* State\-machine driven applications for business process management
* “Rules Engine” development for measuring and reporting compliance against legislation/regulations
* Machine learning models for categorization (developed with AWS SageMaker)
* Text and key term extraction from PDFs
* Mixed integer linear programming for supply chain optimization modeling
* Monte Carlo techniques for probabilistic forecasting
We’re currently recruiting for our Applications Development team. You will:
* Develop full\-stack applications in just Python using Anvil (https://anvil.works),
* Bring new solutions to the table, in particular leveraging the AWS ecosystem, and
* Identify and develop service opportunities to assist Baker Tilly’s manufacturing industry and development and community adclients.
**What we offer you:**
* The chance to own the development process. We use Azure Dev Ops for our project and issue management, but this role is a lot more than “take an issue, open a PR”. We want people excited to own a problem and figure out a solution.
* A collaborative, engaged team. You’ll work closely with analysts, Tableau Developers, and management consultants to help solve our clients’ problems. Our team is distributed, but we meet quarterly and make the most of it when we do.
* Diversity. No two days are alike, depending on the projects you’re working on (and the technologies required).
* The chance to immerse yourself in an up\-and\-coming framework – Anvil allows full stack development using just Python, and is key to our rapid\-development approach.
* A chance to leave your mark. You will own projects and see them through with our clients. Meanwhile, we are constantly adding to our library of ‘building blocks’ so we aren’t solving the same problem twice.
**Successful candidates will meet the following requirements:**
* You have a technical background and genuine interest in computer science and software development. Maybe you got a Bachelor’s in Computer Science, or a Master’s in Data Science and Analytics, or you have a portfolio of awesome projects.
* You have at least an intermediate knowledge of Python, or advanced understanding of another high\-level language (e.g. Java, C\#)
* You are deep down a “maker” – you just like to build stuff.
* You have an eye for excellence. You might not be a UI/UX buff, but you know what annoys you, and you strive for an excellent user experience in everything you build.
* You’re a problem solver, and love learning new things to solve new problems.
**Bonus criteria:**
* You’ve used the Anvil framework before (show us those hobby projects!)
* You have 2\-5 years building solutions in industry. Maybe these were in a low\-code framework, or expansive Excel workbooks, or contributing to full\-stack projects, but you’ve been in the trenches in business application development.
* You have a background in traditional web development, such as back\-end Python frameworks like Django or Flask, Net, or Node JS. You are comfortable with version control using Git, database administration, and DevOps.
* You are familiar with (and maybe certified in) one of Azure, AWS, or Google Cloud.
* You’ve used the Anvil framework before.
\#LI\-JM3 \#LI\-HYBRID</t>
        </is>
      </c>
    </row>
    <row r="30">
      <c r="A30" t="inlineStr">
        <is>
          <t>in-e2c6963b587e5ddf</t>
        </is>
      </c>
      <c r="B30" t="inlineStr">
        <is>
          <t>Software Engineer/Application Developer</t>
        </is>
      </c>
      <c r="C30" t="inlineStr">
        <is>
          <t>Baker Tilly</t>
        </is>
      </c>
      <c r="D30" t="inlineStr">
        <is>
          <t>indeed</t>
        </is>
      </c>
      <c r="E30">
        <f>HYPERLINK("https://www.indeed.com/viewjob?jk=e2c6963b587e5ddf", "https://www.indeed.com/viewjob?jk=e2c6963b587e5ddf")</f>
        <v/>
      </c>
      <c r="F30">
        <f>HYPERLINK("https://bakertilly.wd5.myworkdayjobs.com/BTCareers/job/Madison-WI/Technical-Support-Senior_JR104423", "https://bakertilly.wd5.myworkdayjobs.com/BTCareers/job/Madison-WI/Technical-Support-Senior_JR104423")</f>
        <v/>
      </c>
      <c r="G30" t="inlineStr">
        <is>
          <t>Portland, OR, US</t>
        </is>
      </c>
      <c r="H30" s="2" t="n">
        <v>46035</v>
      </c>
      <c r="I30"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Baker Tilly’s Industry Applications team develops data\-driven technology solutions for clients. Our development philosophy is that we build the best products, most expediently, when the builders are intimately involved in the solutioning. Working with us, expect to ship often, to get outsized ownership over the products you build, and to be a leader in solving our clients problems. For this reason, we prioritize creativity, and a passion for delivering excellence.
We typically work with manufacturing clients, though we also get tapped for complicated insurance projects, forensics, and other data\-heavy work.
Our solutions fundamentally start with the problems we’re working to solve with our clients. Accordingly, the tools we leverage vary from use\-case to use\-case. Our core stack leverages Anvil, and we integrate other solutions and systems as required. Examples include:
* State\-machine driven applications for business process management
* “Rules Engine” development for measuring and reporting compliance against legislation/regulations
* Machine learning models for categorization (developed with AWS SageMaker)
* Text and key term extraction from PDFs
* Mixed integer linear programming for supply chain optimization modeling
* Monte Carlo techniques for probabilistic forecasting
We’re currently recruiting for our Applications Development team. You will:
* Develop full\-stack applications in just Python using Anvil (https://anvil.works),
* Bring new solutions to the table, in particular leveraging the AWS ecosystem, and
* Identify and develop service opportunities to assist Baker Tilly’s manufacturing industry and development and community adclients.
**What we offer you:**
* The chance to own the development process. We use Azure Dev Ops for our project and issue management, but this role is a lot more than “take an issue, open a PR”. We want people excited to own a problem and figure out a solution.
* A collaborative, engaged team. You’ll work closely with analysts, Tableau Developers, and management consultants to help solve our clients’ problems. Our team is distributed, but we meet quarterly and make the most of it when we do.
* Diversity. No two days are alike, depending on the projects you’re working on (and the technologies required).
* The chance to immerse yourself in an up\-and\-coming framework – Anvil allows full stack development using just Python, and is key to our rapid\-development approach.
* A chance to leave your mark. You will own projects and see them through with our clients. Meanwhile, we are constantly adding to our library of ‘building blocks’ so we aren’t solving the same problem twice.
**Successful candidates will meet the following requirements:**
* You have a technical background and genuine interest in computer science and software development. Maybe you got a Bachelor’s in Computer Science, or a Master’s in Data Science and Analytics, or you have a portfolio of awesome projects.
* You have at least an intermediate knowledge of Python, or advanced understanding of another high\-level language (e.g. Java, C\#)
* You are deep down a “maker” – you just like to build stuff.
* You have an eye for excellence. You might not be a UI/UX buff, but you know what annoys you, and you strive for an excellent user experience in everything you build.
* You’re a problem solver, and love learning new things to solve new problems.
**Bonus criteria:**
* You’ve used the Anvil framework before (show us those hobby projects!)
* You have 2\-5 years building solutions in industry. Maybe these were in a low\-code framework, or expansive Excel workbooks, or contributing to full\-stack projects, but you’ve been in the trenches in business application development.
* You have a background in traditional web development, such as back\-end Python frameworks like Django or Flask, Net, or Node JS. You are comfortable with version control using Git, database administration, and DevOps.
* You are familiar with (and maybe certified in) one of Azure, AWS, or Google Cloud.
* You’ve used the Anvil framework before.
\#LI\-JM3 \#LI\-HYBRID</t>
        </is>
      </c>
    </row>
    <row r="31">
      <c r="A31" t="inlineStr">
        <is>
          <t>in-f18d41723054fd4f</t>
        </is>
      </c>
      <c r="B31" t="inlineStr">
        <is>
          <t>Software Engineer/Application Developer</t>
        </is>
      </c>
      <c r="C31" t="inlineStr">
        <is>
          <t>Baker Tilly</t>
        </is>
      </c>
      <c r="D31" t="inlineStr">
        <is>
          <t>indeed</t>
        </is>
      </c>
      <c r="E31">
        <f>HYPERLINK("https://www.indeed.com/viewjob?jk=f18d41723054fd4f", "https://www.indeed.com/viewjob?jk=f18d41723054fd4f")</f>
        <v/>
      </c>
      <c r="F31">
        <f>HYPERLINK("https://bakertilly.wd5.myworkdayjobs.com/BTCareers/job/Madison-WI/Technical-Support-Senior_JR104423", "https://bakertilly.wd5.myworkdayjobs.com/BTCareers/job/Madison-WI/Technical-Support-Senior_JR104423")</f>
        <v/>
      </c>
      <c r="G31" t="inlineStr">
        <is>
          <t>Madison, WI, US</t>
        </is>
      </c>
      <c r="H31" s="2" t="n">
        <v>46035</v>
      </c>
      <c r="I31" t="inlineStr">
        <is>
          <t>**Overview**
============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
Baker Tilly’s Industry Applications team develops data\-driven technology solutions for clients. Our development philosophy is that we build the best products, most expediently, when the builders are intimately involved in the solutioning. Working with us, expect to ship often, to get outsized ownership over the products you build, and to be a leader in solving our clients problems. For this reason, we prioritize creativity, and a passion for delivering excellence.
We typically work with manufacturing clients, though we also get tapped for complicated insurance projects, forensics, and other data\-heavy work.
Our solutions fundamentally start with the problems we’re working to solve with our clients. Accordingly, the tools we leverage vary from use\-case to use\-case. Our core stack leverages Anvil, and we integrate other solutions and systems as required. Examples include:
* State\-machine driven applications for business process management
* “Rules Engine” development for measuring and reporting compliance against legislation/regulations
* Machine learning models for categorization (developed with AWS SageMaker)
* Text and key term extraction from PDFs
* Mixed integer linear programming for supply chain optimization modeling
* Monte Carlo techniques for probabilistic forecasting
We’re currently recruiting for our Applications Development team. You will:
* Develop full\-stack applications in just Python using Anvil (https://anvil.works),
* Bring new solutions to the table, in particular leveraging the AWS ecosystem, and
* Identify and develop service opportunities to assist Baker Tilly’s manufacturing industry and development and community adclients.
**What we offer you:**
* The chance to own the development process. We use Azure Dev Ops for our project and issue management, but this role is a lot more than “take an issue, open a PR”. We want people excited to own a problem and figure out a solution.
* A collaborative, engaged team. You’ll work closely with analysts, Tableau Developers, and management consultants to help solve our clients’ problems. Our team is distributed, but we meet quarterly and make the most of it when we do.
* Diversity. No two days are alike, depending on the projects you’re working on (and the technologies required).
* The chance to immerse yourself in an up\-and\-coming framework – Anvil allows full stack development using just Python, and is key to our rapid\-development approach.
* A chance to leave your mark. You will own projects and see them through with our clients. Meanwhile, we are constantly adding to our library of ‘building blocks’ so we aren’t solving the same problem twice.
**Successful candidates will meet the following requirements:**
* You have a technical background and genuine interest in computer science and software development. Maybe you got a Bachelor’s in Computer Science, or a Master’s in Data Science and Analytics, or you have a portfolio of awesome projects.
* You have at least an intermediate knowledge of Python, or advanced understanding of another high\-level language (e.g. Java, C\#)
* You are deep down a “maker” – you just like to build stuff.
* You have an eye for excellence. You might not be a UI/UX buff, but you know what annoys you, and you strive for an excellent user experience in everything you build.
* You’re a problem solver, and love learning new things to solve new problems.
**Bonus criteria:**
* You’ve used the Anvil framework before (show us those hobby projects!)
* You have 2\-5 years building solutions in industry. Maybe these were in a low\-code framework, or expansive Excel workbooks, or contributing to full\-stack projects, but you’ve been in the trenches in business application development.
* You have a background in traditional web development, such as back\-end Python frameworks like Django or Flask, Net, or Node JS. You are comfortable with version control using Git, database administration, and DevOps.
* You are familiar with (and maybe certified in) one of Azure, AWS, or Google Cloud.
* You’ve used the Anvil framework before.
\#LI\-JM3 \#LI\-HYBRID</t>
        </is>
      </c>
    </row>
    <row r="32">
      <c r="A32" t="inlineStr">
        <is>
          <t>in-f65b2822dae50d92</t>
        </is>
      </c>
      <c r="B32" t="inlineStr">
        <is>
          <t>Software Engineer Co-op - Enterprise Finance Applications - Fall 2026</t>
        </is>
      </c>
      <c r="C32" t="inlineStr">
        <is>
          <t>Fifth Third Bank</t>
        </is>
      </c>
      <c r="D32" t="inlineStr">
        <is>
          <t>indeed</t>
        </is>
      </c>
      <c r="E32">
        <f>HYPERLINK("https://www.indeed.com/viewjob?jk=f65b2822dae50d92", "https://www.indeed.com/viewjob?jk=f65b2822dae50d92")</f>
        <v/>
      </c>
      <c r="F32">
        <f>HYPERLINK("https://fifththird.wd5.myworkdayjobs.com/en-US/53careers/job/Cincinnati-OH/Software-Engineer-Co-op---Enterprise-Finance-Applications---Fall-2026_R63536", "https://fifththird.wd5.myworkdayjobs.com/en-US/53careers/job/Cincinnati-OH/Software-Engineer-Co-op---Enterprise-Finance-Applications---Fall-2026_R63536")</f>
        <v/>
      </c>
      <c r="G32" t="inlineStr">
        <is>
          <t>Cincinnati, OH, US</t>
        </is>
      </c>
      <c r="H32" s="2" t="n">
        <v>46035</v>
      </c>
      <c r="I32" t="inlineStr">
        <is>
          <t>Make banking a Fifth Third better®  
We connect great people to great opportunities. Are you ready to take the next step? Discover a career in banking at Fifth Third Bank.
Fifth Third Bank Software Engineering Co\-Op
Shape the Future of Banking Technology
Join Fifth Third's Enterprise Modernization organization and help transform how millions of customers experience banking. We're at the forefront of financial technology innovation, building cutting\-edge solutions that make banking simpler, smarter, accessible and more secure.
What You Might Work On
Customer\-Focused Development: Contribute to our award\-winning mobile platform (ranked \#1 by J.D. Power for Banking Mobile App User Satisfaction Among Regional Banks) using modern development frameworks and cloud\-native architectures. Help enhance "Jeanie," our intelligent customer messaging platform built on serverless architecture powered by artificial intelligence. Build responsive, scalable web experiences using Angular micro\-frontends and contemporary development practices.
Domain Modernization: Help develop and deliver next\-generation banking services by breaking down monolithic systems into scalable microservices. Work on modernizing banking domains focused on areas like money movement, card operations, and account management using event\-driven architectures, API\-first design principles, and cloud\-native patterns that enable faster feature delivery and improved system resilience.
Back\-Office Solutions: Design and build internal tools and services that power our business operations using modern, generative AI tools and services. Work closely with teams across technology and operations to: automate manual workflows and improve efficiency; develop secure, scalable APIs and internal dashboards; integrate third\-party systems and data sources; and support data integrity, reporting, and audit readiness.
Emerging Technologies: Participate in 2026 roadmap initiatives that will define the future of digital banking.
Your Experience
As a Co\-Op, you'll be fully integrated into a high\-performing engineering team with dedicated mentorship from experienced tech leads. You'll participate in all aspects of the software development lifecycle:* Collaborative Development: Work alongside senior engineers in agile sprints, contributing to both large\-scale initiatives and independent projects
* Mentorship Program: Receive one\-on\-one guidance from a dedicated tech lead throughout your rotation
* Modern Enterprise Technology Exposure: Gain experience across our modern technology stack while focusing on either backend or frontend development
* Real Impact: Own feature development from conception through deployment, seeing your code serve real customers
What We're Looking For
Academic Background: Rising juniors and seniors pursuing degrees in Computer Science, Software Engineering, or related technical fields with good academic standing (minimum 3\.0 GPA required)
Technical Foundation: Familiarity with modern programming languages and frameworks (Java Spring Boot, Angular, Node.js) and development practices. Specific experience with our stack is a plus, but we'll train you on our methodologies
Growth Mindset: Enthusiasm for learning new technologies and contributing to a fast\-paced, innovation\-driven environment
Collaborative Spirit: Strong communication skills and ability to work effectively in cross\-functional teams
Risk \&amp; Compliance: As part of the financial services industry, you'll learn to build software that meets the highest standards of security and regulatory compliance, gaining valuable experience in responsible technology development. Attention to detail and ability to follow policies and procedures are critical.
Our Commitment to You
We believe in empowering our Co\-Ops to make meaningful contributions while developing professionally. You'll gain exposure to enterprise\-scale software development, modern DevOps practices, and the unique challenges of building secure, compliant financial technology.
Ready to Start Your Journey?
Join us in modernizing the future of banking technology. Apply your classroom knowledge to real\-world challenges while building the skills that will launch your career in software engineering.*Candidates must* *be authorized to work in the U.S. without the need for employment\-based immigration sponsorship now or in the future.**Fifth Third Bank is committed to creating an inclusive environment where all team members can contribute their best work.*
\#EarlyCareers
\#OneBankCoOp
Software Engineer Co\-op \- Enterprise Finance Applications \- Fall 2026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33">
      <c r="A33" t="inlineStr">
        <is>
          <t>in-287579257b030da8</t>
        </is>
      </c>
      <c r="B33" t="inlineStr">
        <is>
          <t>Java Software Engineer</t>
        </is>
      </c>
      <c r="C33" t="inlineStr">
        <is>
          <t>BAE Systems USA</t>
        </is>
      </c>
      <c r="D33" t="inlineStr">
        <is>
          <t>indeed</t>
        </is>
      </c>
      <c r="E33">
        <f>HYPERLINK("https://www.indeed.com/viewjob?jk=287579257b030da8", "https://www.indeed.com/viewjob?jk=287579257b030da8")</f>
        <v/>
      </c>
      <c r="F33">
        <f>HYPERLINK("https://jobs.baesystems.com/global/en/job/120198BR", "https://jobs.baesystems.com/global/en/job/120198BR")</f>
        <v/>
      </c>
      <c r="G33" t="inlineStr">
        <is>
          <t>Annapolis Junction, MD, US</t>
        </is>
      </c>
      <c r="H33" s="2" t="n">
        <v>46035</v>
      </c>
      <c r="I33" t="inlineStr">
        <is>
          <t>**Job Description**  
**Looking for an Exciting Career Move? It is Waiting for You at BAE Systems!**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We are seeking to hire **Software Engineers**. Positions are available at the junior, mid and senior levels.  
The selected candidate will join a high performing agile team that uses the Scaled Agile Framework (SAFe) methodology to support a nationally significant and fast\-paced program. Program execution follows DEVOPS best practices and employs robust development, test and production environments. Test Driven Development (TDD) and test automation tools are utilized alongside a full suite of team collaboration tools. The program is focused on injecting new technology and adding advanced capabilities in support of an on\-going operational system.  
Job Summary  
The selected individual will perform software development activities as a member of an agile development team. Development includes the full range of turning agile stories into implementable concepts, through development, testing and deployment of the new capabilities in this complex system. Following the TDD pattern our developers are responsible for implementing robust testing leveraging DEVOPS automation and, where appropriate, use of test automation commercial tools. There are a range of opportunities for server side business logic implementation as well as client web application and user interface (UI) development. Java, Python, embedded C/C\+\+, Java cryptographic framework, XML, web UI and special purpose device programming opportunities are available.
Primary Responsibilities  
Responsibilities include completing software development tasks both individually and as a member of an agile team. The selected individual will actively participate in program increment planning and related team activities. He/she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selected candidate will provide software process management and control throughout the coding portion of the software development process, and will promote code reuse and cross\-program collaboration by creating common functions and shared actions for developers and testers. He/she will engineer, author, tune and document automation scripts in a development environment and deploy to the test/production bench.  
Job Description :  
At BAE Systems, we're a global leader in defense, security, and aerospace, dedicated to developing cutting\-edge technology that protects people and national security. With a rich history of innovation and a commitment to excellence, we're a company that values collaboration, diversity, and employee growth. Our culture is built on a foundation of integrity, respect, and a passion for making a positive impact. By joining our team, you'll have the opportunity to work on challenging projects, develop your skills, and contribute to solutions that make a real difference.
**Shape the Future of High\-Performance Computing as a DevOps Software Engineer**
We're seeking a talented DevOps Software Engineer to join our team, where you'll play a critical role in ensuring the high availability and scalability of High\-Performance Computing (HPC) systems. As a DevOps Software Engineer, you'll be responsible for driving software integration efforts, developing framework solutions, and maintaining automated infrastructure solutions in a Linux environment.
**Key Responsibilities:**
* Design, develop, and maintain automated infrastructure solutions to ensure high availability and scalability of HPC systems
* Collaborate with stakeholders to integrate software components and develop framework solutions that meet system requirements
* Optimize system performance, identifying opportunities for improvement and implementing changes to enhance efficiency
* Work closely with cross\-functional teams to streamline the deployment pipeline and ensure seamless operations
* Troubleshoot and resolve software\-related issues, ensuring minimal downtime and high system reliability
\#LI\-PB2  
**Required Education, Experience, \&amp; Skills**  
* Bachelor's Degree in Computer Science or a related discipline. Relevant work experience may be substituted for a Degree.
* Experience with one or more of the following: Java/JEE, Python, C/C\+\+ , SQL, SOAP, WSDL, WADL.
* Experience with User Interface development, knowledge of databases and structures, and/or experience working with XHTML, HTML, XML, XSLT.
* Experience developing on Windows, and/or Linux operating systems.
* Experience with one or more of the following: Java, Python, PERL, PowerShell, VBS, Eclipse, Postgres, Oracle, Jenkins on a Windows platforms.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 TS/SCI Polygraph
MDOPS  
**Preferred Education, Experience, \&amp; Skills**  
* Experience with the following: JEE, SQL, application servers (Tomcat, WebLogic, JBoss), scripting.
* Experience with high level requirements management including requirements decomposition, secure systems engineering and development, trade\-off analysis, interface control, and testing and continuous integration.
* Experience in software development on Agile teams using Agile Developer practices such as Pair Programming, TDD, Refactoring, and ATDD.
* Experience with FITNesse, Mockito, Cucumber, Unified Functional Tester (UFT), Selenium.
* Experience with Behavior Driven Development (BDD) or Test Driven Development (TDD).
* Secure Software development (i.e. Layer 7 Policy).
* Experience with the Scaled Agile Framework (SAFe) methodology, SAFe Agilest Certification, or past experience as a member of an agile team.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34">
      <c r="A34" t="inlineStr">
        <is>
          <t>in-fd9781c1e4fa9c38</t>
        </is>
      </c>
      <c r="B34" t="inlineStr">
        <is>
          <t>Principal Software Engineer, New Product</t>
        </is>
      </c>
      <c r="C34" t="inlineStr">
        <is>
          <t>Upstart</t>
        </is>
      </c>
      <c r="D34" t="inlineStr">
        <is>
          <t>indeed</t>
        </is>
      </c>
      <c r="E34">
        <f>HYPERLINK("https://www.indeed.com/viewjob?jk=fd9781c1e4fa9c38", "https://www.indeed.com/viewjob?jk=fd9781c1e4fa9c38")</f>
        <v/>
      </c>
      <c r="F34">
        <f>HYPERLINK("https://careers.upstart.com/jobs/principal-software-engineer-new-product", "https://careers.upstart.com/jobs/principal-software-engineer-new-product")</f>
        <v/>
      </c>
      <c r="G34" t="inlineStr">
        <is>
          <t>Remote, US</t>
        </is>
      </c>
      <c r="H34" s="2" t="n">
        <v>46035</v>
      </c>
      <c r="I34"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We’re a small, senior engineering team at Upstart focused on launching a new product that aims to expand access to responsible and affordable credit. Operating like a startup within the company, we move quickly and work autonomously. With a greenfield codebase and an AI\-native development approach, we’re not just building a product—we’re redefining how lean, high\-impact engineering teams work.
**How you’ll make an impact**
* Set technical direction and lead architectural design for core backend systems that power a new consumer credit product.
* Build distributed, event\-driven services that are reliable, observable, and scalable—designed for long\-term evolution.
* Drive zero\-to\-one product development in collaboration with cross\-functional partners, translating ambiguous product goals into high\-impact solutions.
* Champion engineering velocity and quality by shaping patterns, practices, and tooling across the stack.
* Lead with an AI\-native mindset—leveraging and integrating AI tools to improve development workflows, reduce friction, and accelerate impact.
* Serve as a technical mentor and thought leader within a high\-performing, fast\-moving team.
* Influence product direction through technical insights, customer empathy, and an ability to balance tradeoffs between speed, scale, and quality.
**Minimum Qualifications**
* 8\+ years of experience designing and building backend systems in production, with a focus on consumer\-scale applications.
* Deep expertise in distributed systems and event\-driven architectures (Kafka, Kinesis, SQS, etc.), including experience with idempotency, retries, and fault tolerance.
* Strong command of an object\-oriented programming language (e.g., Java, Kotlin, C\#, Python, Ruby), along with experience working with APIs, databases, and caching systems.
* Proven success leading complex, zero\-to\-one product development in ambiguous or fast\-changing environments.
* Demonstrated ability to influence product strategy through technical leadership and user\-centric thinking.
* Track record of building with observability and operational excellence in mind (metrics, logs, traces, alerting, etc.).
* Active use of AI tools in engineering, with a forward\-looking perspective on how AI is reshaping software development.
* Exceptional communication and collaboration skills; able to align teams and advocate for high\-impact solutions across functions.
**Preferred Qualifications**
* Experience leading technical initiatives at B2C fintech or high\-scale consumer technology companies.
* Background in payments, credit, or transactional systems with high reliability and regulatory requirements.
* Familiarity with schema management and safe data migrations (e.g., Protobuf, Avro) in distributed systems.
* History of setting architectural direction and influencing engineering culture in high\-growth environments.
* Entrepreneurial mindset—comfortable wearing multiple hats, operating autonomously, and navigating early\-stage product phases.
* Passion for building products that expand access and improve outcomes for underserved users.
* Demonstrated interest in agentic or AI\-assisted systems and enthusiasm for shaping the future of AI\-native software development.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$186,100—$257,500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5">
      <c r="A35" t="inlineStr">
        <is>
          <t>in-ab23fa8f09046332</t>
        </is>
      </c>
      <c r="B35" t="inlineStr">
        <is>
          <t>Senior Software Engineer, New Product</t>
        </is>
      </c>
      <c r="C35" t="inlineStr">
        <is>
          <t>Upstart</t>
        </is>
      </c>
      <c r="D35" t="inlineStr">
        <is>
          <t>indeed</t>
        </is>
      </c>
      <c r="E35">
        <f>HYPERLINK("https://www.indeed.com/viewjob?jk=ab23fa8f09046332", "https://www.indeed.com/viewjob?jk=ab23fa8f09046332")</f>
        <v/>
      </c>
      <c r="F35">
        <f>HYPERLINK("https://careers.upstart.com/jobs/senior-software-engineer-new-product", "https://careers.upstart.com/jobs/senior-software-engineer-new-product")</f>
        <v/>
      </c>
      <c r="G35" t="inlineStr">
        <is>
          <t>Remote, US</t>
        </is>
      </c>
      <c r="H35" s="2" t="n">
        <v>46035</v>
      </c>
      <c r="I35"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Recurring Credit is one of Upstart’s most ambitious new product bets: a mobile\-first line of credit designed to replace payday loans, cash advance apps, and subprime credit cards with something safer and more sustainable. The team is small, senior, and moving quickly—structured more like a startup inside Upstart than a traditional squad. We’re building both a new product and a new model for how engineering teams can operate in an AI\-native way: lean, fast, and deeply focused on outcomes for underserved consumers.
**How you’ll make an impact:**
* Design and build core backend systems that power instant disbursements, subscription billing, and repayment schedules.
* Develop distributed, event\-driven services that guarantee reliability and scale—covering retries, ordering, schema evolution, and observability.
* Translate product intent into customer impact by collaborating closely with product and design to ship high\-quality user\-facing features quickly.
* Leverage AI\-native workflows (e.g., Copilot, Cursor, LLM\-powered tooling) to accelerate coding, testing, and analysis.
* Ensure trust and transparency at the system level by instrumenting metrics, logs, and traces tied to business and user outcomes.
* Balance speed and quality in a greenfield codebase, helping set the technical direction for a product with zero\-to\-one momentum and long\-term scale.
* Shape engineering culture and velocity through thoughtful APIs, automation, and scalable practices.
**What we’re looking for:**
**Minimum requirements:**
* 4\+ years of experience building backend systems in production, ideally powering consumer\-facing products.
* Strong technical depth in distributed, event\-driven architectures (Kafka, SQS, Kinesis, MQ) including idempotency, retries, DLQs, and ordering.
* Proficiency in an OO language (Java, Kotlin, C\#, Python, Ruby) and comfort with relational databases, caching layers, and API design.
* Demonstrated ability to ship zero\-to\-one systems or products, making tradeoffs in ambiguous environments.
* A track record of connecting backend work to product outcomes (conversion, reliability, payments, onboarding).
* Experience designing with observability and reliability in mind (metrics, traces, logs, SLOs).
* Active use of AI tools in engineering workflows beyond autocomplete, with curiosity about how AI changes how teams build.
* Strong written and verbal communication skills; able to explain complex systems and tradeoffs clearly.
**Preferred qualifications:**
* Experience with fintech or payments systems such as disbursements, billing, ledgers, KYC/IDV, or credit/underwriting flows.
* Practical experience with instant funding rails and the challenges of fraud, reconciliation, and compliance.
* Familiarity with schema evolution and contracts (e.g., Protobuf, Avro) and safe data migrations in distributed systems.
* Track record of building or scaling consumer\-facing flows with measurable impact on conversion or reliability.
* Comfort navigating regulated domains and collaborating with legal, servicing, capital markets, or external partners.
* Evidence of tenure and progression within one company (promotions, expanding scope) and resilience through challenging product phases.
* Demonstrated interest in agentic or AI\-assisted systems, applying LLMs to design, testing, analysis, or automation.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6">
      <c r="A36" t="inlineStr">
        <is>
          <t>in-f8ae5b9ff0edb88f</t>
        </is>
      </c>
      <c r="B36" t="inlineStr">
        <is>
          <t>Senior Software Engineer, New Product</t>
        </is>
      </c>
      <c r="C36" t="inlineStr">
        <is>
          <t>Upstart</t>
        </is>
      </c>
      <c r="D36" t="inlineStr">
        <is>
          <t>indeed</t>
        </is>
      </c>
      <c r="E36">
        <f>HYPERLINK("https://www.indeed.com/viewjob?jk=f8ae5b9ff0edb88f", "https://www.indeed.com/viewjob?jk=f8ae5b9ff0edb88f")</f>
        <v/>
      </c>
      <c r="F36">
        <f>HYPERLINK("https://careers.upstart.com/jobs/senior-software-engineer-new-product-25f22679-1d4c-4ade-ac4a-11ca0b116af5", "https://careers.upstart.com/jobs/senior-software-engineer-new-product-25f22679-1d4c-4ade-ac4a-11ca0b116af5")</f>
        <v/>
      </c>
      <c r="G36" t="inlineStr">
        <is>
          <t>Remote, US</t>
        </is>
      </c>
      <c r="H36" s="2" t="n">
        <v>46035</v>
      </c>
      <c r="I36"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We’re a small, senior engineering team building a new product within Upstart, focused on helping consumers access responsible and affordable credit. We operate with a startup mindset—lean, fast, and deeply focused on impact. With a greenfield codebase and a high degree of autonomy, we’re shaping both the product and the way modern engineering teams work in an AI\-native environment.
**How you’ll make an impact:**
* Design and build the backend systems that power a brand\-new consumer credit experience.
* Develop scalable, distributed services using event\-driven architectures to ensure reliability, observability, and long\-term maintainability.
* Collaborate closely with design and product to translate intent into features that serve millions of consumers.
* Drive technical decisions in a zero\-to\-one product environment, balancing speed with high\-quality execution.
* Apply AI\-native workflows to accelerate development, testing, analysis, and documentation.
* Help define engineering best practices and culture within a fast\-moving and outcome\-driven team.
**What we’re looking for:**
**Minimum requirements:**
* 4\+ years of experience building backend systems in production, ideally for consumer\-facing applications.
* Strong technical background in distributed systems and event\-driven architecture (Kafka, SQS, Kinesis, or similar).
* Proficiency in object\-oriented programming languages (e.g., Java, Kotlin, C\#, Python, Ruby) and familiarity with relational databases, APIs, and caching.
* Demonstrated ability to work autonomously and thrive in ambiguous, early\-stage product environments.
* Deep product sense with a strong focus on end\-user experience and outcomes.
* Familiarity with observability and reliability concepts (metrics, logs, traces, SLOs).
* Actively uses AI tools in engineering workflows, with strong opinions about the future of AI in software development.
* Excellent written and verbal communication skills.
**Preferred qualifications:**
* Experience at consumer\-focused (B2C) fintech or technology companies with millions of users.
* Background in backend systems related to payments, credit, or high\-scale user workflows.
* Experience building zero\-to\-one products and contributing to product direction in small teams.
* Exposure to schema evolution and safe data migrations in distributed environments (e.g., Protobuf, Avro).
* Entrepreneurial mindset—comfortable in dynamic environments, with a bias toward action and ownership.
* Track record of scrappy, high\-quality execution and an interest in building software that serves underserved populations.
* Strong AI instincts—interest or experience building agentic systems or applying LLMs to development and testing.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7">
      <c r="A37" t="inlineStr">
        <is>
          <t>in-e053d53f497c7084</t>
        </is>
      </c>
      <c r="B37" t="inlineStr">
        <is>
          <t>Junior Software Engineer</t>
        </is>
      </c>
      <c r="C37" t="inlineStr">
        <is>
          <t>KBR</t>
        </is>
      </c>
      <c r="D37" t="inlineStr">
        <is>
          <t>indeed</t>
        </is>
      </c>
      <c r="E37">
        <f>HYPERLINK("https://www.indeed.com/viewjob?jk=e053d53f497c7084", "https://www.indeed.com/viewjob?jk=e053d53f497c7084")</f>
        <v/>
      </c>
      <c r="F37">
        <f>HYPERLINK("https://careers.kbr.com/us/en/job/KIVKBRUSR2117508EXTERNALENUS/Junior-Software-Engineer?utm_source=indeed&amp;utm_medium=phenom-feeds", "https://careers.kbr.com/us/en/job/KIVKBRUSR2117508EXTERNALENUS/Junior-Software-Engineer?utm_source=indeed&amp;utm_medium=phenom-feeds")</f>
        <v/>
      </c>
      <c r="G37" t="inlineStr">
        <is>
          <t>Beavercreek, OH, US</t>
        </is>
      </c>
      <c r="H37" s="2" t="n">
        <v>46035</v>
      </c>
      <c r="I37" t="inlineStr">
        <is>
          <t>**Title:**
Junior Software Engineer***Belong.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The Associate Technical Professional – Software Engineering is responsible for the design, development, implementation, maintenance, and quality control of software for scientific and engineering applications. This role involves creating prototypes, performing internal testing, and resolving software discrepancies to ensure compliance with documented requirements and user needs.
**Key Responsibilities:**
* Design, develop, and maintain software for scientific/engineering applications.
* Perform test evaluation and quality assurance of 3rd party provided and company\-built software.
* Create prototypes and conduct internal software testing.
* Analyze and resolve discrepancies against documented requirements.
* Assess software maintainability and adherence to user requirements.
* Generate program design language and code following departmental standards.
* Prepare and update project documentation.
* Analyze systems and develop computer specifications for data processing.
* Encode, test, debug, and install operating programs and procedures.
* Collaborate with engineering teams on design and utilization of data processing systems software.
* Provide analysis for utility, development, and diagnostic software products.
* Participate in developing engineering test strategies, devices, and systems.
* Software integration (system administration), make notes/record of the integration.
* Testing / quality assurance capability.
* Assess software maintainability and adherence to user requirements.
* Prepare reports based on project templates and maintain project documentation.
* Analyze systems and develop computer specifications for data processing.
* Collaborate with engineering teams on design and utilization of OMS/UCI.
* Provide analysis for utility, development, and diagnostic software products.
* Participate in developing engineering test strategies, and systems.
* Integrate software in a system administration capacity, record notes of the integration.
* Create prototype software to bridge gaps discovered in product evaluation, if practical.
* Produce reports and any written code following team standards.
* Follow Agile processes as dictated by team leadership.
**Work Environment:**
* **Location:** Onsite
* **Travel Requirements:** Minimal
* **Working Hours:** Standard
**Qualifications:**
**Required:**
* Active Secret DoW clearance with the ability to obtain a TS/SCI.
* BA/BS in Mathematics, Engineering, Computer Science, or related field.
* ability to work within a closely assembled team that consists of highly motivated goal driven professionals.
* ability to pivot from current tasks to those that have been deemed urgent.
* No experience required but a bonus if candidate possesses any of the following.
	+ Devops and containerization experience.
	+ Ability to read and document modern C\+\+, and Python source code.
	+ Working knowledge of Podman/Docker, Kubernetes, Ansible / Terraform (infrastructure and automation tools).
	+ Knowledge of diagnostic (Linux) tools to understand how software systems work together (i.e. Wireshark, curl, netcat/ss, general bash scripting).
	+ Experience with OMS/UCI
	+ Knowledge of STIGs and SELinux.
**Desired:**
* Active TS/SCI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8">
      <c r="A38" t="inlineStr">
        <is>
          <t>in-c2a9f9f0995a8d6f</t>
        </is>
      </c>
      <c r="B38" t="inlineStr">
        <is>
          <t>Software Engineer SME (DoD Secret Clearance)</t>
        </is>
      </c>
      <c r="C38" t="inlineStr"/>
      <c r="D38" t="inlineStr">
        <is>
          <t>indeed</t>
        </is>
      </c>
      <c r="E38">
        <f>HYPERLINK("https://www.indeed.com/viewjob?jk=c2a9f9f0995a8d6f", "https://www.indeed.com/viewjob?jk=c2a9f9f0995a8d6f")</f>
        <v/>
      </c>
      <c r="F38">
        <f>HYPERLINK("https://www.applicantpro.com/openings/martinfed/jobs/3961480-459460", "https://www.applicantpro.com/openings/martinfed/jobs/3961480-459460")</f>
        <v/>
      </c>
      <c r="G38" t="inlineStr">
        <is>
          <t>New Orleans, LA, US</t>
        </is>
      </c>
      <c r="H38" s="2" t="n">
        <v>46035</v>
      </c>
      <c r="I38" t="inlineStr">
        <is>
          <t>**COMPANY OVERVIEW**
Founded in 2007 in Huntsville, AL, MartinFed provides the U.S. government with customer\-focused, performance\-based solutions using technology and an empowered workforce as an engine to drive its customers' missions. Our goal is to attract the best and brightest within their field.
We invest in our people because they are our greatest asset. They cultivate our purpose, embody and reflect our core values, and define our culture. MartinFed's core values that set us apart are the following:
* *Be Driven* \- We are fueled by the hunger to learn more and do more.
* *Be Curious* \- We engage in continuous improvement \- never accepting the status quo.
* *Be Humble* \- We seek honest feedback to strengthen our relationships.
* *Pursue Excellence* \- We strive to achieve extraordinary results and do not settle for mediocrity.
Strive for excellence and consider joining our growing team today!
**Please Note: This position is contingent upon award**
**JOB OVERVIEW**
MartinFed has opening for a Software Engineer SME to support software maintenance and Department of Defense (DoD) systems across a variety of mission\-critical environments. In this role you will provide technical expertise in software maintenance, testing and evaluation, documentation, information assurance, requirements management, and systems engineering disciplines.
**ESSENTIAL FUNCTIONS**
-----------------------
* Provide functional and technical subject matter expertise
* Support systems and operational requirements development and analysis
* Perform data analysis related to personnel and manpower systems, data flows, and interfaces
* Support test and evaluation activities to ensure system functionality and performance
* Develop and deliver training support for system users and stakeholders
* Provide guidance on DoD systems, data flows, interfaces, and underlying data structures
* Collaborate with government and contractor teams to support mission objectives
* Serve as a technical advisor and recognized expert to leadership and stakeholders
**QUALIFICATIONS**
==================
* Technical training in functional and/or technical support
* Fifteen (15\) years of hands\-on experience
* Experience in at least three (3\) of the following areas:
	+ Systems Requirements
	+ Operational Requirements
	+ Data Analysis
	+ Test \&amp; Evaluation
	+ Training
* Recognized expert with demonstrated industry and/or public service leadership (federal, state, or local) in:
	+ DoD systems
	+ Data flows
	+ Interfaces
	+ Underlying data
* Active Secret Security Clearance
**DESIRED QUALIFICATIONS**
==========================
* Prior experience supporting DoD or federal systems
* Familiarity with C4ISR environments
* Experience working in classified or secure environments
* Strong understanding of systems engineering lifecycle processes
* Ability to work independently and as part of an integrated team
**PHYSICAL REQUIREMENTS \&amp; ENVIRONMENTAL CONDITIONS**
=====================================================
* Work must be performed on\-site
* Working on a computer for long periods of time.
* May involve long period of sitting at a desk.
* The work environment is fast\-paced and sometimes involves extreme deadline pressures.
**OTHER DUTIES**
================
This job description is not designed to cover or contain a comprehensive listing of activities, duties or responsibilities that are required of the employee for this job. Duties, responsibilities, and activities may change at any time with or without notice.</t>
        </is>
      </c>
    </row>
    <row r="39">
      <c r="A39" t="inlineStr">
        <is>
          <t>in-1389758af8dfa26d</t>
        </is>
      </c>
      <c r="B39" t="inlineStr">
        <is>
          <t>Levels 1 - 4 Software Engineer (DoD Secret Clearance)</t>
        </is>
      </c>
      <c r="C39" t="inlineStr"/>
      <c r="D39" t="inlineStr">
        <is>
          <t>indeed</t>
        </is>
      </c>
      <c r="E39">
        <f>HYPERLINK("https://www.indeed.com/viewjob?jk=1389758af8dfa26d", "https://www.indeed.com/viewjob?jk=1389758af8dfa26d")</f>
        <v/>
      </c>
      <c r="F39">
        <f>HYPERLINK("https://www.applicantpro.com/openings/martinfed/jobs/3961437-459460", "https://www.applicantpro.com/openings/martinfed/jobs/3961437-459460")</f>
        <v/>
      </c>
      <c r="G39" t="inlineStr">
        <is>
          <t>New Orleans, LA, US</t>
        </is>
      </c>
      <c r="H39" s="2" t="n">
        <v>46035</v>
      </c>
      <c r="I39" t="inlineStr">
        <is>
          <t>**COMPANY OVERVIEW**
Founded in 2007 in Huntsville, AL, MartinFed provides the U.S. government with customer\-focused, performance\-based solutions using technology and an empowered workforce as an engine to drive its customers' missions. Our goal is to attract the best and brightest within their field.
We invest in our people because they are our greatest asset. They cultivate our purpose, embody and reflect our core values, and define our culture. MartinFed's core values that set us apart are the following:
* *Be Driven* \- We are fueled by the hunger to learn more and do more.
* *Be Curious* \- We engage in continuous improvement \- never accepting the status quo.
* *Be Humble* \- We seek honest feedback to strengthen our relationships.
* *Pursue Excellence* \- We strive to achieve extraordinary results and do not settle for mediocrity.
Strive for excellence and consider joining our growing team today!
**Please Note: This position is contingent upon award**
**JOB OVERVIEW**
MartinFed has openings for Software Engineers **(Levels I\-V)** to support software maintenance and Department of Defense (DoD) systems across a variety of mission\-critical environments. In this role you will provide technical expertise in software maintenance, testing and evaluation, documentation, information assurance, requirements management, and systems engineering disciplines. Position level will be determined based on education, certifications, and years of relevant experience.
**ESSENTIAL FUNCTIONS**
=======================
* Perform software maintenance, testing and evaluation, and documentation in support of mission systems
* Support Information Assurance (IA) activities in accordance with DoD policies and security requirements
* Participate in requirements management, system analysis, and technical documentation efforts
* Provide systems and/or equipment support for operational environments
* Support test and evaluation activities, including C4ISR\-related requirements (as applicable by level)
* Assist in systems integration, architecture, and design activities (Levels IV\-V)
* Provide technical support for DoD systems and programs
* Collaborate with government and contractor teams to ensure system performance and compliance
* Apply engineering best practices to ensure system reliability, maintainability, and security
**QUALIFICATIONS**
==================
* **Bachelor's degree** in Computer Science, Information Technology, Computer Information Systems, Cyber Security, or a related field that complements software maintenance
* **Active Secret Security Clearance**
* Experience in one or more of the following areas:
	+ Software Maintenance
	+ Testing \&amp; Evaluation
	+ Documentation
	+ Information Assurance (IA)
	+ Requirements Management
	+ Systems Analysis
	+ Systems Architecture
	+ Systems Integration
* Ability to support technical requirements for DoD systems
* Strong analytical, organizational, and communication skills
**EXPERIENCE LEVELS**
=====================
* **Engineer / Scientist I:**
	+ 1 year of relevant experience, including systems/equipment support and test \&amp; evaluation support of C4ISR requirements
* **Engineer / Scientist II:**
	+ 3 years of relevant experience
	+ At least 1 year supporting DoD systems
* **Engineer / Scientist III:**
	+ 6 years of relevant experience
	+ At least 3 years supporting DoD systems
* **Engineer / Scientist IV:**
	+ 10 years of relevant experience
	+ At least 5 years supporting DoD systems
	+ Experience in systems analysis, architecture, and integration
* **Engineer / Scientist V:**
	+ 15 years of relevant experience
	+ Recognized expert in DoD systems
*Experience may be achieved simultaneously.*
**CERTIFICATIONS**
==================
* **Levels I\-IV:**  
Must be working toward one of the following certifications within 18 months of assuming duties, or complete a COR\-approved vendor/platform\-specific certification:
	+ Professional Software Engineering Master (PSEM)
	+ Certified Software Development Professional (CSDP)
	+ Microsoft Certified Solutions Developer (MCSD)
	+ Microsoft Certified Applications Developer (MCAD)
	+ Microsoft Certified Database Administrator (MCDBA)
	+ Sun Certified Professional (SCP)
	+ Red Hat Certification Program (RHCP)
	+ Cisco Certified Network Professional (CCNP)
	+ Cisco Certified Design Professional (CCDP)
	+ Oracle Certified Professional (OCP)
	+ or equivalent
* **Level V:**  
Must have **completed** one of the above certifications.
**DESIRED QUALIFICATIONS**
==========================
* Prior experience supporting DoD or federal systems
* Familiarity with C4ISR environments
* Experience working in classified or secure environments
* Strong understanding of systems engineering lifecycle processes
* Ability to work independently and as part of an integrated team
**PHYSICAL REQUIREMENTS \&amp; ENVIRONMENTAL CONDITIONS**
=====================================================
* Work must be performed on\-site
* Working on a computer for long periods of time.
* May involve long period of sitting at a desk.
* The work environment is fast\-paced and sometimes involves extreme deadline pressures.
**OTHER DUTIES**
================
This job description is not designed to cover or contain a comprehensive listing of activities, duties or responsibilities that are required of the employee for this job. Duties, responsibilities, and activities may change at any time with or without notice.</t>
        </is>
      </c>
    </row>
    <row r="40">
      <c r="A40" t="inlineStr">
        <is>
          <t>in-79868a3ad0dded31</t>
        </is>
      </c>
      <c r="B40" t="inlineStr">
        <is>
          <t>Director, Lead Software Engineer</t>
        </is>
      </c>
      <c r="C40" t="inlineStr">
        <is>
          <t>Morgan Stanley</t>
        </is>
      </c>
      <c r="D40" t="inlineStr">
        <is>
          <t>indeed</t>
        </is>
      </c>
      <c r="E40">
        <f>HYPERLINK("https://www.indeed.com/viewjob?jk=79868a3ad0dded31", "https://www.indeed.com/viewjob?jk=79868a3ad0dded31")</f>
        <v/>
      </c>
      <c r="F40">
        <f>HYPERLINK("https://morganstanley.eightfold.ai/careers/job?domain=morganstanley.com&amp;pid=549782979302", "https://morganstanley.eightfold.ai/careers/job?domain=morganstanley.com&amp;pid=549782979302")</f>
        <v/>
      </c>
      <c r="G40" t="inlineStr">
        <is>
          <t>Alpharetta, GA, US</t>
        </is>
      </c>
      <c r="H40" s="2" t="n">
        <v>46035</v>
      </c>
      <c r="I40"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Director, Lead Software Engineer in Alpharetta, GA to serve as a software developer. Interact with business users of Morgan Stanley applications to gather requirements and come up with plausible solutions for the deliverables. Design, develop, test, and deploy software applications to clients. Troubleshoot the Mainframe environment. Develop operational documents for software applications. Telecommuting permitted up to 2 days per week.
**What you’ll bring to the role:**
* Requires a Bachelor’s degree in Electronic Engineering, Computer Engineering, or a related field of study.
* Requires five (5\) years of experience in the position offered or five (5\) years as a Manager, Associate, IT Analyst, System Engineer, or a closely related occupation.
* Requires five (5\) years of experience with the following skills:
* COBOL
* DB2
* JCL
* VSAM
* SQL
* CICS
* ChangeMan
* TWS
* Platinum
* Stored Proc
* SYNCSORT
* MQ
* Business Analysis
* Requires two (2\) years of experience with the following skills:
* Panvalet
Expected base pay rates for the role will be between $135,000 and $135,000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1">
      <c r="A41" t="inlineStr">
        <is>
          <t>in-0010cd01c3a28483</t>
        </is>
      </c>
      <c r="B41" t="inlineStr">
        <is>
          <t>Vice President, Lead Software Engineer</t>
        </is>
      </c>
      <c r="C41" t="inlineStr">
        <is>
          <t>Morgan Stanley</t>
        </is>
      </c>
      <c r="D41" t="inlineStr">
        <is>
          <t>indeed</t>
        </is>
      </c>
      <c r="E41">
        <f>HYPERLINK("https://www.indeed.com/viewjob?jk=0010cd01c3a28483", "https://www.indeed.com/viewjob?jk=0010cd01c3a28483")</f>
        <v/>
      </c>
      <c r="F41">
        <f>HYPERLINK("https://morganstanley.eightfold.ai/careers/job?domain=morganstanley.com&amp;pid=549782979377", "https://morganstanley.eightfold.ai/careers/job?domain=morganstanley.com&amp;pid=549782979377")</f>
        <v/>
      </c>
      <c r="G41" t="inlineStr">
        <is>
          <t>Alpharetta, GA, US</t>
        </is>
      </c>
      <c r="H41" s="2" t="n">
        <v>46035</v>
      </c>
      <c r="I41"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 Vice President, Lead Software Engineer in Alpharetta, GA to design and develop software testing approach and strategy and execute critical programs leveraging varied tools and automation frameworks. Develop, build out, and execute Integration programs. Review requirement specifications, identify gaps, and determine testability and testing implications. Work with Test Manager and other Test Analysts to plan and execute testing tasks. Identify and create test scenarios, design, and develop test scripts. Log defects in defect tracking system and follow entered defects through lifecycle of creation to resolution. Perform periodic oversight of test reports to ensure appropriate severities and priorities are assessed to defects. Work closely with business analysts, business subject matter experts, and development teams to clarify and resolve testing issues. Telecommuting permitted up to 2 days per week.
**What you’ll bring to the role:**
* Requires a Bachelor's degree in BioTechnology, Information Technology, or a related technology field of study.
* Requires five (5\) years of experience in the position offered or five (5\) years as a Software Development Engineer, Manager, Product Specialist, or a closely related occupation.
* Requires five (5\) years of experience with the following skills:
* Java
* JavaScript
* Python
* Python Flask
* Fast API
* React JS
* Selenium Web Driver
* Docker
* Test Containers
* TestNG
* Junit
* Cucumber
* Extent
* Report Portal
* SOAP UI
* Ready API
* Postman
* Rest Assured
* Jenkins
* GitLab CI
* Team City
* Bamboo
* Maven
* Gradle
* Shell Scripts
* Linux
* HP ALM
* JIRA
* GIT
* Bitbucket
* Sauce Lab
* Perfecto
* JFrog Artifactory
* SQL
* AWS
Expected base pay rates for the role will be between $177,000 and $177,000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2">
      <c r="A42" t="inlineStr">
        <is>
          <t>in-aca74c8ba37f25c2</t>
        </is>
      </c>
      <c r="B42" t="inlineStr">
        <is>
          <t>Satellite Payload Testbed Software Engineer</t>
        </is>
      </c>
      <c r="C42" t="inlineStr">
        <is>
          <t>Boeing</t>
        </is>
      </c>
      <c r="D42" t="inlineStr">
        <is>
          <t>indeed</t>
        </is>
      </c>
      <c r="E42">
        <f>HYPERLINK("https://www.indeed.com/viewjob?jk=aca74c8ba37f25c2", "https://www.indeed.com/viewjob?jk=aca74c8ba37f25c2")</f>
        <v/>
      </c>
      <c r="F42">
        <f>HYPERLINK("https://jobs.boeing.com/job/-/-/185/90566869840", "https://jobs.boeing.com/job/-/-/185/90566869840")</f>
        <v/>
      </c>
      <c r="G42" t="inlineStr">
        <is>
          <t>El Segundo, CA, US</t>
        </is>
      </c>
      <c r="H42" s="2" t="n">
        <v>46035</v>
      </c>
      <c r="I42"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**Satellite Payload Testbed Software Engineer** to support our **Space Mission Systems satellite team** located in **El Segundo, CA**. This position will focus on supporting the **BDS (Boeing Defense Space and Security)** business organization.
***Defend America’s Future: Join Boeing’s Evolved Strategic SATCOM (ESS) Mission!***
The Boeing Company is seeking a Satellite Payload Testbed Software Engineer to provide technology definition, design, and leadership for spacecraft and space environment simulation and modeling to enable test\-as\-you fly platforms for software development, acceptance testing, mission rehearsal, and customer training. This position requires knowledge and experience in software, hardware, processor technologies, virtualization, complex model\-driven design, and ability to chart a path for modernization of the existing legacy technology stack.
**Position Responsibilities:**
* Independent technical Subject Matter Expert maintaining and developing complex hybrid software and hardware systems for current and future testbed capabilities for satellite payloads
* Define Software Development and Verification Plans to enable the delivery of high\-assurance, certified flight software
* Ensure compliance with all Software Quality, Product Security, and Enterprise Design Practices throughout the software lifecycle
* Resolve complex and seamless software interactions between simulations and emulations of the satellite payload to its corresponding power and thermal systems, communications and encryption, command and data handling, guidance and navigation, ground control, mission operations, and systems redundancies
**This position is expected to be 100% onsite. The selected candidate will be required to work onsite at El Segundo, CA.**
**Basic Qualifications (Required Skills/ Experience):**
* Ability to obtain an Interim US DoD Secret clearance pre\-start and ability to achieve final clearance post\-start
* 10\+ years of experience developing commercial software with a common compiled programming language (e.g. C, C\+\+, C\#, Java) and exposure to scripted languages (e.g. Python, JavaScript)
* 5\+ years of experience working in the space or aerospace domains, particularly in space vehicles (satellites, launch, orbiters) and/or ground systems and hardware components involved
**Preferred Qualifications (Desired Skills/Experience):**
* Bachelor of Science degree from an accredited course of study in engineering, engineering technology (includes manufacturing engineering technology), chemistry, physics, mathematics, data science, or computer science
* Active Secret or Top Secret US DoD Clearance
* Experience with UML or SysML and modeling tools such as Cameo and Matlab
* Agile software development experience
* Experience using a distributed source code version control system such as Git along with platforms like GitHub, GitLab, or Bitbucket in a DevSecOps environment
**T****r****avel:** None anticipated, but up to 10% depending on customer needs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$141,000 \-$209,000
Applications for this position will be accepted until **Jan. 26,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3">
      <c r="A43" t="inlineStr">
        <is>
          <t>in-2839c0069628032e</t>
        </is>
      </c>
      <c r="B43" t="inlineStr">
        <is>
          <t>Principal Software Engineer - Identity &amp; Governance</t>
        </is>
      </c>
      <c r="C43" t="inlineStr">
        <is>
          <t>Microsoft</t>
        </is>
      </c>
      <c r="D43" t="inlineStr">
        <is>
          <t>indeed</t>
        </is>
      </c>
      <c r="E43">
        <f>HYPERLINK("https://www.indeed.com/viewjob?jk=2839c0069628032e", "https://www.indeed.com/viewjob?jk=2839c0069628032e")</f>
        <v/>
      </c>
      <c r="F43">
        <f>HYPERLINK("https://apply.careers.microsoft.com/careers/job/1970393556668346?utm_source=indeed&amp;domain=microsoft.com", "https://apply.careers.microsoft.com/careers/job/1970393556668346?utm_source=indeed&amp;domain=microsoft.com")</f>
        <v/>
      </c>
      <c r="G43" t="inlineStr">
        <is>
          <t>Redmond, WA, US</t>
        </is>
      </c>
      <c r="H43" s="2" t="n">
        <v>46034</v>
      </c>
      <c r="I4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fill the role of **Principal Software Engineer \- Identity \&amp; Governance.**  
Our team drives identity security and access governance by eliminating standing privileges through least\-privilege access (LPA) and delivering just\-in\-time access via an advanced Privileged Access Management (PAM) solution. This includes approval workflows, session controls, and telemetry for high\-risk accounts and workloads. We’re also pioneering AI\-driven agents that automate compliance checks, streamline access reviews, and detect anomalies \- helping enterprises strengthen security posture while maintaining agility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design and delivery of complex, scalable features that strengthen identity security and access governance, ensuring resilience and exceptional user experience.
* Drive technical strategy and architecture decisions across multiple services, influencing partner teams and aligning with compliance and security requirements.
* Champion modern engineering practices, including AI\-driven approaches, automation, and cloud\-native patterns, across the full development lifecycle.
* Mentor and guide engineers, fostering technical excellence and continuous improvement in security, reliability, and performance.
* Collaborate cross\-org to solve challenging technical problems, streamline processes, and reduce operational costs while improving live\-site health.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Bachelor’s or Master’s Degree in Computer Science or related technical field OR equivalent experience. 8\+ years of technical engineering experience, including: \- Strong coding and design skills in C\+\+, .NET, Java, Python, TypeScript or equivalent experience \- Expertise in distributed systems, cloud\-native architectures, and identity/security solutions. Deep understanding of authentication and authorization protocols (OAuth, OpenID Connect, SAML). Proven experience building secure, scalable enterprise solutions on Azure or similar cloud platforms.
* Proven experience in architecting and delivering secure, scalable enterprise solutions. Deep knowledge of security best practices, identity protocols (OAuth, OpenID Connect, SAML), and experience implementing secure software solutions. Familiarity with cloud\-native architectures, distributed systems, and modern DevOps practices.
\#MSFTSecurity, \#MSFTSecurity \#MSFTSecurity \#Identity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4">
      <c r="A44" t="inlineStr">
        <is>
          <t>in-77d5b2c1e372499a</t>
        </is>
      </c>
      <c r="B44" t="inlineStr">
        <is>
          <t>Senior Software Engineer - Azure Networking</t>
        </is>
      </c>
      <c r="C44" t="inlineStr">
        <is>
          <t>Microsoft</t>
        </is>
      </c>
      <c r="D44" t="inlineStr">
        <is>
          <t>indeed</t>
        </is>
      </c>
      <c r="E44">
        <f>HYPERLINK("https://www.indeed.com/viewjob?jk=77d5b2c1e372499a", "https://www.indeed.com/viewjob?jk=77d5b2c1e372499a")</f>
        <v/>
      </c>
      <c r="F44">
        <f>HYPERLINK("https://apply.careers.microsoft.com/careers/job/1970393556658397?utm_source=indeed&amp;domain=microsoft.com", "https://apply.careers.microsoft.com/careers/job/1970393556658397?utm_source=indeed&amp;domain=microsoft.com")</f>
        <v/>
      </c>
      <c r="G44" t="inlineStr">
        <is>
          <t>US</t>
        </is>
      </c>
      <c r="H44" s="2" t="n">
        <v>46031</v>
      </c>
      <c r="I44" t="inlineStr">
        <is>
          <t>**Overview**  
Are you looking for an opportunity to build software and systems for some of the biggest data centers that humanity has ever created? The Azure Networking team is responsible for designing and building the software defined network infrastructure that powers millions of servers around the globe for Azure, Bing and other Microsoft cloud services. Azure Networking is at the forefront of Hyperscale Cloud Computing and runs one of the largest datacenter network infrastructures in the world. The Azure Networking team works on the breadth of networking offerings. The physical network team manages all physical switches and routers inside Azure datacenters.
We are looking for a Senior Software Engineer \- Azure Networking to join our Software for Open Networking in the Cloud (SONiC) team. SONiC team owns all the software that is running on the switches and routers. We have lots of interesting problems to solve, such as supporting new generation switches ranging from 10G/40G to 100G/400G/800G/1\.6T, adding feature packet forwarding features, providing extensive telemetry data for the switches, building artificial intelligence (AI) backend network, and designing features for smartswitch. The team is also building vibrant open\-source community for the switch software, which is adopted by various other cloud providers.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OR Python
	+ OR Master's Degree in Computer Science or related technical field AND 6\+ years technical engineering experience with coding in languages including, but not limited to, C, C\+\+, C\#, or Python
	+ OR equivalent experience
* 4\+ years experience in networking software development TCP/IP, layer 2/ layer 3 forwarding, VXLAN, QoS technoligies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in-eb7bcb7de2152457</t>
        </is>
      </c>
      <c r="B45" t="inlineStr">
        <is>
          <t>Principal Software Engineer</t>
        </is>
      </c>
      <c r="C45" t="inlineStr">
        <is>
          <t>Microsoft</t>
        </is>
      </c>
      <c r="D45" t="inlineStr">
        <is>
          <t>indeed</t>
        </is>
      </c>
      <c r="E45">
        <f>HYPERLINK("https://www.indeed.com/viewjob?jk=eb7bcb7de2152457", "https://www.indeed.com/viewjob?jk=eb7bcb7de2152457")</f>
        <v/>
      </c>
      <c r="F45">
        <f>HYPERLINK("https://apply.careers.microsoft.com/careers/job/1970393556657995?utm_source=indeed&amp;domain=microsoft.com", "https://apply.careers.microsoft.com/careers/job/1970393556657995?utm_source=indeed&amp;domain=microsoft.com")</f>
        <v/>
      </c>
      <c r="G45" t="inlineStr">
        <is>
          <t>Redmond, WA, US</t>
        </is>
      </c>
      <c r="H45" s="2" t="n">
        <v>46030</v>
      </c>
      <c r="I45"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a **Principal Software Engineer** to join our team to create and build things that delight and protect our customers.
* You will be working with a team of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with building cloud\-scale infrastructure components.
* Knowledge of secure software design concepts.
* Experience in delivering and interacting with REST API’s and web services across multiple systems.
* Experience with coding, debugging, algorithm design and problem\-solving skills.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in-2a7a46630b470989</t>
        </is>
      </c>
      <c r="B46" t="inlineStr">
        <is>
          <t>Senior Software Engineer - Build Systems</t>
        </is>
      </c>
      <c r="C46" t="inlineStr">
        <is>
          <t>Microsoft</t>
        </is>
      </c>
      <c r="D46" t="inlineStr">
        <is>
          <t>indeed</t>
        </is>
      </c>
      <c r="E46">
        <f>HYPERLINK("https://www.indeed.com/viewjob?jk=2a7a46630b470989", "https://www.indeed.com/viewjob?jk=2a7a46630b470989")</f>
        <v/>
      </c>
      <c r="F46">
        <f>HYPERLINK("https://apply.careers.microsoft.com/careers/job/1970393556658153?utm_source=indeed&amp;domain=microsoft.com", "https://apply.careers.microsoft.com/careers/job/1970393556658153?utm_source=indeed&amp;domain=microsoft.com")</f>
        <v/>
      </c>
      <c r="G46" t="inlineStr">
        <is>
          <t>Redmond, WA, US</t>
        </is>
      </c>
      <c r="H46" s="2" t="n">
        <v>46030</v>
      </c>
      <c r="I46" t="inlineStr">
        <is>
          <t>**Overview**  
Join a team that empowers engineers to build topnotch solutions and innovate at scale. We lead the modernization of build systems and compilers, improve efficiency and performance, solving complex engineering challenges with creativity and precision. You will have the opportunity to be a subject matter expert in a very niche and unique area at the age of AI. You’ll have access to AI\-powered tools like GitHub Copilot and Microsoft 365 Copilot, enabling you to accelerate development and deliver impact across Microsoft.
As a Senior Software Engineer on the build team, you’ll design, build, and deliver modern, experiences, services and tools that empower Microsoft developers and teams to build the future. You’ll operate in an environment where ambiguity is common, requiring you to take ownership, unblock yourself, and collaborate effectively across multiple teams and organizations to drive clarity and results.
We hire the best by embracing diversity and inclusion, fostering a culture where everyone can thrive. Microsoft’s mission is to empower every person and every organization on the planet to achieve more, and we want you to be part of it.
**Responsibilities**  
* Design and optimize build systems and compilers for large\-scale, cloud\-first applications.
* Innovate with AI\-driven automation to improve build performance, reliability, and developer experience.
* Solve challenging engineering problems with scalable, secure solutions.
* Collaborate across teams to deliver impactful results in a fun, inclusive environment.
* Champion Microsoft’s principles: Customer Obsession, Growth Mindset, Create Clarity, One Microsoft, Deliver Success.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Demonstrated experience working with compilers, build systems, developer tooling, and dependency management frameworks.
* Skilled in designing and evolving resilient, scalable, and accessible software architectures and systems.
* Collaborative problem solver who approaches complex challenges with curiosity, empathy, and a commitment to delivering high‑quality, maintainable solutions.
* Experience with cloud platforms (Azure preferred).
* Familiarity with AI/ML technologies and performance optimization.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in-e7f9c80803384845</t>
        </is>
      </c>
      <c r="B47" t="inlineStr">
        <is>
          <t>Senior Software Engineer - M365 Copilot</t>
        </is>
      </c>
      <c r="C47" t="inlineStr">
        <is>
          <t>Microsoft</t>
        </is>
      </c>
      <c r="D47" t="inlineStr">
        <is>
          <t>indeed</t>
        </is>
      </c>
      <c r="E47">
        <f>HYPERLINK("https://www.indeed.com/viewjob?jk=e7f9c80803384845", "https://www.indeed.com/viewjob?jk=e7f9c80803384845")</f>
        <v/>
      </c>
      <c r="F47">
        <f>HYPERLINK("https://apply.careers.microsoft.com/careers/job/1970393556658217?utm_source=indeed&amp;domain=microsoft.com", "https://apply.careers.microsoft.com/careers/job/1970393556658217?utm_source=indeed&amp;domain=microsoft.com")</f>
        <v/>
      </c>
      <c r="G47" t="inlineStr">
        <is>
          <t>Redmond, WA, US</t>
        </is>
      </c>
      <c r="H47" s="2" t="n">
        <v>46030</v>
      </c>
      <c r="I47" t="inlineStr">
        <is>
          <t>**Overview**  
Are you passionate about shaping the future of AI and empowering millions of users to unlock their full potential? The M365 Copilot Hub team is leading an exciting transformation with Copilot Pages and Notebooks—intelligent, dynamic experiences infused with powerful AI that act as a true "second brain." Imagine effortlessly capturing ideas, intuitively understanding complex information, and seamlessly taking informed action. This is the heart of our mission.
As a **Senior Software Engineer** in Copilot Pages and Notebooks, you will work with stakeholders across organizations to architect, implement, and ship new user experiences that will enrich the way users interact with Copilot. You will mentor early in career engineers, evolve our platform, and lead projects that delight our users. This opportunity will allow you to be at the forefront of AI innovation in M365 and to work on v1 products in a dynamic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TypeScript, JavaScript, C\+\+, C\#, Java,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TypeScript, JavaScript, C, C\+\+, C\#, Java, or Python
	+ OR Master's Degree in Computer Science or related technical field AND 6\+ years technical engineering experience with coding in languages including, but not limited to, TypeScript, JavaScript, C, C\+\+, C\#, Java,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in-6e7da6822197343a</t>
        </is>
      </c>
      <c r="B48" t="inlineStr">
        <is>
          <t>Principal Software Engineer</t>
        </is>
      </c>
      <c r="C48" t="inlineStr">
        <is>
          <t>Microsoft</t>
        </is>
      </c>
      <c r="D48" t="inlineStr">
        <is>
          <t>indeed</t>
        </is>
      </c>
      <c r="E48">
        <f>HYPERLINK("https://www.indeed.com/viewjob?jk=6e7da6822197343a", "https://www.indeed.com/viewjob?jk=6e7da6822197343a")</f>
        <v/>
      </c>
      <c r="F48">
        <f>HYPERLINK("https://apply.careers.microsoft.com/careers/job/1970393556657474?utm_source=indeed&amp;domain=microsoft.com", "https://apply.careers.microsoft.com/careers/job/1970393556657474?utm_source=indeed&amp;domain=microsoft.com")</f>
        <v/>
      </c>
      <c r="G48" t="inlineStr">
        <is>
          <t>Redmond, WA, US</t>
        </is>
      </c>
      <c r="H48" s="2" t="n">
        <v>46028</v>
      </c>
      <c r="I48" t="inlineStr">
        <is>
          <t>**Overview**  
We are looking for a Principal Software Engineer to join our team to drive all aspects of AI feature fundamentals for one of the biggest modern collaboration platforms in the world \- Microsoft Teams. We help feature teams ship quality AI experiences out of the gate, track key performance and reliability metrics for critical high\-volume scenarios, aid feature teams in improving the debuggability of AI scenarios, help create offline and online evals for all AI features by incorporating into release pipelines and drive culture of performance by promoting best practices and consulting.
As a team, we obsess about learning, diving deep into areas of opportunities, experimenting and use an evidence\-based approach to turning opportunities into positive impact on performance of the product through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the vision, strategy, and roadmap for how to evaluate AI features for good fundamentals at scale across Teams.
* Lead end\-to\-end science and technical design for evaluating LLM\-powered agents on real\-time and batch workloads: designing evaluation frameworks, metrics, and pipelines that capture planning quality, tool use, retrieval, safety, and end\-user outcomes, and partnering with engineering for robust, low\-latency deployment.
* Establish rigorous evaluation and reliability practices for LLM/agent systems: from offline benchmarks and scenario\-based evals to online experiments and production monitoring, defining guardrails and policies that balance quality, cost, and latency at scale.
* Collaborate with PM, Engineering, and UX to translate evaluation insights into customer\-visible improvements, shaping product requirements, de\-risking launches, and iterating quickly based on telemetry, user feedback, and real\-world failure modes.
* Collaborate and mentor across product, research, and engineering teams, sharing best practices on eval design, LLM\-as\-judge usage, and Responsible AI, and providing code reviews and guidance that raise the bar for the AI features.
* Provide technical leadership and mentorship within the applied science and engineering community, fostering inclusive, responsible\-AI practices in agent evaluation, and influencing roadmap, platform investments, and cross\-team evaluation strategy across Fabric.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on engineering tooling or eval development
* 2\+ years experience in working on services at scale.
* 1\+ years experience in driving fundamentals for AI features within web apps.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Prior experience in driving fundamentals for AI features within web apps.
* Understanding of building engineering tools on the server side for scale.
* Prior experience working with building AI workflows is a plus.Prior experience in working closely with AI feature teams and improving fundamentals like performance and reliability is a major plus.
* Experience solving challenging problems and cross team/organization collaboration skills.
* Proficiency with React.
* Curiosity to dive deep, continuously learn and experiment.
* Passion for collaboration and knowledge sharing.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9">
      <c r="A49" t="inlineStr">
        <is>
          <t>in-d69db8acb236889f</t>
        </is>
      </c>
      <c r="B49" t="inlineStr">
        <is>
          <t>Software Engineer</t>
        </is>
      </c>
      <c r="C49" t="inlineStr">
        <is>
          <t>Microsoft</t>
        </is>
      </c>
      <c r="D49" t="inlineStr">
        <is>
          <t>indeed</t>
        </is>
      </c>
      <c r="E49">
        <f>HYPERLINK("https://www.indeed.com/viewjob?jk=d69db8acb236889f", "https://www.indeed.com/viewjob?jk=d69db8acb236889f")</f>
        <v/>
      </c>
      <c r="F49">
        <f>HYPERLINK("https://apply.careers.microsoft.com/careers/job/1970393556657414?utm_source=indeed&amp;domain=microsoft.com", "https://apply.careers.microsoft.com/careers/job/1970393556657414?utm_source=indeed&amp;domain=microsoft.com")</f>
        <v/>
      </c>
      <c r="G49" t="inlineStr">
        <is>
          <t>US</t>
        </is>
      </c>
      <c r="H49" s="2" t="n">
        <v>46028</v>
      </c>
      <c r="I49" t="inlineStr">
        <is>
          <t>**Overview**  
The Azure Software Load Balancer team is a key part of the Azure Core Networking organization, responsible for designing, building, and operating essential network services that differentiate Microsoft’s cloud platform. This team plays a critical role in delivering scalable and reliable infrastructure that supports the growing demands of cloud\-native applications and services.
We develop the software systems that power Azure’s large\-scale load balancing solutions. At the core of these services is a robust Software Defined Networking (SDN) and Network Function Virtualization (NFV) infrastructure, designed to autonomously manage network operations. Our focus is on continuous innovation to enhance agility, scalability, reliability, security, and cost\-efficiency across the platform.
As a Software Engineer on the Azure Software Load Balancer team, you will contribute to the development of next\-generation load balancing technologies. You will collaborate with other Software Defined Networking teams to deliver seamless, high\-performance, and resilient cloud infrastructure. This role offers the opportunity to work on complex technical challenges in a fast\-evolving environment, helping to shape the future of cloud networking.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Build next\-generation offerings in load balancer technologies and collaborate with other Software Defined Networking (SDN) teams to deliver seamless, reliable, and high\-performance cloud infrastructure.
* Design, develop, and deploy large\-scale distributed systems capable of processing massive volumes of data with exceptional scalability and performance.
* Identify opportunities to enhance service health and reliability by designing and implementing end\-to\-end telemetry, alerting, self\-healing, and automation capabilities.
* Take accountability as a Designated Responsible Individual (DRI), mentor engineers across products and solutions, and participate in on\-call rotations to monitor system health and initiate recovery actions when needed.
* Translate functional specifications into production\-ready solutions using agile development practices and rapid iteration cycles.
* Collaborate across teams to align on technical goals, share knowledge, and drive consistent engineering practices across the organization.
* Contribute to a culture of innovation and continuous improvement by engaging in technical discussions, proposing new ideas, and supporting the growth of peers and the broader team.
 **Qualifications** **Required Qualifications:**
* Bachelor's Degree in Computer Science, or related technical discipline
	+ OR equivalent experience
* Proven experience coding in languages including, but not limited to, C, C\+\+, C\#, Java or Rust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or Rust
	+ OR Master's Degree in Computer Science or related technical field with proven experience coding in languages including, but not limited to, C, C\+\+, C\#, Java, or Rust
	+ OR equivalent experience.
* Experience with large\-scale and distributed system automation and execution frameworks
	+ Solid skills in system design, architecture, and software development.
* Experience building and shipping large\-scale distributed systems
	+ Proven ability to deliver reliable, scalable solutions in complex environments.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in-eca41fa0fa6632da</t>
        </is>
      </c>
      <c r="B50" t="inlineStr">
        <is>
          <t>Senior Software Engineer - Teams AI Features</t>
        </is>
      </c>
      <c r="C50" t="inlineStr">
        <is>
          <t>Microsoft</t>
        </is>
      </c>
      <c r="D50" t="inlineStr">
        <is>
          <t>indeed</t>
        </is>
      </c>
      <c r="E50">
        <f>HYPERLINK("https://www.indeed.com/viewjob?jk=eca41fa0fa6632da", "https://www.indeed.com/viewjob?jk=eca41fa0fa6632da")</f>
        <v/>
      </c>
      <c r="F50">
        <f>HYPERLINK("https://apply.careers.microsoft.com/careers/job/1970393556657478?utm_source=indeed&amp;domain=microsoft.com", "https://apply.careers.microsoft.com/careers/job/1970393556657478?utm_source=indeed&amp;domain=microsoft.com")</f>
        <v/>
      </c>
      <c r="G50" t="inlineStr">
        <is>
          <t>Redmond, WA, US</t>
        </is>
      </c>
      <c r="H50" s="2" t="n">
        <v>46028</v>
      </c>
      <c r="I50" t="inlineStr">
        <is>
          <t>**Overview**  
We are looking for a Senior Software Engineer to join our team to drive all aspects of AI feature fundamentals for one of the biggest modern collaboration platforms in the world \- Microsoft Teams. We help feature teams ship quality AI experiences out of the gate, track key performance and reliability metrics for critical high\-volume scenarios, aid feature teams in improving the debuggability of AI scenarios, help create offline and online evals for all AI features by incorporating into release pipelines and drive culture of performance by promoting best practices and consulting.
As a team, we obsess about learning, diving deep into areas of opportunities, experimenting and use an evidence\-based approach to turning opportunities into positive impact on performance of the product through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evolve the Real\-Time Intelligence evaluations platform: implement offline and online eval pipelines, including golden datasets, human review workflows, and LLM\-as\-judge / auto\-raters for agents, anomaly detectors, and decisioning systems.
* Instrument agentic solutions for observability by wiring up telemetry, tracing, structured logging, and dashboards so quality, safety, latency, and cost are easy to monitor and debug.
* Integrate evals into the development lifecycle by connecting pipelines to CI/CD, canary and A/B experiments, and phased rollouts, making it simple for partner teams to run and interpret evaluations.
* Collaborate and mentor across product, research, and engineering teams, sharing best practices on eval design, LLM\-as\-judge usage, and Responsible AI, and providing code reviews and guidance that raise the bar for the AI features.
**Qualifications** **Required Qualifications:**
* Bachelor's Degree in Computer Science or related technical field AND 4\+ years technical engineering experience with coding in languages including, but not limited to, C, C\+\+, C\#, Java, JavaScript, or Python
	+ OR equivalent experience.
* 2\+ years of experience on engineering tooling or eval development.
* 1\+ years experience in driving fundamentals for AI features within web apps.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Prior experience in working on services at scale.
* Understanding of building engineering tools on the server side for scale.
* Prior experience in working closely with AI feature teams and improving fundamentals like performance and reliability is a major plus.
* Experience solving challenging problems and cross team/organization collaboration skills.
* Proficiency with React is a plus.
* Curiosity to dive deep, continuously learn and experiment.
* Passion for collaboration and knowledge sharing.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in-d78298a0265e13a6</t>
        </is>
      </c>
      <c r="B51" t="inlineStr">
        <is>
          <t>Senior Software Engineer</t>
        </is>
      </c>
      <c r="C51" t="inlineStr">
        <is>
          <t>Microsoft</t>
        </is>
      </c>
      <c r="D51" t="inlineStr">
        <is>
          <t>indeed</t>
        </is>
      </c>
      <c r="E51">
        <f>HYPERLINK("https://www.indeed.com/viewjob?jk=d78298a0265e13a6", "https://www.indeed.com/viewjob?jk=d78298a0265e13a6")</f>
        <v/>
      </c>
      <c r="F51">
        <f>HYPERLINK("https://apply.careers.microsoft.com/careers/job/1970393556657527?utm_source=indeed&amp;domain=microsoft.com", "https://apply.careers.microsoft.com/careers/job/1970393556657527?utm_source=indeed&amp;domain=microsoft.com")</f>
        <v/>
      </c>
      <c r="G51" t="inlineStr">
        <is>
          <t>Redmond, WA, US</t>
        </is>
      </c>
      <c r="H51" s="2" t="n">
        <v>46028</v>
      </c>
      <c r="I5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software Engineer to join our organization to develop a scalable cloud scale graph platform Microsoft cloud. Azure Resource Graph’s (ARG part of ARM/Azure Control plane) mission is to Reliably organize the planet\-scale cloud inventory and making it accessible to every Azure customer through scalable, and performant tools.
ARG is the Inventory of cloud resources, dependencies, services, apps \&amp; Azure metadata and is a core service enabling almost all Azure experiences and workloads that are running on top of Azure. Azure Portal, Azure Market Place, Search, Catalog at\-scale experiences scenarios for every single Azure customer are powered by ARG. It provides a single pane of glass to query cloud resources via a set of flexible standards with rich scalable, efficient constructs. These standards and toolsets are used by large customers and first party teams alike. ARG’s vision is to enable any customer (large to small) to organize, govern, secure, manage and explore their environments at\-scale. Anything we design, develop, or deliver aligns with this vision. As of today, we return close to 6\.5\+ billion cloud resources per day through these standards to our customers and independent software vendors. This position is one of the core engineering functions and sits right in the center of the platform enabling various other connected engineering functions.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Drive critical initiatives to scale the ARG platform to meet Azure’s growing demands.
* Own the technical design and long‑term vision for high‑throughput query and ingestion systems with ambitious performance targets.
* Design and build foundational infrastructure spanning distributed systems and platform internals (with optional depth in database and storage systems).
* Develop strong business and platform understanding of Azure to align technical decisions with product goals.
* Provide technical clarity, set direction for the team, and mentor junior engineers to build shared purpose and execution excellence.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4\+ years deep hands\-on working knowledge of building cloud\-scale services.
* 4\+ years experience in one of the object\-oriented programming languages including runtime internals like C\#, Java, etc.
* 2\+ years operational experience in running service in one of the large\-scale clouds like Azure, AWS, GCP.
* 2\+ years of technical leadership, raising the technical bar, maintaining data and results\-driven culture while closely working with cross function teams for the same connected mission.
* 2\+ years of experience in managing long\-term architecture while delivering the incremental milestones with simplicity and maintainability as core tenets.
* You exercise the power of principles when it comes to choices or decisions with practical knowledge of applying these principles. These are applicable for Code as well as Design.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in-d7693f2066a49381</t>
        </is>
      </c>
      <c r="B52" t="inlineStr">
        <is>
          <t>Software Engineer II</t>
        </is>
      </c>
      <c r="C52" t="inlineStr">
        <is>
          <t>Microsoft</t>
        </is>
      </c>
      <c r="D52" t="inlineStr">
        <is>
          <t>indeed</t>
        </is>
      </c>
      <c r="E52">
        <f>HYPERLINK("https://www.indeed.com/viewjob?jk=d7693f2066a49381", "https://www.indeed.com/viewjob?jk=d7693f2066a49381")</f>
        <v/>
      </c>
      <c r="F52">
        <f>HYPERLINK("https://apply.careers.microsoft.com/careers/job/1970393556657069?utm_source=indeed&amp;domain=microsoft.com", "https://apply.careers.microsoft.com/careers/job/1970393556657069?utm_source=indeed&amp;domain=microsoft.com")</f>
        <v/>
      </c>
      <c r="G52" t="inlineStr">
        <is>
          <t>Redmond, WA, US</t>
        </is>
      </c>
      <c r="H52" s="2" t="n">
        <v>46027</v>
      </c>
      <c r="I52" t="inlineStr">
        <is>
          <t>**Overview**  
Overview
The Ads Data Platform Team, part of Microsoft AI (Artificial Intelligence), is hiring a Software Engineer II\-Big Data Systems.
This role is available in Redmond, WA
Our team powers the backbone of Microsoft’s global ads marketplace—gathering, storing, and enriching over half a trillion ad\-serving events every day. We build data platforms that fuel business analytics, machine learning models, and real\-time reporting at massive scale. If you’re passionate about solving complex problems and driving innovation, this is the place for you.
As part of our team, you’ll:
* Design and operate high\-scale, high\-performance systems that process billions of events through near\-real\-time and offline pipelines.
* Build data applications that directly impact Microsoft Ads’ double\-digit annual growth.
* Work on cutting\-edge technologies in distributed systems, machine learning, and big data.
Why join us?
* Online advertising is one of the fastest\-growing businesses on the Internet, with $70B of a $600B market already online—and we’re just getting started.
* You’ll tackle technical challenges that demand computational intelligence, scalable algorithms, and interdisciplinary expertise across data mining, optimization, and economics.
* Be part of a results\-driven, inclusive culture where your ideas matter and your work create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BingAds stakeholders to determine requirements for new features to drive up Ads business. Create system design for feature requirements. Assure system meets security and compliance requirements and expectations. Creates a clear and articulated plan for testing and assuring quality solutions.
* Implement the features with high efficiency, extensibility, diagnosability, reliability, and maintainability with few defects. Reviews code of product to assure it meets the team's and Microsoft’s quality standards, is reliable and accurate, and is appropriate for the scale of the product feature.
* Maintain operations of live service as issues arise on a rotational, on\-call basis. Identifies solutions and mitigations to simple and complex issues and escalates as necessary. Acts as a Designated Responsible Individual (DRI) working on call to monitor system/product feature/service for degradation, downtime, or interruptions. Responds within Service Level Agreement (SLA) timeframe. Escalate issues to appropriate owners.
* Build knowledge, share new ideas, and share pinpoints of engineering tool gaps to improve software developer tools to support other programs, tools, and applications to create, debug, and maintain code for product features. Contribute to the development of automation within production and deployment of a product feature.
* Profile and analyze distributed system performance and capacity bottlenecks. Propose and implement solutions to improve system latency and capacity to meet BingAds online serving requirements.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Azure.
* Experience in machine learning and online system design, implementation and qualification.
* 2\+ years’ experience in Distributed Systems and Big Data Technologies such as Spark, Hadoop, HDFS, Kafka, Flink, Scala.
\#MicrosoftAI \#BingAds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in-79deb724c53bdfa1</t>
        </is>
      </c>
      <c r="B53" t="inlineStr">
        <is>
          <t>Senior Software Engineer</t>
        </is>
      </c>
      <c r="C53" t="inlineStr">
        <is>
          <t>Microsoft</t>
        </is>
      </c>
      <c r="D53" t="inlineStr">
        <is>
          <t>indeed</t>
        </is>
      </c>
      <c r="E53">
        <f>HYPERLINK("https://www.indeed.com/viewjob?jk=79deb724c53bdfa1", "https://www.indeed.com/viewjob?jk=79deb724c53bdfa1")</f>
        <v/>
      </c>
      <c r="F53">
        <f>HYPERLINK("https://apply.careers.microsoft.com/careers/job/1970393556657042?utm_source=indeed&amp;domain=microsoft.com", "https://apply.careers.microsoft.com/careers/job/1970393556657042?utm_source=indeed&amp;domain=microsoft.com")</f>
        <v/>
      </c>
      <c r="G53" t="inlineStr">
        <is>
          <t>Redmond, WA, US</t>
        </is>
      </c>
      <c r="H53" s="2" t="n">
        <v>46027</v>
      </c>
      <c r="I53" t="inlineStr">
        <is>
          <t>**Overview**  
Overview
The Ads Data Platform Team, part of Microsoft AI (Artificial Intelligence), is hiring a Software Engineer II\-Big Data Systems.
This role is available in Redmond, WA
Our team powers the backbone of Microsoft’s global ads marketplace—gathering, storing, and enriching over half a trillion ad\-serving events every day. We build data platforms that fuel business analytics, machine learning models, and real\-time reporting at massive scale. If you’re passionate about solving complex problems and driving innovation, this is the place for you.
As part of our team, you’ll:
* Design and operate high\-scale, high\-performance systems that process billions of events through near\-real\-time and offline pipelines.
* Build data applications that directly impact Microsoft Ads’ double\-digit annual growth.
* Work on cutting\-edge technologies in distributed systems, machine learning, and big data.
Why join us?
* Online advertising is one of the fastest\-growing businesses on the Internet, with $70B of a $600B market already online—and we’re just getting started.
* You’ll tackle technical challenges that demand computational intelligence, scalable algorithms, and interdisciplinary expertise across data mining, optimization, and economics.
* Be part of a results\-driven, inclusive culture where your ideas matter and your work create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BingAds stakeholders to determine requirements for new features to drive up Ads business. Create system design for feature requirements. Assure system meets security and compliance requirements and expectations. Creates a clear and articulated plan for testing and assuring quality solutions.
* Implement the features with high efficiency, extensibility, diagnosability, reliability, and maintainability with few defects. Reviews code of product to assure it meets the team's and Microsoft’s quality standards, is reliable and accurate, and is appropriate for the scale of the product feature.
* Maintain operations of live service as issues arise on a rotational, on\-call basis. Identifies solutions and mitigations to simple and complex issues and escalates as necessary. Acts as a Designated Responsible Individual (DRI) working on call to monitor system/product feature/service for degradation, downtime, or interruptions. Responds within Service Level Agreement (SLA) timeframe. Escalate issues to appropriate owners.
* Build knowledge, share new ideas, and share pinpoints of engineering tool gaps to improve software developer tools to support other programs, tools, and applications to create, debug, and maintain code for product features. Contribute to the development of automation within production and deployment of a product feature.
* Profile and analyze distributed system performance and capacity bottlenecks. Propose and implement solutions to improve system latency and capacity to meet BingAds online serving requirements.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Azure.
* Experience in Machine learning and online system design, implementation and qualification.
* 2\+ years’ experience in Distributed Systems and Big Data Technologies such as Spark, Hadoop, HDFS, Kafka, Flink, Scala.
\#MicrosoftAI \#BingAds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in-f9fbe26bb4982fc2</t>
        </is>
      </c>
      <c r="B54" t="inlineStr">
        <is>
          <t>Principal Software Engineer - Directory Platform</t>
        </is>
      </c>
      <c r="C54" t="inlineStr">
        <is>
          <t>Microsoft</t>
        </is>
      </c>
      <c r="D54" t="inlineStr">
        <is>
          <t>indeed</t>
        </is>
      </c>
      <c r="E54">
        <f>HYPERLINK("https://www.indeed.com/viewjob?jk=f9fbe26bb4982fc2", "https://www.indeed.com/viewjob?jk=f9fbe26bb4982fc2")</f>
        <v/>
      </c>
      <c r="F54">
        <f>HYPERLINK("https://apply.careers.microsoft.com/careers/job/1970393556657020?utm_source=indeed&amp;domain=microsoft.com", "https://apply.careers.microsoft.com/careers/job/1970393556657020?utm_source=indeed&amp;domain=microsoft.com")</f>
        <v/>
      </c>
      <c r="G54" t="inlineStr">
        <is>
          <t>Redmond, WA, US</t>
        </is>
      </c>
      <c r="H54" s="2" t="n">
        <v>46027</v>
      </c>
      <c r="I5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Entra ID (formerly known as Azure Active Directory) is at the center of Microsoft’s cloud strategy. We build and operate critical authentication, authorization and directory services that are used by the millions of Azure, Office 365, XBOX and Windows users worldwide. In the mobile\-first cloud\-first world, sign\-in and sign\-up is the front door for reliable end user experience to use any of Microsoft cloud services. Entra ID hosts millions of tenants and billions of identities. It serves billions of requests per day in the stacks powering core authentication and programmability. The backend directory store is at the heart of Entra ID architecture. Our team is evolving the directory store platform to address the needs for the next decade. You will have an opportunity to work on the latest technologies in storage and distributed systems and apply innovative algorithms for solving problems at scale and high performance. We are looking for a ***Principal Software Engineer \- Directory Platform*** with a track record of delivering distributed cloud services and a passion for solving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large\-scale distributed software services and solutions.
* Drive modern software engineering practices through design and code reviews.
* Perform system design with well\-defined interfaces across multiple components, leveraging data/telemetry to inform decisions.
* Develop best\-in\-class engineering for our services, ensuring components are modular, secure, reliable, diagnosable, actively monitored, and reusable.
* Improve test coverage, organize and implement integration tests, and resolve problem areas.
* Prioritize testability, portability, monitoring, reliability, and maintainability; understand when code is ready to be shared and delivered.
* Gain a working understanding of Microsoft businesses and collaborate with mentors and leaders to contribute to cohesive, end\-to\-end user experiences, with a focus on customer/partner needs through a data\-driven approach.
* Troubleshoot and optimize automation, reliability, and monitoring for Live Site. Embody our culture and values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5\+ years of experience designing, building, and operating scalable, highly available cloud services or distributed systems on platforms such as Azure, AWS, GCP, or comparable cloud environments, with production ownership and CI/CD pipeline integration.
* 3\+ years of experience building systems with emphasis on reliability, durability, and operational efficiency, including experience with live site operations, incident response, and performance optimization.
* Experience leading projects from conception to delivery (Design, Code Review, Delivery, etc.)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5">
      <c r="A55" t="inlineStr">
        <is>
          <t>in-e88dbd8d42741736</t>
        </is>
      </c>
      <c r="B55" t="inlineStr">
        <is>
          <t>Software Engineering IC3</t>
        </is>
      </c>
      <c r="C55" t="inlineStr">
        <is>
          <t>Microsoft</t>
        </is>
      </c>
      <c r="D55" t="inlineStr">
        <is>
          <t>indeed</t>
        </is>
      </c>
      <c r="E55">
        <f>HYPERLINK("https://www.indeed.com/viewjob?jk=e88dbd8d42741736", "https://www.indeed.com/viewjob?jk=e88dbd8d42741736")</f>
        <v/>
      </c>
      <c r="F55">
        <f>HYPERLINK("https://apply.careers.microsoft.com/careers/job/1970393556656336?utm_source=indeed&amp;domain=microsoft.com", "https://apply.careers.microsoft.com/careers/job/1970393556656336?utm_source=indeed&amp;domain=microsoft.com")</f>
        <v/>
      </c>
      <c r="G55" t="inlineStr">
        <is>
          <t>Redmond, WA, US</t>
        </is>
      </c>
      <c r="H55" s="2" t="n">
        <v>46023</v>
      </c>
      <c r="I55" t="inlineStr">
        <is>
          <t>**Overview**  
Intelligent Conversation and Communication Cloud (IC3\) at Microsoft is developing the next generation of collaboration and communication products that will revolutionize both consumer and enterprise communications.
Microsoft is seeking a passionate and experienced Software Engineer to join our Media Streaming team. This role is part of our broader effort to deliver seamless, high\-performance media experiences across Microsoft platforms and services.
As a key contributor, you will help design and build scalable, low\-latency streaming components that power real\-time communication and collaboration. You’ll work closely with cross\-functional teams to integrate media capabilities into Microsoft’s ecosystem, ensuring reliability, quality, and innovation at every layer of the stack.
This is a unique opportunity to shape the future of media streaming at Microsoft, driving impact across millions of users and devices.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scalable, low\-latency media streaming components that enhance Microsoft’s real\-time communication and collaboration experiences.
* Contribute to the evolution of Microsoft’s media stack by implementing robust APIs and services that support high\-performance streaming across diverse platforms and devices.
* Collaborate with cross\-functional teams to integrate media streaming capabilities into broader Microsoft ecosystems, ensuring seamless user experiences and operational reliability.
* Drive quality and performance improvements through telemetry instrumentation, automated testing, and continuous validation under varied network conditions.
* Participate in sprint planning, technical reviews, and engineering excellence initiatives to align deliverables with organizational goals and product milestones.
* Champion best practices in software engineering, with a focus on maintainability, scalability, and security in media streaming systems.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Familiarity with image and signal processing, as well as video codec standards including AVC/H.264, HEVC/H.265, AV1, VVC/H.266, and machine learning–based video codecs.
* Hands\-on experience in building and deploying AI/ML solutions, with a focus on practical implementation and scalability.
* Communication skills and a track record of effective cross\-functional collaboration.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6">
      <c r="A56" t="inlineStr">
        <is>
          <t>in-0d7ad1315acd85c4</t>
        </is>
      </c>
      <c r="B56" t="inlineStr">
        <is>
          <t>Principal Software Engineer Manager - Azure Core</t>
        </is>
      </c>
      <c r="C56" t="inlineStr">
        <is>
          <t>Microsoft</t>
        </is>
      </c>
      <c r="D56" t="inlineStr">
        <is>
          <t>indeed</t>
        </is>
      </c>
      <c r="E56">
        <f>HYPERLINK("https://www.indeed.com/viewjob?jk=0d7ad1315acd85c4", "https://www.indeed.com/viewjob?jk=0d7ad1315acd85c4")</f>
        <v/>
      </c>
      <c r="F56">
        <f>HYPERLINK("https://apply.careers.microsoft.com/careers/job/1970393556654644?utm_source=indeed&amp;domain=microsoft.com", "https://apply.careers.microsoft.com/careers/job/1970393556654644?utm_source=indeed&amp;domain=microsoft.com")</f>
        <v/>
      </c>
      <c r="G56" t="inlineStr">
        <is>
          <t>Redmond, WA, US</t>
        </is>
      </c>
      <c r="H56" s="2" t="n">
        <v>46016</v>
      </c>
      <c r="I56" t="inlineStr">
        <is>
          <t>**Overview**  
The HPC/AI (High\-Performance Computing and Artificial Intelligence) organization is on a mission to build the next generation of distributed AI supercomputers—systems that deliver unprecedented computational power, scalability, and reliability to accelerate breakthroughs in artificial intelligence. Our teams design and develop world\-class AI infrastructure that enables large\-scale model training and inference, forming the backbone of Microsoft’s AI innovation.
As a Principal Software Engineering Manager, you will lead a team building foundational components of Azure’s AI networking infrastructure—powering some of the largest and most complex distributed training systems in the world. This is a rare opportunity to work at the intersection of AI, cloud infrastructure, and high\-performance networking, driving innovation across hardware and software boundaries. With the explosive growth of generative AI and the demand for low\-latency, high\-bandwidth systems, your work will directly impact the scale, performance, and reliability of Microsoft’s AI platforms.
You will lead the design, development, and deployment of high\-performance, scalable, and observable networking systems that connect AI accelerators at massive scale. The role requires deep technical acumen, strategic thinking, and a passion for engineering excellence. You’ll collaborate across Microsoft teams to define architecture, deliver solutions to complex infrastructure challenges, and ensure our systems meet the evolving needs of AI workloads.  
If you’re passionate about building large\-scale distributed systems, pushing the boundaries of AI infrastructure, and leading teams that shape the future of supercomputing, we invite you to join us on this journey to define the next era of AI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Hire, manage, and grow a high\-performing team of software engineers, fostering a culture of excellence, inclusion, and innovation.
* Lead the design and development of large\-scale distributed systems and services that power Azure’s AI infrastructure.
* Drive engineering planning and execution while ensuring alignment with organizational OKRs and long\-term strategy.
* Establish lean, scalable, and efficient processes that promote innovation and engineering rigor.
* Deliver best\-in\-class engineering by ensuring services and components are modular, secure, reliable, diagnosable, observable, and reusable.
* Improve test coverage, automation, and integration testing to proactively identify and resolve reliability gaps.
* Ensure live\-site reliability and service health through robust monitoring, telemetry, and automation.
**Qualifications** **Required Qualifications:**
* Bachelor's Degree in Computer Science or related technical field
* 8\+ years technical engineering experience with coding in languages including, but not limited to, C, C\+\+, C\#, Java, JavaScript, or Python OR equivalent experience.
* 2\+ years people management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 6\+ years people management experience.
Software Engineering M6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in-1b8d0b7d0e7e26fa</t>
        </is>
      </c>
      <c r="B57" t="inlineStr">
        <is>
          <t>Senior Software Engineer</t>
        </is>
      </c>
      <c r="C57" t="inlineStr">
        <is>
          <t>Microsoft</t>
        </is>
      </c>
      <c r="D57" t="inlineStr">
        <is>
          <t>indeed</t>
        </is>
      </c>
      <c r="E57">
        <f>HYPERLINK("https://www.indeed.com/viewjob?jk=1b8d0b7d0e7e26fa", "https://www.indeed.com/viewjob?jk=1b8d0b7d0e7e26fa")</f>
        <v/>
      </c>
      <c r="F57">
        <f>HYPERLINK("https://apply.careers.microsoft.com/careers/job/1970393556653541?utm_source=indeed&amp;domain=microsoft.com", "https://apply.careers.microsoft.com/careers/job/1970393556653541?utm_source=indeed&amp;domain=microsoft.com")</f>
        <v/>
      </c>
      <c r="G57" t="inlineStr">
        <is>
          <t>Redmond, WA, US</t>
        </is>
      </c>
      <c r="H57" s="2" t="n">
        <v>46012</v>
      </c>
      <c r="I57" t="inlineStr">
        <is>
          <t>**Overview**  
Are you an established Engineer looking for a challenge and ready to tackle strategic cross\-organization investments that span Microsoft AI, Office, and Windows to create web experiences for over 1B users and drive daily habit with users? Join us to innovate and create impactful web experiences that shape the daily habits of millions.
We are looking for a highly skilled Front end focussed Senior Software Engineer (full\-stack) to join our Experience team, who will provide technical leadership to key projects, and collaborate with frontend and backend teams to maintain and deliver key features that will be used across multiple sites. You will develop strategy aligning with stakeholders and execute plans to successfully deliver on commitments. The ideal candidate will be an experienced full stack engineer with knowledge of modern front end web frameworks like web components, cloud\-based architecture and services, caching, load\-balancing, A/B experimentation. Your responsibilities will include designing, coding and operationalizing experience and services at hyper scale.
MSN is a personalized content feed powering user experiences across Microsoft. Our mission is to empower every person on the planet to be informed, entertained, and inspired. With nearly 30 years of history, MSN has evolved into a premier content destination with high\-quality content, AI\-powered user\-controlled personalization, and massive global reach. Over the past 4 years, AI and Machine Learning technologies have fueled massive growth, transforming MSN’s content moderation, personalization, and content entry points. Learn more about us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implement, and maintain responsive, accessible, and visually polished user interfaces and full\-stack application features.
* Build and support front\-end applications using TypeScript with frameworks such as React, NextJS, Web Components (or similar), and integrate them with robust back\-end services.
* Develop scalable REST APIs and data access layers, ensuring efficient, secure, and reliable data flow between client and server.
* Create reusable components, shared modules, and service abstractions, ensuring code quality through best practices, testing, and documentation.
* Collaborate with UX designers, backend engineers, and product teams to translate requirements, wireframes, and prototypes into functional, production\-ready solutions.
* Optimize applications for performance, scalability, and cross\-browser/cross\-platform compatibility across the entire stack.
* Participate in code reviews, architectural discussions, and continuous improvement of development workflows and engineering standards.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TypeScript, with a solid understanding of full\-stack development fundamentals.
* Hands\-on experience building production applications using React, Web Components or similar front\-end frameworks.
* Solid understanding of responsive design, web accessibility standards, and UI performance optimization.
* Hands\-on experience building production applications using React or similar front\-end frameworks.
* Solid understanding of responsive design, web accessibility standards, and UI performance optimization.
* Experience with state management libraries and patterns (e.g., Redux, NgRx, Zustand).
* Knowledge of UI/UX best practices, component libraries, and design systems.
* Experience with testing frameworks and tools (e.g., Jest, Mocha, Cypress).
* Exposure to cloud platforms (Azure) and CI/CD pipelines, and understanding of application deployment processes.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\#msn \#frontend \#fullstack \#swe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8">
      <c r="A58" t="inlineStr">
        <is>
          <t>in-907deef71c49b770</t>
        </is>
      </c>
      <c r="B58" t="inlineStr">
        <is>
          <t>Senior Software Engineer</t>
        </is>
      </c>
      <c r="C58" t="inlineStr">
        <is>
          <t>Microsoft</t>
        </is>
      </c>
      <c r="D58" t="inlineStr">
        <is>
          <t>indeed</t>
        </is>
      </c>
      <c r="E58">
        <f>HYPERLINK("https://www.indeed.com/viewjob?jk=907deef71c49b770", "https://www.indeed.com/viewjob?jk=907deef71c49b770")</f>
        <v/>
      </c>
      <c r="F58">
        <f>HYPERLINK("https://apply.careers.microsoft.com/careers/job/1970393556653518?utm_source=indeed&amp;domain=microsoft.com", "https://apply.careers.microsoft.com/careers/job/1970393556653518?utm_source=indeed&amp;domain=microsoft.com")</f>
        <v/>
      </c>
      <c r="G58" t="inlineStr">
        <is>
          <t>Redmond, WA, US</t>
        </is>
      </c>
      <c r="H58" s="2" t="n">
        <v>46012</v>
      </c>
      <c r="I58" t="inlineStr">
        <is>
          <t>**Overview**  
Are you an established Engineer looking for a challenge and ready to tackle strategic cross\-organization investments that span Microsoft AI, Office, and Windows to create web experiences for over 1B users and drive daily habit with users? Join us to innovate and create impactful web experiences that shape the daily habits of millions.
We are looking for a highly skilled Front end focussed Senior Software Engineer (full\-stack) to join our Experience team, who will provide technical leadership to key projects, and collaborate with frontend and backend teams to maintain and deliver key features that will be used across multiple sites. You will develop strategy aligning with stakeholders and execute plans to successfully deliver on commitments. The ideal candidate will be an experienced full stack engineer with knowledge of modern front end web frameworks like web components, cloud\-based architecture and services, caching, load\-balancing, A/B experimentation. Your responsibilities will include designing, coding and operationalizing experience and services at hyper scale.
MSN is a personalized content feed powering user experiences across Microsoft. Our mission is to empower every person on the planet to be informed, entertained, and inspired. With nearly 30 years of history, MSN has evolved into a premier content destination with high\-quality content, AI\-powered user\-controlled personalization, and massive global reach. Over the past 4 years, AI and Machine Learning technologies have fueled massive growth, transforming MSN’s content moderation, personalization, and content entry points. Learn more about us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implement, and maintain responsive, accessible, and visually polished user interfaces and full\-stack application features.
* Build and support front\-end applications using TypeScript with frameworks such as React, NextJS, Web Components (or similar), and integrate them with robust back\-end services.
* Develop scalable REST APIs and data access layers, ensuring efficient, secure, and reliable data flow between client and server.
* Create reusable components, shared modules, and service abstractions, ensuring code quality through best practices, testing, and documentation.
* Collaborate with UX designers, backend engineers, and product teams to translate requirements, wireframes, and prototypes into functional, production\-ready solutions.
* Optimize applications for performance, scalability, and cross\-browser/cross\-platform compatibility across the entire stack.
* Participate in code reviews, architectural discussions, and continuous improvement of development workflows and engineering standards.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TypeScript, with a solid understanding of full\-stack development fundamentals.
* Hands\-on experience building production applications using React, Web Components or similar front\-end frameworks.
* Solid understanding of responsive design, web accessibility standards, and UI performance optimization.
* Hands\-on experience building production applications using React or similar front\-end frameworks.
* Solid understanding of responsive design, web accessibility standards, and UI performance optimization.
* Experience with state management libraries and patterns (e.g., Redux, NgRx, Zustand).
* Knowledge of UI/UX best practices, component libraries, and design systems.
* Experience with testing frameworks and tools (e.g., Jest, Mocha, Cypress).
* Exposure to cloud platforms (Azure) and CI/CD pipelines, and understanding of application deployment processes.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9">
      <c r="A59" t="inlineStr">
        <is>
          <t>in-cfdab8cd2adda9d6</t>
        </is>
      </c>
      <c r="B59" t="inlineStr">
        <is>
          <t>Principal Software Engineer</t>
        </is>
      </c>
      <c r="C59" t="inlineStr">
        <is>
          <t>Microsoft</t>
        </is>
      </c>
      <c r="D59" t="inlineStr">
        <is>
          <t>indeed</t>
        </is>
      </c>
      <c r="E59">
        <f>HYPERLINK("https://www.indeed.com/viewjob?jk=cfdab8cd2adda9d6", "https://www.indeed.com/viewjob?jk=cfdab8cd2adda9d6")</f>
        <v/>
      </c>
      <c r="F59">
        <f>HYPERLINK("https://apply.careers.microsoft.com/careers/job/1970393556650751?utm_source=indeed&amp;domain=microsoft.com", "https://apply.careers.microsoft.com/careers/job/1970393556650751?utm_source=indeed&amp;domain=microsoft.com")</f>
        <v/>
      </c>
      <c r="G59" t="inlineStr">
        <is>
          <t>Redmond, WA, US</t>
        </is>
      </c>
      <c r="H59" s="2" t="n">
        <v>46008</v>
      </c>
      <c r="I59" t="inlineStr">
        <is>
          <t>**Overview**  
We are looking for an experienced Software Engineer to join the Ads Engineering team and help advance the core capabilities of our Ads serving stack. This system powers advertisements across a range of Microsoft services, including Bing Search, MSN, Start.com, and shopping experiences in the Edge browser. Our serving stack is a high\-scale, low\-latency, geo\-distributed system with numerous components—including large\-scale machine learning inference for ad ranking, real\-time bidding infrastructure, and other subsystems supporting diverse ad scenarios.  
This role offers an exciting opportunity to contribute to the innovation and evolution of a system operating at an exceptional scale and speed. You’ll face a wide variety of technical challenges: from designing new features and optimizing performance down to the millisecond, to building scalable infrastructure for containerized services. You’ll work alongside a passionate, world\-class engineering team, own major feature areas, and collaborate globally. If you thrive on solving complex technical problems in a dynamic environment, this is the opportunity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develop large\-scale, distributed systems—including CPU and GPU ranking platforms—to support real\-time processing of millions of ad requests per second with high efficiency, extensibility, diagnosability, reliability, and maintainability.
* Lead architecture discussions, create technical design documents, and drive end\-to\-end solution planning—identifying system dependencies, performance optimizations, and security/compliance requirements across interconnected services.
* Implement features and enhancements with a focus on code quality, maintainability, and scalability; conduct thorough code reviews to uphold Microsoft engineering standards and ensure solutions are production\-ready.
* Serve as a Designated Responsible Individual (DRI) for live\-site operations on a rotational on\-call basis, proactively identifying, resolving, and escalating service degradations or interruptions to maintain high availability.
* Guide testing strategies and quality assurance plans, including unit tests, automation, and telemetry\-based diagnostics to validate assumptions, ensure reliability, and drive continuous improvement in service performance.
* Mentor engineers on software engineering best practices, reusable patterns, and tooling; lead efforts to improve performance through debugging, refactoring, experimentation, and instrumentation at scale.
* Drive engineering excellence through compliance with global and local regulations, investment in modern tools and trends, and close collaboration with partner teams to deliver secure, performant, and customer\-aligned ad\-serving solutions.
**Qualifications** **Required Qualifications:**
* Bachelor's Degree in Computer Science or related technical field AND 6\+ years technical engineering experience with coding in languages including, but not limited to, C\+\+, C\#, Python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Proven experience in designing, implementing, and validating deep learning systems for real\-time online inference.  
Solid expertise in optimizing machine learning models for GPUs, including development of custom CUDA kernels for performance\-critical workloads.
* Hands\-on experience in designing, implementing, and scaling large\-scale, distributed online systems with a deep understanding of system architecture is a must.
* Proven ability to profile, analyze, and optimize performance and capacity of native C\+\+ systems in complex, high\-throughput environments.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in-9d73984bf0a768d9</t>
        </is>
      </c>
      <c r="B60" t="inlineStr">
        <is>
          <t>Principal Software Engineer - CTJ - POLY</t>
        </is>
      </c>
      <c r="C60" t="inlineStr">
        <is>
          <t>Microsoft</t>
        </is>
      </c>
      <c r="D60" t="inlineStr">
        <is>
          <t>indeed</t>
        </is>
      </c>
      <c r="E60">
        <f>HYPERLINK("https://www.indeed.com/viewjob?jk=9d73984bf0a768d9", "https://www.indeed.com/viewjob?jk=9d73984bf0a768d9")</f>
        <v/>
      </c>
      <c r="F60">
        <f>HYPERLINK("https://apply.careers.microsoft.com/careers/job/1970393556650719?utm_source=indeed&amp;domain=microsoft.com", "https://apply.careers.microsoft.com/careers/job/1970393556650719?utm_source=indeed&amp;domain=microsoft.com")</f>
        <v/>
      </c>
      <c r="G60" t="inlineStr">
        <is>
          <t>Reston, VA, US</t>
        </is>
      </c>
      <c r="H60" s="2" t="n">
        <v>46008</v>
      </c>
      <c r="I60" t="inlineStr">
        <is>
          <t>**Overview**  
Microsoft has an exciting opportunity for a **Principal** **Software Engineer** in the Cloud\+AI Silver Team. This team is responsible for customer deployments within the air gapped environments. In this role, you will have the opportunity to work with engineers who enable a broad set of Azure services to be consumed by internal and external customers in highly secured and regulated industries.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and effectively manage strategic and complex projects with executive visibility and critical dependencies across a variety of cross functional teams.
* Interface with customers and/or internal stakeholders to gain necessary information to align project timelines, provide updates, and adapt plans to changing goals.
* Communicate effectively to keep all the stakeholders (internal Microsoft \&amp; customer) informed of the progress of the project, issues, blockers, successes, and impact to drive adoption and realize value.
* Manage engineering projects through Azure Dev Ops (ADO) or like engineering services tool, focused on prioritization, planning, scheduling, risk management, quality control and effective and efficient decision making for customer projects.
* Understand the technical challenges, constraints and blockers faced by customers and provide recommendations for solving these challenges by suggesting multiple solutions and workarounds along with pros and cons for each approach, to enable the customer / partner team to successfully deploy solutions
* Develop a deep understanding of how internal and external customers use Azure to drive adoption and refine and iterate program processes, tools, and strategies based on data and feedback.
* Be Voice of Customer to share insights and best practices and partner with engineering, compliance, commerce, legal, and other Microsoft teams to gather feedback and translate customer demand signals into platform priorities to improve or unblock Azure solutions.
* Embody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 This position is not eligible for visa sponsorship. Candidates must have authorization to work in the United States that does not now or in the future require employer sponsorship.
**Preferred Qualifications:**
* Bachelor's Degree Computer Science, Engineering, Data Science, Math, Business, or related field AND 12\+ years experience in engineering, product/technical program management, data analysis, or product development OR equivalent experience.
* 10\+ year(s) experience managing cross\-functional and/or cross\-team projects.
* 10\+ year(s) experience leading and managing customer facing projects.
* Dependable communication skills, verbal and written, with experience communicating to multiple stakeholder groups such as engineering, customers, end\-users, and executives.
* Ability to work in a dynamic, fast\-paced environment with lots of context switching.
* Proven initiative and influence with demonstrated ability to solve challenging and complex problems requiring the effort and impact of a diverse cross team.
* Demonstrated ability to engage with customers and partners to understand their business needs and priorities.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in-411637c44377b9d7</t>
        </is>
      </c>
      <c r="B61" t="inlineStr">
        <is>
          <t>Software Engineering, Path Team</t>
        </is>
      </c>
      <c r="C61" t="inlineStr">
        <is>
          <t>Microsoft</t>
        </is>
      </c>
      <c r="D61" t="inlineStr">
        <is>
          <t>indeed</t>
        </is>
      </c>
      <c r="E61">
        <f>HYPERLINK("https://www.indeed.com/viewjob?jk=411637c44377b9d7", "https://www.indeed.com/viewjob?jk=411637c44377b9d7")</f>
        <v/>
      </c>
      <c r="F61">
        <f>HYPERLINK("https://apply.careers.microsoft.com/careers/job/1970393556643549?utm_source=indeed&amp;domain=microsoft.com", "https://apply.careers.microsoft.com/careers/job/1970393556643549?utm_source=indeed&amp;domain=microsoft.com")</f>
        <v/>
      </c>
      <c r="G61" t="inlineStr">
        <is>
          <t>Redmond, WA, US</t>
        </is>
      </c>
      <c r="H61" s="2" t="n">
        <v>46006</v>
      </c>
      <c r="I61" t="inlineStr">
        <is>
          <t>**Overview**  
Microsoft’s Path team helps customers along their journey from the initial idea to the final realization of their goals – from Idea to Plan to Done ✅.
We are responsible for collaborative Work Management products including Microsoft Project, Planner, To Do, and Visio. With Project and Planner we help customers collaborate effectively to navigate complexity, determine critical paths, and orchestrate their plans to achieve more. With To Do and Tasks, we help customers capture, prioritize, and complete their aspirations and goals along their path to success. With Visio, we help customers model and conceptualize information pathways through process diagrams, organizational charts, and more to visualize what it is and what it can be. Collectively, we're responsible for an incredible portfolio of products and services that help guide people and organizations along their journey to achieve more. And of course, Microsoft being a leader in the AI space, we are heavily investing in making all our products \&amp; services more intelligent with AI tools and agents.
We are looking for a **Software Engineer** to join the Path Engineering team under CAP (Collaborative Apps \&amp; Platforms) org. By using the next generation of Work Management experiences, and infusing Microsoft's Copilot and Generative AI technologies with Path products, you’ll help create the future of how customers get things done – from drawing diagrams and designs, to generating plans for work, and actually executing some tasks through agents. You’ll reach tens of millions of customers with the technology you create and inspire hundreds of engineers on the team to go beyond what’s possible today to create the work management platform for the future.
Microsoft’s mission is to empower every person and every organization on the planet to achieve more. By integrating the power of generative AI with tools for workflow management you will directly contribute to that mission empowering customers to achieve at a pace and scale beyond what has previously been considered possible.
 **Responsibilities**  
* Design and develop end user facing client applications.
* Knowledge of how clients and services work, with a history of developing, deploying and evolving products in a dev\-ops managed production environment.
* You will design features and capabilities to enable experiences for millions of users, interacting with the service through dedicated Web and mobile clients, and through Teams.
* Carry out quick technology “spikes” (or proofs of concepts, flighting) to create value in new features.
* Clear and effective communication skills, be it when you write code, send emails, or explain technical issues to non\-technical co\-workers.
* A desire to make things better, whether it be in how we optimize our inner dev loop, how we test our code, or how we can make deployments happen at light speed. You're always looking for ways we can be better as a team.
* Reliable and responsible work ethic. You enjoy taking on responsibility within your role, on projects you have initiated, and you also enjoy bringing out the best in your teammates.
* Analyzing and improving service efficiency and reliability.
* Collaborate with cross\-functional teams to identify opportunities for service improvements and new features.
* Develop and maintain technical documentation, including design documents, test plans, and user guides.
* Stay up\-to\-date with emerging trends and technologies in software development and apply them to improve service offerings.
* Participate in code reviews and provide constructive feedback to team members to improve code quality.
* Troubleshoot and debug issues in production environments and work with the team to implement solutions.
* Mentor junior team members and contribute to a positive team culture of continuous learning and improvement.
**Qualifications** **Required Qualifications:**
* Bachelor's Degree in Computer Science or related technical field AND 2\+ years technical engineering experience with coding in languages including, but not limited to C\#, JavaScript, or TypeScript
	+ OR equivalent experience.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of experience creating, releasing, and evolving large commercial software components or products at scale.
* 2\+ years of experience with the React framework.Experience with DevOps methodologies and tools.
* Experience with Serverless infrastructure, NOSQL databases and high volume / throughput web applications and their design.
* Experience of collaborating across teams to deliver complete features and end\-to\-end customer experiences.
* Solid customer empathy and willingness to learn.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in-30531bf4fddc21f9</t>
        </is>
      </c>
      <c r="B62" t="inlineStr">
        <is>
          <t>Software Engineer II</t>
        </is>
      </c>
      <c r="C62" t="inlineStr">
        <is>
          <t>Microsoft</t>
        </is>
      </c>
      <c r="D62" t="inlineStr">
        <is>
          <t>indeed</t>
        </is>
      </c>
      <c r="E62">
        <f>HYPERLINK("https://www.indeed.com/viewjob?jk=30531bf4fddc21f9", "https://www.indeed.com/viewjob?jk=30531bf4fddc21f9")</f>
        <v/>
      </c>
      <c r="F62">
        <f>HYPERLINK("https://apply.careers.microsoft.com/careers/job/1970393556643522?utm_source=indeed&amp;domain=microsoft.com", "https://apply.careers.microsoft.com/careers/job/1970393556643522?utm_source=indeed&amp;domain=microsoft.com")</f>
        <v/>
      </c>
      <c r="G62" t="inlineStr">
        <is>
          <t>Redmond, WA, US</t>
        </is>
      </c>
      <c r="H62" s="2" t="n">
        <v>46006</v>
      </c>
      <c r="I6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business intelligence team builds and maintains Power BI which is the undisputed leader in BI tool in the industry today and serves as the bridge between data professionals \&amp; Office users. Power BI’s core value proposition is to enable end users to get answers \&amp; insights from their data through data visualization.
Power BI Reporting \&amp; Exploration team's mission is to empower everyone to better understand their data and effectively communicate insights. We are looking for a Software Engineer II to work on the backend systems that power our global\-scale services that execute more than 1 billion queries every day to reliably support visualization, reporting, metrics, copilot and more.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 develop, and deliver innovative and impactful features within Power BI
* Work on coding, debugging, testing, and troubleshooting throughout the application development process.
* Collaborate with other team members to ensure that our software meets the needs of our customers.
* Continuously improve your skills and knowledge to stay up to date with the latest technologies and best practices.
* Acts as a Designated Responsible Individual (DRI) working on\-call to monitor system/product feature/service for degradation, downtime, or interruptions and gains approval to restore system/product/service for simple problems.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Knowledge of distributed systems, including high\-performance distributed storage, databases and networking is preferred.
* Experience with building, deploying, and operating applications and services on cloud platforms (e.g., Azure, AWS, GCP)
* Experience with using big data, streaming, and analytics (e.g., Spark, SQL, Power BI)
* Experience with database/compiler internals and containerization technologies (e.g., B\+ trees, query optimization, SQL query compiler, Kubernetes, Docker)
* Experience with using data visualization technologies (e.g., D3, Highcharts)
* Startup mentality to move and iterate rapidly, work across disciplines, and focus on customers
\#azdat \#azuredata \#powerbi \#powerbijobs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in-71e37466eda7fbb8</t>
        </is>
      </c>
      <c r="B63" t="inlineStr">
        <is>
          <t>Software Engineering II</t>
        </is>
      </c>
      <c r="C63" t="inlineStr">
        <is>
          <t>Microsoft</t>
        </is>
      </c>
      <c r="D63" t="inlineStr">
        <is>
          <t>indeed</t>
        </is>
      </c>
      <c r="E63">
        <f>HYPERLINK("https://www.indeed.com/viewjob?jk=71e37466eda7fbb8", "https://www.indeed.com/viewjob?jk=71e37466eda7fbb8")</f>
        <v/>
      </c>
      <c r="F63">
        <f>HYPERLINK("https://apply.careers.microsoft.com/careers/job/1970393556640314?utm_source=indeed&amp;domain=microsoft.com", "https://apply.careers.microsoft.com/careers/job/1970393556640314?utm_source=indeed&amp;domain=microsoft.com")</f>
        <v/>
      </c>
      <c r="G63" t="inlineStr">
        <is>
          <t>Redmond, WA, US</t>
        </is>
      </c>
      <c r="H63" s="2" t="n">
        <v>45999</v>
      </c>
      <c r="I63" t="inlineStr">
        <is>
          <t>**Overview**  
Are you excited to join a fast\-growing team within an organization with \~$10 billion in revenue and still expanding? Do you thrive in a dynamic, collaborative environment where you're empowered to innovate and make a real impact?
Online Advertising is one of the fastest\-growing industries globally, contributing about $70 billion to a $600 billion market. As search engines, web publishers, major ad networks, and exchanges serve billions of ad impressions and process terabytes of data every day, there’s an incredible opportunity to shape the future of advertising. We are a team of engineers and scientists tasked with building the platform for bing.ads, providing cutting\-edge advertising solutions to Microsoft’s global partners.
We’re looking for a driven, collaborative Software Engineer II to join our team and help us innovate and deliver world\-class advertising products. If you're passionate about building platforms that integrate AI to shape the future of online advertising, and you're excited to respond to global demand with creative, scalable solutions, this is the opportunity for you!  
Why Join Us?
At Microsoft, our mission is to empower every person and every organization on the planet to achieve more. We’re a team that embraces a growth mindset, collaborates openly, and innovates to make an impact. We’re committed to fostering a culture of inclusion where everyone thrives and can do their best work.
If you want to work in the ad tech industry, especially at the core of ranking, allocation, pricing, and collaborating with many partner teams, this is your chance to shape the future of how people discover products — building the next generation of intelligent, AI\-powered advertising products.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scale high\-performance, low\-latency ad\-serving systems in a high\-QPS environment.
* Collaborate cross\-functionally with teams to define features, improve system reliability, and enhance platform capabilities.
* Implement solutions that process logs and analyze performance data to continuously optimize ad delivery and improve customer experience.
* Drive end\-to\-end ownership of key features and systems, from technical design and development to deployment and optimization.
**Qualifications** **Required Qualifications:**
* Bachelor's Degree in Computer Science or related technical field AND 2\+ years technical engineering experience with coding in languages including, but not limited to, C, C\+\+, C\#, Java, JavaScript, or Python
	+ OR equivalent experience.
* At least 1\+ year of DRI/Oncall experience, with a focus on troubleshooting and resolution in live systems.
* Solid problem\-solving, coding, and debugging skills.
* Experience with high\-QPS, low\-latency systems and distributed system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Proven experience driving features from concept to completion in an agile, fast\-paced environment.
* Expertise in high\-QPS system design, real\-time data processing, and online platforms for ad engines.
\#MicrosoftAI \#OnlineAdvertising \#BigData \#ScalableSystems \#Algorithms \#AI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4">
      <c r="A64" t="inlineStr">
        <is>
          <t>in-5f6318e5f5341c32</t>
        </is>
      </c>
      <c r="B64" t="inlineStr">
        <is>
          <t>Software Engineer II, Twitch</t>
        </is>
      </c>
      <c r="C64" t="inlineStr">
        <is>
          <t>Amazon.com</t>
        </is>
      </c>
      <c r="D64" t="inlineStr">
        <is>
          <t>indeed</t>
        </is>
      </c>
      <c r="E64">
        <f>HYPERLINK("https://www.indeed.com/viewjob?jk=5f6318e5f5341c32", "https://www.indeed.com/viewjob?jk=5f6318e5f5341c32")</f>
        <v/>
      </c>
      <c r="F64">
        <f>HYPERLINK("https://www.amazon.jobs/jobs/3138052/software-engineer-ii-twitch?cmpid=DA_INAD200785B", "https://www.amazon.jobs/jobs/3138052/software-engineer-ii-twitch?cmpid=DA_INAD200785B")</f>
        <v/>
      </c>
      <c r="G64" t="inlineStr">
        <is>
          <t>San Francisco, CA, US</t>
        </is>
      </c>
      <c r="H64" s="2" t="n">
        <v>45995</v>
      </c>
      <c r="I6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in-e8937042feab2df2</t>
        </is>
      </c>
      <c r="B65" t="inlineStr">
        <is>
          <t>Software Engineer II, Android</t>
        </is>
      </c>
      <c r="C65" t="inlineStr">
        <is>
          <t>Amazon.com</t>
        </is>
      </c>
      <c r="D65" t="inlineStr">
        <is>
          <t>indeed</t>
        </is>
      </c>
      <c r="E65">
        <f>HYPERLINK("https://www.indeed.com/viewjob?jk=e8937042feab2df2", "https://www.indeed.com/viewjob?jk=e8937042feab2df2")</f>
        <v/>
      </c>
      <c r="F65">
        <f>HYPERLINK("https://www.amazon.jobs/jobs/3138330/software-engineer-ii-android?cmpid=DA_INAD200785B", "https://www.amazon.jobs/jobs/3138330/software-engineer-ii-android?cmpid=DA_INAD200785B")</f>
        <v/>
      </c>
      <c r="G65" t="inlineStr">
        <is>
          <t>Seattle, WA, US</t>
        </is>
      </c>
      <c r="H65" s="2" t="n">
        <v>45995</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in-39f5c69ad65a6639</t>
        </is>
      </c>
      <c r="B66" t="inlineStr">
        <is>
          <t>Software Engineer II, Android</t>
        </is>
      </c>
      <c r="C66" t="inlineStr">
        <is>
          <t>Amazon.com</t>
        </is>
      </c>
      <c r="D66" t="inlineStr">
        <is>
          <t>indeed</t>
        </is>
      </c>
      <c r="E66">
        <f>HYPERLINK("https://www.indeed.com/viewjob?jk=39f5c69ad65a6639", "https://www.indeed.com/viewjob?jk=39f5c69ad65a6639")</f>
        <v/>
      </c>
      <c r="F66">
        <f>HYPERLINK("https://www.amazon.jobs/jobs/3138330/software-engineer-ii-android?cmpid=DA_INAD200785B", "https://www.amazon.jobs/jobs/3138330/software-engineer-ii-android?cmpid=DA_INAD200785B")</f>
        <v/>
      </c>
      <c r="G66" t="inlineStr">
        <is>
          <t>Irvine, CA, US</t>
        </is>
      </c>
      <c r="H66" s="2" t="n">
        <v>45995</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in-64d3755fd41a571d</t>
        </is>
      </c>
      <c r="B67" t="inlineStr">
        <is>
          <t>Software Engineer II, Twitch</t>
        </is>
      </c>
      <c r="C67" t="inlineStr">
        <is>
          <t>Amazon.com</t>
        </is>
      </c>
      <c r="D67" t="inlineStr">
        <is>
          <t>indeed</t>
        </is>
      </c>
      <c r="E67">
        <f>HYPERLINK("https://www.indeed.com/viewjob?jk=64d3755fd41a571d", "https://www.indeed.com/viewjob?jk=64d3755fd41a571d")</f>
        <v/>
      </c>
      <c r="F67">
        <f>HYPERLINK("https://www.amazon.jobs/jobs/3138052/software-engineer-ii-twitch?cmpid=DA_INAD200785B", "https://www.amazon.jobs/jobs/3138052/software-engineer-ii-twitch?cmpid=DA_INAD200785B")</f>
        <v/>
      </c>
      <c r="G67" t="inlineStr">
        <is>
          <t>Seattle, WA, US</t>
        </is>
      </c>
      <c r="H67" s="2" t="n">
        <v>45995</v>
      </c>
      <c r="I6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in-95717ec6f5ab2967</t>
        </is>
      </c>
      <c r="B68" t="inlineStr">
        <is>
          <t>Software Engineer II, Android</t>
        </is>
      </c>
      <c r="C68" t="inlineStr">
        <is>
          <t>Amazon.com</t>
        </is>
      </c>
      <c r="D68" t="inlineStr">
        <is>
          <t>indeed</t>
        </is>
      </c>
      <c r="E68">
        <f>HYPERLINK("https://www.indeed.com/viewjob?jk=95717ec6f5ab2967", "https://www.indeed.com/viewjob?jk=95717ec6f5ab2967")</f>
        <v/>
      </c>
      <c r="F68">
        <f>HYPERLINK("https://www.amazon.jobs/jobs/3138330/software-engineer-ii-android?cmpid=DA_INAD200785B", "https://www.amazon.jobs/jobs/3138330/software-engineer-ii-android?cmpid=DA_INAD200785B")</f>
        <v/>
      </c>
      <c r="G68" t="inlineStr">
        <is>
          <t>San Francisco, CA, US</t>
        </is>
      </c>
      <c r="H68" s="2" t="n">
        <v>45995</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in-46f451814b2bbd92</t>
        </is>
      </c>
      <c r="B69" t="inlineStr">
        <is>
          <t>Software Engineer II - Virtualization and Kernel</t>
        </is>
      </c>
      <c r="C69" t="inlineStr">
        <is>
          <t>Microsoft</t>
        </is>
      </c>
      <c r="D69" t="inlineStr">
        <is>
          <t>indeed</t>
        </is>
      </c>
      <c r="E69">
        <f>HYPERLINK("https://www.indeed.com/viewjob?jk=46f451814b2bbd92", "https://www.indeed.com/viewjob?jk=46f451814b2bbd92")</f>
        <v/>
      </c>
      <c r="F69">
        <f>HYPERLINK("https://apply.careers.microsoft.com/careers/job/1970393556637503?utm_source=indeed&amp;domain=microsoft.com", "https://apply.careers.microsoft.com/careers/job/1970393556637503?utm_source=indeed&amp;domain=microsoft.com")</f>
        <v/>
      </c>
      <c r="G69" t="inlineStr">
        <is>
          <t>Redmond, WA, US</t>
        </is>
      </c>
      <c r="H69" s="2" t="n">
        <v>45992</v>
      </c>
      <c r="I69" t="inlineStr">
        <is>
          <t>**Overview**  
The Virtualization Core Platform hypervisor team is looking for a talented, highly motivated software engineer to work on foundational components of the Microsoft virtualization stack. We are looking for enthusiastic candidates who can learn quickly and are skilled at design and coding at a systems level (e.g., kernel, hypervisor, firmware).Have you used Hyper\-V today? Have you used Windows 11 today? How about Azure, or Copilot?  
Millions of users interact with Hyper\-V daily. Hyper\-V is the backbone of the cloud and nearly all of Microsoft's online properties, including Azure, are running on Hyper\-V. That's millions of virtual machines hosting the services that people use every day.  
Do you want to build that?  
Join the Virtualization Core Platform Hypervisor team and become a key part of Microsoft's technical strategy. We're at the center of some of the most relevant and rapidly evolving technology areas in the company. We're transforming datacenters and the cloud with classic virtualization technologies as well as exciting new investments in lightweight containers. We’re enabling exciting new technology on Windows desktop systems for mobile application development and security. We are embracing innovation across multiple platforms like Linux and extending our investments in support of Open Source projects.  
Do you have experience with virtualization technologies?  
If so, that's fantastic. If not, we want you to bring your current experience to the team and use it to transform yourself into a virtualization specialist. In this position, you'll be part of a team of highly capable engineers working on the lowest level components of Microsoft's virtualization platform. You'll be working closely with all of Microsoft's key silicon partners to enable new hardware features and push the boundaries of performance, reliability, security, and more. We're looking for a passionate, innovative, and versatile engineer.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We are looking for a Software Engineer II \- Virtualization and Kernel to join our team. To deliver on our charter, we’re looking for talented engineers that are motivated to push boundaries and drive innovation in core CPU, memory, and device virtualization. You do not need Windows development experience to be successful in this role. Our team loves Linux too! If you’re someone with a passion for virtualization and kernel development, please apply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virtualization related features for Azure, Windows and Hyper\-V.
* Collaborate with a dynamic team of engineers, including mentoring engineers in the workgroup.
* Drive for quality in everything you do and continuously improve the quality of the systems on which you work.
* Collaborate across team boundaries to define and drive team charter and vision.
* Provide technical input across the Windows Core and Azure teams.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experience building virtualization, operating system, device drivers, or firmware features.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ccoding in C or C\+\+ OR Bachelor's Degree in Computer Science or related technical field AND 4\+ years technical engineering experience with coding in C or C\+\+.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**\#MSCareerEvents25**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0">
      <c r="A70" t="inlineStr">
        <is>
          <t>in-c449cec3a68926d9</t>
        </is>
      </c>
      <c r="B70" t="inlineStr">
        <is>
          <t>Embedded Software Engineer, Merlin Manager</t>
        </is>
      </c>
      <c r="C70" t="inlineStr">
        <is>
          <t>Amazon.com</t>
        </is>
      </c>
      <c r="D70" t="inlineStr">
        <is>
          <t>indeed</t>
        </is>
      </c>
      <c r="E70">
        <f>HYPERLINK("https://www.indeed.com/viewjob?jk=c449cec3a68926d9", "https://www.indeed.com/viewjob?jk=c449cec3a68926d9")</f>
        <v/>
      </c>
      <c r="F70">
        <f>HYPERLINK("https://www.amazon.jobs/jobs/3136032/embedded-software-engineer-merlin-manager?cmpid=DA_INAD200785B", "https://www.amazon.jobs/jobs/3136032/embedded-software-engineer-merlin-manager?cmpid=DA_INAD200785B")</f>
        <v/>
      </c>
      <c r="G70" t="inlineStr">
        <is>
          <t>Redmond, WA, US</t>
        </is>
      </c>
      <c r="H70" s="2" t="n">
        <v>45981</v>
      </c>
      <c r="I7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in-a81053943cc91f10</t>
        </is>
      </c>
      <c r="B71" t="inlineStr">
        <is>
          <t>Senior Software Engineer- Virtualization and Kernel</t>
        </is>
      </c>
      <c r="C71" t="inlineStr">
        <is>
          <t>Microsoft</t>
        </is>
      </c>
      <c r="D71" t="inlineStr">
        <is>
          <t>indeed</t>
        </is>
      </c>
      <c r="E71">
        <f>HYPERLINK("https://www.indeed.com/viewjob?jk=a81053943cc91f10", "https://www.indeed.com/viewjob?jk=a81053943cc91f10")</f>
        <v/>
      </c>
      <c r="F71">
        <f>HYPERLINK("https://apply.careers.microsoft.com/careers/job/1970393556621442?utm_source=indeed&amp;domain=microsoft.com", "https://apply.careers.microsoft.com/careers/job/1970393556621442?utm_source=indeed&amp;domain=microsoft.com")</f>
        <v/>
      </c>
      <c r="G71" t="inlineStr">
        <is>
          <t>US</t>
        </is>
      </c>
      <c r="H71" s="2" t="n">
        <v>45963</v>
      </c>
      <c r="I71" t="inlineStr">
        <is>
          <t>**Overview**  
The Virtualization Core Platform hypervisor team builds foundational components of Microsoft’s virtualization stack, including Hyper\-V, which powers millions of virtual machines across Microsoft Azure and other services. Hyper\-V is central to Microsoft’s cloud infrastructure and supports workloads at massive scale. Our team works on technologies that enable secure, reliable, and high\-performance virtualization across platforms such as Windows and Linux, while collaborating with hardware partners and the open\-source community. As a Senior Software Engineer specializing in virtualization and kernel development, you will design and implement low\-level components such as hypervisors, kernels, and firmware. You will work closely with silicon partners to enable new hardware features and improve performance, reliability, and security. This role offers opportunities to contribute to datacenter transformation, container technologies, and cross\-platform innovation, including support for open\-source projects. You will gain experience in operating systems that power Azure, Windows Server, Xbox, and Microsoft’s Linux platforms. This position provides exposure to large\-scale distributed systems and cutting\-edge virtualization technologies, enabling you to make a meaningful impact on Microsoft’s cloud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 dynamic team of engineers, including mentoring engineers in the workgroup.
* Learn and share ideas continuously.
* Drive for quality in everything you do and continuously improve the quality of the systems on which you work.
* Collaborate across team boundaries to define and drive team charter and vision.
* Provide technical input across the Azure and Windows teams.
* Design and implement new virtualization related features for Azure, Windows and Hyper\-V.
* Embody our culture and values.
**Qualifications**  
* Bachelor's Degree in Computer Science or related technical field AND 4\+ years technical engineering experience with coding in languages including, but not limited to, C, C\+\+, Rust.
	+ OR equivalent experience.
* 2\+ years experience building operating system, virtualization, or device driver features.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Rust, C\+\+.
	+ OR Python
	+ OR Master's Degree in Computer Science or related technical field AND 6\+ years technical engineering experience with coding in languages including, but not limited to, C, Rust, C\+\+.
	+ OR equivalent experience.
* 4\+ years experience building operating system, virtualization, or device driver features.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in-ffb325298ebcafd2</t>
        </is>
      </c>
      <c r="B72" t="inlineStr">
        <is>
          <t>Software Engineer</t>
        </is>
      </c>
      <c r="C72" t="inlineStr">
        <is>
          <t>Microsoft</t>
        </is>
      </c>
      <c r="D72" t="inlineStr">
        <is>
          <t>indeed</t>
        </is>
      </c>
      <c r="E72">
        <f>HYPERLINK("https://www.indeed.com/viewjob?jk=ffb325298ebcafd2", "https://www.indeed.com/viewjob?jk=ffb325298ebcafd2")</f>
        <v/>
      </c>
      <c r="F72">
        <f>HYPERLINK("https://apply.careers.microsoft.com/careers/job/1970393556620328?utm_source=indeed&amp;domain=microsoft.com", "https://apply.careers.microsoft.com/careers/job/1970393556620328?utm_source=indeed&amp;domain=microsoft.com")</f>
        <v/>
      </c>
      <c r="G72" t="inlineStr">
        <is>
          <t>US</t>
        </is>
      </c>
      <c r="H72" s="2" t="n">
        <v>45963</v>
      </c>
      <c r="I72" t="inlineStr">
        <is>
          <t>**Overview**  
The Microsoft Azure cloud has machines spanning the globe, so that we can empower every person and organization on the planet to achieve more. As the fleet grows, efficient utilization of all our resources becomes a vital part of the business. If you are interested in helping define, build, and manage this fleet to maximize utilization and minimize costs, then consider Azure Core Compute (One Fleet Efficiency group). Our group works closely with MSR (Microsoft Research) to bring the latest and greatest innovation in server technologies to our data centers, including disaggregating resources. This will fundamentally change how we have been running and managing our data centers.
As a Software Engineer in our group, you will help design, develop, and run an Azure service that will manage and reshape the Azure fleet based on telemetry and intelligence. You will get opportunities to work on longer\-term initiatives with high impact. You will work with many internal Azure partners to come up with creative solutions and realize them in production. Our team is driven by innovation and excellence in cloud technology and offers a supportive and inclusive environment where you can learn and grow with a team of engineers and architects at the forefront of cloud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scale.a
**Qualifications**  
**Required Qualifications***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Experience with distributed systems.
* Experience working on services.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3">
      <c r="A73" t="inlineStr">
        <is>
          <t>in-d80ef0abbc95f013</t>
        </is>
      </c>
      <c r="B73" t="inlineStr">
        <is>
          <t>Software Engineer I</t>
        </is>
      </c>
      <c r="C73" t="inlineStr">
        <is>
          <t>Amazon.com</t>
        </is>
      </c>
      <c r="D73" t="inlineStr">
        <is>
          <t>indeed</t>
        </is>
      </c>
      <c r="E73">
        <f>HYPERLINK("https://www.indeed.com/viewjob?jk=d80ef0abbc95f013", "https://www.indeed.com/viewjob?jk=d80ef0abbc95f013")</f>
        <v/>
      </c>
      <c r="F73">
        <f>HYPERLINK("https://www.amazon.jobs/jobs/3111761/software-engineer-i?cmpid=DA_INAD200785B", "https://www.amazon.jobs/jobs/3111761/software-engineer-i?cmpid=DA_INAD200785B")</f>
        <v/>
      </c>
      <c r="G73" t="inlineStr">
        <is>
          <t>San Francisco, CA, US</t>
        </is>
      </c>
      <c r="H73" s="2" t="n">
        <v>45946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in-d964e72762790a8a</t>
        </is>
      </c>
      <c r="B74" t="inlineStr">
        <is>
          <t>Software Engineer I</t>
        </is>
      </c>
      <c r="C74" t="inlineStr">
        <is>
          <t>Amazon.com</t>
        </is>
      </c>
      <c r="D74" t="inlineStr">
        <is>
          <t>indeed</t>
        </is>
      </c>
      <c r="E74">
        <f>HYPERLINK("https://www.indeed.com/viewjob?jk=d964e72762790a8a", "https://www.indeed.com/viewjob?jk=d964e72762790a8a")</f>
        <v/>
      </c>
      <c r="F74">
        <f>HYPERLINK("https://www.amazon.jobs/jobs/3111761/software-engineer-i?cmpid=DA_INAD200785B", "https://www.amazon.jobs/jobs/3111761/software-engineer-i?cmpid=DA_INAD200785B")</f>
        <v/>
      </c>
      <c r="G74" t="inlineStr">
        <is>
          <t>Irvine, CA, US</t>
        </is>
      </c>
      <c r="H74" s="2" t="n">
        <v>45946</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in-6e5aaf69b7469665</t>
        </is>
      </c>
      <c r="B75" t="inlineStr">
        <is>
          <t>Software Engineer II</t>
        </is>
      </c>
      <c r="C75" t="inlineStr">
        <is>
          <t>Amazon.com</t>
        </is>
      </c>
      <c r="D75" t="inlineStr">
        <is>
          <t>indeed</t>
        </is>
      </c>
      <c r="E75">
        <f>HYPERLINK("https://www.indeed.com/viewjob?jk=6e5aaf69b7469665", "https://www.indeed.com/viewjob?jk=6e5aaf69b7469665")</f>
        <v/>
      </c>
      <c r="F75">
        <f>HYPERLINK("https://www.amazon.jobs/jobs/3104734/software-engineer-ii?cmpid=DA_INAD200785B", "https://www.amazon.jobs/jobs/3104734/software-engineer-ii?cmpid=DA_INAD200785B")</f>
        <v/>
      </c>
      <c r="G75" t="inlineStr">
        <is>
          <t>Irvine, CA, US</t>
        </is>
      </c>
      <c r="H75" s="2" t="n">
        <v>45938</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in-3652fe63818ae27a</t>
        </is>
      </c>
      <c r="B76" t="inlineStr">
        <is>
          <t>Software Engineer II</t>
        </is>
      </c>
      <c r="C76" t="inlineStr">
        <is>
          <t>Amazon.com</t>
        </is>
      </c>
      <c r="D76" t="inlineStr">
        <is>
          <t>indeed</t>
        </is>
      </c>
      <c r="E76">
        <f>HYPERLINK("https://www.indeed.com/viewjob?jk=3652fe63818ae27a", "https://www.indeed.com/viewjob?jk=3652fe63818ae27a")</f>
        <v/>
      </c>
      <c r="F76">
        <f>HYPERLINK("https://www.amazon.jobs/jobs/3104734/software-engineer-ii?cmpid=DA_INAD200785B", "https://www.amazon.jobs/jobs/3104734/software-engineer-ii?cmpid=DA_INAD200785B")</f>
        <v/>
      </c>
      <c r="G76" t="inlineStr">
        <is>
          <t>San Francisco, CA, US</t>
        </is>
      </c>
      <c r="H76" s="2" t="n">
        <v>45938</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in-d4c53b969581de3f</t>
        </is>
      </c>
      <c r="B77" t="inlineStr">
        <is>
          <t>Software Engineer II</t>
        </is>
      </c>
      <c r="C77" t="inlineStr">
        <is>
          <t>Amazon.com</t>
        </is>
      </c>
      <c r="D77" t="inlineStr">
        <is>
          <t>indeed</t>
        </is>
      </c>
      <c r="E77">
        <f>HYPERLINK("https://www.indeed.com/viewjob?jk=d4c53b969581de3f", "https://www.indeed.com/viewjob?jk=d4c53b969581de3f")</f>
        <v/>
      </c>
      <c r="F77">
        <f>HYPERLINK("https://www.amazon.jobs/jobs/3104734/software-engineer-ii?cmpid=DA_INAD200785B", "https://www.amazon.jobs/jobs/3104734/software-engineer-ii?cmpid=DA_INAD200785B")</f>
        <v/>
      </c>
      <c r="G77" t="inlineStr">
        <is>
          <t>Culver City, CA, US</t>
        </is>
      </c>
      <c r="H77" s="2" t="n">
        <v>45938</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in-2ede0b626490a158</t>
        </is>
      </c>
      <c r="B78" t="inlineStr">
        <is>
          <t>Sr Software Engineer</t>
        </is>
      </c>
      <c r="C78" t="inlineStr">
        <is>
          <t>Amazon.com</t>
        </is>
      </c>
      <c r="D78" t="inlineStr">
        <is>
          <t>indeed</t>
        </is>
      </c>
      <c r="E78">
        <f>HYPERLINK("https://www.indeed.com/viewjob?jk=2ede0b626490a158", "https://www.indeed.com/viewjob?jk=2ede0b626490a158")</f>
        <v/>
      </c>
      <c r="F78">
        <f>HYPERLINK("https://www.amazon.jobs/jobs/3090674/sr-software-engineer?cmpid=DA_INAD200785B", "https://www.amazon.jobs/jobs/3090674/sr-software-engineer?cmpid=DA_INAD200785B")</f>
        <v/>
      </c>
      <c r="G78" t="inlineStr">
        <is>
          <t>Irvine, CA, US</t>
        </is>
      </c>
      <c r="H78" s="2" t="n">
        <v>45921</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in-c417ffae2f8f18fe</t>
        </is>
      </c>
      <c r="B79" t="inlineStr">
        <is>
          <t>Sr Software Engineer</t>
        </is>
      </c>
      <c r="C79" t="inlineStr">
        <is>
          <t>Amazon.com</t>
        </is>
      </c>
      <c r="D79" t="inlineStr">
        <is>
          <t>indeed</t>
        </is>
      </c>
      <c r="E79">
        <f>HYPERLINK("https://www.indeed.com/viewjob?jk=c417ffae2f8f18fe", "https://www.indeed.com/viewjob?jk=c417ffae2f8f18fe")</f>
        <v/>
      </c>
      <c r="F79">
        <f>HYPERLINK("https://www.amazon.jobs/jobs/3090674/sr-software-engineer?cmpid=DA_INAD200785B", "https://www.amazon.jobs/jobs/3090674/sr-software-engineer?cmpid=DA_INAD200785B")</f>
        <v/>
      </c>
      <c r="G79" t="inlineStr">
        <is>
          <t>San Francisco, CA, US</t>
        </is>
      </c>
      <c r="H79" s="2" t="n">
        <v>45921</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in-7e31680f360124be</t>
        </is>
      </c>
      <c r="B80" t="inlineStr">
        <is>
          <t>Software Engineer II</t>
        </is>
      </c>
      <c r="C80" t="inlineStr">
        <is>
          <t>Amazon.com</t>
        </is>
      </c>
      <c r="D80" t="inlineStr">
        <is>
          <t>indeed</t>
        </is>
      </c>
      <c r="E80">
        <f>HYPERLINK("https://www.indeed.com/viewjob?jk=7e31680f360124be", "https://www.indeed.com/viewjob?jk=7e31680f360124be")</f>
        <v/>
      </c>
      <c r="F80">
        <f>HYPERLINK("https://www.amazon.jobs/jobs/3090680/software-engineer-ii?cmpid=DA_INAD200785B", "https://www.amazon.jobs/jobs/3090680/software-engineer-ii?cmpid=DA_INAD200785B")</f>
        <v/>
      </c>
      <c r="G80" t="inlineStr">
        <is>
          <t>Irvine, CA, US</t>
        </is>
      </c>
      <c r="H80" s="2" t="n">
        <v>45921</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in-61553a79b973787f</t>
        </is>
      </c>
      <c r="B81" t="inlineStr">
        <is>
          <t>Software Engineer II</t>
        </is>
      </c>
      <c r="C81" t="inlineStr">
        <is>
          <t>Amazon.com</t>
        </is>
      </c>
      <c r="D81" t="inlineStr">
        <is>
          <t>indeed</t>
        </is>
      </c>
      <c r="E81">
        <f>HYPERLINK("https://www.indeed.com/viewjob?jk=61553a79b973787f", "https://www.indeed.com/viewjob?jk=61553a79b973787f")</f>
        <v/>
      </c>
      <c r="F81">
        <f>HYPERLINK("https://www.amazon.jobs/jobs/3090680/software-engineer-ii?cmpid=DA_INAD200785B", "https://www.amazon.jobs/jobs/3090680/software-engineer-ii?cmpid=DA_INAD200785B")</f>
        <v/>
      </c>
      <c r="G81" t="inlineStr">
        <is>
          <t>San Francisco, CA, US</t>
        </is>
      </c>
      <c r="H81" s="2" t="n">
        <v>45921</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in-644496da2217fea9</t>
        </is>
      </c>
      <c r="B82" t="inlineStr">
        <is>
          <t>Software Engineer I- Ad Demand</t>
        </is>
      </c>
      <c r="C82" t="inlineStr">
        <is>
          <t>Amazon.com</t>
        </is>
      </c>
      <c r="D82" t="inlineStr">
        <is>
          <t>indeed</t>
        </is>
      </c>
      <c r="E82">
        <f>HYPERLINK("https://www.indeed.com/viewjob?jk=644496da2217fea9", "https://www.indeed.com/viewjob?jk=644496da2217fea9")</f>
        <v/>
      </c>
      <c r="F82">
        <f>HYPERLINK("https://www.amazon.jobs/jobs/3082168/software-engineer-i-ad-demand?cmpid=DA_INAD200785B", "https://www.amazon.jobs/jobs/3082168/software-engineer-i-ad-demand?cmpid=DA_INAD200785B")</f>
        <v/>
      </c>
      <c r="G82" t="inlineStr">
        <is>
          <t>New York, NY, US</t>
        </is>
      </c>
      <c r="H82" s="2" t="n">
        <v>45908</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in-3985e283002b5552</t>
        </is>
      </c>
      <c r="B83" t="inlineStr">
        <is>
          <t>Software Engineer I- Ad Demand</t>
        </is>
      </c>
      <c r="C83" t="inlineStr">
        <is>
          <t>Amazon.com</t>
        </is>
      </c>
      <c r="D83" t="inlineStr">
        <is>
          <t>indeed</t>
        </is>
      </c>
      <c r="E83">
        <f>HYPERLINK("https://www.indeed.com/viewjob?jk=3985e283002b5552", "https://www.indeed.com/viewjob?jk=3985e283002b5552")</f>
        <v/>
      </c>
      <c r="F83">
        <f>HYPERLINK("https://www.amazon.jobs/jobs/3082168/software-engineer-i-ad-demand?cmpid=DA_INAD200785B", "https://www.amazon.jobs/jobs/3082168/software-engineer-i-ad-demand?cmpid=DA_INAD200785B")</f>
        <v/>
      </c>
      <c r="G83" t="inlineStr">
        <is>
          <t>San Francisco, CA, US</t>
        </is>
      </c>
      <c r="H83" s="2" t="n">
        <v>45908</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in-1278fcd8293fcb38</t>
        </is>
      </c>
      <c r="B84" t="inlineStr">
        <is>
          <t>Senior Software Engineer - Query Processing, Aurora DSQL</t>
        </is>
      </c>
      <c r="C84" t="inlineStr">
        <is>
          <t>Amazon Web Services</t>
        </is>
      </c>
      <c r="D84" t="inlineStr">
        <is>
          <t>indeed</t>
        </is>
      </c>
      <c r="E84">
        <f>HYPERLINK("https://www.indeed.com/viewjob?jk=1278fcd8293fcb38", "https://www.indeed.com/viewjob?jk=1278fcd8293fcb38")</f>
        <v/>
      </c>
      <c r="F84">
        <f>HYPERLINK("https://www.amazon.jobs/jobs/2987643/senior-software-engineer--query-processing-aurora-dsql?cmpid=DA_INAD200785B", "https://www.amazon.jobs/jobs/2987643/senior-software-engineer--query-processing-aurora-dsql?cmpid=DA_INAD200785B")</f>
        <v/>
      </c>
      <c r="G84" t="inlineStr">
        <is>
          <t>East Palo Alto, CA, US</t>
        </is>
      </c>
      <c r="H84" s="2" t="n">
        <v>45796</v>
      </c>
      <c r="I8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in-bf9cd2a481f41c57</t>
        </is>
      </c>
      <c r="B85" t="inlineStr">
        <is>
          <t>Senior Software Engineer - Query Processing, Aurora DSQL</t>
        </is>
      </c>
      <c r="C85" t="inlineStr">
        <is>
          <t>Amazon Web Services</t>
        </is>
      </c>
      <c r="D85" t="inlineStr">
        <is>
          <t>indeed</t>
        </is>
      </c>
      <c r="E85">
        <f>HYPERLINK("https://www.indeed.com/viewjob?jk=bf9cd2a481f41c57", "https://www.indeed.com/viewjob?jk=bf9cd2a481f41c57")</f>
        <v/>
      </c>
      <c r="F85">
        <f>HYPERLINK("https://www.amazon.jobs/jobs/2987643/senior-software-engineer--query-processing-aurora-dsql?cmpid=DA_INAD200785B", "https://www.amazon.jobs/jobs/2987643/senior-software-engineer--query-processing-aurora-dsql?cmpid=DA_INAD200785B")</f>
        <v/>
      </c>
      <c r="G85" t="inlineStr">
        <is>
          <t>Seattle, WA, US</t>
        </is>
      </c>
      <c r="H85" s="2" t="n">
        <v>45796</v>
      </c>
      <c r="I8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in-378caa71d86b6135</t>
        </is>
      </c>
      <c r="B86" t="inlineStr">
        <is>
          <t>Embedded C++ Software Engineer, Machine Learning Acceleration</t>
        </is>
      </c>
      <c r="C86" t="inlineStr">
        <is>
          <t>Amazon Web Services</t>
        </is>
      </c>
      <c r="D86" t="inlineStr">
        <is>
          <t>indeed</t>
        </is>
      </c>
      <c r="E86">
        <f>HYPERLINK("https://www.indeed.com/viewjob?jk=378caa71d86b6135", "https://www.indeed.com/viewjob?jk=378caa71d86b6135")</f>
        <v/>
      </c>
      <c r="F86">
        <f>HYPERLINK("https://www.amazon.jobs/jobs/2894488/embedded-c-software-engineer-machine-learning-acceleration?cmpid=DA_INAD200785B", "https://www.amazon.jobs/jobs/2894488/embedded-c-software-engineer-machine-learning-acceleration?cmpid=DA_INAD200785B")</f>
        <v/>
      </c>
      <c r="G86" t="inlineStr">
        <is>
          <t>Cupertino, CA, US</t>
        </is>
      </c>
      <c r="H86" s="2" t="n">
        <v>45691</v>
      </c>
      <c r="I8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in-30a07d55b69005b3</t>
        </is>
      </c>
      <c r="B87" t="inlineStr">
        <is>
          <t>Embedded C++ Software Engineer, Machine Learning Acceleration</t>
        </is>
      </c>
      <c r="C87" t="inlineStr">
        <is>
          <t>Amazon Web Services</t>
        </is>
      </c>
      <c r="D87" t="inlineStr">
        <is>
          <t>indeed</t>
        </is>
      </c>
      <c r="E87">
        <f>HYPERLINK("https://www.indeed.com/viewjob?jk=30a07d55b69005b3", "https://www.indeed.com/viewjob?jk=30a07d55b69005b3")</f>
        <v/>
      </c>
      <c r="F87">
        <f>HYPERLINK("https://www.amazon.jobs/jobs/2894488/embedded-c-software-engineer-machine-learning-acceleration?cmpid=DA_INAD200785B", "https://www.amazon.jobs/jobs/2894488/embedded-c-software-engineer-machine-learning-acceleration?cmpid=DA_INAD200785B")</f>
        <v/>
      </c>
      <c r="G87" t="inlineStr">
        <is>
          <t>Austin, TX, US</t>
        </is>
      </c>
      <c r="H87" s="2" t="n">
        <v>45691</v>
      </c>
      <c r="I8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li-4341090405</t>
        </is>
      </c>
      <c r="B2" t="inlineStr">
        <is>
          <t>Sr. Software Engineer (ML), AGI Customization</t>
        </is>
      </c>
      <c r="C2" t="inlineStr">
        <is>
          <t>Amazon</t>
        </is>
      </c>
      <c r="D2" t="inlineStr">
        <is>
          <t>linkedin</t>
        </is>
      </c>
      <c r="E2">
        <f>HYPERLINK("https://www.linkedin.com/jobs/view/4341090405", "https://www.linkedin.com/jobs/view/4341090405")</f>
        <v/>
      </c>
      <c r="F2">
        <f>HYPERLINK("https://www.amazon.jobs/jobs/3127625/sr-software-engineer-ml-agi-customization?cmpid=SPLICX0248M&amp;utm_source=linkedin.com&amp;utm_campaign=cxro&amp;utm_medium=social_media&amp;utm_content=job_posting&amp;ss=paid&amp;urlHash=ky3W", "https://www.amazon.jobs/jobs/3127625/sr-software-engineer-ml-agi-customization?cmpid=SPLICX0248M&amp;utm_source=linkedin.com&amp;utm_campaign=cxro&amp;utm_medium=social_media&amp;utm_content=job_posting&amp;ss=paid&amp;urlHash=ky3W")</f>
        <v/>
      </c>
      <c r="G2" t="inlineStr">
        <is>
          <t>Sunnyvale, CA</t>
        </is>
      </c>
      <c r="H2" t="inlineStr"/>
      <c r="I2" t="inlineStr">
        <is>
          <t>**Description**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A3127625</t>
        </is>
      </c>
    </row>
    <row r="3">
      <c r="A3" t="inlineStr">
        <is>
          <t>li-4341230298</t>
        </is>
      </c>
      <c r="B3" t="inlineStr">
        <is>
          <t>Sr. Software Engineer (ML), AGI Customization</t>
        </is>
      </c>
      <c r="C3" t="inlineStr">
        <is>
          <t>Amazon</t>
        </is>
      </c>
      <c r="D3" t="inlineStr">
        <is>
          <t>linkedin</t>
        </is>
      </c>
      <c r="E3">
        <f>HYPERLINK("https://www.linkedin.com/jobs/view/4341230298", "https://www.linkedin.com/jobs/view/4341230298")</f>
        <v/>
      </c>
      <c r="F3" t="inlineStr"/>
      <c r="G3" t="inlineStr">
        <is>
          <t>Boston, MA</t>
        </is>
      </c>
      <c r="H3" t="inlineStr"/>
      <c r="I3" t="inlineStr">
        <is>
          <t>**Description**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A3127625</t>
        </is>
      </c>
    </row>
    <row r="4">
      <c r="A4" t="inlineStr">
        <is>
          <t>li-4335975288</t>
        </is>
      </c>
      <c r="B4" t="inlineStr">
        <is>
          <t>Principal/Founding Software Engineer</t>
        </is>
      </c>
      <c r="C4" t="inlineStr">
        <is>
          <t>Harnham</t>
        </is>
      </c>
      <c r="D4" t="inlineStr">
        <is>
          <t>linkedin</t>
        </is>
      </c>
      <c r="E4">
        <f>HYPERLINK("https://www.linkedin.com/jobs/view/4335975288", "https://www.linkedin.com/jobs/view/4335975288")</f>
        <v/>
      </c>
      <c r="F4" t="inlineStr"/>
      <c r="G4" t="inlineStr">
        <is>
          <t>Oakland, CA</t>
        </is>
      </c>
      <c r="H4" t="inlineStr"/>
      <c r="I4" t="inlineStr">
        <is>
          <t>**Principal/Founding AI Engineer** 
 specializing in Agentic GenAI \&amp; Medical Data
**Company Overview** 
 Join a rapidly growing medical\-tech startup, backed by $75M\+ in funding, building a 3\-sided marketplace transforming how healthcare connects, transacts, and personalizes patient experiences. We’re a product\-led, remote\-friendly team with engineering and commercial operations in the US and Croatia.
**Role Overview** 
 As a Senior Software Engineer, you’ll architect and develop agentic GenAI workflows leveraging Python, Django, and cutting\-edge AI/ML tools. You will be responsible for designing internal platforms built on sensitive medical datasets, deploying market\-facing solutions, and collaborating closely with commercial and AI teams to iterate rapidly.
**Key Responsibilities** 
* Build agentic GenAI workflows using proprietary and medical datasets.
* Lead GenAI \&amp; workflow orchestration for healthcare data and knowledge management.
* Develop and optimize marketing technology: email delivery, user engagement, personalization solutions, and growth engineering initiatives.
* Prototype, productize, and validate commercial AI models—understand and model clinician behavior, prescription workflows, and intelligent decision systems.
* Write production code for backend (Python/Django), ensure robust system architecture, and lead technical implementation cycles.
* Partner with cross\-functional teams across the US and Croatia to deliver rapid, validated product iterations.
**Skills \&amp; Experience** 
* Proven backend expertise: Python and Django in production environments.
* Frontend experience: React (modern best practices).
* Cloud/infrastructure: AWS (deploying, scaling, monitoring).
* Databases: PostgreSQL; ability to optimize for large medical/structured datasets.
* AI/ML: Experience with OpenAI and agent knowledge systems strongly preferred. Track record training or managing AI agents a plus.
* Nice\-to\-have: Direct experience handling medical/healthcare data.
* Scalability: Experience architecting knowledge systems with large\-volume data indexing, not high\-throughput, but focused on effective information retrieval.</t>
        </is>
      </c>
    </row>
    <row r="5">
      <c r="A5" t="inlineStr">
        <is>
          <t>li-4328991043</t>
        </is>
      </c>
      <c r="B5" t="inlineStr">
        <is>
          <t>Software Engineer, Backend</t>
        </is>
      </c>
      <c r="C5" t="inlineStr">
        <is>
          <t>Tinder</t>
        </is>
      </c>
      <c r="D5" t="inlineStr">
        <is>
          <t>linkedin</t>
        </is>
      </c>
      <c r="E5">
        <f>HYPERLINK("https://www.linkedin.com/jobs/view/4328991043", "https://www.linkedin.com/jobs/view/4328991043")</f>
        <v/>
      </c>
      <c r="F5" t="inlineStr"/>
      <c r="G5" t="inlineStr">
        <is>
          <t>Los Angeles, CA</t>
        </is>
      </c>
      <c r="H5" t="inlineStr"/>
      <c r="I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6">
      <c r="A6" t="inlineStr">
        <is>
          <t>li-4328991042</t>
        </is>
      </c>
      <c r="B6" t="inlineStr">
        <is>
          <t>Software Engineer, Backend</t>
        </is>
      </c>
      <c r="C6" t="inlineStr">
        <is>
          <t>Tinder</t>
        </is>
      </c>
      <c r="D6" t="inlineStr">
        <is>
          <t>linkedin</t>
        </is>
      </c>
      <c r="E6">
        <f>HYPERLINK("https://www.linkedin.com/jobs/view/4328991042", "https://www.linkedin.com/jobs/view/4328991042")</f>
        <v/>
      </c>
      <c r="F6" t="inlineStr"/>
      <c r="G6" t="inlineStr">
        <is>
          <t>Palo Alto, CA</t>
        </is>
      </c>
      <c r="H6" t="inlineStr"/>
      <c r="I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As a Backend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the world over.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7">
      <c r="A7" t="inlineStr">
        <is>
          <t>li-4204412244</t>
        </is>
      </c>
      <c r="B7" t="inlineStr">
        <is>
          <t>Software Engineer</t>
        </is>
      </c>
      <c r="C7" t="inlineStr">
        <is>
          <t>Plaid</t>
        </is>
      </c>
      <c r="D7" t="inlineStr">
        <is>
          <t>linkedin</t>
        </is>
      </c>
      <c r="E7">
        <f>HYPERLINK("https://www.linkedin.com/jobs/view/4204412244", "https://www.linkedin.com/jobs/view/4204412244")</f>
        <v/>
      </c>
      <c r="F7" t="inlineStr"/>
      <c r="G7" t="inlineStr">
        <is>
          <t>San Francisco, CA</t>
        </is>
      </c>
      <c r="H7" t="inlineStr"/>
      <c r="I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mission is to unlock financial freedom for everyone by making money movement and access to financial data simple and secure. As a Software Engineer, you will design and build the systems that power how millions of people connect to their finances. You will work across the stack, from reliable backend services and APIs to intuitive applications that bring those systems to life. You will collaborate with engineers, product managers, and designers to ship products that make financial services more accessible and transparent. At Plaid, engineers take ownership early, grow quickly, and see their work reach millions of users.
**Responsibilities**
* System Design \&amp; Development: Build and maintain scalable, reliable backend or fullstack systems and APIs that power Plaid’s products.
* Collaboration: Work closely with product managers, designers, and other engineers to define and deliver features that solve real customer problems.
* Code Quality: Write clean, efficient, and well\-tested code. Participate in reviews to maintain high engineering standards.
* Testing \&amp; Debugging: Build automated tests, monitor system performance, and troubleshoot issues in production environments.
* Continuous Improvement: Contribute to technical design discussions, share best practices, and help improve how we build at Plaid.
**Qualifications**
* 1\-4 years of software engineering experience (post\-internship)
* Proven ability to ship reliable systems or features at scale
* Strong problem\-solving skills. You turn ideas into practical, maintainable solutions.
* High ownership. You are excited to roll up your sleeves and figure things out that don’t have precedent at Plaid.
* Collaborative mindset. You thrive in a fast\-paced environment and enjoy working with others to deliver results.
* Growth oriented. You seek feedback, learn quickly, and take pride in improving your craft.
 $148,800 \- $223,200 a year
 The target base salary for this position ranges from $148,800/year and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8">
      <c r="A8" t="inlineStr">
        <is>
          <t>li-4362353397</t>
        </is>
      </c>
      <c r="B8" t="inlineStr">
        <is>
          <t>Software Developer</t>
        </is>
      </c>
      <c r="C8" t="inlineStr">
        <is>
          <t>Largeton Group</t>
        </is>
      </c>
      <c r="D8" t="inlineStr">
        <is>
          <t>linkedin</t>
        </is>
      </c>
      <c r="E8">
        <f>HYPERLINK("https://www.linkedin.com/jobs/view/4362353397", "https://www.linkedin.com/jobs/view/4362353397")</f>
        <v/>
      </c>
      <c r="F8" t="inlineStr"/>
      <c r="G8" t="inlineStr">
        <is>
          <t>Pontiac, MI</t>
        </is>
      </c>
      <c r="H8" t="inlineStr"/>
      <c r="I8" t="inlineStr">
        <is>
          <t>**Job Summary (List Format): Software Developer – Pontiac, MI (Hybrid)**
* Design, develop, and maintain secure and scalable applications using .NET and VB6 within a Microsoft\-based environment.
* Develop and support integrations between document management systems, specifically Kofax scanning solutions and Laserfiche DMS.
* Implement and automate scanning workflows and processes to improve business efficiency.
* Provide production support and troubleshooting for end\-users and internal customers regarding applications and document management systems.
* Customize and enhance Laserfiche DMS solutions to meet organizational needs.
* Collaborate with cross\-functional teams using Microsoft Teams for project coordination and solution delivery.
* Utilize Visual Studio, SQL Server Management Studio (SSMS), and Azure DevOps for application development, deployment, and management.
* Produce technical documentation including program specifications, data models, and architecture diagrams.
* Write clean, efficient, and maintainable code following best practices and coding standards.
* Demonstrate strong problem\-solving skills and provide effective solutions to technical challenges.
* Work on\-site a minimum of two days per week as part of a hybrid schedule.</t>
        </is>
      </c>
    </row>
    <row r="9">
      <c r="A9" t="inlineStr">
        <is>
          <t>li-4361628008</t>
        </is>
      </c>
      <c r="B9" t="inlineStr">
        <is>
          <t>Software Engineer, AI</t>
        </is>
      </c>
      <c r="C9" t="inlineStr">
        <is>
          <t>Cleric</t>
        </is>
      </c>
      <c r="D9" t="inlineStr">
        <is>
          <t>linkedin</t>
        </is>
      </c>
      <c r="E9">
        <f>HYPERLINK("https://www.linkedin.com/jobs/view/4361628008", "https://www.linkedin.com/jobs/view/4361628008")</f>
        <v/>
      </c>
      <c r="F9" t="inlineStr"/>
      <c r="G9" t="inlineStr">
        <is>
          <t>San Francisco, CA</t>
        </is>
      </c>
      <c r="H9" t="inlineStr"/>
      <c r="I9" t="inlineStr">
        <is>
          <t>**Join us at Cleric**
 We’re building an autonomous AI agent that investigates and resolves production incidents. Our agent combines LLMs with tools to understand systems, reason through problems, and take corrective actions — even for issues it hasn’t seen before.
 Cleric is already running in production at high\-scale companies across fintech, ride\-sharing, and autonomous vehicles.
**About The Role**
 We’re hiring a Software Engineer, AI to help build and scale our autonomous agent. This role is ideal for engineers who want to build, ship, and work on production AI systems in real\-world environments.
 You’ll work closely with senior engineers on agent reasoning, integrations, and runtime systems, contributing directly to real customer\-facing functionality.
**What You’ll Do**
* Contribute to autonomous agent capabilities and tool execution workflows
* Build and extend integrations with production systems
* Support development of agent evaluation and observability tooling
* Work with senior engineers to design, implement, and ship features
* Learn how to build reliable AI systems operating in production environments
**You have**
* 1–2 years of professional software engineering experience
* Strong fundamentals in software engineering and system design
* Experience programming in Python (experience with other languages is a plus)
* Interest in AI, ML, and agentic systems
* A desire to learn quickly and work on real production problems
**Nice to have**
* Exposure to AI/ML systems or LLM\-based products
* Experience with distributed systems or cloud infrastructure
* Startup or fast\-paced team experience
**How We Work**
* Small teams, big impact
* Radical candor in a positive environment
* In\-person collaboration
* AI\-first in everything we do
**Interview process**
* Intro Call \&amp; Technical Screen
* Software engineering session
* System design
* Bar raiser (product \&amp; engineering practices)</t>
        </is>
      </c>
    </row>
    <row r="10">
      <c r="A10" t="inlineStr">
        <is>
          <t>li-4354953402</t>
        </is>
      </c>
      <c r="B10" t="inlineStr">
        <is>
          <t>Software Engineer I</t>
        </is>
      </c>
      <c r="C10" t="inlineStr">
        <is>
          <t>Microsoft</t>
        </is>
      </c>
      <c r="D10" t="inlineStr">
        <is>
          <t>linkedin</t>
        </is>
      </c>
      <c r="E10">
        <f>HYPERLINK("https://www.linkedin.com/jobs/view/4354953402", "https://www.linkedin.com/jobs/view/4354953402")</f>
        <v/>
      </c>
      <c r="F10">
        <f>HYPERLINK("https://apply.careers.microsoft.com/careers/job/1970393556654596?utm_source=linkedin&amp;domain=microsoft.com&amp;src=LinkedIn&amp;urlHash=j2Gl", "https://apply.careers.microsoft.com/careers/job/1970393556654596?utm_source=linkedin&amp;domain=microsoft.com&amp;src=LinkedIn&amp;urlHash=j2Gl")</f>
        <v/>
      </c>
      <c r="G10" t="inlineStr">
        <is>
          <t>Redmond, WA</t>
        </is>
      </c>
      <c r="H10" t="inlineStr"/>
      <c r="I10" t="inlineStr">
        <is>
          <t>**Overview**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li-4354962938</t>
        </is>
      </c>
      <c r="B11" t="inlineStr">
        <is>
          <t>Sr Software Engineer</t>
        </is>
      </c>
      <c r="C11" t="inlineStr">
        <is>
          <t>Disney Experiences</t>
        </is>
      </c>
      <c r="D11" t="inlineStr">
        <is>
          <t>linkedin</t>
        </is>
      </c>
      <c r="E11">
        <f>HYPERLINK("https://www.linkedin.com/jobs/view/4354962938", "https://www.linkedin.com/jobs/view/4354962938")</f>
        <v/>
      </c>
      <c r="F11" t="inlineStr"/>
      <c r="G11" t="inlineStr">
        <is>
          <t>Glendale, CA</t>
        </is>
      </c>
      <c r="H11" t="inlineStr"/>
      <c r="I11"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**Team Description:**
 Disney Experiences – Licensing \&amp; Publishing Technology
 “We Power the Magic!” That’s our motto at Disney Experiences (DX) Technology \&amp; Digital. Our team creates world\-class immersive digital experiences for Disney’s Consumer Products Business.
 This role sits within the Technology \&amp; Digital organization for Disney Experiences and collaborates closely with cross\-functional teams across the company. The Sr. Software Engineer will report to the Manager, App Development.
 We are seeking a highly skilled and motivated Senior Software Engineer to lead development efforts on our FlexPLM platform and contribute to an AI initiative aimed at automating the enterprise\-level product approval process. This role will be instrumental in integrating FlexPLM with modern data pipelines and intelligent automation systems, ensuring scalability, reliability, and performance across publishing workflows.
**What You'll Do:**
* Lead the design, development, and optimization of FlexPLM modules and integrations, including FlexConnect (formerly TRC) and Flex Insights.
* Environment planning, release planning, change management.
* Apply machine learning and AI techniques to optimize product approval workflows, forecasting, and compliance monitoring.
* Own the full software development lifecycle, including analysis, design, coding, testing, debugging, and documentation.
* Architect and implement scalable backend services using Java and Google Pub/Sub for real\-time data exchange between integrated applications.
* Collaborate with AI/ML teams to incorporate intelligent decision\-making into the product approval workflow.
* Participate in Agile ceremonies, code reviews, and cross\-functional planning sessions.
* Troubleshoot and resolve complex system issues across development and production environments.
* Mentor junior engineers and contribute to technical documentation and best practices.
**Required Qualifications \&amp; Skills:**
* Minimum of 5 years of experience in software engineering with a focus on enterprise systems.
* Strong proficiency in Java, including Spring Boot or similar frameworks.
* Hands\-on experience with FlexPLM, FlexConnect (TRC), and Flex Insights.
* Hands\-on building and deploying LLM\-based applications, including prompt engineering and fine\-tuning
* Experience with RAG (Retrieval Augmented Generation), vector databases, and embeddings
* Experience working with computer vision frameworks
* Experience with Google Cloud Platform, especially Google Pub/Sub for event\-driven architectures.
* Solid understanding of PLM data structures, product lifecycle workflows, and integration patterns.
* CI/CD pipeline management
* Git (version control, merge conflict resolution, rollback planning)
* Excellent problem\-solving, communication, and collaboration skills.
**Preferred Qualifications**
* 
* Experience working in publishing, licensing, or consumer products domains.
* 
* Exposure to tools like Workfront, Snowflake, and SAP integrations within PLM ecosystems.
* Knowledge of ThingWorx or other IoT/PLM connectors.
* Prior involvement in AI\-driven automation projects or intelligent workflow systems.
**Required Education:**
* Bachelor’s degree in Computer Science, Software Engineering, or a related field (or equivalent experience).
* Master’s degree or certifications in AI, Data Science, or Financial Technology is a plus.
 The hiring range for this position in Glendale, California is $138,900 to $186,200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2">
      <c r="A12" t="inlineStr">
        <is>
          <t>li-4341064441</t>
        </is>
      </c>
      <c r="B12" t="inlineStr">
        <is>
          <t>Full Stack Engineer</t>
        </is>
      </c>
      <c r="C12" t="inlineStr">
        <is>
          <t>OpenLoop</t>
        </is>
      </c>
      <c r="D12" t="inlineStr">
        <is>
          <t>linkedin</t>
        </is>
      </c>
      <c r="E12">
        <f>HYPERLINK("https://www.linkedin.com/jobs/view/4341064441", "https://www.linkedin.com/jobs/view/4341064441")</f>
        <v/>
      </c>
      <c r="F12" t="inlineStr"/>
      <c r="G12" t="inlineStr">
        <is>
          <t>San Jose, CA</t>
        </is>
      </c>
      <c r="H12" t="inlineStr"/>
      <c r="I12" t="inlineStr">
        <is>
          <t>**About the Role** 
 OpenLoop is looking for a Full Stack Engineer to join our team 4 days onsite in San Jose, CA. This role sits within OpenLoop’s AI team
 and focuses on bringing our AI Care Engine into production across real\-world healthcare environments. You will work closely with partners and internal teams to build, deploy, and integrate AI\-powered voice, messaging, and clinical workflows, ensuring seamless connections across clinical systems, telephony infrastructure, and patient engagement tools throughout OpenLoop’s nationwide network.
**What You'll Do** 
* Lead technical deployments by architecting and executing integrations for new healthcare partners, customizing Hey Revia’s platform to their workflows and legacy systems
* Build the “last mile” of connectivity by designing secure, reliable data pipelines that ingest and synchronize clinical data with our AI services
* Configure and optimize communication infrastructure, including voice and messaging channels, across diverse telephony networks to support patient and care team engagement
* Work across the stack (APIs → databases → infrastructure) to deliver production\-ready solutions
* Collaborate with engineering, product, and clinical teams to translate partner needs into crisp technical execution
* Other duties as assigned.
**Who You Are** 
* Bachelor’s degree in Computer Science, Engineering, or a related technical field
* 3\+ years of engineering experience shipping production\-grade software in modern cloud environments, with comfort moving across APIs, databases, and infrastructure layers
* Deep experience integrating disparate systems, including data ingestion, API interoperability, and third\-party systems integration
* Curiosity or hands\-on experience with LLMs and operationalizing AI models in production workflows
* Strong understanding of data security and compliance best practices; experience handling sensitive data in regulated environments
* Excellent communication skills with the ability to explain complex technical concepts to non\-technical stakeholders and translate ambiguous partner needs into clear technical requirements
**Our Benefits** 
 In addition, for salaried positions you would also be eligible for:
* Medical, Dental, and Vision plans
* Flexible Spending/Health Savings Accounts
* Flexible PTO
* 401(k) \+ Company Match
* Life Insurance, Pet insurance, and more
**About OpenLoop** 
 OpenLoop was co\-founded by CEO, Dr. Jon Lensing, and COO, Christian Williams, with the vision to bring healing anywhere. Our tele\-health support solutions are thoughtfully designed to streamline and simplify go\-to\-market care delivery for companies offering meaningful virtual support to patients across an expansive array of specialties, in all 50 states.
**Our Company Culture**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13">
      <c r="A13" t="inlineStr">
        <is>
          <t>li-4290771622</t>
        </is>
      </c>
      <c r="B13" t="inlineStr">
        <is>
          <t>Software Engineer</t>
        </is>
      </c>
      <c r="C13" t="inlineStr">
        <is>
          <t>Chalk</t>
        </is>
      </c>
      <c r="D13" t="inlineStr">
        <is>
          <t>linkedin</t>
        </is>
      </c>
      <c r="E13">
        <f>HYPERLINK("https://www.linkedin.com/jobs/view/4290771622", "https://www.linkedin.com/jobs/view/4290771622")</f>
        <v/>
      </c>
      <c r="F13" t="inlineStr"/>
      <c r="G13" t="inlineStr">
        <is>
          <t>San Francisco, CA</t>
        </is>
      </c>
      <c r="H13" t="inlineStr"/>
      <c r="I13"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4">
      <c r="A14" t="inlineStr">
        <is>
          <t>li-4357660479</t>
        </is>
      </c>
      <c r="B14" t="inlineStr">
        <is>
          <t>Sr. Software Developer</t>
        </is>
      </c>
      <c r="C14" t="inlineStr">
        <is>
          <t>Rand Worldwide</t>
        </is>
      </c>
      <c r="D14" t="inlineStr">
        <is>
          <t>linkedin</t>
        </is>
      </c>
      <c r="E14">
        <f>HYPERLINK("https://www.linkedin.com/jobs/view/4357660479", "https://www.linkedin.com/jobs/view/4357660479")</f>
        <v/>
      </c>
      <c r="F14" t="inlineStr"/>
      <c r="G14" t="inlineStr"/>
      <c r="H14" t="inlineStr"/>
      <c r="I14" t="inlineStr">
        <is>
          <t>IMAGINIT Technologies, a division of RAND WORLDWIDE, is a leading provider of Autodesk design and engineering solutions to the building, architecture, manufacturing, civil engineering, geospatial, and media and entertainment industry. IMAGINiT provides CAD software and technology expertise to the US and Canada. IMAGINiT Technologies is an Autodesk Platinum Partner and its largest Authorized Training Center (ATC) partner in North America.
 IMAGINiT maintains a software development group focused on delivering custom solutions to our clients.  These solutions range from small task automations within any of the primary Autodesk desktop applications to enterprise level integration and configuration solutions.   The dynamic nature of these projects provides for an ever changing project load with a large variety in the industry or subject matter focus.  
**THE OPPORTUNITY**
 This position is for a Senior Software Developer in the Software Development Solutions department.  The ideal candidate will work directly with team members and clients to define application requirements and estimate the required level\-of\-effort.   Based on the project assignment he/she will also work individually or with a team to develop a software solution that meets the client’s requirements.  Meaningful experience with add\-in development within the Revit platform is a must for this role.  As part of a services organization, excellent communication, independent time management, effort estimation and customer service are required.  
**As a Senior Software Developer, you will create impact by:** 
* Translating client requirements to development effort
* Solution visioning
* Contributing to the overall project planning
* Accurately estimating level\-of\-effort
* Identifying gaps in scope vs expectations
* Leading the development effort on projects
* Properly tracking you progress within the PM tools provided
* Producing required technical documentation
**ABOUT YOU:**
 Pre\-sales
* Occasional involvement in pre\-sales proposals and customer communications
* Requirements Analysis
* Working with team leads to validate estimated level\-of\-effort
* Maintain a good understanding of relevant technologies and approaches to projects
 Project Execution
* Active contributing team member
* Project task ownership
* Adhere to code management best practices
* Develop quality code and deliverables, utilizing best practices and processes
* Track time and expenses
* Communicate with project managers and other stakeholders
* Complete technical documentation
 Project Completion
* Properly test your or your teammates code before delivery
* Support client validation and rollout
* Produce summary information for the project intellectual property
* Contribute software, processes or practices to IMAGINiT intellectual property and the SDS group
 Hours:
* 40\+ hours per week, with a high degree of flexibility. deadline\-driven
* Additional hours for travel and to successfully accomplish the goals of the job
 Travel:
* Travel is expected to be 10\-20% or less based on project requirements
* Travel destinations will primarily be domestic
**WHAT SETS YOU APART?**
* BS in computer science, engineering or mathematics
* Self\-starting, energetic, fast learner and motivated individual who works well in a small and distributed environment.
* Ability to manage multiple duties and projects.
* Has worked within a small team of developers with source control tools and formalized development methodology.
* 7\+ years of experience developing and delivering software applications
* 5\+ years of experience with C\# and .NET Framework
* 2\+ years of experience Autodesk APIs (AutoCAD, Inventor, Revit, Vault or Autodesk SaaS platforms)
* Full stack asp.net MVC, SQL Server, Azure cloud services
* Proficient with git in multi\-developer environments
* Experience in Agile methodology concepts
* Ability to work effectively across multiple functions, departments, cultures, geographies, and time zones
* Proven excellence in written \&amp; verbal communication \&amp; organizational skills
* Secondary skills exposure
	+ Experience with Azure DevOps a plus
	+ Proficient in asynchronous JavaScript development
	+ SPA framework experience – Angular/React/Knockout
**An ideal candidate will also have: energy, enthusiasm, edge, and a willingness to be open to new ideas. Oh, plus all that other stuff that every job description states such as:** 
* Business Savvy and an opportunity seeker
* Enthusiastic with a passion for excellence
* Professional, honest, and ethical
**WHAT’S IN IT FOR YOU?**
* The opportunity to be part of a company where you’ll never get bored in our fast\-paced, constantly evolving and challenging environment
* The opportunity to work with other talented and awesome people!
**WHY WORK AT IMAGINiT?**
 We are a company on the move with the rich legacy of 20 plus years in the business, but the energy of a startup! 
 If you are a person who wants to make a difference in your customers’ lives, have confidence in your ability to succeed, love a challenge, thrive on change, and are a self\-starter, don’t just think about it\- IMAGINiT with an industry\-leading technology company! 
 When you work with an industry leader, you expect more. At IMAGINiT Technologies, we offer a competitive salary, commission (if eligible), bonus potential, and excellent benefits. Our benefits include:
* 401(k) Plan with a Company Match
* Tuition Reimbursement
* Medical Insurance
* Dental Insurance
* Life Insurance
* Vision Care Insurance
* Flexible Spending Accounts
* Paid Holidays, Sick and Vacation Time
**Don’t just think about it – IMAGINiT with an industry\-leading technology company!** 
**Visit us at**
**http://www.rand.com** 
**for more information.**
 We thank all applicants in advance for their interest, but only those applicants who are to be considered will be contacted. 
 Software developer, Software</t>
        </is>
      </c>
    </row>
    <row r="15">
      <c r="A15" t="inlineStr">
        <is>
          <t>li-4354859612</t>
        </is>
      </c>
      <c r="B15" t="inlineStr">
        <is>
          <t>Software Engineer II</t>
        </is>
      </c>
      <c r="C15" t="inlineStr">
        <is>
          <t>Uniti Group Inc.</t>
        </is>
      </c>
      <c r="D15" t="inlineStr">
        <is>
          <t>linkedin</t>
        </is>
      </c>
      <c r="E15">
        <f>HYPERLINK("https://www.linkedin.com/jobs/view/4354859612", "https://www.linkedin.com/jobs/view/4354859612")</f>
        <v/>
      </c>
      <c r="F15" t="inlineStr"/>
      <c r="G15" t="inlineStr"/>
      <c r="H15" t="inlineStr"/>
      <c r="I15" t="inlineStr">
        <is>
          <t>Uniti is a
 **premier insurgent fiber provider** 
 dedicated to enabling mission\-critical connectivity across the United States.
 With a steadfast commitment to customer service, operational excellence, and superior network capabilities, Uniti
 **builds, operates and delivers critical fiber\-based communications services to connect and empower people and businesses** 
 .
**\_\_\_\_\_\_\_\_\_\_\_\_\_\_\_\_\_\_\_\_\_\_\_\_\_\_\_\_\_\_\_\_\_\_\_\_\_\_\_\_\_\_\_\_\_\_\_\_\_\_\_\_\_\_\_\_\_**
**About This Role**
 The RevChain Billing team responsible for enhancing, operating, and supporting RevChain—Uniti’s proprietary, enterprise‑grade billing platform used across our consumer, SMB, enterprise, and carrier segments nationwide. This role will drive both core roadmap releases and customer‑specific customizations, ensuring the platform’s reliability, scalability, and compliance. With a close partnership with stakeholders across Kinetic, Uniti Solutions, Uniti Fiber, and Wholesale, the RevChain team will be able to align billing capabilities with evolving product needs and help deliver RevChain as a software product and managed service to external customers. The work will directly advance Uniti’s mission to connect and empower people and businesses by modernizing revenue operations and elevating the end‑to‑end customer experience.
**What You’ll Do**
* Own the end‑to‑end lifecycle of the RevChain billing platform: design, build, test, release, operate, and continuously improve core product features and customer‑specific customizations.
* Deliver reliable, scalable billing capabilities across rating, invoicing, taxation, credits/adjustments, payment processing, and dunning.
* Manage releases and change control for core and custom deployments; drive quality through automated testing, CI/CD pipelines, and rigorous regression coverage.
* Monitor production health and performance; triage incidents, conduct root‑cause analysis, and implement corrective and preventative actions to meet or exceed SLAs.
* Partner with project managers, architects, and system analusts to translate business requirements into robust technical solutions.
* Integrate RevChain with upstream and downstream systems (ordering, provisioning, CRM, OSS/BSS, general ledger) using APIs, ETL, and event\-driven patterns.
* Improve platform reliability and resilience through performance tuning, caching strategies, data partitioning, and disaster recovery design.
* Uphold data integrity and compliance standards across environments; support audits, enforce access controls, and implement privacy/security best practices.
* Create and maintain clear technical documentation and operational procedures to ensure repeatable, safe deployments and support.
* Analyze billing data and workflows to identify defects, gaps, and optimization opportunities; propose and execute roadmap enhancements.
* Support external customers consuming RevChain as a software product, configuration, and ongoing operational guidance.
* Contribute to agile ceremonies (backlog refinement, sprint planning, reviews, retros) and provide realistic estimates while delivering on commitments.
* Mentor teammates, share knowledge, and promote engineering excellence through code reviews, standards, and continuous improvement.
* Proactively surface risks and dependencies; coordinate cross‑functional resolutions and communicate status and impacts to stakeholders.
* Champion a customer‑centric culture—measure outcomes, seek feedback, and iterate quickly to elevate the end‑to‑end billing experience.
**Do You Have**
* Experience working in an AGILE environment using SCRUM framework.
* 3\+ years of experience in full life cycle application development with AGILE/SCRUM methodology.
* 3\+ years of experience in one or more following areas: JavaEE, C\+\+/C, OOA, OOD, Linux, and Windows.
* 3\+ years of experience with one or more of the following: RDBMS, SQL, Oracle, and/or PLSQL.
* 3\+ years of experience with one or more of the following: WebLogic, SQR, UNIX Shell Scripting, HTML, JavaScript, CSS, AJAX, XML, J2EE, Hibernate/Spring, JSF, ANT, and Maven
* Proficient in verbal and written communication.
* Have proven ability to create software to approved design specifications with occasional guidance from an experienced developer/architect.
* Must be able to conduct Unit test and integration test to ensure software meets requirements, design specifications and performance requirements.
* Ability to support SQA team during the test cycle for their deliverables.
* Create and update project documentation according to established standards.
* Participate in the development, review and adherence of project and department standards.
* Provide timely status as requested by supervisor.
**Minimum Qualifications**
 College degree in a Technical or a related field and 2\-4 years professional level experience; or 6\+ years professional level related technical experience; or an equivalent combination of education and professional level related technical experience required.
 Physical Tasks\- Standing Occasionally: 0\-33% \| Walking Occasionally: 0\-33% \|Sitting Continuously: 67\-100% \| Bending: Occasionally: 0\-33% \| Crouching: Occasionally: 0\-33% \| Pushing\-Pulling: Occasionally: 0\-33% \| Carrying: Occasional: 0\-33% \| Reaching Above Head: Occasionally: 0\-33% \| Lifting\-Lowering \&gt;1\-15 lbs: Occasionally: 0\-33% \| Repetitive Hand Action: Medium Dexterity: Continuously: 67\-100% \| Fine Manipulating: frequently: 34% \- 66%
 Audio Visual Needs \- Hearing: Continuously: 67\-100%\| Near Vision: Continuously: 67\-100% \| Far Vision: Occasionally: 0\-33% \| Peripheral Vision: Occasionally: 0\-33%
 Equipment Used in Job Performance: Computer, Printer, Telephone, Basic Office Supplies, Copier
 The starting compensation range for this job is $67,100 to $88,100\.
**\_\_\_\_\_\_\_\_\_\_\_\_\_\_\_\_\_\_\_\_\_\_\_\_\_\_\_\_\_\_\_\_\_\_\_\_\_\_\_\_\_\_\_\_\_\_\_\_\_\_\_\_\_\_\_\_\_**
**Our Benefits**
* Medical, Dental, Vision Insurance Plans
* 401K Plan
* Health \&amp; Flexible Savings Account
* Life and AD\&amp;D, Spousal Life, Child Life Insurance Plans
* Educational Assistance Plan
 Uniti is an equal opportunity employer. At Uniti, we celebrate the authenticity and uniqueness of our people and their ideas. All qualified applicants will receive consideration for employment without regard to race, color, religion, sex, age, national origin, genetic information, protected veteran status, current military status, disability, sexual orientation, marital status, creed, citizenship status, or any other status protected by law, and to give full consideration to qualified disabled individuals and protected veterans.
 Actual base pay for this job will depend on the candidate's primary work location and other factors, such as relevant skills and experience.
**Notice to Non\-U.S. Citizens:** 
 Uniti, as a holder of licenses granted by the Federal Communications Commission, is required to notify and to obtain approval from federal regulatory agencies prior to granting certain system/network access to any non\-U.S. citizen personnel. Offers of employment extended to non\-U.S. citizens are contingent upon receiving the requisite approval from agencies overseeing compliance. Non\-U.S. citizens are required to provide Uniti with the personal identifying information required to obtain the necessary approval prior to accessing certain systems and/or Uniti’s network.
 *If you are not a U.S. citizen, please notify your recruiter or email CORP.HRlegal@uniti.com as soon as possible for information on Uniti’s foreign personnel disclosure and approval requirements.*
**Notice to Applicants:** 
 Depending on the position and its job functions, offers of employment may be contingent upon successful completion of certain pre\-employment screenings, including but not limited to drug\-screen, motor vehicle records check, or other pre\-employment screening. All such screenings will be conducted by an external third\-party with the Candidate’s written consent and in accordance with federal and state law. Refusal to authorize or submit to a required pre\-employment screening may disqualify the candidate from employment. Any misrepresentation during the application or interview process may result in denial of employment, withdrawal of offer, or termination.</t>
        </is>
      </c>
    </row>
    <row r="16">
      <c r="A16" t="inlineStr">
        <is>
          <t>li-4354877769</t>
        </is>
      </c>
      <c r="B16" t="inlineStr">
        <is>
          <t>Software Engineer / Developer (Entry–Mid Level) $100K/yr - $120Kyr</t>
        </is>
      </c>
      <c r="C16" t="inlineStr">
        <is>
          <t>360CyberX</t>
        </is>
      </c>
      <c r="D16" t="inlineStr">
        <is>
          <t>linkedin</t>
        </is>
      </c>
      <c r="E16">
        <f>HYPERLINK("https://www.linkedin.com/jobs/view/4354877769", "https://www.linkedin.com/jobs/view/4354877769")</f>
        <v/>
      </c>
      <c r="F16" t="inlineStr"/>
      <c r="G16" t="inlineStr"/>
      <c r="H16" t="inlineStr"/>
      <c r="I16" t="inlineStr">
        <is>
          <t>**About the Job** 
**Job Title:** 
 Software Engineer / Developer (Entry–Mid Level)
**Location:** 
 Remote (United States)
**Job Type:** 
 Full\-Time
*This position is not open to agencies.* 
**Position Overview** 
 The Software Engineer / Developer (Entry–Mid Level) designs, builds, tests, and maintains software applications that support business operations and customer\-facing solutions. This role works closely with product, engineering, and cross\-functional teams to deliver reliable, scalable, and secure software in modern development environments. This position is ideal for a developing engineer with hands\-on coding experience who understands software fundamentals, enjoys problem\-solving, and is eager to grow within a collaborative, agile team.
**Key Responsibilities** 
* Design, develop, and maintain software applications and services using modern programming languages and frameworks
* Write clean, maintainable, and well\-documented code following best practices
* Participate in code reviews to ensure quality, performance, and security standards
* Collaborate with product managers, designers, and other engineers to translate requirements into technical solutions
* Troubleshoot, debug, and resolve application issues across development and production environments
* Develop and execute unit, integration, and basic automated tests
* Contribute to CI/CD pipelines and deployment processes
* Support application performance monitoring and reliability improvements
* Assist with integrating third\-party APIs, services, and libraries
* Participate in agile ceremonies such as sprint planning, stand\-ups, and retrospectives
**Required Qualifications** 
* 0–3 years of experience in one or more of the following areas:
* Software development or engineering
* Application development (web, backend, or full stack)
* Proficiency in one or more programming languages such as:
* JavaScript / TypeScript
* Python
* Java
* C\#
* Basic understanding of:
* Data structures and algorithms
* Object\-oriented and/or functional programming concepts
* RESTful APIs and web services
* Experience with version control systems (Git)
* Familiarity with software development lifecycle (SDLC) principles
* Strong problem\-solving and analytical skills
* Ability to communicate technical concepts clearly within a team environment
**Why Work at 360Cyberx?** 
 At 360Cyberx, you’ll work alongside experienced security professionals in a collaborative, fast\-paced environment where expertise is valued and impact matters. We offer opportunities to work on meaningful cybersecurity initiatives across diverse industries, expand your technical and strategic skills, and contribute to programs that directly improve organizational security posture. If you are passionate about cybersecurity, continuous learning, and delivering high\-quality security outcomes, 360Cyberx is a place where your work will be recognized and your growth supported.
**Things We Are Passionate About** 
* Building security programs that actually work in production environments
* Aligning cybersecurity with business risk and operational realities
* Continuous learning, professional development, and knowledge sharing
* Integrity, accountability, and strong client partnerships
 Come join us and help build secure, resilient organizations.
**Follow Us** 
 LinkedIn: https://www.linkedin.com/company/360cyberx
 Website: https://www.360cyberx.com
 360cyberx, LLC provides equal employment opportunities (EEO) to all employees and applicants for employment without regard to race, color, religion, sex, national origin, age, disability, protected veteran status, or genetics. In addition to federal law requirements, we comply with applicable state and local laws governing nondiscrimination in employment at every location where the company has facilities. This policy applies to all terms and conditions of employment, including recruiting, hiring, placement, promotion, termination, layoff, recall, transfer, leaves of absence, compensation, and training.</t>
        </is>
      </c>
    </row>
    <row r="17">
      <c r="A17" t="inlineStr">
        <is>
          <t>li-4361665613</t>
        </is>
      </c>
      <c r="B17" t="inlineStr">
        <is>
          <t>Software Engineer</t>
        </is>
      </c>
      <c r="C17" t="inlineStr">
        <is>
          <t>Goliath Partners</t>
        </is>
      </c>
      <c r="D17" t="inlineStr">
        <is>
          <t>linkedin</t>
        </is>
      </c>
      <c r="E17">
        <f>HYPERLINK("https://www.linkedin.com/jobs/view/4361665613", "https://www.linkedin.com/jobs/view/4361665613")</f>
        <v/>
      </c>
      <c r="F17" t="inlineStr"/>
      <c r="G17" t="inlineStr"/>
      <c r="H17" t="inlineStr"/>
      <c r="I17"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18">
      <c r="A18" t="inlineStr">
        <is>
          <t>li-4326473562</t>
        </is>
      </c>
      <c r="B18" t="inlineStr">
        <is>
          <t>Software Engineer</t>
        </is>
      </c>
      <c r="C18" t="inlineStr">
        <is>
          <t>Energize Group</t>
        </is>
      </c>
      <c r="D18" t="inlineStr">
        <is>
          <t>linkedin</t>
        </is>
      </c>
      <c r="E18">
        <f>HYPERLINK("https://www.linkedin.com/jobs/view/4326473562", "https://www.linkedin.com/jobs/view/4326473562")</f>
        <v/>
      </c>
      <c r="F18" t="inlineStr"/>
      <c r="G18" t="inlineStr">
        <is>
          <t>New York, United States</t>
        </is>
      </c>
      <c r="H18" t="inlineStr"/>
      <c r="I18" t="inlineStr">
        <is>
          <t>A fast\-growing robotics company is building affordable robots designed to take on repetitive and physically demanding work. Their systems combine cutting\-edge hardware with a human\-in\-the\-loop teleoperation stack allowing real\-world deployment today while scaling autonomy for tomorrow.
 The company is well\-funded, with proven customers and a clear path to scale.
 You’ll be joining a team of world\-class roboticists and engineers (ex–Boston Dynamics, Tesla, Figure) who are delivering production robots to active customer sites.
**What You’ll Do** 
* Own the core robot software stack including controls, autonomy, perception, and system monitoring.
* Develop real\-time perception pipelines to enhance operator and robot awareness.
* Build teleoperation\-aware autonomy (state handoff, recovery, and return\-to\-autonomy flows).
* Implement reliability systems such as watchdogs, health monitoring, and deterministic logging for fast debugging.
* Create high\-leverage internal tools with visualization to simplify problem\-solving and speed up iteration.
**What Makes You a Great Fit** 
* You’ve shipped robotics or complex hardware–software systems to real users.
* Strong proficiency in
 **modern C\+\+** 
 and a focus on
 **safety, latency, and determinism** 
 .
* You prefer practical, reliable solutions over academic ones — optimizing for real\-world customer value.
* Bonus points for experience with time\-sync (PTP), CAN/EtherCAT/SPI, sensor modeling, camera stacks, or IMU fusion.
**Tech Stack** 
 Primarily
 **C\+\+** 
 , with
 **Python** 
 for prototyping. (No ROS.)
**Why You’ll Love It** 
 You’ll see your work in the real world robots doing useful work in active deployments, every shift.
**Location** 
 On\-site – Brooklyn, NY</t>
        </is>
      </c>
    </row>
    <row r="19">
      <c r="A19" t="inlineStr">
        <is>
          <t>li-4355013171</t>
        </is>
      </c>
      <c r="B19" t="inlineStr">
        <is>
          <t>Software Engineer</t>
        </is>
      </c>
      <c r="C19" t="inlineStr">
        <is>
          <t>Microsoft</t>
        </is>
      </c>
      <c r="D19" t="inlineStr">
        <is>
          <t>linkedin</t>
        </is>
      </c>
      <c r="E19">
        <f>HYPERLINK("https://www.linkedin.com/jobs/view/4355013171", "https://www.linkedin.com/jobs/view/4355013171")</f>
        <v/>
      </c>
      <c r="F19">
        <f>HYPERLINK("https://apply.careers.microsoft.com/careers/job/1970393556620328?utm_source=linkedin&amp;domain=microsoft.com&amp;src=LinkedIn&amp;urlHash=g7ih", "https://apply.careers.microsoft.com/careers/job/1970393556620328?utm_source=linkedin&amp;domain=microsoft.com&amp;src=LinkedIn&amp;urlHash=g7ih")</f>
        <v/>
      </c>
      <c r="G19" t="inlineStr"/>
      <c r="H19" t="inlineStr"/>
      <c r="I19" t="inlineStr">
        <is>
          <t>**Overview**
 The Microsoft Azure cloud has machines spanning the globe, so that we can empower every person and organization on the planet to achieve more. As the fleet grows, efficient utilization of all our resources becomes a vital part of the business. If you are interested in helping define, build, and manage this fleet to maximize utilization and minimize costs, then consider Azure Core Compute (One Fleet Efficiency group). Our group works closely with MSR (Microsoft Research) to bring the latest and greatest innovation in server technologies to our data centers, including disaggregating resources. This will fundamentally change how we have been running and managing our data centers.
 As a Software Engineer in our group, you will help design, develop, and run an Azure service that will manage and reshape the Azure fleet based on telemetry and intelligence. You will get opportunities to work on longer\-term initiatives with high impact. You will work with many internal Azure partners to come up with creative solutions and realize them in production. Our team is driven by innovation and excellence in cloud technology and offers a supportive and inclusive environment where you can learn and grow with a team of engineers and architects at the forefront of cloud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scale.a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1\+ year(s) technical engineering experience with coding in languages including, but not limited to, C, C\+\+, C\#, Java, JavaScript, or Python,
+ OR equivalent experience.
* Experience with distributed systems.
* Experience working on services.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
      <c r="A20" t="inlineStr">
        <is>
          <t>li-4354895556</t>
        </is>
      </c>
      <c r="B20" t="inlineStr">
        <is>
          <t>Software Engineer</t>
        </is>
      </c>
      <c r="C20" t="inlineStr">
        <is>
          <t>Microsoft</t>
        </is>
      </c>
      <c r="D20" t="inlineStr">
        <is>
          <t>linkedin</t>
        </is>
      </c>
      <c r="E20">
        <f>HYPERLINK("https://www.linkedin.com/jobs/view/4354895556", "https://www.linkedin.com/jobs/view/4354895556")</f>
        <v/>
      </c>
      <c r="F20">
        <f>HYPERLINK("https://apply.careers.microsoft.com/careers/job/1970393556657414?utm_source=linkedin&amp;domain=microsoft.com&amp;src=LinkedIn&amp;urlHash=nv66", "https://apply.careers.microsoft.com/careers/job/1970393556657414?utm_source=linkedin&amp;domain=microsoft.com&amp;src=LinkedIn&amp;urlHash=nv66")</f>
        <v/>
      </c>
      <c r="G20" t="inlineStr"/>
      <c r="H20" t="inlineStr"/>
      <c r="I20" t="inlineStr">
        <is>
          <t>**Overview**
 The Azure Software Load Balancer team is a key part of the Azure Core Networking organization, responsible for designing, building, and operating essential network services that differentiate Microsoft’s cloud platform. This team plays a critical role in delivering scalable and reliable infrastructure that supports the growing demands of cloud\-native applications and services.
 We develop the software systems that power Azure’s large\-scale load balancing solutions. At the core of these services is a robust Software Defined Networking (SDN) and Network Function Virtualization (NFV) infrastructure, designed to autonomously manage network operations. Our focus is on continuous innovation to enhance agility, scalability, reliability, security, and cost\-efficiency across the platform.
 As a Software Engineer on the Azure Software Load Balancer team, you will contribute to the development of next\-generation load balancing technologies. You will collaborate with other Software Defined Networking teams to deliver seamless, high\-performance, and resilient cloud infrastructure. This role offers the opportunity to work on complex technical challenges in a fast\-evolving environment, helping to shape the future of cloud networking.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next\-generation offerings in load balancer technologies and collaborate with other Software Defined Networking (SDN) teams to deliver seamless, reliable, and high\-performance cloud infrastructure.
* Design, develop, and deploy large\-scale distributed systems capable of processing massive volumes of data with exceptional scalability and performance.
* Identify opportunities to enhance service health and reliability by designing and implementing end\-to\-end telemetry, alerting, self\-healing, and automation capabilities.
* Take accountability as a Designated Responsible Individual (DRI), mentor engineers across products and solutions, and participate in on\-call rotations to monitor system health and initiate recovery actions when needed.
* Translate functional specifications into production\-ready solutions using agile development practices and rapid iteration cycles.
* Collaborate across teams to align on technical goals, share knowledge, and drive consistent engineering practices across the organization.
* Contribute to a culture of innovation and continuous improvement by engaging in technical discussions, proposing new ideas, and supporting the growth of peers and the broader team.
**Qualifications**
**Required Qualifications:**
* Bachelor's Degree in Computer Science, or related technical discipline
+ OR equivalent experience
* Proven experience coding in languages including, but not limited to, C, C\+\+, C\#, Java or Rust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or Rust
+ OR Master's Degree in Computer Science or related technical field with proven experience coding in languages including, but not limited to, C, C\+\+, C\#, Java, or Rust
+ OR equivalent experience.
* Experience with large\-scale and distributed system automation and execution frameworks
+ Solid skills in system design, architecture, and software development.
* Experience building and shipping large\-scale distributed systems
+ Proven ability to deliver reliable, scalable solutions in complex environments.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li-4290774655</t>
        </is>
      </c>
      <c r="B21" t="inlineStr">
        <is>
          <t>Full Stack Software Engineer</t>
        </is>
      </c>
      <c r="C21" t="inlineStr">
        <is>
          <t>Chalk</t>
        </is>
      </c>
      <c r="D21" t="inlineStr">
        <is>
          <t>linkedin</t>
        </is>
      </c>
      <c r="E21">
        <f>HYPERLINK("https://www.linkedin.com/jobs/view/4290774655", "https://www.linkedin.com/jobs/view/4290774655")</f>
        <v/>
      </c>
      <c r="F21" t="inlineStr"/>
      <c r="G21" t="inlineStr">
        <is>
          <t>San Francisco, CA</t>
        </is>
      </c>
      <c r="H21" t="inlineStr"/>
      <c r="I21"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 work in\-person Monday through Friday in our SF and NY offices. We don’t currently offer remote or hybrid positions.** 
 We are looking for software engineers who are comfortable solving business problems across all layers of the software stack. At Chalk, we build reliable data processing systems that can operate performantly at scale with a laser\-focus on developer experience.
 We need engineers who can build world\-class user experiences across CLI and web surfaces, while also understanding and contributing to a codebase that contains ideas from compilers, query planners, and distributed systems.
**What you will do**
* Work directly with Chalk’s co\-founders to productionize our first iteration
* Write TypeScript, Python, Go, and React
* Expose the functionality of our core platform to data scientist and machine learning end\-users in their home environments
* Iterate rapidly to improve Chalk’s platform in response to customer needs
**What we’re looking for**
* 2\+ years experience of professional software engineering experience
* Working knowledge of computer science fundamentals. We’re not looking for experience from drilling leet code – we need folks who are comfortable building and maintaining real systems
* A record of developing sophisticated user\-facing applications that are pleasant to use
* An eye for high\-quality UX
* Track record of learning new concepts quickly
* Ability to work autonomously \&amp; to make pragmatic tradeoffs with an eye towards business outcomes
* Strong communication skills
**Bonus points**
* Experience implementing data infrastructure
* Experience working with developer tools
* Experience with applied machine learning or data analytics
* Experience with Go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22">
      <c r="A22" t="inlineStr">
        <is>
          <t>li-4361638187</t>
        </is>
      </c>
      <c r="B22" t="inlineStr">
        <is>
          <t>Software Engineer</t>
        </is>
      </c>
      <c r="C22" t="inlineStr">
        <is>
          <t>Goliath Partners</t>
        </is>
      </c>
      <c r="D22" t="inlineStr">
        <is>
          <t>linkedin</t>
        </is>
      </c>
      <c r="E22">
        <f>HYPERLINK("https://www.linkedin.com/jobs/view/4361638187", "https://www.linkedin.com/jobs/view/4361638187")</f>
        <v/>
      </c>
      <c r="F22" t="inlineStr"/>
      <c r="G22" t="inlineStr"/>
      <c r="H22" t="inlineStr"/>
      <c r="I22" t="inlineStr">
        <is>
          <t>Our client is a multi\-VC\-backed startup building the operating system for high\-performance living across travel, dining, experiences, goods \&amp; gifting, and longevity. They are hiring a Founding Backend Engineer to join their team in New York.
 The company has raised $4M\+ from tier\-1 investors, is growing revenue 30%\+ MoM, and has built a proactive, prompt\-less product described as
 *“magic”* 
 by paying customers.
**Role: Founding Engineer (Backend)** 
* Own backend systems end\-to\-end, from architecture to production
* Build scalable services and APIs in Python/Django
* Lead agent orchestration, LLM integrations, and data pipelines
* Design and operate cloud infrastructure on GCP
* Work directly with founders and shape long\-term technical direction
**Essential Skills:** 
* 5\+ years building production backend systems
* Expert Django and strong Python experience
* Distributed systems, SQL performance, and cloud\-native architecture
* High\-ownership, product\-minded engineer comfortable in early\-stage environments
**Nice to Have:** 
* Experience with LLM
 **s** 
 , agentic systems, or ML tooling
* Infrastructure as Code (Terraform)
* Security/compliance exposure
**Comp:** 
* **$325k OTE** 
 ($275k base \+ $50k uncapped bonus)
* Founding\-level equity at ground\-floor valuation
**Benefits:** 
* Meaningful equity in a $10bn\+ opportunity
* Top\-tier health coverage (90% incl. dental \&amp; vision)
* $2k annual learning budget \+ premium hardware
* Whoop or Oura Ring
**If interested, please reply and Goliath Partners will be in touch.**</t>
        </is>
      </c>
    </row>
    <row r="23">
      <c r="A23" t="inlineStr">
        <is>
          <t>li-4362332713</t>
        </is>
      </c>
      <c r="B23" t="inlineStr">
        <is>
          <t>Founding Backend Engineer</t>
        </is>
      </c>
      <c r="C23" t="inlineStr">
        <is>
          <t>Goliath Partners</t>
        </is>
      </c>
      <c r="D23" t="inlineStr">
        <is>
          <t>linkedin</t>
        </is>
      </c>
      <c r="E23">
        <f>HYPERLINK("https://www.linkedin.com/jobs/view/4362332713", "https://www.linkedin.com/jobs/view/4362332713")</f>
        <v/>
      </c>
      <c r="F23" t="inlineStr"/>
      <c r="G23" t="inlineStr">
        <is>
          <t>New York, NY</t>
        </is>
      </c>
      <c r="H23" t="inlineStr"/>
      <c r="I23" t="inlineStr">
        <is>
          <t>Goliath has retained an exclusive role with a
 **Revenue Generating**
 PreSeed firm with $4M in funding within a $5T premium lifestyle market. This company is building a next\-generation, AI\-driven lifestyle operating system designed for individuals operating at the very top of their fields — founders, elite performers, and creative leaders — to systematically maximize performance and decision\-making.
 The platform is backed by experienced operators and early investors with a history of building and exiting category\-defining consumer and technology businesses, alongside globally recognized athletes from top professional sports leagues. The team’s mission is to redefine what high\-performance living looks like in an AI\-native world, blending intelligence, personalization, and execution into a single operating layer.
 They're looking to bring in a
 **Founding Backend Engineer** 
 to join at a crucial time in the growth of this company. This is a chance to staple your name onto a product and company that is almost certain to have a strong ROI.
 Compensation can get close to $350k in cash with
 **Founding Equity** 
 on top.
 The culture being targeted here is someone who's sharp and been a part of a very early stage startup or built up own.
**Ideal Background:** 
* Hands\-on experience building and maintaining production\-grade systems.
* 3\+ years of backend/ full\-stack engineering experience with a focus on backend.
* Excited by startups, complex problem\-solving, and creating industry\-defining technology
* BS in Computer Science or similarly related field
**Required Tech Stack Exp** 
 Python, Django (Must be well versed), Distributed Job Queues, Infrastructure as Code.
 GCP, Cloud SQL, GKE, and Cloud Logging.
 This role will compensate
 **very** 
 competitively for a startup at their size. Compensation Package will include base ($200\-350k) \+ a extremely competitive equity portion.
 If this sounds exciting, please apply and Goliath Partners will be in touch!</t>
        </is>
      </c>
    </row>
    <row r="24">
      <c r="A24" t="inlineStr">
        <is>
          <t>li-4355043424</t>
        </is>
      </c>
      <c r="B24" t="inlineStr">
        <is>
          <t>Full Stack Engineer</t>
        </is>
      </c>
      <c r="C24" t="inlineStr">
        <is>
          <t>Space Executive</t>
        </is>
      </c>
      <c r="D24" t="inlineStr">
        <is>
          <t>linkedin</t>
        </is>
      </c>
      <c r="E24">
        <f>HYPERLINK("https://www.linkedin.com/jobs/view/4355043424", "https://www.linkedin.com/jobs/view/4355043424")</f>
        <v/>
      </c>
      <c r="F24" t="inlineStr"/>
      <c r="G24" t="inlineStr">
        <is>
          <t>San Francisco, CA</t>
        </is>
      </c>
      <c r="H24" t="inlineStr"/>
      <c r="I24" t="inlineStr">
        <is>
          <t>**Senior / Staff Software Engineer (Full\-Stack)** 
**San Francisco \-** 
 On site
**Compensation:** 
 $250,000
**About the Client** 
 Our client is building a modern AI\-powered platform focused on bringing advanced automation and intelligent systems into real\-world production environments. Their product enables organizations to deploy, monitor, and continuously improve AI\-driven workflows with a strong emphasis on reliability, safety, and usability for both technical and non\-technical users.
 They are an early\-stage, well\-capitalized company with a small, high\-impact team and a strong product\-market trajectory.
**About the Role** 
 The client is seeking a Senior Software Engineer to play a key role in building and scaling new products and core platform capabilities. This is a hands\-on individual contributor position with meaningful ownership over architecture, technical decisions, and execution.
 You’ll work closely with product and design partners, contribute production code daily, and help shape the technical foundation of a rapidly evolving platform.
**Responsibilities** 
* Lead the design, architecture, and implementation of new user\-facing products and platform features
* Build and maintain high\-quality, production\-grade systems across the full stack
* Write, review, and maintain TypeScript code in both frontend and backend environments
* Collaborate closely with product and design to align on requirements and ship quickly
* Mentor engineers through code reviews, technical discussions, and design feedback
* Partner with other teams to integrate intelligent features into the product experience
* Balance speed, reliability, and maintainability as the platform scales
* Work directly with customers to understand needs and translate feedback into scalable improvements
- 
**Preferred Qualifications** 
* 3\+ years of experience as a full\-stack software engineer in production environments
* Strong proficiency with TypeScript and modern JavaScript runtimes
* Experience with React\-based frameworks (e.g., Next.js) on the frontend
* Backend experience with relational databases (e.g., PostgreSQL) and API design
* Familiarity with cloud infrastructure and distributed systems
* Experience owning projects or leading technical initiatives in fast\-paced teams
* Strong engineering judgment with a focus on quality and pragmatism
* Desire to learn continuously and take ownership
* Bonus: Side projects, open\-source contributions, or evidence of building independently</t>
        </is>
      </c>
    </row>
    <row r="25">
      <c r="A25" t="inlineStr">
        <is>
          <t>li-4361666499</t>
        </is>
      </c>
      <c r="B25" t="inlineStr">
        <is>
          <t>Software Engineer</t>
        </is>
      </c>
      <c r="C25" t="inlineStr">
        <is>
          <t>Radiance Technologies</t>
        </is>
      </c>
      <c r="D25" t="inlineStr">
        <is>
          <t>linkedin</t>
        </is>
      </c>
      <c r="E25">
        <f>HYPERLINK("https://www.linkedin.com/jobs/view/4361666499", "https://www.linkedin.com/jobs/view/4361666499")</f>
        <v/>
      </c>
      <c r="F25">
        <f>HYPERLINK("https://radiancetech.wd12.myworkdayjobs.com/en-US/Radiance_External/job/All-Remote-Locations/Software-Engineer_HR101946-1&amp;urlHash=vPQc", "https://radiancetech.wd12.myworkdayjobs.com/en-US/Radiance_External/job/All-Remote-Locations/Software-Engineer_HR101946-1&amp;urlHash=vPQc")</f>
        <v/>
      </c>
      <c r="G25" t="inlineStr">
        <is>
          <t>All, MO</t>
        </is>
      </c>
      <c r="H25" t="inlineStr"/>
      <c r="I25" t="inlineStr">
        <is>
          <t>Radiance Technologies is an employee\-owned company with benefits that are unmatched by most companies in the Huntsville, AL or Dayton, OH areas. Employee ownership, generous 401K, full health/dental/life/vision insurance benefits, interesting assignments, educational reimbursement, competitive salaries and a pleasant work environment combine to make Radiance Technologies a great place to work and succeed.
 We are searching for a talented software engineer to join our Modeling and Simulation (M\&amp;S) development team. We are looking for an experienced developer to work with a diverse team of software engineers, data scientists, and analysts to explore and develop solutions on a large, complex development project. The candidate will be expected to join the existing Analytics team and take on the responsibility of developing software to address the complexities of building a web\-based analytics microservice. The greater team is building and deploying a next\-generation modeling \&amp; simulation framework. We are less focused on specific M\&amp;S analytics experience than finding innovative self\-starters who can adapt to a fast\-paced, high\-profile development effort.
**Required Skills**
* Bachelor’s degree or higher in Computer Science, Computer Engineering, or related field
* Strong communication and organizational skills
* US citizenship with the ability to obtain and maintain a security clearance
**Required Experience**
* Minimum of 5 years of object\-oriented programming in Python
* Familiarity with data description languages such as: XML, YAML, JSON
* Familiarity with building HTTP\-based web services using a framework such as FastAPI
* Familiarization with source management repositories such as: Git (GitLab, GitHub, or bare Git), Apache Subversion, or BitBucket
* Experience developing software for the Linux platform
* Familiarity with Kubernetes concepts and YAML for configuration
* Containerization experience using Docker, Podman, CRI\-O, or similar
* Experience with relational and non\-relational databases (e.g., PostgreSQL or MongoDB), and the ability to work with various data formats
**Desired Qualifications**
* Familiarity with C/C\+\+
* Experience working with message queues (e.g., Kafka, RabbitMQ, Redis Streams) and cached data systems (e.g., Redis, Memcached)
* Experience with a multiprocessing or threads library
* Experience with ICAM (identity, credential, and access management) systems and concepts such as OAuth2, JWT, Keycloak, OpenID, or similar
* Familiar with Agile/Scrum or other software development framework
* Experience using build tools such as Jenkins or similar
 EOE/Minorities/Females/Vet/Disabled</t>
        </is>
      </c>
    </row>
    <row r="26">
      <c r="A26" t="inlineStr">
        <is>
          <t>li-4362450334</t>
        </is>
      </c>
      <c r="B26" t="inlineStr">
        <is>
          <t>Full Stack Engineer</t>
        </is>
      </c>
      <c r="C26" t="inlineStr">
        <is>
          <t>James Search Group</t>
        </is>
      </c>
      <c r="D26" t="inlineStr">
        <is>
          <t>linkedin</t>
        </is>
      </c>
      <c r="E26">
        <f>HYPERLINK("https://www.linkedin.com/jobs/view/4362450334", "https://www.linkedin.com/jobs/view/4362450334")</f>
        <v/>
      </c>
      <c r="F26" t="inlineStr"/>
      <c r="G26" t="inlineStr"/>
      <c r="H26" t="inlineStr"/>
      <c r="I26" t="inlineStr">
        <is>
          <t>**About the Company** 
 \- Our client is a globally recognized quantitative trading firm, known for its advanced technology\-driven approach to trading. They are committed to fostering a collaborative and innovative environment where talented engineers can thrive and make a real impact on the business.
**About the Role** 
 \- We're partnering with a leading Quantitative Finance Trading Firm, known for its innovative approach to trading and financial technology, to find a Full Stack Software Engineer. This is a fantastic opportunity for a passionate developer with expertise in C\+\+ or Java and Python to join a cutting\-edge team where your contributions will directly impact the firm's high\-performance trading systems and algorithms.
**Responsibilities** 
* Develop and optimize full\-stack applications that support complex quantitative trading strategies.
* Build and maintain robust, scalable systems, from front\-end user interfaces to back\-end infrastructure.
* Work closely with quants, traders, and data scientists to design and implement software solutions for algorithmic trading.
* Contribute to the continuous improvement of existing systems with a focus on speed, reliability, and performance.
* Collaborate in an agile environment, using modern development tools and techniques to solve real\-world financial problems.
**Qualifications** 
 \- Bachelors Degree
**Required Skills** 
* 1\-4\+ years experience with C\+\+ or Java with experience in Python for full\-stack development.
* Strong experience in building high\-performance, low\-latency systems (trading experience is a plus but not required).
* Familiarity with financial markets, trading systems, and quantitative strategies is beneficial but not mandatory.
* Excellent problem\-solving skills and the ability to think algorithmically.
* A keen eye for performance and the ability to optimize complex systems for speed and efficiency.
* Familiarity with cloud technologies and containerized environments (e.g., Docker, Kubernetes) is a plus.
* Ability to thrive in a fast\-paced, collaborative, and dynamic environment.
**Pay range and compensation package** 
 Competitive base salary
 Variable compensation / bonus
 Benefits and 401k
 Our client are an equal opportunity employer, dedicated to fostering a diverse and inclusive environment.
 To apply or learn more, please follow the instructions below and a member of the team will be in touch.</t>
        </is>
      </c>
    </row>
    <row r="27">
      <c r="A27" t="inlineStr">
        <is>
          <t>li-4352594463</t>
        </is>
      </c>
      <c r="B27" t="inlineStr">
        <is>
          <t>Junior Software Engineer</t>
        </is>
      </c>
      <c r="C27" t="inlineStr">
        <is>
          <t>BeaconFire Inc.</t>
        </is>
      </c>
      <c r="D27" t="inlineStr">
        <is>
          <t>linkedin</t>
        </is>
      </c>
      <c r="E27">
        <f>HYPERLINK("https://www.linkedin.com/jobs/view/4352594463", "https://www.linkedin.com/jobs/view/4352594463")</f>
        <v/>
      </c>
      <c r="F27" t="inlineStr"/>
      <c r="G27" t="inlineStr">
        <is>
          <t>California, United States</t>
        </is>
      </c>
      <c r="H27" t="inlineStr"/>
      <c r="I27"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8">
      <c r="A28" t="inlineStr">
        <is>
          <t>li-4362352862</t>
        </is>
      </c>
      <c r="B28" t="inlineStr">
        <is>
          <t>Full Stack Engineer</t>
        </is>
      </c>
      <c r="C28" t="inlineStr">
        <is>
          <t>Sinclair Talent Solutions</t>
        </is>
      </c>
      <c r="D28" t="inlineStr">
        <is>
          <t>linkedin</t>
        </is>
      </c>
      <c r="E28">
        <f>HYPERLINK("https://www.linkedin.com/jobs/view/4362352862", "https://www.linkedin.com/jobs/view/4362352862")</f>
        <v/>
      </c>
      <c r="F28" t="inlineStr"/>
      <c r="G28" t="inlineStr">
        <is>
          <t>New York, NY</t>
        </is>
      </c>
      <c r="H28" t="inlineStr"/>
      <c r="I28" t="inlineStr">
        <is>
          <t>A high\-growth, venture\-backed AI company in New York City, with a platform serving top\-tier clients in the legal and financial sectors.
**The Role:** 
 A Full Stack Software Engineer to architect the core backend systems and APIs for their flagship, search\-centric product. This is a backend\-leaning role critical to product velocity and platform reliability.
**Key Responsibilities:** 
* Design and build scalable backend services (Python/FastAPI) and data processing pipelines.
* Define efficient API contracts and contribute to key service architecture decisions.
* Integrate backend services with internal AI/ML systems and third\-party platforms.
* Contribute to frontend components (React/TypeScript) as needed to deliver end\-to\-end features.
* Optimize performance and own aspects of engineering excellence (CI/CD, best practices).
**Experience \&amp; Background:** 
* **5\-8 years of experience** 
 as a full\-stack, backend\-leaning software engineer.
* Prior experience in
 **legal tech, fintech, or data\-intensive SaaS** 
 is a significant plus.
* A
 **Computer Science or related STEM degree** 
 from a recognized university.
**Technical Skills:** 
* Expert\-level backend skills in
 **Python** 
 , with strong experience in data infrastructure.
* Proficiency with
 **FastAPI, React, TypeScript, Node.js, and AWS** 
 .
* Capable of working across the stack but with a strong backend focus.
**Personal Attributes:** 
* **Down\-to\-earth, collaborative, and humble** 
 with excellent communication skills.
* Ability to build rapport with diverse stakeholders (product, sales, clients) and contribute positively to team culture.
**Position Details:** 
* **Location:** 
 New York, NY (Hybrid model, 3 days in\-office per week).
* **Compensation:** 
 $160,000 \- $260,000 base salary, plus competitive equity package.</t>
        </is>
      </c>
    </row>
    <row r="29">
      <c r="A29" t="inlineStr">
        <is>
          <t>li-4359100414</t>
        </is>
      </c>
      <c r="B29" t="inlineStr">
        <is>
          <t>Founding Software Engineer</t>
        </is>
      </c>
      <c r="C29" t="inlineStr">
        <is>
          <t>Jetty</t>
        </is>
      </c>
      <c r="D29" t="inlineStr">
        <is>
          <t>linkedin</t>
        </is>
      </c>
      <c r="E29">
        <f>HYPERLINK("https://www.linkedin.com/jobs/view/4359100414", "https://www.linkedin.com/jobs/view/4359100414")</f>
        <v/>
      </c>
      <c r="F29" t="inlineStr"/>
      <c r="G29" t="inlineStr"/>
      <c r="H29" t="inlineStr"/>
      <c r="I29" t="inlineStr">
        <is>
          <t>**Jetty is the first AI companion built to support people with chronic illness.** 
 Our mission is to help people become their own best advocates by giving them an intelligent partner that evolves with their health journey, helping them understand what their body is telling them.
 Health data is uniquely hard: personal, messy, and constantly changing. Symptoms ebb and flow rather than turning on and off. Patterns emerge over weeks, not sessions. And the signals that matter—what actually helps someone feel better—are different for everyone.
 We're building infrastructure to capture and reason about this data in ways that compound over time: rich data modeling, precise timeline handling, and personalization that improves with every interaction. Our approach treats models not as chat interfaces but as components in larger systems—generating artifacts, managing state, and themselves accumulating the signal needed to train specialized models.
 We’re a small, high\-velocity team with big ambition. We move fast, think deeply, and care about substance over hype. If you want to build the definitive personal health intelligence from day one, this is the place. This is our first engineering hire, so you'll work directly with the founding team: a former senior AI leader from Palantir and a former venture investor from NEA.
*Jetty is backed by leading investors and has raised over $2M.* 
**The Role** 
 We're looking for a Founding Software Engineer to build the core systems that make Jetty intelligent — and that make it
 *stay* 
 intelligent over months of use.
 Most LLM products are stateless: every conversation starts from scratch. Jetty is different. We're building infrastructure where every interaction feeds forward — data flows into context, context shapes insight, insight drives value, and value brings people back. Your job is to build the systems that make this loop work: the data pipelines, memory architecture, and context layers that let Jetty surface genuinely novel insights even after months of use.
 This sits at the intersection of backend engineering and AI\-native product development. You'll own API design, database schema, and infrastructure — but the interesting part is figuring out how to make a probabilistic model behave like a reliable, evolving health partner.
 You’ll be joining a live product with active users, not a blank repo. We have a solid foundation, but the architecture for deep, long\-term health intelligence is still being defined—and you’ll help write it.
*This is a remote role (preference for US time zones).* 
**What You'll Do** 
* **Product Development:** 
 Build core features that make Jetty a faster, smarter, and more delightful product.
* **LLM Engineering:** 
 Design systems where models are components in larger workflows — not just chat endpoints, but nodes that generate, validate, and compose structured outputs. You'll shape context architecture, memory systems, and the configurations that let intelligence flow through the product.
* **Infrastructure \&amp; Reliability:** 
 Work around the full lifecycle of code — CI/CD, deployments, observability. Build systems that scale gracefully and fail safely.
* **Work with Hard Data:** 
 Health data is sparse, vague, and temporal. You'll build systems that extract signal from conversational inputs without imposing false precision.
* **Build \&amp; Iterate:** 
 We invest in foundations where they compound, and move fast on everything else. You'll do both.
**What We're Looking For** 
* 3–6\+ years experience as a software engineer.
* Strong in Python
* Instincts for reliability, scaling, security, and observability.
* Comfortable operating in ambiguity and early\-stage chaos.
* Experience with (or genuine excitement for) creative LLM engineering—not just calling endpoints, but shaping model behavior through context design and system architecture.
* **Bonus:**
* Swift, frontend skills, or experience with real\-time systems.
* Experience with strongly typed or compiled languages (Go, Rust, Java, etc.)
* Experience with real\-time systems
**What We Offer** 
* The opportunity to build a product that genuinely changes how people manage their health.
* Competitive salary \&amp; meaningful equity package.
* Real ownership and impact from day one.
 Note: This is not a traditional 9–5 role. You should be comfortable with rapid iteration and high expectations for both speed and quality. As a result, you’ll be able to own meaningful projects end\-to\-end.</t>
        </is>
      </c>
    </row>
    <row r="30">
      <c r="A30" t="inlineStr">
        <is>
          <t>li-4362480692</t>
        </is>
      </c>
      <c r="B30" t="inlineStr">
        <is>
          <t>Senior Software Engineer</t>
        </is>
      </c>
      <c r="C30" t="inlineStr">
        <is>
          <t>GoTu</t>
        </is>
      </c>
      <c r="D30" t="inlineStr">
        <is>
          <t>linkedin</t>
        </is>
      </c>
      <c r="E30">
        <f>HYPERLINK("https://www.linkedin.com/jobs/view/4362480692", "https://www.linkedin.com/jobs/view/4362480692")</f>
        <v/>
      </c>
      <c r="F30" t="inlineStr"/>
      <c r="G30" t="inlineStr">
        <is>
          <t>Hialeah, FL</t>
        </is>
      </c>
      <c r="H30" t="inlineStr"/>
      <c r="I30" t="inlineStr">
        <is>
          <t>Senior Software Engineer (Backend)
 Join
**GoTu** 
 , a dynamic, growth\-stage company that's revolutionizing the dental industry. Our cutting\-edge on\-demand web and mobile platform seamlessly connects licensed dental professionals with dental offices, meeting both temporary and full\-time staffing needs. At GoTu, innovation meets meaningful relationships to empower practices and professionals alike.
 We’re seeking a
 **Senior Software Engineer (Backend)** 
 for our fast\-growing business. As a key member of the engineering team, you’ll contribute towards the system design and backend services. This is a high\-impact role for someone who thrives in fast\-paced, collaborative environments and is passionate about building secure, scalable systems that power meaningful user experiences.
**Key Responsibilities:** 
* Design and implement micro\-services to ensure scalable and maintainable systems
* Write, test, and maintain production\-quality code on a daily basis
* Design and optimize database schemas, queries, and data flow patterns
* Ensure system reliability, monitoring, and incident response capabilities
* Drive performance optimization and scalability for distributed systems and APIs
* Research and implement innovative solutions to challenging engineering problems
* Contribute to and uphold strong engineering culture, technical documentation, and collaborative problem\-solving
**Key Competencies:** 
* Strong experience in backend development with proficiency in Go and Node.js
* Hands\-on experience with message queuing systems (RabbitMQ, Kafka, etc.)
* Solid understanding of PostgreSQL and MongoDB, including query optimization and schema design
* Experience with AWS services, containerization (Docker), and Kubernetes deployment
* Problem\-solving mindset with ability to tackle complex technical challenges
* Effective communicator who works well in collaborative, cross\-functional teams
* Eager to contribute to code reviews, documentation, and engineering best practices
* Understanding of micro\-services architecture and RESTful API development
**Required Qualifications** 
* 5\- 10 years of software development experience focused on backend systems
* Experience building and maintaining scalable backend services for distributed applications
* Familiarity with CI/CD pipelines and DevOps practices
* Good communication skills and ability to work with stakeholders across teams
* Experience in fast\-paced, growth\-oriented environments is a plusTech Stack
**Tech Stack** 
* Node.js
* Go
* PostgreSQL
* MongoDB
* RabbitMQ
* React
* React Native
* AWS
* EKS</t>
        </is>
      </c>
    </row>
    <row r="31">
      <c r="A31" t="inlineStr">
        <is>
          <t>li-4345996299</t>
        </is>
      </c>
      <c r="B31" t="inlineStr">
        <is>
          <t>Software Engineer</t>
        </is>
      </c>
      <c r="C31" t="inlineStr">
        <is>
          <t>Clinical ink</t>
        </is>
      </c>
      <c r="D31" t="inlineStr">
        <is>
          <t>linkedin</t>
        </is>
      </c>
      <c r="E31">
        <f>HYPERLINK("https://www.linkedin.com/jobs/view/4345996299", "https://www.linkedin.com/jobs/view/4345996299")</f>
        <v/>
      </c>
      <c r="F31" t="inlineStr"/>
      <c r="G31" t="inlineStr"/>
      <c r="H31" t="inlineStr"/>
      <c r="I31" t="inlineStr">
        <is>
          <t>**Company Information**
 Clinical Ink is the global life science company that brings data, technology, and patient science together to unlock clinical discovery. Our deep therapeutic\-area expertise, coupled with Direct Data Capture, eCOA, eConsent, telehealth, neurocognitive testing, and digital biomarkers advancement, drive the industry standard for data precision and usher in a new generation of clinical trials. With offices in Philadelphia, PA, Winston Salem, NC, and Iowa City, IA, Clinical Ink is rewriting the clinical development experience.
**Job Description**
 Clinical Ink is seeking a
 ***Software Engineer***
 to join our Artificial Intelligence and Innovation Lab. In this role, you will play a key part in rapidly prototyping innovative mobile applications and software solutions that integrate with connected health devices and backend platforms. You will work closely with cross\-functional teams—including platform engineering, data engineering, and AI teams — to design, build, and integration applications using modern APIs, data synchronization patterns, and cloud\-native architectures. This position is ideal for a developer who thrives in a fast\-paced, experimental environment focused on improving clinical trial research through digital health and software innovation. The Software Engineer's responsibilities include:
* Build cross\-platform (iOS/Android) mobile apps for digital health proof\-of\-concepts using frameworks such as React Native.
* Design and integrate RESTful and event\-driven APIs to support secure data exchange between mobile apps, backend services, and data pipelines.
* Implement reliable data synchronization workflows for intermittently connected devices and users.
* Integrate apps with BLE medical devices, wearables, and biosensors to capture, validate, and transmit health data.
* Implement secure data transmission to cloud services (e.g., AWS S3, APIs).
* Rapidly iterate on prototypes, applying modern software development practices such as modular design, feature flags, and experimentation frameworks.
* Collaborate with platform, data, and AI teams to ensure solutions align with backend architectures, APIs, and evolving data models.
* Ensure apps follow healthcare privacy and security best practices (HIPAA, GDPR, etc.).
* Maintain documentation and contribute to knowledge sharing within the lab and with product/engineering stakeholders.
**Qualifications**
* 3\+ years of experience in software development with a strong focus on mobile applications (React Native, TypeScript, Objective C, Swift, or similar).
* Experience designing and consuming APIs (REST, GraphQL, or event\-base systems).
* Experience integrating connected devices (BLE) into mobile or hybrid applications.
* Familiarity with cloud\-native architectures and AWS services for secure data transmission and backend integration.
* Working knowledge of modern software engineering practices, including CI/CD, automated testing, version control, and logging.
* Understanding of healthcare data privacy and mobile app security.
* Passion for innovation in digital health, emerging software patterns, and rapid prototyping.
**Additional Information**
 Clinical ink is an equal opportunity employer and does not discriminate against otherwise qualified applicants on the basis of race, color, creed, religion, ancestry, age, sex, marital status, national origin, disability or handicap, or veteran status.
 www.clinicalink.com</t>
        </is>
      </c>
    </row>
    <row r="32">
      <c r="A32" t="inlineStr">
        <is>
          <t>li-4362363572</t>
        </is>
      </c>
      <c r="B32" t="inlineStr">
        <is>
          <t>Software Engineer</t>
        </is>
      </c>
      <c r="C32" t="inlineStr">
        <is>
          <t>Goliath Partners</t>
        </is>
      </c>
      <c r="D32" t="inlineStr">
        <is>
          <t>linkedin</t>
        </is>
      </c>
      <c r="E32">
        <f>HYPERLINK("https://www.linkedin.com/jobs/view/4362363572", "https://www.linkedin.com/jobs/view/4362363572")</f>
        <v/>
      </c>
      <c r="F32" t="inlineStr"/>
      <c r="G32" t="inlineStr"/>
      <c r="H32" t="inlineStr"/>
      <c r="I32" t="inlineStr">
        <is>
          <t>Goliath has been retained to work on a C\+\+ Software Engineer requirement with a trading client of ours in New York City. The role will to accelerate further growth in the equity options space, leading a modest team of SWE's.
**Essential skill requirement:** 
 3\+ years of experience in C\+\+ development.
 Bachelors in Computer Science/Eng, EE, Math, Stat or similarly related field
 Solve complex business and technical challenges in fast\-paced, data\-driven environment
 Design, develop, and deploy high\-performance software across core trading systems
 Compensation:
 $300,000\-550,000k target (base up to $250k) \&amp; bonus guaranteed. Sign on bonuses available \&amp; client will wait up 12 months for a non\-compete, offering a full bonus buyout.
 If interested, please apply and Goliath will be in touch!</t>
        </is>
      </c>
    </row>
    <row r="33">
      <c r="A33" t="inlineStr">
        <is>
          <t>li-4361636683</t>
        </is>
      </c>
      <c r="B33" t="inlineStr">
        <is>
          <t>Web Software Engineer</t>
        </is>
      </c>
      <c r="C33" t="inlineStr">
        <is>
          <t>Nabsys</t>
        </is>
      </c>
      <c r="D33" t="inlineStr">
        <is>
          <t>linkedin</t>
        </is>
      </c>
      <c r="E33">
        <f>HYPERLINK("https://www.linkedin.com/jobs/view/4361636683", "https://www.linkedin.com/jobs/view/4361636683")</f>
        <v/>
      </c>
      <c r="F33" t="inlineStr"/>
      <c r="G33" t="inlineStr">
        <is>
          <t>Providence, RI</t>
        </is>
      </c>
      <c r="H33" t="inlineStr"/>
      <c r="I33" t="inlineStr">
        <is>
          <t>Nabsys is advancing genomics with a clear focus on accessibility and innovation through its proprietary electronic genome mapping (EGM) technology. Implemented on the OhmX Platform™, EGM integrates precision electronics, nanofluidics, and computational biology to deliver high\-resolution insight into genome structure. This approach expands what’s possible in cytogenetics, molecular genetics, and cell and gene therapy research, while providing comprehensive structural variation analysis to laboratories of all sizes. The company was founded in 2005 and is based in Providence, Rhode Island. For more information, visit www.nabsys.com.
**Title: Software Engineer \- Web Front\-end** 
**Nature of Role:** 
 You will be working closely with our software product team, our internal bioinformatics applications team, and multiple external development groups, launching robust customer\-facing pipelines and applications on our cloud platform. In this collaborative role, you will be bringing software engineering best practices to the group, managing deliverables and timelines, providing architecture design, working with our internal cloud development group, and coordinating with external development teams that also contribute to the code base. Your focus will be on front\-end development.
 This position reports to the Senior Director of Software Engineering.
**Responsibilities:** 
* Lead developer responsible for all front\-end software development
* Translate product requirements into technical requirements and software architecture
* Participate in code reviews, release management, project planning, and other agile software development activities
* Coordinate with 3rd party off\-shore development teams
* Coordinate with internal development teams
* Collaborate with the cloud applications team to ensure successful integration of our bioinformatics applications
* Coordinate with the cloud backend team on all API integrations with the frontend
* Contribute to documentation for each project, including internal and external release notes
**Requirements:** 
* Proficient with Angular
* Familiar with REST interactions with backend API servers
* Demonstrated experience working on customer\-facing web products
* Experienced with UX Design Concepts
* Cross\-browser and device compatibility
* Experience with JQuery, typescript, css, html5, pub/sub
* Experience with frontend visualization tools and tech stacks
* Awareness of web accessibility standards and best practices for creating inclusive user experiences
* Strong interpersonal skills with ability to effectively work in a team environment and build strong relationships
* Bachelor’s Degree from an accredited four\-year college or university
* 5\+ years of relevant work experience
**Compensation:** 
* Competitive salary and bonus structure
* Equity stake
* Benefits include health, dental, vision, 401(k) plan with 50% match up to 6% of base salary, unlimited vacation, life insurance</t>
        </is>
      </c>
    </row>
    <row r="34">
      <c r="A34" t="inlineStr">
        <is>
          <t>li-4361673439</t>
        </is>
      </c>
      <c r="B34" t="inlineStr">
        <is>
          <t>Senior .NET Software Developer</t>
        </is>
      </c>
      <c r="C34" t="inlineStr">
        <is>
          <t>700Credit</t>
        </is>
      </c>
      <c r="D34" t="inlineStr">
        <is>
          <t>linkedin</t>
        </is>
      </c>
      <c r="E34">
        <f>HYPERLINK("https://www.linkedin.com/jobs/view/4361673439", "https://www.linkedin.com/jobs/view/4361673439")</f>
        <v/>
      </c>
      <c r="F34">
        <f>HYPERLINK("https://dc1prodrecruiting.paylocity.com/Recruiting/Jobs/Details/3835380/700-Credit?source=LinkedIn_Feed&amp;urlHash=AnVV", "https://dc1prodrecruiting.paylocity.com/Recruiting/Jobs/Details/3835380/700-Credit?source=LinkedIn_Feed&amp;urlHash=AnVV")</f>
        <v/>
      </c>
      <c r="G34" t="inlineStr">
        <is>
          <t>Southfield, MI</t>
        </is>
      </c>
      <c r="H34" t="inlineStr"/>
      <c r="I34" t="inlineStr">
        <is>
          <t>**Description**
**Senior .NET Software Developer**
**About 700Credit**
 700Credit is the industry leader in providing cutting\-edge credit and compliance solutions to the automotive sector. As the largest provider in the field, we are passionate about innovation, growth, and delivering the best for our clients. 700Credit is the largest provider of credit and compliance solutions to the automotive industry today. 700Credit is a dynamic, exciting place to work. We hire exceptional people and every one of them is empowered to think independently, to take initiative as an employee and to be innovative. 700Credit offers an excellent compensation/benefit package.
**Summary**
 700Credit is looking for a reliable, Senior .NET Software Developer to join the team. As a Senior Software Developer, you will support and enhance customer applications, web services, MS SQL database, and administrative applications. This person will be responsible for sourcing and integrating all dealership credit sales functions for 700Credit. This position is primarily focused on working with the development team to deliver complex technical solutions to support organizational growth. The ideal candidate should have knowledge in object\-oriented programming, application architecture, DevOps experience, and advanced relational database concepts. The candidate must assist in application delivery using standard SDLC (software development life cycle) for application enhancements, fixes, and system integrations. This role is essential to the continued success of 700Credit’s expansion efforts and will have a direct impact on achieving company goals.
**Responsibilities**
* Assist with the full software development life cycle (SDLC): Participate in various application enhancements from initial planning through implementation and support.
* Support and administer web service\-based applications: Manage and troubleshoot the functionality of web service\-based applications to ensure smooth operations.
* Collaborate in developing web service integrations for new business customers: Work with the team to create seamless web service integrations with new business customers.
* Develop custom reports with business stakeholders: Partner with business stakeholders to design and generate reports that meet specific business needs.
* Document and implement new application development standards: Create and maintain standards for application development to ensure consistency and quality across projects.
* Build and execute test plans: Develop and run test plans, documenting the behavior, results, and issues of applications to ensure they meet requirements.
* Utilize company configuration management practices: Adhere to best practices for code management, including check\-in/check\-out processes, version control, and overall management.
* Collaborate with development team and mentor junior members: Work closely with other team members to share knowledge, solve problems, and mentor junior staff in their professional growth.
* Partner with the Development Manager to analyze workloads: Work alongside the Development Manager to assess tasks, manage priorities, and ensure team efficiency.
**Requirements**
**Required Skills \&amp; Experience**
* 5\-9 years of professional development experience, with at least 4 years working with C\#/.NET technologies.
* Bachelor's Degree preferred
* Strong experience in various webservices and architectures.
* Proficient in using Visual Studio for development, debugging, and application management.
* Advanced skills in SQL Server Management Studio (SSMS), with experience writing and optimizing complex SQL queries.
* Hands\-on experience in web development, including the creation and deployment of web services and APIs.
* Familiarity with code repository systems, with a preference for GIT for version control and code management.
* Practical experience in DevOps execution, applying best practices to automate and streamline development and deployment processes.
* A strong willingness to learn and work with new infrastructure technologies as needs evolve.
**Preferred Skills \&amp; Experience**
* Experience with Azure DevOps and the creation and maintenance of CI/CD pipelines for streamlined development and deployment.
* Solid understanding of Object\-Oriented Programming (OOP) principles and design patterns.
* Knowledge of application security best practices to ensure the integrity and protection of software and data.
* Experience with data modeling and relational database management systems (RDBMS), ensuring optimized and efficient database design.
* Familiarity with reporting tools such as SSRS and Power BI
* Practical experience working within Agile methodologies and Extreme Programming (XP) practices to foster collaboration and continuous delivery.
* Previous experience in mobile development, including the design and deployment of mobile applications.
* Strong communication skills and experience collaborating with business stakeholders to understand their needs and deliver tailored solutions.
* Background in cloud technologies</t>
        </is>
      </c>
    </row>
    <row r="35">
      <c r="A35" t="inlineStr">
        <is>
          <t>li-4362311559</t>
        </is>
      </c>
      <c r="B35" t="inlineStr">
        <is>
          <t>Senior Software Engineer, Search Analytics Engineering</t>
        </is>
      </c>
      <c r="C35" t="inlineStr">
        <is>
          <t>Google</t>
        </is>
      </c>
      <c r="D35" t="inlineStr">
        <is>
          <t>linkedin</t>
        </is>
      </c>
      <c r="E35">
        <f>HYPERLINK("https://www.linkedin.com/jobs/view/4362311559", "https://www.linkedin.com/jobs/view/4362311559")</f>
        <v/>
      </c>
      <c r="F35" t="inlineStr"/>
      <c r="G35" t="inlineStr">
        <is>
          <t>Mountain View, CA</t>
        </is>
      </c>
      <c r="H35" t="inlineStr"/>
      <c r="I35" t="inlineStr">
        <is>
          <t>**Minimum qualifications:**
* Bachelor’s degree or equivalent practical experience.
* 5 years of experience with software development in Kotlin and Typescript programming languages.
* 5 years of experience designing user interfaces and user experiences for web, mobile, or desktop applications.
* 3 years of experience testing, maintaining, or launching software products, and 1 year of experience with software design and architecture.
**Preferred qualifications:**
* Master's degree or PhD in Computer Science or related technical fields.
* Experience in thought\-leadership, relationship building and management skills, with internal stakeholders and external partners.
* Experience developing accessible technologies.
* Strong technical background in front\-end or full\-stack\-related roles.
* Proficiency in Java, SQL, or Go.
* Excellent communication/presentation skills, and strong strategic and problem\-solving skills, with the ability to communicate a technical goal and roadmap.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
      <c r="A36" t="inlineStr">
        <is>
          <t>li-4352940472</t>
        </is>
      </c>
      <c r="B36" t="inlineStr">
        <is>
          <t>Java Full Stack Engineer</t>
        </is>
      </c>
      <c r="C36" t="inlineStr">
        <is>
          <t>BeaconFire Inc.</t>
        </is>
      </c>
      <c r="D36" t="inlineStr">
        <is>
          <t>linkedin</t>
        </is>
      </c>
      <c r="E36">
        <f>HYPERLINK("https://www.linkedin.com/jobs/view/4352940472", "https://www.linkedin.com/jobs/view/4352940472")</f>
        <v/>
      </c>
      <c r="F36" t="inlineStr"/>
      <c r="G36" t="inlineStr">
        <is>
          <t>New York, United States</t>
        </is>
      </c>
      <c r="H36" t="inlineStr"/>
      <c r="I36"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7">
      <c r="A37" t="inlineStr">
        <is>
          <t>li-3850098894</t>
        </is>
      </c>
      <c r="B37" t="inlineStr">
        <is>
          <t>Senior Software Engineer (US)</t>
        </is>
      </c>
      <c r="C37" t="inlineStr">
        <is>
          <t>WEKA</t>
        </is>
      </c>
      <c r="D37" t="inlineStr">
        <is>
          <t>linkedin</t>
        </is>
      </c>
      <c r="E37">
        <f>HYPERLINK("https://www.linkedin.com/jobs/view/3850098894", "https://www.linkedin.com/jobs/view/3850098894")</f>
        <v/>
      </c>
      <c r="F37" t="inlineStr"/>
      <c r="G37" t="inlineStr"/>
      <c r="H37" t="inlineStr"/>
      <c r="I37" t="inlineStr">
        <is>
          <t>WEKA is architecting a new approach to the enterprise data stack built for the age of reasoning.
 **NeuralMesh by WEKA** 
 sets the standard for agentic AI data infrastructure with a cloud and AI\-native software solution that can be deployed anywhere. It transforms legacy data silos into data pipelines that dramatically increase GPU utilization and make AI model training and inference, machine learning, and other compute\-intensive workloads run faster, work more efficiently, and consume less energy.
 WEKA is a pre\-IPO, growth\-stage company on a hyper\-growth trajectory. We’ve raised $375M in capital with dozens of world\-class venture capital and strategic investors. We help the world’s largest and most innovative enterprises and research organizations, including 12 of the Fortune 50, achieve discoveries, insights, and business outcomes faster and more sustainably. We’re passionate about solving our customers’ most complex data challenges to accelerate intelligent innovation and business value. If you share our passion, we invite you to join us on this exciting journey.
**What You’ll Be Doing**
 As our new
 **Senior Software Engineer,** 
 you’ll be joining the R\&amp;D group. This group of highly experienced and detail\-oriented engineers proudly owns the network stack, storage stack, task scheduling infrastructure, and more.
**As a Senior Software Engineer, You’ll**
* Play an active role in creating jaw\-dropping designs, writing impressively efficient code, and conducting collaborative code reviews;
* Share fresh ideas and architectural guidance for our core areas of distributed computing, high\-performance storage, and cloud computing; and
* Challenge our benchmarks with performance testing around IO and storage throughput.
**Requirements**
* Mastery of low\-level C/C\+\+ development in Linux user space or kernel\-space with a vast experience in performance\-sensitive code
* 5\+ years of hands\-on experience with software development on Linux based systems
* Familiarity with network concepts and protocols (UDP, TCP, InfiniBand, Ethernet, RDMA).
* Experience with development over Linux, including low\-level User\-Mode OS knowledge
**It's Nice If You Have**
* Experience with DPDK and SPDK
* Experience with Go and Python
* Knowledge of storage systems and SSDs
* Previous experience with hardware interfaces
* Prior involvement with deep networking (congestion control, bonding, VLAN, InfiniBand)
* Experience with the development of highly\-distributed systems.
* Experience in the storage industry, databases, or other infrastructure
* Experience working with AWS or other public clouds
* Experience with memory management concepts and entities in a multiprocessing system (cache, shared memory, numa, etc.)
* Experience working on complex and large\-scale and/or distributed systems, databases, or others
* Familiarity with storage concepts (SMB, NFS, S3, SSD, NVMe, Linux filesystems).
**The WEKA Way**
* We are Accountable: We take full ownership, always–even when things don’t go as planned. We lead with integrity, show up with responsibility \&amp; ownership, and hold ourselves and each other to the highest standards.
* We are Brave: We question the status quo, push boundaries, and take smart risks when needed. We welcome challenges and embrace debates as opportunities for growth, turning courage into fuel for innovation.
* We are Collaborative: True collaboration isn’t only about working together. It’s about lifting one another up to succeed collectively. We are team\-oriented and communicate with empathy and respect. We challenge each other and conduct positive conflict resolution. We are being transparent about our goals and results. And together, we’re unstoppable.
* We are Customer Centric: Our customers are at the heart of everything we do. We actively listen and prioritize the success of our customers, and every decision we make is driven by how we can better serve, support, and empower them to succeed. When our customers win, we win.
*Concerned that you don’t meet every qualification above?*
*Studies have shown that women and people of color may be less likely to apply for jobs if they don’t meet every qualification specified. At WEKA, we are committed to building a diverse, inclusive, and authentic workplace. If you are excited about this position but are concerned that your past work experience doesn’t match up perfectly with the job description, we encourage you to apply anyway – you may be just the right candidate for this or other roles at WEKA.*
*WEKA is an equal\-opportunity employer that prohibits discrimination and harassment of any kind. We provide equal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8">
      <c r="A38" t="inlineStr">
        <is>
          <t>li-4335530998</t>
        </is>
      </c>
      <c r="B38" t="inlineStr">
        <is>
          <t>Backend Engineer</t>
        </is>
      </c>
      <c r="C38" t="inlineStr">
        <is>
          <t>SquarePeg</t>
        </is>
      </c>
      <c r="D38" t="inlineStr">
        <is>
          <t>linkedin</t>
        </is>
      </c>
      <c r="E38">
        <f>HYPERLINK("https://www.linkedin.com/jobs/view/4335530998", "https://www.linkedin.com/jobs/view/4335530998")</f>
        <v/>
      </c>
      <c r="F38">
        <f>HYPERLINK("https://www.squarepeghires.com/jobs/n7vmq7/backend-engineer?utm_source=linkedin&amp;utm_medium=jobposting&amp;utm_campaign=general&amp;urlHash=cN9d", "https://www.squarepeghires.com/jobs/n7vmq7/backend-engineer?utm_source=linkedin&amp;utm_medium=jobposting&amp;utm_campaign=general&amp;urlHash=cN9d")</f>
        <v/>
      </c>
      <c r="G38" t="inlineStr">
        <is>
          <t>Boston, MA</t>
        </is>
      </c>
      <c r="H38" t="inlineStr"/>
      <c r="I38" t="inlineStr">
        <is>
          <t>**Who are we?**
 We are a startup on a mission to make “earning” a built\-in feature of everyday finance.
 We combine real\-time purchase data with our proprietary algorithms to unlock access to earning and savings opportunities for millions of people. We are backed by venture investors on the Midas List, and we plan to disrupt the nearly $1T digital advertising market.
**Role**
 We are seeking a talented and highly motivated Backend Engineer to help us execute on our grand vision. You will work as a member of the product development team to deliver high\-quality, user\-facing features to our consumer and B2B2C products, and internal tools. You will report directly to the head of technology and work closely with the rest of our product team, led by our product manager.
**The work you’ll do:**
* Consistently deliver high\-quality code to deliver new features
* Take projects from idea to completion while ensuring safe and careful delivery to production
* With our product manager, collaborate with other departments to deliver internal features
* Carefully evolve our database to suit new product feature needs
* Write automated tests to assist your full team contributing rapidly to the same system components
* Contribute to the production support process
**Who you are:**
* 2\-5\+ years industry experience
* Strong experience building backend APIs, public and private
* Experience with our existing language stack: primarily Ruby, some Javascript
* The ability to not only design solutions but deliver them quickly and efficiently
* A spirit of adventure to join a rapidly growing business and team
**Details**
* Full\-time and in\-person in Boston, MA (remote is possible if required)
* Competitive salary based on experience level
* Meaningful equity package with upside potential
* Competitive paid time off
* Monthly wellness stipend for your choice of wellness benefits
* Medical, dental, and vision insurance</t>
        </is>
      </c>
    </row>
    <row r="39">
      <c r="A39" t="inlineStr">
        <is>
          <t>li-4362402769</t>
        </is>
      </c>
      <c r="B39" t="inlineStr">
        <is>
          <t>Senior Full Stack Engineer</t>
        </is>
      </c>
      <c r="C39" t="inlineStr">
        <is>
          <t>Go Digital</t>
        </is>
      </c>
      <c r="D39" t="inlineStr">
        <is>
          <t>linkedin</t>
        </is>
      </c>
      <c r="E39">
        <f>HYPERLINK("https://www.linkedin.com/jobs/view/4362402769", "https://www.linkedin.com/jobs/view/4362402769")</f>
        <v/>
      </c>
      <c r="F39" t="inlineStr"/>
      <c r="G39" t="inlineStr"/>
      <c r="H39" t="inlineStr"/>
      <c r="I39" t="inlineStr">
        <is>
          <t>**Senior / Staff Full\-Stack Engineer (NYC or SF \| Hybrid)** 
 Go Digital is partnering with a fast\-growing, late\-stage AI healthcare company building software that clinicians rely on every day at some of the largest healthcare systems in the U.S.
 This is a hands\-on, product\-focused full\-stack role where you’ll help shape core features, influence technical direction, and ship AI\-powered products already live at enterprise scale.
**What you’ll work on** 
* Building and scaling customer\-facing web applications
* Shipping AI\-enabled features used in real clinical workflows
* Owning features end\-to\-end across frontend and backend
* Collaborating closely with product, design, clinicians, and ML teams
* Making thoughtful tradeoffs around quality, performance, and trust
**What they’re looking for** 
* Senior\-level full\-stack engineer (3\+ years)
* Comfortable working across frontend \&amp; backend (TypeScript\-heavy)
* Experience shipping real customer\-facing products (0→1 or scaling)
* Background in healthtech, AI, or fast\-moving product teams is a big plus
* Strong product mindset and clear communicator
**Tech** 
* TypeScript / JavaScript
* React (preferred)
* Backend experience (language\-agnostic)
**Location \&amp; comp (no surprises)** 
* **Hybrid:** 
 in\-office 3 days/week
* **Locations:** 
 NYC or San Francisco
* **Salary:** 
 up to $240k base \+ competitive equity
 If you’re excited by high\-impact product work at scale and want to build technology that genuinely improves care, please apply or send email your resume to tom@godigitalrecruitment.com</t>
        </is>
      </c>
    </row>
    <row r="40">
      <c r="A40" t="inlineStr">
        <is>
          <t>li-4357600208</t>
        </is>
      </c>
      <c r="B40" t="inlineStr">
        <is>
          <t>Senior Software Engineer</t>
        </is>
      </c>
      <c r="C40" t="inlineStr">
        <is>
          <t>Passive</t>
        </is>
      </c>
      <c r="D40" t="inlineStr">
        <is>
          <t>linkedin</t>
        </is>
      </c>
      <c r="E40">
        <f>HYPERLINK("https://www.linkedin.com/jobs/view/4357600208", "https://www.linkedin.com/jobs/view/4357600208")</f>
        <v/>
      </c>
      <c r="F40" t="inlineStr"/>
      <c r="G40" t="inlineStr"/>
      <c r="H40" t="inlineStr"/>
      <c r="I40" t="inlineStr">
        <is>
          <t>At your level, career decisions aren’t about escaping a job — they’re about pursuing impact. Passive makes that exploration frictionless. In seconds, you can surface roles aligned to your trajectory, tailor a resume automatically, and evaluate opportunities privately — without recruiters, noise, or wasted cycles. It's a smarter way to stay open to what’s next while remaining fully focused on the work in front of you.
 Here is a 30 second video of Passive in action
 As a
 **Senior Software Engineer at Passive** 
 , you’ll play a critical role in building and scaling our core platform — from AI\-powered matching and resume tailoring to high\-performance APIs and elegant, consumer\-grade user experiences.
 This is a hands\-on, high\-ownership role where you’ll collaborate closely with the CTO, product, and design to ship features that directly impact users and revenue. You’ll help define technical standards, influence architecture decisions, and build systems that scale with both users
 *and* 
 data intelligence.
**What You’ll Work On**
**Product \&amp; Platform** 
* Build and scale user\-facing features using
 **React** 
 (web) and modern frontend tooling.
* Develop and maintain backend services in
 **Ruby on Rails** 
 , powering matching, applications, subscriptions, and integrations.
* Design clean, scalable APIs that support both B2C and B2B workflows.
* Contribute to mobile\-first, high\-performance experiences optimized for discovery and speed.
**AI \&amp; Intelligent Systems (Major Plus)** 
 Collaborate on AI\-driven features such as:
* Role\-to\-candidate matching
* Resume parsing and AI resume tailoring
* Intelligent ranking, scoring, and personalization
* Integrate with LLMs and ML services (OpenAI, vector databases, embeddings, etc.).
* Help productionize AI features with reliability, observability, and performance in mind.
* Partner with ML engineers and data pipelines to turn models into real product value.
**Integrations \&amp; Scale** 
* Build and maintain
 **ATS integrations** 
 (SmartRecruiters, BambooHR, Greenhouse, Deel, Lever, etc.).
* Design systems that scale across:
* High user growth
* Marketplace\-driven B2B demand
* Increasing data and model complexity
* Improve system reliability, performance, and security as we scale.
**Engineering Culture** 
* Write clean, maintainable, well\-tested code.
* Participate in architectural discussions and technical decision\-making.
* Help establish best practices around code reviews, testing, and deployment.
* Mentor other engineers as the team grows.
**Our Tech Stack** 
 You don’t need to know everything on day one, but you should be excited by modern tools and learning fast.
**Core Stack** 
* **Frontend:** 
 React, TypeScript, modern CSS frameworks
* **Backend:** 
 Ruby on Rails
* **APIs:** 
 REST / GraphQL
* **Infrastructure:** 
 Cloud\-native (AWS/GCP), Docker, CI/CD
* **Databases:** 
 PostgreSQL, Redis
* **AI / ML:** 
 LLM APIs, embeddings, vector search, ML pipelines (experience is a big plus)
* **Integrations:** 
 ATS marketplaces, third\-party HR systems
**What We’re Looking For**
**Required** 
* 5\+ years of professional software engineering experience.
* Strong experience building production systems with
 **React** 
 and
 **Ruby on Rails** 
 (or similar frameworks).
* Ability to design scalable backend services and APIs.
* Solid understanding of data modeling, performance, and system reliability.
* Product mindset — you care about
 *why* 
 you’re building, not just
 *what* 
 .
**Huge Plus** 
* Experience working on
 **AI/ML\-powered products** 
 .
* Hands\-on experience with LLMs, prompt engineering, embeddings, or ML infrastructure.
* Experience integrating third\-party APIs or marketplace platforms.
* Startup or early\-stage company experience (Seed–Series A).
* Experience building consumer\-facing products with high UX standards.
**Why Join Passive** 
* **Build a category\-defining product** 
 at the intersection of AI, consumer tech, and HR.
* **Work directly with experienced founders** 
 with deep expertise in recruiting, AI, and scalable systems.
* **Real ownership** 
 — your work will directly shape product, architecture, and company direction.
* Competitive salary \+ meaningful equity.
* Remote\-first, async\-friendly culture.
* The chance to solve a real problem for millions of professionals — not just optimize ads or dashboards.
**Finding a better job shouldn’t feel like a full\-time job.** 
 Help us build the platform that proves it.
*(We can’t share everything here, but a quick look at* 
***thepassive.app***
*will show you why this is one of the most interesting consumer AI builds of the year.)*</t>
        </is>
      </c>
    </row>
    <row r="41">
      <c r="A41" t="inlineStr">
        <is>
          <t>li-4361664444</t>
        </is>
      </c>
      <c r="B41" t="inlineStr">
        <is>
          <t>Software Engineer, Observability</t>
        </is>
      </c>
      <c r="C41" t="inlineStr">
        <is>
          <t>Uber</t>
        </is>
      </c>
      <c r="D41" t="inlineStr">
        <is>
          <t>linkedin</t>
        </is>
      </c>
      <c r="E41">
        <f>HYPERLINK("https://www.linkedin.com/jobs/view/4361664444", "https://www.linkedin.com/jobs/view/4361664444")</f>
        <v/>
      </c>
      <c r="F41" t="inlineStr"/>
      <c r="G41" t="inlineStr">
        <is>
          <t>Seattle, WA</t>
        </is>
      </c>
      <c r="H41" t="inlineStr"/>
      <c r="I41" t="inlineStr">
        <is>
          <t>**About The Role**
 At Uber, we provide a centralized, reliable, and interactive observability data platform that includes metrics, logging, and tracing. This platform empowers engineers with the tools needed for monitoring, troubleshooting, and performing root cause analysis at scale.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
 We are a dynamic, agile team with members from diverse backgrounds. We dream big, aim high, and execute with precision. Join us to tackle challenging large\-scale distributed system problems and raise the bar of observability for Uber.
**What The Candidate Will Need / Bonus Points**
 \-\-\-\- What the Candidate Will Do \-\-\-\-
* Design system architecture, own key components to deliver a centralized logging system for Uber.
* Join on call rotation, driving continuous improvements on system availability, scalability, performance and efficiency.
* Collaborate with other infrastructure teams, production engineer team and product manager to drive adoption and best practices, and to design and implement high impact, cross\-product features.
**Basic Qualifications**
* BS or higher degree in Computer Science, or a related technical discipline, or equivalent experience.
* Proficient in one or more backend languages, like Java, Go, C/C\+\+, C\#, with the ability to pick up new ones quickly.
* Strong problem solving skills, with relevant experience (3\+ years) in designing and implementing distributed backend services
**Preferred Qualifications**
* Proven record of building and operating highly reliable distributed systems at scale
* Batch and stream data processing experience is a big plus
* Experience with OpenTelemetry, Prometheus, Influx and/or building and operating monitoring infrastructure.
* Experience building user interfaces with TypeScript is a plus
* Under the hood experience with Apache Lucene, ElasticSearch, OpenSearch and other Search technologies is a plus
 For New York, NY\-based roles: The base salary range for this role is USD$167,000 per year \- USD$185,500 per year.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2">
      <c r="A42" t="inlineStr">
        <is>
          <t>li-4355082096</t>
        </is>
      </c>
      <c r="B42" t="inlineStr">
        <is>
          <t>Software Engineer II</t>
        </is>
      </c>
      <c r="C42" t="inlineStr">
        <is>
          <t>Microsoft</t>
        </is>
      </c>
      <c r="D42" t="inlineStr">
        <is>
          <t>linkedin</t>
        </is>
      </c>
      <c r="E42">
        <f>HYPERLINK("https://www.linkedin.com/jobs/view/4355082096", "https://www.linkedin.com/jobs/view/4355082096")</f>
        <v/>
      </c>
      <c r="F42" t="inlineStr"/>
      <c r="G42" t="inlineStr">
        <is>
          <t>Redmond, WA</t>
        </is>
      </c>
      <c r="H42" t="inlineStr"/>
      <c r="I4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business intelligence team builds and maintains Power BI which is the undisputed leader in BI tool in the industry today and serves as the bridge between data professionals \&amp; Office users. Power BI’s core value proposition is to enable end users to get answers \&amp; insights from their data through data visualization.
 Power BI Reporting \&amp; Exploration team's mission is to empower everyone to better understand their data and effectively communicate insights. We are looking for a Software Engineer II to work on the backend systems that power our global\-scale services that execute more than 1 billion queries every day to reliably support visualization, reporting, metrics, copilot and more.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 develop, and deliver innovative and impactful features within Power BI
* Work on coding, debugging, testing, and troubleshooting throughout the application development process.
* Collaborate with other team members to ensure that our software meets the needs of our customers.
* Continuously improve your skills and knowledge to stay up to date with the latest technologies and best practices.
* Acts as a Designated Responsible Individual (DRI) working on\-call to monitor system/product feature/service for degradation, downtime, or interruptions and gains approval to restore system/product/service for simple problems.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Knowledge of distributed systems, including high\-performance distributed storage, databases and networking is preferred.
* Experience with building, deploying, and operating applications and services on cloud platforms (e.g., Azure, AWS, GCP)
* Experience with using big data, streaming, and analytics (e.g., Spark, SQL, Power BI)
* Experience with database/compiler internals and containerization technologies (e.g., B\+ trees, query optimization, SQL query compiler, Kubernetes, Docker)
* Experience with using data visualization technologies (e.g., D3, Highcharts)
* Startup mentality to move and iterate rapidly, work across disciplines, and focus on customers
 \#azdat \#azuredata \#powerbi \#powerbijobs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li-4324426016</t>
        </is>
      </c>
      <c r="B43" t="inlineStr">
        <is>
          <t>Software Engineer</t>
        </is>
      </c>
      <c r="C43" t="inlineStr">
        <is>
          <t>Mattson Technology</t>
        </is>
      </c>
      <c r="D43" t="inlineStr">
        <is>
          <t>linkedin</t>
        </is>
      </c>
      <c r="E43">
        <f>HYPERLINK("https://www.linkedin.com/jobs/view/4324426016", "https://www.linkedin.com/jobs/view/4324426016")</f>
        <v/>
      </c>
      <c r="F43" t="inlineStr"/>
      <c r="G43" t="inlineStr">
        <is>
          <t>Fremont, CA</t>
        </is>
      </c>
      <c r="H43" t="inlineStr"/>
      <c r="I43" t="inlineStr">
        <is>
          <t>**About Mattson** 
 Mattson Technology is a global company with nearly 30 years of experience delivering leading\-edge technology and products in the Dry Strip, Plasma and Thermal markets to our customers. While we consider Silicon Valley our roots, we have evolved into a worldwide organization that includes manufacturing, research and development, customer support, finance and sales operations throughout Asia, Europe, and North America.
 Our success is a result, in large part to the highly qualified and dedicated employees at Mattson Technology. Our employees represent a diverse group of individuals, committed to working as a team to deliver on our commitments. We value the ingenuity, flexibility, passion, knowledge and “can do” attitude that our employees exemplify daily.
 We encourage you to consider a career at Mattson Technology. Mattson Technology recognizes that to recruit and retain a team of highly qualified employees, we must invest in our employees and therefore, we offer a comprehensive employee benefits package.
**About the Role** 
 This opening is for a
 **Software Engineer** 
 to join our team in product engineering development. This role is a part of Common Software Team responsible for developing new software platform to be used across all Mattson Technology tools. Candidates’ performance will be subject to peer review.
**Key Responsibilities:** 
 · Author and implement scalable and sustainable embedded code for current and future systems
 · Design, test, and implement control functions (e.g., Robotics, Vacuum, RF, MFC, error handling) for current and future systems
 · Work closely with firmware vendors and electrical engineers to support subsystem and system\-level bring\-up, testing, and debugging
 · Developing unit tests and automated tests
 · Developing a practical perspective of the software engineering discipline, with a focus on delivering high\-quality products
 · Analyze test data for ways to improve our existing controls and design
 · Participate in system and software module level design reviews
 · Lead and execute complex software projects
 · Communicate with internal and external customers for requirements and roadmaps
 · Bring new ideas for improving software products and development processes
**Requirements:** 
 · Bachelor’s degree in Computer Science, Computer Engineering, or related technical discipline
 · 2\+ years of engineering experience in developing software solutions in semiconductor equipment industry or related technical discipline, experience with multiple system control and software architecture a big plus
 · Technical vision, continuous focus on engineering and operational excellence are essential for the success in this role
 · C\+\+ Programming and understanding of object\-oriented languages
 · Good understanding of OOP concepts and modeling of the real\-world systems
 · Understanding of multi\-threading and asynchronous programing
 · Experience in developing distributed systems, understanding of TCP/IP, RPC frameworks
 · Working Knowledge with Linux/Unix and/or Windows environments
 · Great energy and enthusiasm with a positive, collaborative working style, clear communication and writing skills
 · Willing to learn new technologies and dive deep into the issues
 · Knowledge of general algorithms and data structures is a must
 · Experience and willingness to work in distributed team
 · “You build it – You own it” mentality is a must. Sense of ownership is paramount to achieving success at Mattson
 Equal Opportunity Employer
 Mattson Technology, Inc. is proud to be an Equal Opportunity Employer. All qualified applications will receive consideration for employment without regard to race, color, religion, sex, national origin, disability, protected veteran status, or any other characteristic protected by law.</t>
        </is>
      </c>
    </row>
    <row r="44">
      <c r="A44" t="inlineStr">
        <is>
          <t>li-4353054818</t>
        </is>
      </c>
      <c r="B44" t="inlineStr">
        <is>
          <t>Senior Full Stack Engineer</t>
        </is>
      </c>
      <c r="C44" t="inlineStr">
        <is>
          <t>Glocomms</t>
        </is>
      </c>
      <c r="D44" t="inlineStr">
        <is>
          <t>linkedin</t>
        </is>
      </c>
      <c r="E44">
        <f>HYPERLINK("https://www.linkedin.com/jobs/view/4353054818", "https://www.linkedin.com/jobs/view/4353054818")</f>
        <v/>
      </c>
      <c r="F44" t="inlineStr"/>
      <c r="G44" t="inlineStr">
        <is>
          <t>New York, NY</t>
        </is>
      </c>
      <c r="H44" t="inlineStr"/>
      <c r="I44" t="inlineStr">
        <is>
          <t>**About the Company** 
 Our client is building the future of infrastructure management. Their mission is to give engineers their time back by creating a platform that investigates, resolves, and prevents issues so they can focus on building great products. They are a fast\-growing startup redefining how teams manage complex systems, and they're looking for builders who thrive in dynamic environments.
 Key Responsibilities
* Build and maintain full\-stack applications across the product ecosystem.
* Partner with platform engineers to integrate core systems into customer\-facing features.
* Design and ship new functionality end\-to\-end\-from backend data models to polished React interfaces.
* Collaborate with design to refine interaction patterns and deliver exceptional user experiences.
* Take ownership of ambiguous projects, breaking them into milestones and driving delivery.
* Work closely with customers to validate product fit and refine features based on feedback.
 Skills \&amp; Qualifications
* 4\-8 years of professional experience in full\-stack software engineering roles.
* Strong proficiency in
 **TypeScript** 
 ,
 **React** 
 , and
 **Postgres** 
 .
* ***Proven ability to own projects end\-to\-end in a startup or fast\-paced, high\-growth environment.***
* Experience shaping product direction and building features customers love.
* Ability to lead cross\-functional initiatives and align teams around shared goals.
 Preferred Attributes
* Familiarity with cloud infrastructure (AWS, Docker, Kubernetes, Terraform).
* Background in developer tools, infrastructure, or observability.
* Experience working directly with customers to shape product decisions.
* Prior tech\-lead or project leadership experience.
 Who You Are
* Identify as a builder and thrive in zero\-to\-one environments.
* Excited to work
 **in\-person** 
 from their spacious New York office.
* Love collaborating with ambitious, caring teammates who think in systems.
* Comfortable iterating quickly and experimenting to find the best solutions.</t>
        </is>
      </c>
    </row>
    <row r="45">
      <c r="A45" t="inlineStr">
        <is>
          <t>li-4361654484</t>
        </is>
      </c>
      <c r="B45" t="inlineStr">
        <is>
          <t>Software Engineer III, Full Stack, Google Cloud Platforms</t>
        </is>
      </c>
      <c r="C45" t="inlineStr">
        <is>
          <t>Google</t>
        </is>
      </c>
      <c r="D45" t="inlineStr">
        <is>
          <t>linkedin</t>
        </is>
      </c>
      <c r="E45">
        <f>HYPERLINK("https://www.linkedin.com/jobs/view/4361654484", "https://www.linkedin.com/jobs/view/4361654484")</f>
        <v/>
      </c>
      <c r="F45" t="inlineStr"/>
      <c r="G45" t="inlineStr">
        <is>
          <t>Sunnyvale, CA</t>
        </is>
      </c>
      <c r="H45" t="inlineStr"/>
      <c r="I4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Seattle, WA, USA; San Francisco, CA,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li-4362442509</t>
        </is>
      </c>
      <c r="B46" t="inlineStr">
        <is>
          <t>Software Engineer - GenAI</t>
        </is>
      </c>
      <c r="C46" t="inlineStr">
        <is>
          <t>Aeris</t>
        </is>
      </c>
      <c r="D46" t="inlineStr">
        <is>
          <t>linkedin</t>
        </is>
      </c>
      <c r="E46">
        <f>HYPERLINK("https://www.linkedin.com/jobs/view/4362442509", "https://www.linkedin.com/jobs/view/4362442509")</f>
        <v/>
      </c>
      <c r="F46" t="inlineStr"/>
      <c r="G46" t="inlineStr">
        <is>
          <t>San Jose, CA</t>
        </is>
      </c>
      <c r="H46" t="inlineStr"/>
      <c r="I46" t="inlineStr">
        <is>
          <t>At Aeris, we are at the forefront of the IoT revolution, connecting more than 90 million cellular IoT devices globally in our IoT Platform Services via our telecom operator partners and enterprise customers, providing cutting\-edge SaaS solutions that enable businesses to harness the power of connected devices. Our largest industry segments are Automotive, Utilities and Transport \&amp; Logistics, using eSIM technologies. With offices around the world, Aeris is the preeminent IoT software company globally powering critical projects across energy, connected vehicles, transportation, retail, healthcare and more.
 Aeris provides a SaaS based connectivity management platform for mobile operators and enterprises. It enables organizations to realize new revenue streams from a vast variety of devices while simplifying the process and reducing the cost of connecting them to benefit from economies of scale. The platform provides access to key functionality including subscription management, eSIM/eUICC management via world class APIs and operator and enterprise self\-service portals. This is built on core tenants of cloud computing and intelligence (AI/ML). And thanks to our deep expertise and our extensive trusted partner network, we are the go\-to destination for those wishing to roll\-out high quality global IoT deployment.
 Aeris continues to expand and we seek an experienced Software Engineer to join our team. In this critical role, you will be responsible for the design, development, and delivery of an agentic platform which will manage operations, troubleshoot, and analyze the data derived across Aeris Platforms/Products (IoT Accelerator, AMP, Watchtower, etc.). You will conduct research into cutting\-edge technologies, build AI Agents and ensure successful delivery against committed OKRs. This is an exciting opportunity to shape the future of our platform and to drive innovation across the organization.
**About You:** 
* Passionate, innovative, likes to explore and continuously challenge yourself and your team, strong analytical and problem solving skills
* MINIMALLY eight years of professional working experience. Ideally eight to twelve years experience developing SaaS/PaaS oriented product is PREFERRED.
* Proficiency in at least one modern programming languages with ability to quickly learn new ones (NodeJS and Python are plus).
* Excellent communication skills (written and verbal).
* Communicates proactively and effectively with product and engineering management and project stakeholders in a highly agile environment
* At least a bachelor’s degree in Computer Science, Software Engineering or equivalent discipline. Knowledge in electrical engineering experience is a plus
* RELOCATION assistance IS NOT available. This position will be located at our offices in San Jose, CA.
**Bonus Points** 
* Familiarity with Large Language Models (LLMs) and their applications.
* Experience with AI agent frameworks (e.g., Langchain, AutoGPT).
* Knowledge of Retrieval Augmented Generation (RAG) techniques.
* Experience with cloud computing platforms (e.g., AWS, Azure, GCP).
* Contributions to open\-source projects in the AI/ML space.
*The below range reflects the range of possible compensation for this role at the time of this posting. We may ultimately pay more or less than the posted range. This range may also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$180,000 to $220,000\.* 
*Aeris offers a comprehensive package of benefits including paid time off, medical / dental / vision insurance, and 401(k) to eligible employees.* 
*As part of our hiring process, Aeris may conduct background checks to verify the information provided in your application and assess your suitability for the role. The scope and type of checks will comply with the applicable laws and regulations of the country where the position is based. Additional detail will be provided via the formal application process.* 
*Aeris walks the walk on diversity. We are a brilliant mix of varying ethnicities, backgrounds, religions, cultures, sexual orientations, gender identities, ages and professional/personal/military experiences – and that’s by design. Different perspectives are essential to our culture, innovative process and competitive edge. Aeris is proud to be an equal opportunity employer.*</t>
        </is>
      </c>
    </row>
    <row r="47">
      <c r="A47" t="inlineStr">
        <is>
          <t>li-4362333895</t>
        </is>
      </c>
      <c r="B47" t="inlineStr">
        <is>
          <t>Software Developer</t>
        </is>
      </c>
      <c r="C47" t="inlineStr">
        <is>
          <t>American Battery Solutions Inc.</t>
        </is>
      </c>
      <c r="D47" t="inlineStr">
        <is>
          <t>linkedin</t>
        </is>
      </c>
      <c r="E47">
        <f>HYPERLINK("https://www.linkedin.com/jobs/view/4362333895", "https://www.linkedin.com/jobs/view/4362333895")</f>
        <v/>
      </c>
      <c r="F47" t="inlineStr"/>
      <c r="G47" t="inlineStr">
        <is>
          <t>Lake Orion, MI</t>
        </is>
      </c>
      <c r="H47" t="inlineStr"/>
      <c r="I47" t="inlineStr">
        <is>
          <t>**Job Summary:**
 The Software Developer holds the responsibility of designing, developing, and implementing integrated software solutions. This role encompasses the development of both the frontend and backend components of a software platform dedicated to integrating multiple applications and interfaces. The individual in this position will engage in collaborative work with fellow IT team members and colleagues from other departments.
**Responsibilities:**
* Build, validate, and implement software applications that facilitate secure, high\-performance data exchange between enterprise systems.
* Architect and manage SQL database environments, including schema design, advanced querying and stored procedure development.
* Establish and maintain sandbox environments for software prototyping, integration testing, and validation of new features.
* Build both manual and automated test procedures to evaluate software functionality, reliability, and system compatibility.
* Deliver secure, scalable, and compliant applications aligned with enterprise cybersecurity standards.
* Maintain comprehensive software documentation—including architecture, design, test plans, and version\-controlled change records.
* Create project plans, timelines, and development roadmaps based on requirements analysis and stakeholder priorities.
* Contribute to continuous improvement initiatives by analyzing production data and identifying opportunities for digital enhancement.
* Adhere to federal and state regulations.
* Adhere to all company policies, processes, and procedures.
* Performs other duties as requested, directed, or assigned.
* Predictable and reliable attendance.
**Position Qualifications:**
* Bachelor’s degree in Information Technology, Computer Science, Software Engineering, or a related technical field.
* Minimum of five (5\) years of hands\-on software development experience in manufacturing or enterprise systems environments.
* Proven experience integrating enterprise applications in manufacturing, Software such as Rockwell Automation PLEX, Inductive Automation Ignition, Microsoft SQL Server, Salesforce, and Smartsheet, with a strong focus on secure data sharing and interoperability.
* Proficiency with essential software development and collaboration tools, including Git, JIRA, and Postman.
* Strong programming skills in multiple languages such as Python, JavaScript, C\#, and Java, with working knowledge of JSON, HTML5, and modern scripting techniques.
* Demonstrated expertise in software integration technologies and a solid understanding of REST APIs, including designing, consuming, and troubleshooting API\-based services.
* Hands\-on experience developing and managing SQL databases, including schema design, stored procedures, query optimization, and system\-to\-system data flows.
* Familiarity with deploying software solutions in both cloud and on\-premise environments, ensuring scalability, reliability, and adherence to IT best practices.
* Ability to work across cross\-functional teams, supporting end\-to\-end integration between MES, ERP, CRM, and automation platforms.
**Key Competencies:**
* Takes Initiative: Exhibits strong drive for results and success; conveys a sense of urgency and drives issues to closure; persists despite obstacles and opposition.
* Working Safely: Demonstrates safe behaviors. Aware of potential risks and threats in the workplace.
* Delivers Results: Achievement\-oriented, feeling a sense of urgency to reach goals on time, if not before.
* Teamwork: Works cooperatively with others to accomplish team goals and organizational objectives.
* Communications: Exchanges thoughts, feelings, and information effectively.
**Physical Requirements / Working Conditions:**
 The physical demands described here are representative of those that must be met by an employee to successfully perform the essential functions of this job. Reasonable accommodations may be made to enable individuals with disabilities to perform essential functions.
* Prolonged periods sitting at a desk and working on a computer.
* Constantly operates a computer and other office equipment.
* Ability to adjust focus, especially due to concentration on a computer screen.
* Ability to maintain single\-task focus and situational awareness.
* The ability to see and respond to dangerous situations.
* The ability to wear personal protective gear correctly.
**Why Join Us**
 American Battery Solutions (ABS) provides comprehensive 100% employer paid benefit plans to employees and their family, competitive salary and retirement program. ABS employs a diverse and inclusive workforce.
**Benefits Overview**
* Paid time off includes 3 weeks vacation, up to 72 hours sick, 15 holidays, and parental leave.
* 100% company\-paid medical, dental, vision, short\-term disability, long\-term disability, and life insurance.
* Flexible Spending Account (FSA) and Health Savings Account (HSA) offerings.
* Company provided 401K savings plan with immediately vested matching contributions to help you save for retirement.
* Voluntary benefits offerings.
* Tuition assistance.
* Employee Referral Program.
* Employee development and career growth opportunities.
**About Us**
 American Battery Solutions Inc. (“ABS”) is a manufacturer of advanced batteries for commercial, fleet, and industrial on\- and off\-road vehicles. Located in the heart of the U.S. automotive region with facilities in Michigan and Ohio. In 2023, ABS was acquired by Komatsu, a world leader in construction, mining, forestry, and industrial heavy equipment in support of Komatsu’s 2050 carbon neutrality goal. ABS continues to operate as an independent entity serving Komatsu applications while continuing to expand and grow our core commercial, fleet and industrial business.
 As we have grown, ABS has assembled a world\-class team of dedicated and experienced engineers. This team is equipped with a deep understanding of high\-voltage, automotive\-grade battery systems from concept development and prototyping, to testing and validation, to high\-volume production. We pride ourselves on developing a diverse team of next generation battery experts.
**The Location \- Lake Orion**
 American Battery Solutions Headquarters and Innovation Center is located in the heart of South\-East Michigan in Orion Township. Orion Township is a Pure Michigan Trail Town that has a long\-standing dedication to enhancing trails and pathways in its community, which is home to the Polly Ann Trail, Paint Creek Trail, and Iron Belle Trail. The township has more than 50 miles of trails. Southeast Michigan also boasts some of the best eating around! Whether your interest is in furthering your education, enjoying one of the many regional sporting events, or enjoying the vast outdoors that Michigan has to offer, you’ll be at the center of it here!
**AMERICAN BATTERY SOLUTIONS IS AN EQUAL OPPORTUNITY EMPLOYER.**</t>
        </is>
      </c>
    </row>
    <row r="48">
      <c r="A48" t="inlineStr">
        <is>
          <t>li-4362353841</t>
        </is>
      </c>
      <c r="B48" t="inlineStr">
        <is>
          <t>Senior Manager, Software Engineering</t>
        </is>
      </c>
      <c r="C48" t="inlineStr">
        <is>
          <t>Inovalon</t>
        </is>
      </c>
      <c r="D48" t="inlineStr">
        <is>
          <t>linkedin</t>
        </is>
      </c>
      <c r="E48">
        <f>HYPERLINK("https://www.linkedin.com/jobs/view/4362353841", "https://www.linkedin.com/jobs/view/4362353841")</f>
        <v/>
      </c>
      <c r="F48" t="inlineStr"/>
      <c r="G48" t="inlineStr">
        <is>
          <t>Bowie, MD</t>
        </is>
      </c>
      <c r="H48" t="inlineStr"/>
      <c r="I48"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The Manager, Software Engineering, is responsible for managing a team of engineers and for product releases.
**Duties and Responsibilities:**
* Manage a global team of engineers following organization defined management processes.
* Leading engineering programs for efficient, high quality new product release and patch releases following defined processes.
* Seek to understand the customer and the purpose the product is serving to achieve best results for the customers.
* Working as a hands\-on contributor at the Software Engineer level as/when required; handle escalations as needed.
* Works cross functionally with QA and DevOps teams to deliver product to market in an automated fashion.
* Scope of responsibility is typically across one feature set or small product.
* Collaborate effectively with business and technology teams to ensure organizational effectiveness and take advantage of existing solutions and synergies where possible.
* Assist in establishing individual and departmental level goals. Track and deliver metrics to ensure objectives are met.
* Assist in delivery of Technology Roadmap while meeting defined budget.
* Attract, recruit, retain and develop top talent, and responsible for performance evaluations.
* Foster a growth mindset in all employees:
+ Support employees in setting and attaining professional and development goals;
+ Coach and mentor employees on career and personal development, Agile delivery, and development practices creating a high performing team; and
+ Support continuous learning.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**Required qualifications:**
* Minimum of 5 years' experience as a Software Engineer, engineering manager or a Technical Project Manager.
* Minimum of 1 year of experience as a people manager.
* Adept in at least one of the programing languages like C\#, .NET core or Java and deep technical expertise in one vertical technical area, domain expertise at the module level, and expertise in one operating system.
* Minimum one year of experience with performance management of technology professionals.
* At least 4 years of experience managing delivery of technical projects in an agile environment.
**Education:**
* Bachelor's degree in information systems, Computer Sciences, engineering or science.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 Travel for this position is expected to be less than 10%.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49">
      <c r="A49" t="inlineStr">
        <is>
          <t>li-4361619654</t>
        </is>
      </c>
      <c r="B49" t="inlineStr">
        <is>
          <t>Software Engineer</t>
        </is>
      </c>
      <c r="C49" t="inlineStr">
        <is>
          <t>Advantage Technical</t>
        </is>
      </c>
      <c r="D49" t="inlineStr">
        <is>
          <t>linkedin</t>
        </is>
      </c>
      <c r="E49">
        <f>HYPERLINK("https://www.linkedin.com/jobs/view/4361619654", "https://www.linkedin.com/jobs/view/4361619654")</f>
        <v/>
      </c>
      <c r="F49" t="inlineStr"/>
      <c r="G49" t="inlineStr">
        <is>
          <t>Gray, ME</t>
        </is>
      </c>
      <c r="H49" t="inlineStr"/>
      <c r="I49" t="inlineStr">
        <is>
          <t>Software Engineer – Manufacturing
* **Pay: Up to $58 an hour or about $119,000 a year**
* **Location: Gray, ME 04039**
* **Job Type: Long Term Contact with opportunity to go Perm**
* **Standard schedule: 8:00 AM – 4:30 PM**
* **Workplace Type: Hybrid**
* Must Be a US citizen or green card holder
 About the Role
 We are seeking a
 **Software Engineer – Manufacturing** 
 to support the integration, migration, and validation of in\-house software tools used for functional testing within a medical device manufacturing environment.
 This role focuses on
 **manufacturing test software** 
 , not customer\-facing or product\-embedded software. The ideal candidate will have strong hands\-on experience developing and supporting
 **C\#\-based applications** 
 used in production and test environments, along with a solid understanding of
 **medical device manufacturing processes and quality systems** 
 .
 The successful candidate will work independently, demonstrate strong ownership and problem\-solving skills, and collaborate closely with cross\-functional teams to ensure a smooth transition of manufacturing software tools across sites.
 Key Responsibilities
* Review existing manufacturing functional test software to ensure compliance with
 **Boston Scientific Quality System** 
 requirements.
* Migrate functional test software from the current manufacturing line in
 **Irvine, CA** 
 to a new manufacturing site near
 **Portland, ME** 
 .
* Collaborate with manufacturing engineers to validate test equipment software and define test strategies as needed.
* Support software validation activities, including documentation, troubleshooting, and process improvements.
* Partner cross\-functionally with
 **Manufacturing Engineering, Systems Engineering, Quality, R\&amp;D, and PMO** 
 teams.
* Contribute to a culture of innovation, continuous improvement, and knowledge sharing.
 Required Qualifications
* Bachelor’s or Master’s degree in
 **Computer Science, Software Engineering, Electrical Engineering, Computer Engineering** 
 , or related field.
* **4\+ years** 
 of experience in software development or test software support within
 **medical device manufacturing** 
 .
* Strong understanding of
 **manufacturing processes, systems, and production test environments** 
 .
* Hands\-on experience developing
 **C\# / C\+ applications** 
 for manufacturing or test systems.
* Experience supporting
 **functional testing processes** 
 in a regulated manufacturing environment.
* Ability to work independently with minimal supervision and make data\-driven decisions.
* Strong documentation, communication, and cross\-functional collaboration skills.
* Proven analytical and problem\-solving abilities applied to production or test workflows.
 Preferred Qualifications
* Experience working within
 **Boston Scientific** 
 manufacturing procedures and standards.
* Experience supporting
 **active implantable medical devices** 
 .
* Demonstrated success migrating or modernizing in\-house manufacturing software tools.
* Knowledge of
 **ISO 13485** 
 and
 **FDA Quality System Regulations (QSR)** 
 .
* Working knowledge of
 **IEC 60601** 
 and/or
 **IEC 62304** 
 .
* Background in
 **software test systems** 
 within high\-volume or regulated manufacturing environments.</t>
        </is>
      </c>
    </row>
    <row r="50">
      <c r="A50" t="inlineStr">
        <is>
          <t>li-4362450877</t>
        </is>
      </c>
      <c r="B50" t="inlineStr">
        <is>
          <t>Software Developer - Early Career</t>
        </is>
      </c>
      <c r="C50" t="inlineStr">
        <is>
          <t>CACI International Inc</t>
        </is>
      </c>
      <c r="D50" t="inlineStr">
        <is>
          <t>linkedin</t>
        </is>
      </c>
      <c r="E50">
        <f>HYPERLINK("https://www.linkedin.com/jobs/view/4362450877", "https://www.linkedin.com/jobs/view/4362450877")</f>
        <v/>
      </c>
      <c r="F50">
        <f>HYPERLINK("https://careers.caci.com/global/en/job/CACIGLOBAL321094EXTERNALENGLOBAL/Software-Developer-Early-Career?utm_source=linkedin&amp;utm_medium=phenom-feeds&amp;urlHash=5ILs", "https://careers.caci.com/global/en/job/CACIGLOBAL321094EXTERNALENGLOBAL/Software-Developer-Early-Career?utm_source=linkedin&amp;utm_medium=phenom-feeds&amp;urlHash=5ILs")</f>
        <v/>
      </c>
      <c r="G50" t="inlineStr">
        <is>
          <t>North Charleston, SC</t>
        </is>
      </c>
      <c r="H50" t="inlineStr"/>
      <c r="I50" t="inlineStr">
        <is>
          <t>Job Category: Information Technology
 Time Type: Full time
 Minimum Clearance Required to Start: Secret
 Employee Type: Regular
 Percentage of Travel Required: Up to 10%
 Type of Travel: Continental US
 \* \* \*
**The Opportunity**
 Make a difference and join an award\-winning enthusiastic team looking to make a difference in the lives of today’s military! CACI is looking for an Software Developer who will support the Marine Military Health portfolio at our North Charleston office.
 As the Software Developer, you will bring a record of accomplishment in successful project execution and application development as well as strong interpersonal and communication skills.
**Responsibilities**
* Write code that is robust, secure, readable, tested, follows conventions, and is no more complex than necessary.
* Refactor legacy code to improve code quality while maintaining functionality.
* Stay up to date on recommended best practices in relevant frameworks and languages.
* Responsible for program design, coding, testing, debugging and documentation.
* Formulate and develop detailed specifications, code, documentation, and related customer information required to complete program development maintenance activities.
* Create and/or modify complex programs to meet user requirements. This includes testing program and system changes ensuring product quality and timeliness.
* Confer with project manager and representatives of departments affected by program to resolve questions of program intent, output requirements, input data acquisition, extent of automatic programming and coding use and modification, and inclusion of internal checks and controls.
* Design and develop client applications; meet with clients/functional SMEs to determine program requirements. Test and correct program errors by altering program steps and sequence.
* Analyze, review, and rewrite programs to increase operating efficiency or adapt to new requirements.
* Actively participate in planning activities, artifact creation, full\-stack development, testing, and demonstrations.
* Analyze project\-related problems and create innovative solutions involving, scheduling, technology, methodology, tools, and solution components.
* Develop application changes, test, and document changes.
* Assist with other program efforts (such as test automation, configuration management, etc.)
* Interpret result from static code analyzer tools such as Fortify
**Qualifications**
*Required:*
* Bachelor of Science degree in Engineering, Physics, Network Security, Information Systems or Computer Science.
* 3 or more years’ experience as a software developer
* Proven experience as a Developer, with knowledge of a combination of the following technologies:
+ Front\-end: HTML, CSS, JavaScript, React, Angular, or Vue.js
+ Back\-end: Java, SQL Node.js, Express, Python, Ruby on Rails, or similar
+ Databases: MySQL, PostgreSQL, MongoDB, or similar
+ Understanding of RESTful API design and development
+ Proficiency in version control systems (e.g., Git)
* Strong problem\-solving and debugging skills/ debug / trace code and resolve issues quickly
* Ability to follow established development processes and procedures to include Sprint planning and code reviews
* Experience with Continuous Delivery pipelines
* Familiarity and experience with DevOps / SecDevOps
* Willing and able to obtain/maintain a DoD Secret clearance
* Willing to work a hybrid schedule in North Charleston
**Desired**
* Strong verbal/written communication skills and ability to work in a team environment and interface with customers
* Experience with Atlassian tools \- Jira, Confluence, Bitbucket, Bamboo
* Experience with jOOQ, PostgreSQL, Angular, Git, Java
* Experience working with Java app servers
* Experience with Agile software development
* Experience in support of information assurance/network protection or virtualization projects.
* Database Architecture
* Automated Testing Experience
* Current Active Secret Clearance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$60,100 \- $123,200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1">
      <c r="A51" t="inlineStr">
        <is>
          <t>li-4362333719</t>
        </is>
      </c>
      <c r="B51" t="inlineStr">
        <is>
          <t>Frontend Engineer (JavaScript)</t>
        </is>
      </c>
      <c r="C51" t="inlineStr">
        <is>
          <t>Weave</t>
        </is>
      </c>
      <c r="D51" t="inlineStr">
        <is>
          <t>linkedin</t>
        </is>
      </c>
      <c r="E51">
        <f>HYPERLINK("https://www.linkedin.com/jobs/view/4362333719", "https://www.linkedin.com/jobs/view/4362333719")</f>
        <v/>
      </c>
      <c r="F51">
        <f>HYPERLINK("https://www.wiraa.com/job-description/us1844580BC8215D0D43A3FAE4658AE743?source=Linkedin&amp;urlHash=5-ca", "https://www.wiraa.com/job-description/us1844580BC8215D0D43A3FAE4658AE743?source=Linkedin&amp;urlHash=5-ca")</f>
        <v/>
      </c>
      <c r="G51" t="inlineStr"/>
      <c r="H51" t="inlineStr"/>
      <c r="I51" t="inlineStr">
        <is>
          <t>**About The Company** 
 Weave is a dynamic and innovative technology company dedicated to transforming the way businesses connect with their customers. With a focus on creating seamless communication solutions, Weave develops cutting\-edge software platforms that enhance customer engagement, streamline operations, and drive growth. Our commitment to excellence and innovation has positioned us as a leader in our industry, serving a diverse range of clients across various sectors. We foster a collaborative, inclusive, and forward\-thinking environment where talented professionals are empowered to make a meaningful impact and shape the future of digital communication.
**About The Role** 
 The Principal Frontend Engineer at Weave is a senior technical leader responsible for shaping the strategic vision and evolution of our frontend systems. As one of the organization’s foremost technical experts, you will serve as a high\-level individual contributor, guiding cross\-functional teams to develop scalable, high\-performance, and user\-centric applications. This role requires a deep understanding of modern frontend technologies and architecture, along with the ability to mentor engineers and influence technical standards across the company. You will work closely with executive leadership to align technical initiatives with business goals, making critical decisions that ensure the platform’s stability, scalability, and future readiness. Whether working remotely, in a hybrid setup, or from our office, you will be instrumental in driving innovation and technical excellence within Weave’s frontend ecosystem.
**Qualifications** 
* 15\+ years of software engineering experience with a focus on frontend development
* Deep expertise in modern frontend technologies such as React, React\-Query, TanStack Router, Zustand, Electron, Cypress, Playwright, NX, and pnpm
* Proven experience in defining and executing technical strategy for complex systems
* Strong leadership skills with the ability to mentor and influence engineering teams
* Exceptional technical judgment and strategic planning capabilities
* Experience making high\-impact, long\-term technical decisions
* Ability to operate effectively across large organizations and multiple departments
* Excellent communication and collaboration skills
* Recognized technical expertise internally and externally in frontend development
**Responsibilities** 
* Lead the strategic direction of frontend development initiatives at Weave
* Define and drive the technical evolution of Weave’s frontend systems and core applications
* Mentor and collaborate with engineering teams to improve frontend standards and practices
* Identify and resolve complex architectural, performance, and user experience challenges
* Make difficult technical decisions to ensure platform stability and scalability
* Align multiple teams and projects to achieve long\-term success and impact
* Inspire and influence teams with a comprehensive technical vision for frontend development
* Anticipate future frontend challenges and guide the organization through innovative solutions
* Support the adoption of emerging technologies such as AI and LLMs into the frontend stack
**Benefits** 
* Competitive salary and performance\-based incentives
* Flexible work arrangements including remote, hybrid, and in\-office options
* Comprehensive health, dental, and vision insurance plans
* Generous paid time off and holidays
* Professional development opportunities and continuous learning support
* Collaborative and inclusive work environment
* Access to cutting\-edge tools and technologies
* Participation in innovative projects with a high impact on the industry
 Equal Opportunity
 Weave is an equal opportunity employer committed to fostering an inclusive workplace where all individuals are valued and supported. We welcome applicants from diverse backgrounds regardless of race, color, religion, sex, national origin, sexual orientation, age, citizenship, marital status, disability, gender identity, veteran status, or any other legally protected characteristic.</t>
        </is>
      </c>
    </row>
    <row r="52">
      <c r="A52" t="inlineStr">
        <is>
          <t>li-4341235505</t>
        </is>
      </c>
      <c r="B52" t="inlineStr">
        <is>
          <t>Software Engineer II</t>
        </is>
      </c>
      <c r="C52" t="inlineStr">
        <is>
          <t>Microsoft</t>
        </is>
      </c>
      <c r="D52" t="inlineStr">
        <is>
          <t>linkedin</t>
        </is>
      </c>
      <c r="E52">
        <f>HYPERLINK("https://www.linkedin.com/jobs/view/4341235505", "https://www.linkedin.com/jobs/view/4341235505")</f>
        <v/>
      </c>
      <c r="F52" t="inlineStr"/>
      <c r="G52" t="inlineStr">
        <is>
          <t>Redmond, WA</t>
        </is>
      </c>
      <c r="H52" t="inlineStr"/>
      <c r="I52" t="inlineStr">
        <is>
          <t>**Overview**
 Join us to build the future of end user computing! Azure Virtual Desktop and Windows 365 are fundamentally changing the nature of personal computing, pushing computing to the cloud and making remote experiences better, more secure, and easier to manage than local. We are experiencing exponential growth given the explosion of hybrid work and the changing security landscape and are rapidly growing our team to help scale our product and build new and innovative AI powered experiences.
 As a
 **Software Engineer** 
 on this team, you will get an amazing opportunity to demonstrate leadership at both the technology and business level. You will be part of a fast growing, and agile team working with a motivated team of engineers and product managers.
 **Senior Software Engineer and Software Engineer II positions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 Adhere to and drive modern software engineering practices through design and code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Improve test coverage for services, organize and implement integration tests, and resolve problem areas.
**Qualifications**
**Required Qualifications:**
* Bachelor's Degree in Computer Science or related technical field AND 4\+ years technical engineering experience with coding in languages including, but not limited to, C, C\+\+, C\#, Java, JavaScript, or Python
+ OR equivalent experience.
* Experience designing, implementing, and shipping cloud services or software products.
* Experience with ASP.NET, Docker containers, and deploying applications using Kubernetes, particularly Azure Kubernetes Service (AKS).
* Demonstrated familiarity with Azure Resource Manager (ARM) templates for infrastructure automation and cloud resource provisioning.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7\+ years technical engineering experience with coding in languages including, but not limited to, C, C\+\+, C\#, Java, JavaScript, or Python
+ OR equivalent experience
+ OR Master’s Degree in computer science or related technical field AND 5\+ years technical engineering experience with coding in languages including, but not limited to, C, C\+\+, C\#, Java, JavaScript, or Python .
* 6\+ years of experience as a software engineer/leader designing, implementing, and shipping cloud services or software products.
* Passion for and ability to quickly understand emerging technologies.
* Broad experience and track record of working across teams to deliver shared solutions to complex problems.
* Ability to quickly ramp up, understand complex problems, and create solutions across many products.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li-4317507318</t>
        </is>
      </c>
      <c r="B53" t="inlineStr">
        <is>
          <t>Senior Full Stack Engineer, Core Product</t>
        </is>
      </c>
      <c r="C53" t="inlineStr">
        <is>
          <t>Sentry</t>
        </is>
      </c>
      <c r="D53" t="inlineStr">
        <is>
          <t>linkedin</t>
        </is>
      </c>
      <c r="E53">
        <f>HYPERLINK("https://www.linkedin.com/jobs/view/4317507318", "https://www.linkedin.com/jobs/view/4317507318")</f>
        <v/>
      </c>
      <c r="F53">
        <f>HYPERLINK("https://jobs.ashbyhq.com/sentry/8eb489b6-b341-454a-8cf1-b70635d91d92?utm_source=JOZmexpwqv&amp;urlHash=H8iO", "https://jobs.ashbyhq.com/sentry/8eb489b6-b341-454a-8cf1-b70635d91d92?utm_source=JOZmexpwqv&amp;urlHash=H8iO")</f>
        <v/>
      </c>
      <c r="G53" t="inlineStr">
        <is>
          <t>San Francisco, CA</t>
        </is>
      </c>
      <c r="H53" t="inlineStr"/>
      <c r="I53"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Senior Software Engineer on Sentry’s Core Product team, you’ll work on the most critical part of our user experiences: Issue workflows, coding workflows, and data exploration. Millions of developers rely on Sentry, and the work you will do here directly shapes how they detect, understand, and resolve problems in their applications. Core product owns everything from AI PR reviews, issue detection, surfacing rich debugging context with ML, data querying, workflows, and notifications. The impact is immediate, highly visible, and essential to Sentry’s mission of helping developers ship with confidence.
**In this role you will**
* Build and maintain features/integrations with other SaaS services using React (TypeScript) and Django (Python) in our open\-source codebase.
* Take full ownership of key features, from design and implementation to maintainability and performance.
* Work closely with product, design, AI/ML, infrastructure, and other teams to ideate, design and build the next generation of Sentry.
* Operate systems at scale, maintaining a high engineering and operational standard.
* Raise the team’s technical aptitude through code review and mentorship.
**You’ll love this job if you**
* You are high agency, have an ownership mindset, and are eager to make a highly visible impact on the main user experiences of Sentry.
* You are a product\-minded software engineer and love working in an environment where engineers lead product decisions.
* You want to influence the AI\-driven transformation of Sentry’s core offering, improving accuracy, productivity, and next\-gen capabilities.
* You immerse yourself in a highly collaborative, technically ambitious culture, with fast iteration and deep ownership expectations.
**Qualifications**
* 5\+ years professional engineering experience
* Bachelor's Degree in Computer Science, or related field, and/or relevant experience.
* Strong experience with React/TypeScript and Django/Python (or similar frameworks and languages).
* Experience with end\-to\-end ownership of a large feature or system
* Team\-level mentorship and leadership experience on large projects
 Not sure if you meet 100% of the qualifications? We encourage you to apply anyway. We're interested in people are excited about this opportunity and eager to grow.
 The base salary range (or hourly wage range, if applicable) that Sentry reasonably expects to pay for this position is
 **$190,000 to $280,000** 
 .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54">
      <c r="A54" t="inlineStr">
        <is>
          <t>li-4346114105</t>
        </is>
      </c>
      <c r="B54" t="inlineStr">
        <is>
          <t>Frontend Engineer - Growth</t>
        </is>
      </c>
      <c r="C54" t="inlineStr">
        <is>
          <t>BitGo</t>
        </is>
      </c>
      <c r="D54" t="inlineStr">
        <is>
          <t>linkedin</t>
        </is>
      </c>
      <c r="E54">
        <f>HYPERLINK("https://www.linkedin.com/jobs/view/4346114105", "https://www.linkedin.com/jobs/view/4346114105")</f>
        <v/>
      </c>
      <c r="F54" t="inlineStr"/>
      <c r="G54" t="inlineStr">
        <is>
          <t>New York, United States</t>
        </is>
      </c>
      <c r="H54" t="inlineStr"/>
      <c r="I54"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**Job Description**
 As a Frontend Engineer, you will be responsible for designing, developing, and maintaining UI and frontend components of our onboarding experience. You will work closely with product managers, designers, and other engineers to deliver high\-quality, secure, and scalable solutions that meet the needs of our clients. This role requires a deep understanding of frontend technologies like React, CSS and HTML.
 We are looking for teammates who share and practice our values: open communication, transparency, taking ownership, and a high level of craftsmanship. We are looking for coworkers who share our vision and mission: deliver trust in digital assets.
*This role is an on\-site position based in our New York City office.*
**Responsibilities:**
* Collaborate closely with design and product managers to plan and develop new UIs for upcoming initiatives
* Improve existing UI functionality on a variety of products
* Build reusable code for future use
* Codebase health improvements
* Cross team communications with stakeholders to understand implementation requirements and limitations
* Provide mentorship to peers in the broader engineering team through code reviews and education on best practices
* Provide maintenance support and enhance performance to existing applications
**Required:**
* 3\+ years of proven experience of frontend and UI development
* Strong experience with React
* Advanced knowledge of JavaScript/TypeScript, CSS and HTML
* Experience working with modern JavaScript frameworks
* Experience working with design systems
* Experience with unit, Integration and end\-to\-end testing
* Proficiency in Git / GitHub, branching methodologies, code review tools, and CI/CD pipelines
* Ability to work independently in a fast\-paced environment
**Preferred:**
* Experience developing consumer\-facing crypto products
* Ability to work full\-stack and familiarity with Node.js and Express applications
* Experience working with clients and/or business partners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$160,000 \- 230,000 USD base salary. Equity, an annual performance bonus and the benefits outlined below are also a part of this role's package.
**Here are some of the benefits of working at BitGo:**
* Competitive salary
* Meal \&amp; Commute allowance
* Medical Insurance
* IT equipment support for work
* Great/Talented workforce to learn and grow with.
* Benefits may vary based on location
 Cryptocurrencies are the most disruptive change the financial services industry has seen in years. Join us and you’ll be able to look back and say you were part of the team that transformed investing.</t>
        </is>
      </c>
    </row>
    <row r="55">
      <c r="A55" t="inlineStr">
        <is>
          <t>li-4362421185</t>
        </is>
      </c>
      <c r="B55" t="inlineStr">
        <is>
          <t>Software Engineer III, Full Stack, Google Cloud Platforms</t>
        </is>
      </c>
      <c r="C55" t="inlineStr">
        <is>
          <t>Google</t>
        </is>
      </c>
      <c r="D55" t="inlineStr">
        <is>
          <t>linkedin</t>
        </is>
      </c>
      <c r="E55">
        <f>HYPERLINK("https://www.linkedin.com/jobs/view/4362421185", "https://www.linkedin.com/jobs/view/4362421185")</f>
        <v/>
      </c>
      <c r="F55" t="inlineStr"/>
      <c r="G55" t="inlineStr">
        <is>
          <t>Seattle, WA</t>
        </is>
      </c>
      <c r="H55" t="inlineStr"/>
      <c r="I5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Seattle, WA, USA; San Francisco, CA,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li-4362393352</t>
        </is>
      </c>
      <c r="B56" t="inlineStr">
        <is>
          <t>Software Engineer, Data</t>
        </is>
      </c>
      <c r="C56" t="inlineStr">
        <is>
          <t>Docker, Inc</t>
        </is>
      </c>
      <c r="D56" t="inlineStr">
        <is>
          <t>linkedin</t>
        </is>
      </c>
      <c r="E56">
        <f>HYPERLINK("https://www.linkedin.com/jobs/view/4362393352", "https://www.linkedin.com/jobs/view/4362393352")</f>
        <v/>
      </c>
      <c r="F56" t="inlineStr"/>
      <c r="G56" t="inlineStr"/>
      <c r="H56" t="inlineStr"/>
      <c r="I56" t="inlineStr">
        <is>
          <t>**About The Company** 
 Docker is a leading provider of containerization and developer tools, empowering millions of developers and thousands of enterprise organizations worldwide to build, ship, and run applications seamlessly. With a focus on innovation and scalability, Docker has established itself as a critical component in modern software development and deployment workflows. The company's solutions facilitate efficient application delivery, fostering a collaborative and productive ecosystem that drives digital transformation across industries.
**About The Role** 
 Docker is seeking a highly experienced Staff Software Engineer to join our Data Engineering team. In this strategic and hands\-on leadership role, you will be responsible for shaping the technical evolution of our data systems that underpin analytics and decision\-making across the organization. As a senior technical leader, you will design, develop, and implement scalable data infrastructure that supports the company's expanding product portfolio and enterprise customer base. Your expertise will enable Docker to harness the power of data for insights, operational efficiency, and product innovation.
 This role combines deep technical contribution with strategic oversight and mentorship. You will work closely with cross\-functional teams including Product, Engineering, Sales, Marketing, Finance, and Executive leadership to understand data requirements and deliver solutions that drive business outcomes. Your leadership will be instrumental in establishing technical standards, best practices, and operational excellence for Docker’s data platform, ensuring reliability, performance, and security at scale.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in large\-scale implementations
* Strong expertise with Apache Airflow for workflow orchestration and pipeline management
* Hands\-on experience with modern BI platforms such as Sigma for self\-service analytics
* Extensive AWS experience, including S3, Redshift, EMR, Glue, Lambda, Kinesis
* Proficiency in Python, SQL, and other programming languages relevant to data engineering
* Experience with infrastructure\-as\-code, CI/CD practices, and modern DevOps tools
* Proven ability to design and implement large\-scale distributed data systems
* Knowledge of data warehousing concepts, dimensional modeling, and analytics architectures
* Understanding of data governance, security frameworks, and compliance standards (GDPR, CCPA)
* Strong leadership qualities with experience mentoring engineers and influencing technical decisions
* Excellent communication skills to articulate complex technical concepts to diverse audiences
**Responsibilities** 
* Define and lead the technical strategy for Docker’s data platform architecture, establishing a long\-term vision for scalable and reliable data systems
* Lead the design and implementation of highly scalable data infrastructure leveraging Snowflake, AWS, Airflow, DBT, and Sigma
* Architect end\-to\-end data pipelines supporting real\-time and batch analytics across Docker’s product ecosystem
* Drive technical decision\-making around data platform technologies, architectural patterns, and engineering best practices
* Establish technical standards for data quality, testing, monitoring, and operational excellence
* Design and build robust, scalable data systems capable of processing petabytes of data and supporting millions of user interactions
* Implement complex data transformations and modeling using DBT for analytics and business intelligence use cases
* Develop and maintain sophisticated data orchestration workflows with Apache Airflow
* Optimize Snowflake performance and cost efficiency while ensuring system reliability and scalability
* Create data APIs and services that facilitate self\-service analytics and integration with downstream systems
* Collaborate with cross\-functional teams to understand analytics requirements and deliver tailored technical solutions
* Partner with Data Scientists and Analysts to enable advanced analytics, machine learning, and BI capabilities
* Support operational reporting and embedded analytics initiatives for internal and external stakeholders
* Ensure data governance, security, and compliance standards are met through collaboration with relevant teams
* Own operational excellence for critical data systems, including monitoring, alerting, incident response, and disaster recovery
* Implement data quality frameworks, automated testing, and performance optimization strategies
* Mentor junior and mid\-level engineers, conducting technical reviews and fostering best practices
* Lead knowledge sharing initiatives, documentation, and cross\-team technical collaborations
* Participate in hiring processes and technical assessments to build a strong data engineering team
**Benefits** 
* Competitive salary and comprehensive health benefits
* Flexible remote work arrangements
* Opportunities for professional growth and development
* Collaborative and innovative work environment
* Access to cutting\-edge tools and technologies
* Paid time off and wellness programs
* Participation in company\-wide initiatives and events
 Equal Opportunity
 Docker is an equal opportunity employer committed to fostering an inclusive environment. We celebrate diversity and are dedicated to creating a workplace where all employees feel valued, respected, and empowered. We do not discriminate based on race, color, religion, gender, gender identity or expression, sexual orientation, national origin, age, disability, or any other protected status.</t>
        </is>
      </c>
    </row>
    <row r="57">
      <c r="A57" t="inlineStr">
        <is>
          <t>li-4339930056</t>
        </is>
      </c>
      <c r="B57" t="inlineStr">
        <is>
          <t>Software Engineer, Release &amp; Engineering Efficiency</t>
        </is>
      </c>
      <c r="C57" t="inlineStr">
        <is>
          <t>Anyscale</t>
        </is>
      </c>
      <c r="D57" t="inlineStr">
        <is>
          <t>linkedin</t>
        </is>
      </c>
      <c r="E57">
        <f>HYPERLINK("https://www.linkedin.com/jobs/view/4339930056", "https://www.linkedin.com/jobs/view/4339930056")</f>
        <v/>
      </c>
      <c r="F57">
        <f>HYPERLINK("https://jobs.ashbyhq.com/anyscale/3863bb2b-d2c2-482d-b00b-2209e83adf59?utm_source=2DLolXAkmZ&amp;urlHash=L1R-", "https://jobs.ashbyhq.com/anyscale/3863bb2b-d2c2-482d-b00b-2209e83adf59?utm_source=2DLolXAkmZ&amp;urlHash=L1R-")</f>
        <v/>
      </c>
      <c r="G57" t="inlineStr">
        <is>
          <t>San Francisco, CA</t>
        </is>
      </c>
      <c r="H57" t="inlineStr"/>
      <c r="I57"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This Role**
 Anyscale is looking to hire strong engineers to build the developer productivity team.
 Developer productivity engineering at Anyscale is a unique and challenging role. The core mission is to accelerate the productivity of the engineering organization through innovative technical solutions and strategic technology choices. This role covers the spectrum of open source Ray and the proprietary Anyscale platform as well.
 Due to the nature of our work being right in the intersection between distributed systems and machine learning, the development and testing of the project naturally brings forth many challenging systems and deployment issues.
**As Part Of This Role, You May**
* Design and implement developer velocity improvement projects across all engineering teams
* Define and deliver developer\-focused solutions CI/CD tools, build system, automated releases systems that enable scalable development
* Design, build and maintain core testing infrastructure to ensure that Ray remains an industry\-leading scalable and distributed programming runtime and that our proprietary platform remains highly stable and scalable
* Work with infrastructure teams to influence, develop, and evaluate Anyscale cluster management features
* Work with the open source Ray team to design and implement distributed testing frameworks and applications to help ensure correctness of the program across operating systems, architecture, and underlying environments
**We'd Love To Hear From You If Have**
* At least 2 year of software engineering experience in CI/CD, build systems (Bazel), large\-scale systems engineering or distributed systems in a cloud environment
* Experience with Infrastructure as Code tooling (Terraform, Cloudformation, Pulumi, etc)
* Experience with AWS cloud infrastructure (EC2, S3, IAM, Docker, etc)
* Experience with Kubernetes
* Experience working on programming languages, security, or cloud developer productivity tools is a plus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row>
    <row r="58">
      <c r="A58" t="inlineStr">
        <is>
          <t>li-4329171650</t>
        </is>
      </c>
      <c r="B58" t="inlineStr">
        <is>
          <t>Software Engineer</t>
        </is>
      </c>
      <c r="C58" t="inlineStr">
        <is>
          <t>Cadence</t>
        </is>
      </c>
      <c r="D58" t="inlineStr">
        <is>
          <t>linkedin</t>
        </is>
      </c>
      <c r="E58">
        <f>HYPERLINK("https://www.linkedin.com/jobs/view/4329171650", "https://www.linkedin.com/jobs/view/4329171650")</f>
        <v/>
      </c>
      <c r="F58" t="inlineStr"/>
      <c r="G58" t="inlineStr"/>
      <c r="H58" t="inlineStr"/>
      <c r="I58" t="inlineStr">
        <is>
          <t>**At Cadence, we hire and develop leaders and innovators who want to make an impact on the world of technology.**
**Responsibilities**
* Design and develop advanced automated design flows for IC Package and Printed Circuit Board design
* Apply excellent knowledge of object\-oriented paradigm, data structures and algorithms, as well as good communication skills and a problem\-solving mindset to deliver new breakthrough automated design technologies
* Develop, debug and analyze software in C/C\+\+
* Contribute to software system design to appropriately incorporate machine learning elements into product features
* Collaborate with Product Engineering and Customer Support to understand and capture requirements.
* Develop detailed functional specifications for new feature development and enhancements.
* Architect advanced ECAD flows, develop and integrate algorithms with user interface features
**The Team**
 At Cadence, we have a dedicated team of self\-driven, self\-motivated engineers. We hold true to our motto of “One Cadence, One Team” and have a core belief in integrity and accountability. This team is developing Electronic Design Automation software focused on physical Package and PCB design.
**Qualifications**
* PhD CE, CS, EE or MS CE, CS, EE or equivalent and 2 years work experience in a software development role
* Strong C/C\+\+ development skills with a good understanding of object\-oriented design
* Strong background of computer science fundamentals (data structures, algorithms) and computational mathematics
* Practical experience developing production\-quality applications in Python is a plus
* Passionate to learn and explore new technologies and demonstrates good analysis and problem\-solving skills
* Experience in EDA tool development is a plus
**Job Location:**
 Boston, Massachusetts
*The annual salary range for Massachusetts is $98,000 to $182,000\.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59">
      <c r="A59" t="inlineStr">
        <is>
          <t>li-4353091372</t>
        </is>
      </c>
      <c r="B59" t="inlineStr">
        <is>
          <t>Software Engineer (Aircraft Systems) - TRU Simulation</t>
        </is>
      </c>
      <c r="C59" t="inlineStr">
        <is>
          <t>Textron</t>
        </is>
      </c>
      <c r="D59" t="inlineStr">
        <is>
          <t>linkedin</t>
        </is>
      </c>
      <c r="E59">
        <f>HYPERLINK("https://www.linkedin.com/jobs/view/4353091372", "https://www.linkedin.com/jobs/view/4353091372")</f>
        <v/>
      </c>
      <c r="F59">
        <f>HYPERLINK("https://rr.jobsyn.org/8D4C7FAB7564444E83BED3F4B05077361606?src=SNS-102&amp;urlHash=aBpo", "https://rr.jobsyn.org/8D4C7FAB7564444E83BED3F4B05077361606?src=SNS-102&amp;urlHash=aBpo")</f>
        <v/>
      </c>
      <c r="G59" t="inlineStr">
        <is>
          <t>Lutz, FL</t>
        </is>
      </c>
      <c r="H59" t="inlineStr"/>
      <c r="I59" t="inlineStr">
        <is>
          <t>Textron Aviation has been inspiring the journey of flight for nine decades through the iconic and beloved Cessna and Beechcraft brands. We are passionate advocates of aviation, empowering people with the freedom of flight. As you join our legacy as a global leader in private aviation, you’ll have opportunities to try new fields, expand your skills and knowledge, stretch your abilities, and build your career. We provide a competitive and extensive total rewards package that includes pay and innovative benefits to support you and your family members – now and in the future, beginning day one. Your success is our success.
**Description**
**What you will be doing as a Software Engineer** 
**at TRU Simulation**
 In this role, you can expect to design and develop innovative software solutions in a prototyping environment. You’ll tackle complex challenges, lead root\-cause analysis, and provide expert recommendations to resolve software defects. If you thrive on collaboration and cutting\-edge methodologies, this is your opportunity to make an impact.
**Your Responsibilities May Include (but Are Not Limited To)**
**Software Development** 
 – Design, develop, and document flight simulator software ensuring compliance with industry standards and regulatory requirements
**Cross\-Functional Collaboration** 
 – Work closely with engineers across disciplines to meet project goals and deliver high\-quality solutions
**Testing \&amp; Validation** 
 – Create and execute acceptance test procedures to confirm functionality, performance, and reliability of simulator systems
**Integration \&amp; Optimization** 
 – Perform hardware and software integration on flight simulators, ensuring seamless operation and recommending enhancements
**Design Review \&amp; Innovation** 
 – Participate in engineering design reviews, analyze data and specifications, and propose improvements to simulator designs
**Continuous Improvement** 
 – Stay current with simulation technologies and provide recommendations for software and hardware advancements
**Qualifications**
**What you need to be successful:**
**Required**
 A Bachelor’s degree in Software Engineering , Computer Engineering, Computer Science, or related field is required
 A minimum 2 years of software engineering or relative experience is required
**Helpful**
 Proficiency In programming languages such as C/C , Python
 Familiarity with Unix/Linux Operating Systems
 Knowledge of software development methodologies, version control systems, and software testing practices
 Ability to troubleshoot and debug complex software systems while using strong problem solving skills
 Ability to collaborate effectively with strong communication and teamwork skills
 Attention to detail and a passion for delivering high quality products
**Why join us?**
 Your success is our success. We provide a competitive and extensive total rewards package that includes pay and innovative benefits to help you and your family members – now and in the future, beginning day one.
 401K company match additional annual contribution equal to 4% of eligible compensation
 Education assistance for undergraduate, graduate, and certificate programs, compensated at the start of the semester
 Flight training bonus program for earning pilot certifications
 Fertility and adoption assistance, along with discounted childcare and planning
 Free financial consultations and guidance
 Explore more benefits here
 At Textron Aviation, base pay is only one of the parts of our Total Rewards package and is determined within a range. This provides you the opportunities to grow and develop within your role, and depends on your experience, qualifications, and location.
 Our workforce is made up of individuals throughout the world with a wide range of backgrounds, interests, and passions. Our unique perspectives lead us to be a world\-class workforce, helping us develop legendary products. Because we recognize that our differences make us stronger, and studies have shown that some may be less likely to apply unless they match the job description exactly, we welcome you to apply to this role if it meets your career goals. You could be our next great fit\\!
 This role is eligible for a $5,000 (pre\-tax) sign\-on bonus. Terms \&amp; conditions apply. The Company reserves the right to amend or suspend this program at any time.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TRU Simulation
**Primary Location:** 
 US\-Florida\-Lutz
**Job Function:** 
 Engineering
**Schedule:** 
 Full\-time
**Job Level:** 
 Individual Contributor
**Job Type:** 
 Standard
**Shift:** 
 First Shift
**Job Posting:** 
 01/13/2026, 10:03:04 PM
**Job Number:** 
 338785</t>
        </is>
      </c>
    </row>
    <row r="60">
      <c r="A60" t="inlineStr">
        <is>
          <t>li-4362421176</t>
        </is>
      </c>
      <c r="B60" t="inlineStr">
        <is>
          <t>Software Engineer II - Service Mesh</t>
        </is>
      </c>
      <c r="C60" t="inlineStr">
        <is>
          <t>Uber</t>
        </is>
      </c>
      <c r="D60" t="inlineStr">
        <is>
          <t>linkedin</t>
        </is>
      </c>
      <c r="E60">
        <f>HYPERLINK("https://www.linkedin.com/jobs/view/4362421176", "https://www.linkedin.com/jobs/view/4362421176")</f>
        <v/>
      </c>
      <c r="F60">
        <f>HYPERLINK("https://tnl2.jometer.com/v2/job?jz=5wqzs5823659067d87d7b72615b5361f77254KMALBBQAAADQ&amp;iis=Job%20Board%20-%20Recruitment%20Marketing&amp;iisn=LinkedIn&amp;urlHash=SDRR", "https://tnl2.jometer.com/v2/job?jz=5wqzs5823659067d87d7b72615b5361f77254KMALBBQAAADQ&amp;iis=Job%20Board%20-%20Recruitment%20Marketing&amp;iisn=LinkedIn&amp;urlHash=SDRR")</f>
        <v/>
      </c>
      <c r="G60" t="inlineStr">
        <is>
          <t>San Francisco, CA</t>
        </is>
      </c>
      <c r="H60" t="inlineStr"/>
      <c r="I60" t="inlineStr">
        <is>
          <t>**About The Role**
 We are seeking a talented Software Engineer to join our Service Mesh team. Focused on high\-impact projects, you will be dedicated to shaping the future of L4/L7 layer networking and service mesh infrastructure, building the efficient, modern, and resilient foundation for Uber's products. This role directly addresses the core engineering challenge of microservice communication by tackling complex, large\-scale problems such as achieving extreme
 **scalability** 
 for a platform connecting over 25 million drivers and couriers globally, minimizing
 **infrastructure cost** 
 and optimizing resource utilization, and implementing advanced
 **load balancing** 
 to ensure high availability, low latency, and reliable communication across distributed hosts.
**What The Candidate Will Need / Bonus Points**
* What the Candidate Will Do
* Design, develop, and maintain the service mesh infrastructure (discovery, traffic management, routing) to ensure high reliability and scalability
* Collaborate with cross\-functional teams (Compute, Foundations, Deployment, Cloud, SRE, Storage, and Product teams), design and implement scalable, reliable, and high\-performance L7/L4 layer networking solutions, through sophisticated experiments
* Participate in on\-call rotations to provide timely resolution of critical incidents and ensure system availability.
* Conduct in\-depth debugging and troubleshooting of networking issues, both proactively and reactively.
* Continuously improve the monitoring and alerting systems to enhance system reliability.
* Stay abreast of industry trends and emerging technologies in networking, service mesh, and cloud\-native architectures.
* Basic Qualifications
* You have a proven record of building and productionizing highly reliable infrastructure at scale.
* Experience in building large\-scale distributed systems
* 2\+ years of relevant engineering experience, specifically working on backend services' networking stack or building infrastructure platform\-as\-a\-service services
* Proficient in one of the following programming languages: Go, C\+\+, Java
* Bachelor's degree in Computer Science or related technical field or equivalent practical experience.
* Demonstrated ability to thrive in a fast\-paced, collaborative environment with a passion for continuous learning and improvement.
* Preferred Qualifications
* 3\+ years of relevant engineering experience
* Experience with Kubernetes (k8s), Istio service mesh and Envoy is highly desirable.
* A bonus if you are a domain expert in the field of network infrastructure, public cloud, compute, storage, networking, containers/orchestration, observability.
* A solid understanding of designing based on metrics to achieve business objectives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1">
      <c r="A61" t="inlineStr">
        <is>
          <t>li-4352052084</t>
        </is>
      </c>
      <c r="B61" t="inlineStr">
        <is>
          <t>Software Engineer - AI (Remote)</t>
        </is>
      </c>
      <c r="C61" t="inlineStr">
        <is>
          <t>OneDigital</t>
        </is>
      </c>
      <c r="D61" t="inlineStr">
        <is>
          <t>linkedin</t>
        </is>
      </c>
      <c r="E61">
        <f>HYPERLINK("https://www.linkedin.com/jobs/view/4352052084", "https://www.linkedin.com/jobs/view/4352052084")</f>
        <v/>
      </c>
      <c r="F61" t="inlineStr"/>
      <c r="G61" t="inlineStr"/>
      <c r="H61" t="inlineStr"/>
      <c r="I61" t="inlineStr">
        <is>
          <t>No other company in our industry is supercharging the way they work and serve their clients like OneDigital. Fresh thinking has always been the core of OneDigital’s vision and growth strategy. It’s how we stand out in our industry, it’s how we stay competitive and resilient in a changing world. Most importantly, our innovative approach is helping more people do their best work and live their best lives. Innovation fuels our employee experience by making it easier to do your best work anytime, anywhere and from any device. And our tech\-based products for clients are a game changer in our industry. If you thrive on change and innovation, OneDigital is the career choice for you.
**Our Newest Opportunity:**
 The Software Engineer is responsible for delivering new and existing features based on business prioritization, following an established process that includes business discovery, feature refinement, and collaboration with cross\-functional teams through implementation. These features may span isolated products or subdomains within larger platforms, often requiring coordination across multiple owners.
 This role is ideal for someone who has embraced AI from the outset and is eager to lead the next phase of AI\-augmented product development — not by writing code, but by driving clarity, speed, and strategic alignment across teams.
**Essential Duties And Responsibilities**
**Product Ownership \&amp; Delivery**
* Incorporate feature requests into product planning and roadmap via the intake process.
* Conduct cross\-team feature refinement sessions.
* Develop user stories and define acceptance criteria.
* Groom and prioritize backlog with the team.
* Set sprint goals and assist in writing acceptance tests.
* Plan releases and upgrades.
* Follow progress of work and triage UAT/production issues.
* Drive continuous improvements based on team feedback.
* Document product standards for internal and external stakeholders.
**AI\-Augmented Delivery Strategy**
* Stay ahead of the curve with AI — having made the transition early and continuing to drive innovation.
* Lead the product strategy for AI coworkers and assistants, ensuring they are built or rebuilt using existing tech stacks.
* Develop and present proof\-of\-concepts (POCs) for AI options — including when AI is not the right solution.
* Understand how AI coworkers integrate with broader systems — they won’t live in isolation, and you’ll help ensure they work across platforms and APIs.
* Contribute to the evolution of knowledge bases and LLMs that support AI agents over time.
**Cross\-Functional Collaboration \&amp; Communication**
* Confidently communicate across engineering, product, and business teams — balancing workshopping, training, and selling the vision.
* Partner with technical leads and architects to align product delivery with feasibility and scalability.
* Identify blockers and inefficiencies that slow down delivery and propose scalable solutions.
* Maintain a bias toward action — quickly validate ideas to inform how we scale.
**Qualifications, Skills And Requirements**
* Familiarity with agile methodologies.
* Hands\-on experience managing all stages of the product life cycle.
* Technical fluency in software development concepts — especially around APIs, integrations, and web technologies.
* Experience with Data Mapping, API Integration, JSON, REST APIs; JSONPath is a plus.
* Understanding of cloud\-native systems (preferably Azure).
* Exposure to AI\-augmented delivery models or low\-code platforms.
* Strong organizational and communication skills.
* Ability to move fast — with a mindset of “build quickly, then scale smartly.”
* Team\-oriented mindset with the ability to simplify complex decisions.
 The typical base pay range for this role nationwide is $130,000 to $135,000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OneDigital is an equal opportunity employer. Not only as a matter of standard, but to honor and celebrate our differences. We believe that the power of ONE starts with you. We are committed to cultivating and preserving a culture that celebrates diversity, insists on equity and inclusion, and connects us. Ensuring our people feel
 **seen, valued, respected, and supported** 
 is fundamental to our core values and business goals.
 OneDigital provides equal employment opportunities to all employees and applicants for employment regardless of their: veteran status, uniformed servicemember status, race, color, religion, sex, sexual orientation, gender identity, age (40 and over),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A copy of the Federal EEO poster is linked here.
 Pursuant to local Fair Chance Ordinances, we will consider qualified applications with arrest or conviction records for employment. For applicable candidates, the following ordinances are linked here to inform you of your rights as an applicant:
 City and County of San Francsico
 City of Los Angeles
 County of Los Angeles
 Employment decisions shall comply with all other applicable federal, state and city/county laws prohibiting discrimination in employment. OneDigital complies with all criminal history inquiry \[or ‘ban the box’] laws in California, Connecticut, Colorado, Hawaii, Illinois, Maine, Maryland, Massachusetts, Minnesota, New Jersey, New Mexico, Oregon, Rhode Island, Vermont and Washington.
*In short, we believe in hiring the most qualified applicant for the position, regardless of background.*
 If you have questions about our hiring policies and practices, we would be happy to discuss upon receiving your application. We hope to welcome you to OneDigital and look forward to hearing from you.
 OneDigital understands the immense responsibility and opportunities provided by Artificial Intelligence. We utilize advanced Artificial Intelligence \[AI] technologies to enhance our recruitment process. This includes using AI to filter candidates based on their qualifications and to rediscover potential candidates from our existing applicant pool. Our AI systems help us efficiently identify the best fit for our open positions, ensuring a streamlined and effective hiring experience. However, AI does not replace the humans in our process. If you have concerns about our use of AI, you may opt out where laws allow.
 Thank you for your interest in joining the OneDigital team!</t>
        </is>
      </c>
    </row>
    <row r="62">
      <c r="A62" t="inlineStr">
        <is>
          <t>li-4354859822</t>
        </is>
      </c>
      <c r="B62" t="inlineStr">
        <is>
          <t>Senior Frontend Engineer</t>
        </is>
      </c>
      <c r="C62" t="inlineStr">
        <is>
          <t>Silvermine.io</t>
        </is>
      </c>
      <c r="D62" t="inlineStr">
        <is>
          <t>linkedin</t>
        </is>
      </c>
      <c r="E62">
        <f>HYPERLINK("https://www.linkedin.com/jobs/view/4354859822", "https://www.linkedin.com/jobs/view/4354859822")</f>
        <v/>
      </c>
      <c r="F62">
        <f>HYPERLINK("https://www.silvermine.io/careers/senior-frontend-engineer&amp;urlHash=IoTP", "https://www.silvermine.io/careers/senior-frontend-engineer&amp;urlHash=IoTP")</f>
        <v/>
      </c>
      <c r="G62" t="inlineStr"/>
      <c r="H62" t="inlineStr"/>
      <c r="I62" t="inlineStr">
        <is>
          <t>Our client is a Pull Request as a Service platform. Their mission is to unlock the potential of the world’s most underrepresented, underprivileged, and underrated developers. Help them create opportunities for anyone to grow by contributing on the world’s best codebases.
 We are looking for a Senior Frontend Engineer to join a diverse team of 9 nationalities, which just happens to be 50% female.
 ‍
**Skills**
* Self\-management skills. You are able to operate independently, meaning you know how to plan and organize your work and communicate it to others, and don’t wait for someone to tell you what to do. This is especially important to us, since we’re a remote company with an async first mindset.
* Ability to do deep work (as described by Cal Newport in his book). We recognize the value of that uninterrupted work and try to reduce busy work as much as possible, so you can focus on meaningful work.
**Experience**
* Extensive experience with our frontend tech stack: TypeScript \&amp; ReactJS, GraphQL.
* Some familiarity with our backend stack can also come in handy: Elixir, Phoenix, Absinthe on top of the Postgres database.
* Familiarity with CI/CD ways of shipping code. We do it with: Pulumi, Kubernetes and GitHub Actions.
* Product sense. You care about the product, why people use it, and obsess about how to make it better for them. Ideally, you’ve developed one yourself, and know where to focus your energies in order to have the most impact.
**What You'll Be Doing (daily/monthly Tasks)**
* Contribute code to the frontend part of our codebase. It is a React application written in Typescript, that uses GraphQL API (through Relay).
* Own features end\-to\-end, from product definition, through implementation, and to production.
* Share your knowledge and passion for code quality with the rest of the team through code reviews and pairings.
* Grow both personally and professionally. We treat growth seriously, as we believe that our team will thrive only if and when every one of the team members does.
 The offer
* Fully remote: work from wherever you want
* Regular on\-sites to bond and explore the world (3\-4 a year of 2\-3 weeks each)
* Personalized growth plan \&amp; mentorship for every employee (we mean it) \+ access to the world’s most prestigious entrepreneurship community
* Great range of perks and benefits
* Competitive compensation and meaningful equity along with a chance to make a significant contribution to changing the lives of millions of engineers
 ‍
 Send us your CV to talent@silvermine.io and an introduction describing why you would be good for this position. Only well written applications will be considered.</t>
        </is>
      </c>
    </row>
    <row r="63">
      <c r="A63" t="inlineStr">
        <is>
          <t>li-4328974918</t>
        </is>
      </c>
      <c r="B63" t="inlineStr">
        <is>
          <t>Senior/Lead Software Engineer - Developer Experience</t>
        </is>
      </c>
      <c r="C63" t="inlineStr">
        <is>
          <t>C3 AI</t>
        </is>
      </c>
      <c r="D63" t="inlineStr">
        <is>
          <t>linkedin</t>
        </is>
      </c>
      <c r="E63">
        <f>HYPERLINK("https://www.linkedin.com/jobs/view/4328974918", "https://www.linkedin.com/jobs/view/4328974918")</f>
        <v/>
      </c>
      <c r="F63">
        <f>HYPERLINK("https://c3.ai/job-description/8352953002?gh_jid=8352953002&amp;gh_src=f3649ba92&amp;urlHash=xXCV", "https://c3.ai/job-description/8352953002?gh_jid=8352953002&amp;gh_src=f3649ba92&amp;urlHash=xXCV")</f>
        <v/>
      </c>
      <c r="G63" t="inlineStr">
        <is>
          <t>Redwood City, CA</t>
        </is>
      </c>
      <c r="H63" t="inlineStr"/>
      <c r="I63"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C3 AI is seeking a full\-stack
 **Senior / Lead Software Engineer** 
 to join the Developer Experience team. In this role, you will drive initiatives that elevate engineering excellence across the organization. You will develop products that automate code quality analysis and issue resolution, optimize application performance, and streamline release processes.
 You will design and build tools that empower developers to move faster and more confidently while ensuring quality and scalability. This is an opportunity to shape the future of Agentic AI application development by creating intelligent systems and frameworks that enhance how engineers build, test, and ship applications.
**Responsibilities**
* Lead efforts to define and enforce engineering standards, code quality, and best practices across engineering teams.
* Design and build tools and frameworks that improve developer workflows, testing, and release processes.
* Integrate Agentic AI capabilities to automate the resolution of code quality and performance issues.
* Create intelligent dashboards and analytics to provide visibility into code quality, test coverage, and engineering metrics.
* Partner with cross\-functional teams to deliver seamless developer experiences.
* Mentor engineers on full\-stack development, system design, and scalable architecture patterns.
* Drive continuous improvement through automation, experimentation, and feedback loops.
* Foster a culture of innovation, ownership, and technical excellence.
**Qualifications**
* Bachelor’s degree in computer science, Computer Engineering, or related fields, MS preferred.
* 5\+ years of professional software development experience in a fast\-paced software company
* Excellent programming skills in JavaScript and frameworks such as React, Redux, Vue, Backbone, or Angular.
* Proven track record of design and development of full stack web solutions for complex problems.
* Strong hands\-on experience and understanding of object\-oriented programming, data structures, algorithms, and web application development.
* In\-depth understanding of machine learning including deep learning algorithms.
* Thrive in a dynamic, rapidly changing environment and value end\-to\-end ownership of projects.
* Excellent verbal and written communication skills to collaborate multi\-functionally and improve scalability.
* Interest in committing to a fun, friendly, expansive, and intellectually stimulating environment.
**Preferred Qualifications**
* Advanced degree in engineering, sciences, or related field.
* Knowledge of distributed systems, test\-driven development, SQL and NoSQL databases, and performance optimization tools.
* Experience in leading engineering teams and projects.
 C3 AI provides excellent benefits, a competitive compensation package and generous equity plan.
 California Base Pay Range
 $150,000—$219,000 USD
 C3 AI is proud to be an Equal Opportunity and Affirmative Action Employer. We do not discriminate on the basis of any legally protected characteristics, including disabled and veteran status.</t>
        </is>
      </c>
    </row>
    <row r="64">
      <c r="A64" t="inlineStr">
        <is>
          <t>li-4325500368</t>
        </is>
      </c>
      <c r="B64" t="inlineStr">
        <is>
          <t>Software Engineer, Trust &amp; Risk</t>
        </is>
      </c>
      <c r="C64" t="inlineStr">
        <is>
          <t>Whatnot</t>
        </is>
      </c>
      <c r="D64" t="inlineStr">
        <is>
          <t>linkedin</t>
        </is>
      </c>
      <c r="E64">
        <f>HYPERLINK("https://www.linkedin.com/jobs/view/4325500368", "https://www.linkedin.com/jobs/view/4325500368")</f>
        <v/>
      </c>
      <c r="F64">
        <f>HYPERLINK("https://jobs.ashbyhq.com/whatnot/abd1dc38-901a-49aa-8cdb-18de379c59c3/application?utm_source=LinkedInJobWrapping&amp;urlHash=s2tY", "https://jobs.ashbyhq.com/whatnot/abd1dc38-901a-49aa-8cdb-18de379c59c3/application?utm_source=LinkedInJobWrapping&amp;urlHash=s2tY")</f>
        <v/>
      </c>
      <c r="G64" t="inlineStr">
        <is>
          <t>New York, NY</t>
        </is>
      </c>
      <c r="H64" t="inlineStr"/>
      <c r="I6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Trust and Risk, Fraud, and Integrity teams at Whatnot are responsible for building systems that help set clear expectations, encourage good behavior, and address issues fairly and efficiently. By combining proactive detection with transparent enforcement, we ensure Whatnot remains a safe and trustworthy place for both buyers and sellers..
**We Focus On**
* Policy enforcement and dispute resolution: Designing systems that set clear behavioral expectations, detect and address policy violations, and resolve disputes efficiently.
* Reusable, high\-performance platforms: Building and maintaining scalable infrastructure that powers internal operations, automated and manual actioning systems, and advanced detection capabilities.
* Intelligent detection and prevention: Leveraging machine learning, behavioral analysis, and real\-time interventions to stay ahead of evolving abuse patterns and protect both buyers and sellers.
* Continuous improvement: Using feedback loops and monitoring systems as managed assets for ongoing quality assurance and for strengthening algorithms, methodologies, and operational processes.
 Together, these teams ensure Whatnot remains a trusted, safe, and thriving marketplace for all users.
**What You'll Do**
* Design and develop systems to protect the platform: Build and iterate on production algorithms and infrastructures that mitigate systemic risks and safeguard buyers, sellers, and the broader Whatnot community.
* Balance risk and user experience: Proactively monitor the impact of protective systems on trusted users, ensuring interventions deliver more value than friction.
* Respond in real time to threats: Architect event\-driven pipelines and detection frameworks that enable near real\-time responses to high\-risk user behavior.
* Contribute across the full development lifecycle: Engage in ideation, scoping, prototyping, load testing, deployment, and monitoring to deliver resilient and scalable solutions.
* Drive cross\-team initiatives: Collaborate across multiple product surfaces and operational teams, surfacing insights to leadership and stakeholders through dashboards, notebooks, and clear written documentation.
* Continuously evolve defenses: Stay ahead of emerging abuse patterns, abuse vectors, and account integrity risks by iterating quickly and rigorously testing solutions.
**We offer flexibility to work from home or from one of our global office hubs, and we value in\-person time for planning, problem\-solving, and connection. Team members in this role must live within commuting distance of our Seattle, New York City, San Francisco, or Los Angeles hub.**
****👋 You****
 Curious about who thrives at Whatnot? We’ve found that low ego, a growth mindset, and leaning into action and high impact goes a long way here.
 As our next Software Engineer you should have 7\+ years of total software engineering experience, plus:
* Bachelor’s degree in Computer Science, Statistics, Applied Mathematics, Economics, a related technical field, or equivalent work experience.
* 4\+ years of software engineering experience building for consumer\-scale loads.
* 1\+ years of experience writing production code in Python.
* 1\+ years of experience in Trust and Risk or Integrity or Fraud domains preferred.
* Business intuition \&amp; a data\-driven mindset that enables you to think critically about the growth headwinds abuse prevention systems can create. Explicit data science or machine\-learning experience is a huge plus.
* Obsession with impact. You are focused on driving value for users \&amp; have a track record of deploying simple solutions wherever feasible. You move as fast as possible without sacrificing quality.
* Relentnessness \&amp; entrepreneurship. You prioritize your work ruthlessly \&amp; run through walls to get things done. Your curiosity drives you to dig into user problems \&amp; craft suggestions on how we can address them.
* Ability to work autonomously and lead initiatives across multiple product areas and communicate findings with leadership and product teams.
* Comfortability with data warehouses and transformation tools such as Snowflake, dbt, Dagster.
* Professionalism around collaborating in a remote working environment and well tested reproducible work.
* Above average documentation and communication skills.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65">
      <c r="A65" t="inlineStr">
        <is>
          <t>li-4250601257</t>
        </is>
      </c>
      <c r="B65" t="inlineStr">
        <is>
          <t>Sr. Software Engineer - Platform/CI</t>
        </is>
      </c>
      <c r="C65" t="inlineStr">
        <is>
          <t>AppFolio</t>
        </is>
      </c>
      <c r="D65" t="inlineStr">
        <is>
          <t>linkedin</t>
        </is>
      </c>
      <c r="E65">
        <f>HYPERLINK("https://www.linkedin.com/jobs/view/4250601257", "https://www.linkedin.com/jobs/view/4250601257")</f>
        <v/>
      </c>
      <c r="F65" t="inlineStr"/>
      <c r="G65" t="inlineStr">
        <is>
          <t>Santa Barbara, CA</t>
        </is>
      </c>
      <c r="H65" t="inlineStr"/>
      <c r="I65" t="inlineStr">
        <is>
          <t>**Description**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are hiring a Sr. Software Engineer who is passionate about improving developer productivity and large\-scale CI performance in a complex monorepo. This position will join a cross\-functional team working on designing, building, and maintaining scalable tooling and infrastructure to improve the local development experience and CI pipelines across engineering teams. Expect to partner closely with other platform and product teams to drive adoption of best practices for build, test, and deployment workflows.
**What You’ll Do**
* Design, develop, and maintain custom developer tooling that improves the local development experience across multiple languages and platforms.
* Own and evolve CI infrastructure to ensure fast, reliable, and scalable build and test pipelines.
* Collaborate with product engineering teams to understand pain points and design solutions that accelerate their workflows.
* Drive adoption of best practices in build systems, CI pipeline optimization, and automation.
* Mentor other engineers and contribute to technical leadership within the platform organization.
**Key Qualifications**
* 5\+ years of professional software engineering experience, including experience in platform or infrastructure\-focused roles.
* Extensive hands\-on experience with Ruby and TypeScript in production environments.
* Deep understanding of build systems and developer tooling, with strong proficiency in Docker, Devcontainers, and Bazel/Blaze.
* Proven track record of improving developer productivity and optimizing CI performance in complex monorepos or multi\-language codebases.
* Deep familiarity with CI/CD systems and developer productivity tooling.
* Effective communication skills and a strong desire to collaborate with cross\-functional teams.
**Other Qualifications**
* Experience with shell scripting in a Linux environment
* Creative ability to solve complex problems in collaboration with the product team
* Willingness to work on challenging problems in a dynamic environment with a high degree of uncertainty, autonomy, and alignment
* Proven experience working across all levels of the development stack
* Strong familiarity with Test\-Driven\-Development
* You have a high degree of initiative, creativity, persistence, and a strong focus on producing tangible results quickly and pragmatically.
* You love learning about new technologies, but love building real products more.
* You care about the long\-term maintainability of the codebase and will learn to advocate for refactoring and clean\-ups where appropriate
* You care about work\-life balance and want your company to care about it, too; you'll put in the extra time when needed, but won't let it become a habit.
**Compensation \&amp; Benefits**
 The base salary that we reasonably expect to pay for this role is $138,400\-$173,000\.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6">
      <c r="A66" t="inlineStr">
        <is>
          <t>li-4341225515</t>
        </is>
      </c>
      <c r="B66" t="inlineStr">
        <is>
          <t>Senior Software Engineer</t>
        </is>
      </c>
      <c r="C66" t="inlineStr">
        <is>
          <t>Microsoft</t>
        </is>
      </c>
      <c r="D66" t="inlineStr">
        <is>
          <t>linkedin</t>
        </is>
      </c>
      <c r="E66">
        <f>HYPERLINK("https://www.linkedin.com/jobs/view/4341225515", "https://www.linkedin.com/jobs/view/4341225515")</f>
        <v/>
      </c>
      <c r="F66" t="inlineStr"/>
      <c r="G66" t="inlineStr"/>
      <c r="H66" t="inlineStr"/>
      <c r="I66" t="inlineStr">
        <is>
          <t>**Overview**
 Come join Azure Core and help us build a future where customers achieve their business outcomes faster with technology that does more. Azure Core is leading the effort to enable customer success on the Microsoft Cloud by harnessing leading, AI\-powered capabilities and human expertise to deliver innovation solutions that accelerate business value, drive operational excellence and nurture long term loyalty.
 We are hiring a Senior Software Engineer to help drive our Azure specialized projects focused on enabling global scale offerings. In this role you will help build infrastructure used to run and operate AI supercomputers that are used for training and inferencing of AI models at scale. Come join us and be part of this platform and help us scale massively in the coming years.
 As a Senior Software Engineer, you will help plan, design, develop and test software systems or applications for software enhancements and new products which may be used in local, networked, cloud\-based computer programs. This opportunity will allow you to develop software, tools and code to be used in support of design, infrastructure and technology platforms as well as commercial or end\-user applications. You will use current programming language and technologies to write code, perform testing and debug any issues with robust documentation, procedures for deployment and processes for maintenance.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equivalent experience
+ OR Master's Degree in Computer Science or related technical field AND 6\+ years technical engineering experience with coding in languages including, but not limited to, C, C\+\+, C\#, Java, JavaScript, or Python
+ OR equivalent experience.
* Experience with building or operating AI/GPU infrastructure.
* Experience building or operating distributed systems at scale.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li-4317378949</t>
        </is>
      </c>
      <c r="B67" t="inlineStr">
        <is>
          <t>Software Developer</t>
        </is>
      </c>
      <c r="C67" t="inlineStr">
        <is>
          <t>Körber Supply Chain</t>
        </is>
      </c>
      <c r="D67" t="inlineStr">
        <is>
          <t>linkedin</t>
        </is>
      </c>
      <c r="E67">
        <f>HYPERLINK("https://www.linkedin.com/jobs/view/4317378949", "https://www.linkedin.com/jobs/view/4317378949")</f>
        <v/>
      </c>
      <c r="F67">
        <f>HYPERLINK("https://jobs.koerber.com/supplychain/job/Irving-Software-Developer-TX-75014/1218690701/&amp;urlHash=Fedu", "https://jobs.koerber.com/supplychain/job/Irving-Software-Developer-TX-75014/1218690701/&amp;urlHash=Fedu")</f>
        <v/>
      </c>
      <c r="G67" t="inlineStr">
        <is>
          <t>Irving, TX</t>
        </is>
      </c>
      <c r="H67" t="inlineStr"/>
      <c r="I67" t="inlineStr">
        <is>
          <t>Körber is the home for passionate people who innovate, collaborate and love what they do. Entrepreneurial spirit is our joint DNA. We develop future technologies and support talents to deploy their skills and reach their full potential. We combine our strong heritage with our understanding for local specifics and a global mindset to bring people together and create valuable solutions for our customers. We aim for being the first to do the right thing at the right time.
**Job Summary**
 The Software Developer in Supply Chain Solutions is responsible for developing and maintaining software applications that optimize supply chain operations in the mail and parcel sorting industry. This role involves working on development projects, collaborating with cross\-functional teams, and ensuring the scalability and reliability of supply chain software systems.
**Your role in our team**
* You will work under the guidance of software architects to develop software, in both migration of existing software and creation of new software for existing and exciting new projects
* You will work with test engineers to review how the completed software works in the live environment of mail processing
* You will work with test engineers to troubleshoot and debug any software issues
* You will work closely with test engineers to understand the software requirements and deliver solutions that meet business needs in the mail and parcel sorting industry
* You will be responsible for all phases of developing software for various platforms and integrating software applications with existing supply chain systems to ensure seamless operations and data flow
* You will participate in customer technical meetings to support technical applications
* You will learn and assist in the entire life cycle of projects, from requirements engineering to final deployment
* You will collaborate with cross\-functional teams to gather and analyze requirements
* You will work in a collaborative and team\-based environment, travelling throughout the U.S. up to 25% for customer meetings and integration testing
* You will be prepared to undertake other tasks as required
**Your profile**
* You have a Bachelor’s Degree in Computer Science, Software Engineering, Computer Engineering, or Electrical Engineering
* You have experience with C\#, C/C\+\+, Java, XML, and/or .NET framework
* You have familiarity with source control software packages such as DevOps, GitHub, etc.
* You have proven experience in software development, with a focus on supply chain solutions.
* You have experience with distributed systems architecture, multithreaded application development, and/or experience with GUI development
* You have 1 to 4 years of software development experience (required)
* You have an active sensitive security clearance or are able to obtain a USPS sensitive clearance
* You have been part of a high\-performing, multi\-site, and multi\-program team
* You have stayed updated with the latest industry trends and technologies
* You have good oral and verbal communication, reporting, and writing skills
* You will work locally in Irving, TX, in a hybrid work environment
 Eligible applicants must be currently authorized to work in the United States on a full\-time basis. The employer will not sponsor applicants for work visas for this position.
**Your working environment at Körber**
 Körber is pioneering cutting\-edge sorting technology and solutions that shape the future of mail and parcel automation across Europe, North America and Asia. Set new industry standards and champion customer\-centric services and solutions with our dynamic parcel logistics team based in Irving, Texas, USA.
 This full\-time, exempt role offers a hybrid work setting.
**Your Benefits**
* You will enjoy a flexible work environment that supports your work\-life balance; we offer paid time off for parental leave and 22\+ days off for personal time and holidays
* You will have access to medical, dental, and vision insurance plans with FSA or HSA options, and a 401(k) plan with a company match up to six percent
* You are provided with several company\-paid benefits, including vision insurance, short and long\-term disability and basic life insurance plans, and educational and employee assistance programs
 Can you see yourself in this profile? Then Körber is the right place for you. We look forward to getting to know you!
**Equal opportunity employer**
 We are an Equal Opportunity Employer and are committed to ensuring equal employment opportunity to all applicants. All hires to our team are based on qualifications, merit, and business needs. It is our policy to give equal employment opportunities to all qualified persons without regard to legally protected characteristics, or any other consideration made unlawful by applicable federal, state/provincial, and/or local law.
 Prior to the next step in the recruiting process, we welcome you to inform us confidentially if you may require any special accommodations in order to participate fully in our recruitment experience, please contact us via jobs@koerber.com. We work with selected partners and therefore ask recruitment consultancies to refrain from contacting us by mail or telephone.
 Disclaimer: The duties listed above are intended only as representation of the essential functions of this position.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at the sole discretion of the employer. Nothing in this document alters an employee’s at\-will employment status. Please note that the salary information is a general guideline only. Individual compensation will be determined by various factors such as scope and responsibilities of the position, experience, education, skills, location, and market and business considerations. Applications must be submitted via our career site.
 Applicants must be legally authorized to work for ANY employer in the U.S., this position is not eligible for Visa Sponsorship.
**Apply now and join our team!**
 Ready for your next step? Click on ‘
 **Apply now** 
 ’ to get started right away! As long as the position is advertised, you can apply at any time.
 We value diversity and therefore welcome all applicants \- regardless of gender, nationality, ethnic or social origin, religion/belief, disability, age, sexual orientation and identity, and any other protected status.
 If you have any questions or technical problems, please send us an e\-mail to jobs@koerber.com.
 **Raven Pinckney** 
 is the responsible person for this job advertisement. We work with permanent partners and therefore ask recruitment consultants to refrain from contacting us by e\-mail or telephone.</t>
        </is>
      </c>
    </row>
    <row r="68">
      <c r="A68" t="inlineStr">
        <is>
          <t>li-4362422166</t>
        </is>
      </c>
      <c r="B68" t="inlineStr">
        <is>
          <t>Software Engineer (Python/Javascript/React)</t>
        </is>
      </c>
      <c r="C68" t="inlineStr">
        <is>
          <t>Clearwater Analytics (CWAN)</t>
        </is>
      </c>
      <c r="D68" t="inlineStr">
        <is>
          <t>linkedin</t>
        </is>
      </c>
      <c r="E68">
        <f>HYPERLINK("https://www.linkedin.com/jobs/view/4362422166", "https://www.linkedin.com/jobs/view/4362422166")</f>
        <v/>
      </c>
      <c r="F68" t="inlineStr"/>
      <c r="G68" t="inlineStr">
        <is>
          <t>New York, United States</t>
        </is>
      </c>
      <c r="H68" t="inlineStr"/>
      <c r="I68" t="inlineStr">
        <is>
          <t>**Job Summary:** 
 The Trading and Risk Management System (TRMS) team is responsible for developing, supporting and maintaining our front and back office trading web applications using Python, the proprietary Beacon Dependency Graph and Glint, the Beacon UI framework.
 The successful candidate will contribute to the growth of the platform, exercising an eye for detail across all aspects of the development lifecycle while maintaining organisation and good code hygiene. This engineer should be able to effectively communicate both with internal teams and with clients.
 The successful candidate will help the Glint platform continue to grow, exercising an eye for detail across all aspects of the development lifecycle while maintaining organisation and good code hygiene. This Software Engineer should be able to effectively communicate both with internal teams and with clients. The successful candidate values teamwork and collaboration, as well as continuous learning and application of new technologies and trends. With progression in this track, the responsibilities expand to include leading teams, designing complex software systems, providing mentorship, and managing cross\-functional integration.
**Responsibilities:** 
* Design, build, deploy, and maintain quality code that is simple, well\-structured, clear, and well\-tested.
* Effectively break down and solve complex problems that require research or collaboration.
* Communicate effectively, regardless of medium, audience, or timing.
* Work with internal and external clients to gather and analyze requirements and product enhancements
* Participate in code reviews and provide technical feedback to the team
* Strong command of multiple levels of automated testing (e.g., unit, integration, contract, end\-to\-end, etc.).
* Initiate design and feature discussions, advocating for improvements in software performance, scalability, reliability, and security.
* Coordinate with other teams to ensure the successful integration of software applications.
* Troubleshoot and resolve production incidents quickly and effectively.
* Understand, respond to, and address customer needs and issues with empathy and timeliness.
**Required Skills:** 
* Proficiency in Python or another typed, object\-oriented programming language
* Proficiency in Javascript and React would be highly beneficial
* Good knowledge of software methodologies, tools, and typical architectural patterns.
* Experience with trading and risk management solutions is preferred, but not essential.
* Experience designing and building customer facing applications/components
* Self\-starter who is enthusiastic for software work in a software\-as\-a\-service company.
* Driven by client satisfaction.
* Strong teamwork skills.
* Ability to manage own time and deliver expected results on time.
* Commitment to continuous learning and improvement.
* Exceptional analytical skills.
* Strong computer skills, including proficiency in Microsoft Office.
* Excellent attention to detail and strong documentation skills.
* Outstanding verbal and written communication skills.
* Strong organizational and interpersonal skills.
* Exceptional problem\-solving abilities.
**Education and Experience:** 
* Degree in Computer Science or related field.
* 4\+ years of software development experience using Python or any other OOP languages.
**Salary Range:** 
 $137,770 \- $178,250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PTO, parental leave, and medical leave, STD/LTD insurance benefits. Clearwater Analytics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69">
      <c r="A69" t="inlineStr">
        <is>
          <t>li-4341515039</t>
        </is>
      </c>
      <c r="B69" t="inlineStr">
        <is>
          <t>Software Engineer 2 - CoreAI</t>
        </is>
      </c>
      <c r="C69" t="inlineStr">
        <is>
          <t>Microsoft</t>
        </is>
      </c>
      <c r="D69" t="inlineStr">
        <is>
          <t>linkedin</t>
        </is>
      </c>
      <c r="E69">
        <f>HYPERLINK("https://www.linkedin.com/jobs/view/4341515039", "https://www.linkedin.com/jobs/view/4341515039")</f>
        <v/>
      </c>
      <c r="F69">
        <f>HYPERLINK("https://apply.careers.microsoft.com/careers/job/1970393556629454?utm_source=linkedin&amp;domain=microsoft.com&amp;src=LinkedIn&amp;urlHash=Am9D", "https://apply.careers.microsoft.com/careers/job/1970393556629454?utm_source=linkedin&amp;domain=microsoft.com&amp;src=LinkedIn&amp;urlHash=Am9D")</f>
        <v/>
      </c>
      <c r="G69" t="inlineStr">
        <is>
          <t>Redmond, WA</t>
        </is>
      </c>
      <c r="H69" t="inlineStr"/>
      <c r="I69" t="inlineStr">
        <is>
          <t>**Overview**
**Software Engineer 2's** 
 within
 **CoreAI** 
 lead complex deployments of frontier models and AI Foundry in production. You will embed with customers where GenAI application performance matters, delivery is urgent, and ambiguity is the default. You will use this to map their problems, structure delivery, and ship fast. You will scope, sequence, and build full\-stack solutions that create measurable value. You will also drive clarity across internal and external teams. You will identify reusable patterns and share field signals that influence the roadmap.
 Success in this role means owning the delivery state across workstreams. You will hold the bar on quality and pace and help CoreAI learn through execution.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 Own technical delivery across multiple deployments from first prototype to stable production.
* Build full\-stack systems that deliver customer value and sharpen how we learn.
* Embed closely with customer teams, understand their needs, and guide adoption of what you build.
* Scope work, sequence delivery, and remove blockers early.
* Make trade\-offs between scope, speed, and quality; adjust plans to protect delivery.
* Contribute directly to the code when progress or clarity depends on it.
* Codify working patterns into tools, playbooks, or building blocks that others can use.
* Share field feedback that helps Product to understand where the agents, models and tools succeed and where they can improve.
* Keep teams moving through clarity and follow\-through.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**Additional/Preferred Qualifications**
* 3\+ years of experience in engineering, solution architecture, customer engineering or related roles in the AI, ML, cloud or enterprise software space.
* Understanding of LLM’s, agentic AI frameworks and modern AI infrastructure.
* Experience working with enterprises or digital native customers to deploy complex scalable and responsible AI solutions.
* Familiarity with LLM models, cloud platforms (Azure preferred) API security deployment best practices and data architectures.
* Stakeholder management and communication skills.
* Demonstrated ability to operate in ambiguous and cross functional environments.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0">
      <c r="A70" t="inlineStr">
        <is>
          <t>li-4328848899</t>
        </is>
      </c>
      <c r="B70" t="inlineStr">
        <is>
          <t>Software Engineer: Azure Compute</t>
        </is>
      </c>
      <c r="C70" t="inlineStr">
        <is>
          <t>Microsoft</t>
        </is>
      </c>
      <c r="D70" t="inlineStr">
        <is>
          <t>linkedin</t>
        </is>
      </c>
      <c r="E70">
        <f>HYPERLINK("https://www.linkedin.com/jobs/view/4328848899", "https://www.linkedin.com/jobs/view/4328848899")</f>
        <v/>
      </c>
      <c r="F70" t="inlineStr"/>
      <c r="G70" t="inlineStr"/>
      <c r="H70" t="inlineStr"/>
      <c r="I70" t="inlineStr">
        <is>
          <t>**Overview**
 Come build community, explore your passions, and do your best work at Microsoft. This opportunity allows you to bring your aspirations, talent, and excitement for the journey ahead while contributing to technology that operates at global scale.
 At Microsoft, we are learn\-it\-alls rather than know\-it\-alls. Our culture embraces a growth mindset, inspires excellence, and empowers teams to bring their best each day. If you’re excited to learn, collaborate, and make an impact, you’ll feel at home here.
 As a Software Engineer within Azure Compute, you will help design, build, and operate the foundational cloud infrastructure that powers Microsoft Azure. Our teams develop mission\-critical services that run on millions of machines worldwide, supporting technologies such as Virtual Machines, Compute Nodes, Serverless Containers, VM Scale Sets, Images, Agents and Extensions, and the Compute Control Plane.
 You’ll work on systems that directly impact
 **availability** 
 ,
 **reliability** 
 ,
 **performance** 
 ,
 **security** 
 ,
 **compliance** 
 , and
 **scalability** 
 across Azure. From capacity planning and availability zone resiliency to backend performance tuning and billing infrastructure, your work will help keep the cloud running smoothly for customers around the world.
 In this role, you’ll design and implement
 **extensible, maintainable backend services** 
 within large\-scale distributed systems. You’ll collaborate with engineers and stakeholders across Azure to define requirements, incorporate feedback, and deliver high\-quality solutions backed by strong testing, telemetry, and debugging practices.
 Whether your interests lie in
 **systems programming** 
 ,
 **concurrency** 
 ,
 **distributed services** 
 ,
 **REST APIs** 
 ,
 **partitioned and replicated systems** 
 , or emerging areas like
 **ML/AI\-enabled infrastructure** 
 , you’ll have opportunities to explore new technologies and learn from experienced senior and principal engineers. If you enjoy working on technically deep problems with real\-world impact at global scale, Azure Compute is one of the best places to start and grow your engineering career.
**Learn More About Azure Compute Technologies**
* https://azure.microsoft.com/en\-us/products/virtual\-machines
* https://azure.microsoft.com/en\-us/products/container\-instances
* https://azure.microsoft.com/en\-us/products/image\-builder
* https://learn.microsoft.com/en\-us/azure/virtual\-machines/azure\-compute\-gallery
* https://learn.microsoft.com/en\-us/azure/quotas/quotas\-overview
* https://azure.microsoft.com/en\-us/explore/global\-infrastructure/availability\-zones
* https://learn.microsoft.com/en\-us/python/api/overview/azure/compute?view\=azure\-python https://learn.microsoft.com/en\-us/azure/virtual\-machine\-scale\-sets/overview
 Microsoft’s mission is to empower every person and every organization on the planet to achieve more. We come together with a growth mindset, innovate to empower others, and collaborate to realize our shared goals—building a culture of inclusion where everyone can thrive at work and beyond.
**Responsibilities**
* Collaborates with stakeholders to break down work items into actionable tasks, provide estimates, and escalate risks or delays as appropriate. Supports feature deployments across Azure Compute services, considering customer and service impact while following safe deployment and operational best practices.
* Works with partners and teammates to define feature requirements and incorporate feedback into design iterations. Establishes feedback loops using customer metrics and telemetry to drive continuous improvement across large\-scale distributed systems.
* Learns and applies coding standards and engineering best practices through code reviews, developing maintainable and extensible backend code with guidance from senior engineers. Contributes code for products, services, or features, reusing existing components where appropriate.
* Uses debugging tools, logs, and telemetry to proactively and reactively diagnose issues in backend and systems\-level services. Contributes to performance tuning, reliability improvements, and quality\-focused engineering efforts across partitioned and replicated systems.
* Supports identification and documentation of dependencies for features, gaining exposure to service interactions and backend architecture. Contributes to architectural discussions, design documentation, and technical validation efforts, including testing hypotheses and integrating automation.
* Participates in quality assurance activities, including augmenting test plans, expanding coverage, and supporting automation. Learns how security, compliance, and reliability considerations influence design and operational decisions at scale.
* Participates in live service operations and acts as a Designated Responsible Individual (DRI) for monitoring services and responding to degradation or incidents for scoped scenarios. Follows established playbooks to help restore service health within SLA expectations.
* Develops and applies best practices for building scalable and secure systems. Learns about global and local regulatory requirements, customer scaling needs, and cross\-team collaboration required to operate cloud infrastructure at global scale.
* Ensures solutions meet Microsoft standards for security, privacy, safety, and accessibility. Leverages developer tools and automation in build, test, and deployment workflows, and proactively seeks opportunities to improve availability, reliability, efficiency, observability, and performance across Azure Compute services.
**Qualifications**
**Required Qualifications**
* Bachelor's Degree in Computer Science, or related technical discipline with proven experience coding in C\+\+, Rust, C\#, Python, and/or Java,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C\+\+, Rust, C\#, Python, and/or Java,
+ OR Master's Degree in Computer Science or related technical field with proven experience coding in C\+\+, Rust, C\#, Python, and/or Java,
+ OR equivalent experience.
* Professional and/or academic experience with cloud computing or cloud infrastructure, including platforms such as Azure, AWS, or GCP, and understanding of cloud fundamentals such as compute, networking, and storage.
* Professional and/or academic experience in distributed systems, cloud computing, and/or cloud infrastructure.
* Academic and/or professional experience with Linux and/or Windows.
* Professional and/or academic experience with VS Code, GIT, network monitoring tools, and/or debuggers.
* Experience with one or more of the following:
+ PowerShell scripting
+ RPC frameworks (gRPC)
+ Kernel concepts
+ Secure Coding
+ REST APIs
+ Partitioned and replicated services
+ ML/AI development (ML models, fine tuning, MCP servers)
+ Backend debugging and performance tuning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li-4328020571</t>
        </is>
      </c>
      <c r="B71" t="inlineStr">
        <is>
          <t>Full Stack Engineer</t>
        </is>
      </c>
      <c r="C71" t="inlineStr">
        <is>
          <t>Mentor Talent Acquisition</t>
        </is>
      </c>
      <c r="D71" t="inlineStr">
        <is>
          <t>linkedin</t>
        </is>
      </c>
      <c r="E71">
        <f>HYPERLINK("https://www.linkedin.com/jobs/view/4328020571", "https://www.linkedin.com/jobs/view/4328020571")</f>
        <v/>
      </c>
      <c r="F71" t="inlineStr"/>
      <c r="G71" t="inlineStr">
        <is>
          <t>New York, United States</t>
        </is>
      </c>
      <c r="H71" t="inlineStr"/>
      <c r="I71"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72">
      <c r="A72" t="inlineStr">
        <is>
          <t>li-4362363471</t>
        </is>
      </c>
      <c r="B72" t="inlineStr">
        <is>
          <t>Software Engineer</t>
        </is>
      </c>
      <c r="C72" t="inlineStr">
        <is>
          <t>TalentAlly</t>
        </is>
      </c>
      <c r="D72" t="inlineStr">
        <is>
          <t>linkedin</t>
        </is>
      </c>
      <c r="E72">
        <f>HYPERLINK("https://www.linkedin.com/jobs/view/4362363471", "https://www.linkedin.com/jobs/view/4362363471")</f>
        <v/>
      </c>
      <c r="F72">
        <f>HYPERLINK("https://tracking.prodivnet.com/track/apply/a0d0efbb-5bf8-4700-933a-c0ac548d5a79&amp;urlHash=TzzQ", "https://tracking.prodivnet.com/track/apply/a0d0efbb-5bf8-4700-933a-c0ac548d5a79&amp;urlHash=TzzQ")</f>
        <v/>
      </c>
      <c r="G72" t="inlineStr">
        <is>
          <t>Columbus, Ohio Metropolitan Area</t>
        </is>
      </c>
      <c r="H72" t="inlineStr"/>
      <c r="I7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PDN\-a0d0efbb\-5bf8\-4700\-933a\-c0ac548d5a79</t>
        </is>
      </c>
    </row>
    <row r="73">
      <c r="A73" t="inlineStr">
        <is>
          <t>li-4362431085</t>
        </is>
      </c>
      <c r="B73" t="inlineStr">
        <is>
          <t>Software Engineer, ML Infrastructure, Vertex AI</t>
        </is>
      </c>
      <c r="C73" t="inlineStr">
        <is>
          <t>Google</t>
        </is>
      </c>
      <c r="D73" t="inlineStr">
        <is>
          <t>linkedin</t>
        </is>
      </c>
      <c r="E73">
        <f>HYPERLINK("https://www.linkedin.com/jobs/view/4362431085", "https://www.linkedin.com/jobs/view/4362431085")</f>
        <v/>
      </c>
      <c r="F73">
        <f>HYPERLINK("https://careers.google.com/jobs/results/80007593220547270-software-engineer/?src=Online/LinkedIn/linkedin_us&amp;utm_source=linkedin&amp;utm_medium=jobposting&amp;utm_campaign=contract&amp;urlHash=SvLr", "https://careers.google.com/jobs/results/80007593220547270-software-engineer/?src=Online/LinkedIn/linkedin_us&amp;utm_source=linkedin&amp;utm_medium=jobposting&amp;utm_campaign=contract&amp;urlHash=SvLr")</f>
        <v/>
      </c>
      <c r="G73" t="inlineStr">
        <is>
          <t>Sunnyvale, CA</t>
        </is>
      </c>
      <c r="H73" t="inlineStr"/>
      <c r="I73" t="inlineStr">
        <is>
          <t>Note: By applying to this position you will have an opportunity to share your preferred working location from the following:
 **Sunnyvale, CA, USA; Kirkland, WA, USA** 
 .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with C\+\+, machine learning infrastructure, and distributed systems.
**Preferred qualifications:**
* Master's degree or PhD in Computer Science or related technical fields.
* 2 years of experience with data structures and algorithms.
* Experience in large\-scale data processing that involves image, video, ot audio.
* Experience in backend infrastructure and scalabilities.
* Experience with ML infrastructure.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foundation models team at Vertex AI, we bring the best of Google AI technology to our enterprise customers and developers. Our mission is to build the scalable and reliable infrastructure for Gemini Live API, enabling groundbreaking applications and driving innovation across industries. We're passionate about pushing the boundaries of AI, empowering businesses to unlock new possibilities through advanced machine learning solutions, and shaping the future of intelligent technology. We collaborate closely with research teams and customers to understand their needs and deliver solutions that meet the highest standards of performance, security, and reliability.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Triage product or system issues and debug/track/resolve by analyzing the sources of issues and the impact on hardware, network, or service operations and quality.
* Partner with research teams and Google DeepMind to productize models and technology on the Vertex AI platform, bridging the gap between research and real\-world applications.
* Design and implement robust cloud APIs and services for model deployment and management, ensuring seamless integration and user experience. This includes monitoring, prober setting, testing, and other critical components for operational excellence.
* Build infrastructure and services that enable model quality and evaluation processes, ensuring models meet the highest standards of accuracy and robustness.
* Work closely with product managers to gain deep insights into customer requirements and translate them into actionable product features and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li-4263959671</t>
        </is>
      </c>
      <c r="B74" t="inlineStr">
        <is>
          <t>Senior Software Engineer - Motor Controls</t>
        </is>
      </c>
      <c r="C74" t="inlineStr">
        <is>
          <t>Zipline</t>
        </is>
      </c>
      <c r="D74" t="inlineStr">
        <is>
          <t>linkedin</t>
        </is>
      </c>
      <c r="E74">
        <f>HYPERLINK("https://www.linkedin.com/jobs/view/4263959671", "https://www.linkedin.com/jobs/view/4263959671")</f>
        <v/>
      </c>
      <c r="F74" t="inlineStr"/>
      <c r="G74" t="inlineStr">
        <is>
          <t>South San Francisco, CA</t>
        </is>
      </c>
      <c r="H74" t="inlineStr"/>
      <c r="I74" t="inlineStr">
        <is>
          <t>Based in South San Francisco
**About Zipline**
 Do you want to change the world? Zipline is on a mission to transform the way goods move. Our aim is to solve the world’s most urgent and complex access challenges by building, manufacturing and operating the first instant delivery and logistics system that serves all humans equally, wherever they are. From powering Rwanda’s national blood delivery network and Ghana’s COVID\-19 vaccine distribution, to providing on\-demand home delivery for Walmart, to enabling healthcare providers to bring care directly to U.S. homes, we are transforming the way things move for businesses, governments and consumers. The technology is complex but the idea is simple: a teleportation service that delivers what you need, when you need it. Through our technology that includes robotics and autonomy, we are decarbonizing delivery, decreasing road congestion, and reducing fossil fuel consumption and air pollution, while providing equitable access to billions of people and building a more resilient global supply chain.
 Join Zipline and help us to make good on our promise to build an equitable and more resilient global supply chain for billions of people.
**About You And The Role**
 As a Senior Motor Control Engineer at Zipline, you’ll be responsible for shipping high\-performance motor controller firmware for Zipline’s family of proprietary motor controllers. Expect to work closely with electrical engineers, structures and mechanism designers, flight software developers, and test\-site operations teams. Our close\-knit engineering culture presents a unique opportunity to learn from a strong multi\-disciplinary team, and lets you swiftly ship features that are clearly linked to the delivery experience.
 We use C\+\+ in our firmware development, with Rust and Python for tooling that will be deployed to our production systems in the field. The team uses hardware\- and software\-in\-the\-loop test infrastructure to validate new features and regression test existing functionality. You’ll often be querying large data\-sets from our test operations to make high\-quality data\-driven engineering decisions and build prototypes of new algorithms. You’ll build analyses in Matlab, Julia, or Python to prove the performance of your controls designs, and execute Monte\-Carlo simulations to validate complex dynamics.
**What You'll Do**
* Design estimators and controllers for propulsion motors and actuators, in close collaboration with the vehicle controls team.
* Implement these controllers in C\+\+, targeting a bare\-metal ARM microcontroller.
* Write peripheral drivers for new revisions of Zipline’s motor controller hardware.
* Get your hands dirty validating your firmware on the bench and in flight tests.
* Understand and improve the reliability of the flight software system as a whole, working with hardware and systems engineers to develop comprehensive fault management strategies and hardware\-in\-the\-loop tests.
* Build vehicle simulations in Rust to validate and regression test Zipline’s firmware.
* Collaborate with electrical engineers to bring\-up and validate new inverter designs.
* Build and maintain automated systems to monitor the performance of our fleet and direct maintenance activity.
**What You'll Bring**
* Fluency in C/C\+\+, and excitement about writing code in Rust and Python.
* Eagerness to learn in a fast\-paced safety\-critical environment.
* Some experience with mechatronic control systems: hobby projects or professional experience are applicable.
* Curiosity and a willingness to work in a variety of embedded environments, from running on bare metal, to using a RTOS and integrating with embedded Linux.
* Experience supporting robotic systems in the real\-world, in particular addressing the long\-tail of edge\-cases and rare events to guarantee safety, reliability, and performance.
* A systems\-engineering mindset, and an eye for finding efficient solutions to problems that may lie outside your core competencies.
* Strong executive communication skills, to efficiently communicate about your work with stakeholders outside your technical domain.
* You must be able to work on\-site in South San Francisco, CA.
* A background in electronics design would be appreciated, but is not required.
**What Else You Need To Know**
 The starting cash range for this role is $155,000 \- $225,000\.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discretionary annual or performance bonuses; sales incentives; benefits such as medical, dental and vision insurance; paid time off; and more.
 Zipline is an equal opportunity employer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or our own sensibilities.
 We value diversity at Zipline and welcome applications from those who are traditionally underrepresented in tech. If you like the sound of this position but are not sure if you are the perfect fit, please apply!
**Please Note**
 We have received reports stating that certain individuals are reaching out to people under false pretenses, claiming to be Zipline employees, affiliates, agents, or representatives. They may seek to gain access to your personal information or to acquire money from you by offering fictitious employment opportunities or by claiming that they are contacting you on Zipline’s behalf.
 Genuine Zipline employees or representatives will never ask you for money or payment in exchange for employment opportunities or other related services. Any such offer of employment or any other service in exchange for fees that claims to be from us is deceitful and part of a fraud.
 If you believe you have been targeted by a fraudulent party, we ask that you immediately get in touch with us via email at security@flyzipline.com upon receiving a suspicious offer or claim.</t>
        </is>
      </c>
    </row>
    <row r="75">
      <c r="A75" t="inlineStr">
        <is>
          <t>li-4355180148</t>
        </is>
      </c>
      <c r="B75" t="inlineStr">
        <is>
          <t>Software Engineer, Control Plane</t>
        </is>
      </c>
      <c r="C75" t="inlineStr">
        <is>
          <t>Vultr</t>
        </is>
      </c>
      <c r="D75" t="inlineStr">
        <is>
          <t>linkedin</t>
        </is>
      </c>
      <c r="E75">
        <f>HYPERLINK("https://www.linkedin.com/jobs/view/4355180148", "https://www.linkedin.com/jobs/view/4355180148")</f>
        <v/>
      </c>
      <c r="F75" t="inlineStr"/>
      <c r="G75" t="inlineStr"/>
      <c r="H75" t="inlineStr"/>
      <c r="I75" t="inlineStr">
        <is>
          <t>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**Vultr Cares**
* 100% company\-paid insurance premiums for employee medical, dental and vision plans.
* 401(k) plan that matches 100% up to 4%, with immediate vesting
* Professional Development Reimbursement of $2,500 each year
* 11 Holidays \+ Paid Time Off Accrual \+ Rollover Plan
* Commitment matters to Vultr! Increased PTO at 3 year and 10 year anniversary \+ 1 month paid sabbatical every 5 years \+ Anniversary Bonus each year
* $500 stipend for remote office setup in first year \+ $400 each following year
* Internet reimbursement up to $75 per month
* Gym membership reimbursement up to $50 per month
* Company paid Wellable subscription
**Join Vultr**
 Our Engineering team plays a key role in our company's growth, and we are seeking a Software Engineer highly experienced in PHP. You will find yourself at the heart of our operations, working on APIs, backend systems, and more.
 You will engage in the development of secure and efficient mechanisms for our multi\-user portal, while collaborating effectively with both internal and external teams. This is a meaningful role that will greatly contribute to our platform’s security and user management.
**What to expect:**
* Architect, develop, and maintain robust APIs and backend solutions for our PHP\-based web portal.
* Work closely with our Engineering teams to research and create new features, address technical debt, and continually enhance performance.
* Participate in efforts to boost observability, increase automation, and optimize our CI/CD pipelines.
* Collaborate with internal and external stakeholders to plan and roll out new features focusing on security and reliability.
**Our ideal candidate will have:**
* Strong proficiency with PHP (3\+ years preferred).
* Solid grounding in Linux and/or BSD environments.
* A belief in thorough documentation as a fundamental component of engineering.
* Experience dealing with and resolving technical debt.
* Familiarity with Test\-Driven Development (TDD).
* Experience developing custom APIs (highly preferred).
* Exposure to configuration management tools like Puppet or Ansible is advantageous.
* Comfortability working in Windows environment would be beneficial, but not mandatory.
**Compensation**
 $75,000 \- $90,000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t>
        </is>
      </c>
    </row>
    <row r="76">
      <c r="A76" t="inlineStr">
        <is>
          <t>li-4348813507</t>
        </is>
      </c>
      <c r="B76" t="inlineStr">
        <is>
          <t>Senior Software Engineer</t>
        </is>
      </c>
      <c r="C76" t="inlineStr">
        <is>
          <t>Quvia</t>
        </is>
      </c>
      <c r="D76" t="inlineStr">
        <is>
          <t>linkedin</t>
        </is>
      </c>
      <c r="E76">
        <f>HYPERLINK("https://www.linkedin.com/jobs/view/4348813507", "https://www.linkedin.com/jobs/view/4348813507")</f>
        <v/>
      </c>
      <c r="F76" t="inlineStr"/>
      <c r="G76" t="inlineStr">
        <is>
          <t>Atlanta, GA</t>
        </is>
      </c>
      <c r="H76" t="inlineStr"/>
      <c r="I76" t="inlineStr">
        <is>
          <t>(C/C\+\+ \&amp; Python, Networking Domain)
 Miramar, FL
**About Quvia**
 Quvia is the AI\-powered quality of experience (QoE) management platform for things that move like ships and planes, transforming connectivity and digital experiences even in the most remote and hard\-to\-reach places. Our platform uses AI and machine learning to seamlessly blend any combination of connectivity, regardless of provider, orbit, or network, into one vendor\-neutral environment. Quvia delivers comprehensive, end\-to\-end analytics and dynamic network orchestration that optimizes for the best possible QoE for applications and end\-users.
 Today, Quvia partners with world\-leading Fortune 500 companies in aviation, cruise, shipping, and beyond.
 Why Quvia?
 Founded in 2019, Quvia is a fast\-growing, Series A tech startup passionate about redefining global connectivity. Our solutions are already addressing significant challenges in the aviation and cruise industries and we’re just getting started. With headquarters in the greater Miami region and offices in the UK and India, our remote\-first culture empowers talented individuals around the world to make a lasting impact. Quvia is backed by Columbia Capital, a respected venture capital firm with over $5 billion in fund commitments.
 Position Overview
 We are seeking a Grid Data Path Engineer with strong proficiency in C/C\+\+ and Python, and solid experience in the networking domain. The ideal candidate will be responsible for designing, developing, and maintaining software systems that power next\-generation networking solutions, with a focus on performance, scalability, and reliability. Having hands\-on experience in virtualized environments (VMs) — including setup, configuration, and network integration — along with the ability to design and develop robust, scalable networking software is also an essential requirement.
 In order to be considered, candidates must be based in South Florida, and live within a commutable distance to our headquarters in Miramar.
**Key Duties And Responsibilities**
* Design and develop software modules using C/C\+\+ for high\-performance network applications.
* Part of the software also involves integrating with Python based modules.
* Work on L2–L7 networking protocols such as Ethernet, IP, TCP/UDP, BGP, OSPF, MPLS, and others.
* Collaborate closely with architecture and QA teams to define and deliver robust software components.
* Debug and resolve complex issues across multiple layers (application, transport, and network).
* Analyze crash files and debug with the team to resolve them
* Configure and troubleshoot virtual networking in virtual machine (VM) environments — bridges, TAP/TUN interfaces, VLANs, and virtual switches (like OVS).
* Deploy and test networking software inside VMs or virtualized test environments (e.g., KVM, VMware, VirtualBox, or cloud VMs).
* Collaborate with DevOps and QA teams to ensure seamless deployment, configuration, and testing workflows.
* Participate in design and code reviews, enforcing best practices for maintainable, high\-quality code.
* Mentor junior engineers and contribute to technical design discussions and documentation.
**Requirements**
* Bachelor’s or Master’s degree in Computer Science, Electronics, or related discipline.
* 7–10 years of hands\-on software development experience in C/C\+\+ and Python.
* Strong understanding of networking concepts and protocols — IPv4/IPv6, ARP, VLAN, TCP/IP stack, routing, switching, or network virtualization.
* Experience with Linux based systems — system programming, socket programming, and multithreading.
* Hands\-on experience with packet capture/analysis tools (Wireshark, tcpdump, etc.).
* Exposure to DPDK/VPP, SDN/NFV, or network appliances is a strong plus.
* Experience integrating software with network management systems (NMS), SNMP, or REST APIs.
* Familiarity with CI/CD pipelines, Git, Jenkins, Docker, Kubernetes preferred.
* Excellent problem\-solving and debugging skills in distributed systems.
* Good understanding of software design patterns and performance optimization techniques.
* Strong analytical thinking and attention to detail.
* Good communication skills and ability to work in a collaborative environment.
* Proven track record of delivering production\-quality software in fast\-paced teams.
**Preferred / Good To Have**
* Experience with VPP (Vector Packet Processing) or DPDK\-based applications.
* Strong understanding of networking concepts — TCP/IP stack, routing, switching, VLANs, ARP, IPv4/IPv6\.
* Proven experience with Linux/Unix systems, socket programming, and multithreaded applications.
* Hands\-on experience in setting up and managing virtual machines and virtual networks —
* including KVM, libvirt, VMware, or VirtualBox.
* Familiarity with configuring bridges, vSwitches, TAP/TUN interfaces, and NAT or host\-only networking.
* Exposure to OpenConfig, NETCONF/YANG, gRPC, or telemetry systems.
**What We Offer**
* Competitive salary
* Equity options
* Performance\-based bonus opportunities
* Medical, Dental and Vision benefits
* Life Insurance
* Flexible PTO policy
* 401(k) plan</t>
        </is>
      </c>
    </row>
    <row r="77">
      <c r="A77" t="inlineStr">
        <is>
          <t>li-4329211510</t>
        </is>
      </c>
      <c r="B77" t="inlineStr">
        <is>
          <t>Software Engineer, Computational Policy Lab</t>
        </is>
      </c>
      <c r="C77" t="inlineStr">
        <is>
          <t>Harvard Kennedy School</t>
        </is>
      </c>
      <c r="D77" t="inlineStr">
        <is>
          <t>linkedin</t>
        </is>
      </c>
      <c r="E77">
        <f>HYPERLINK("https://www.linkedin.com/jobs/view/4329211510", "https://www.linkedin.com/jobs/view/4329211510")</f>
        <v/>
      </c>
      <c r="F77">
        <f>HYPERLINK("https://careers.harvard.edu/job/software-engineer-computational-policy-lab-in-cambridge-ma-united-states-jid-898?_atxsrc=linkedin&amp;utm_source=linkedin&amp;urlHash=sXT_", "https://careers.harvard.edu/job/software-engineer-computational-policy-lab-in-cambridge-ma-united-states-jid-898?_atxsrc=linkedin&amp;utm_source=linkedin&amp;urlHash=sXT_")</f>
        <v/>
      </c>
      <c r="G77" t="inlineStr">
        <is>
          <t>Cambridge, MA</t>
        </is>
      </c>
      <c r="H77" t="inlineStr"/>
      <c r="I77"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the Harvard Kennedy School?**
 The John F. Kennedy School of Government at Harvard University is one of 12 graduate and professional schools at the university. Harvard Kennedy School’s mission is to improve public policy and leadership so people can live in societies that are more safe, free, just, and sustainably prosperous. By combining cutting\-edge research, the teaching of outstanding students, and direct interaction with practitioners, we have an impact on solving public problems that no other institution can match. When you work at Harvard Kennedy School, you make a difference.
**Job Description**
 Professor Goel’s Computational Policy Lab at the Shorenstein Center at Harvard Kennedy School is seeking a Software Engineer with specialized expertise in software development, generative AI, and data science. This position is housed within the Shorenstein Center on Media, Politics and Public Policy. Through teaching and research at the Kennedy School of Government and its program of visiting fellows, conferences and initiatives, the Center is at the forefront of its area of inquiry.
**Application Requirements**
* Applications must include the following, or they will be considered incomplete:
+ Resume
+ Cover letter including:
- A link to a piece of code on GitHub that you wrote, ideally something that demonstrates your technical skills and you’d enjoy walking us through if you were selected for an interview.
- A short description of the project you linked to.
- Confirmation that you are legally authorized to work in the United States without sponsorship for at least two years.
**Duties and Responsibilities:**
 Core responsibilities encompass specialized tasks including:
* Independently perform complex applications/web development for projects of large to very large size and complexity
* Design and develop complex software systems for large\-scale research projects, with a focus on education technology and generative AI\-based tools.
* Leverage recent breakthroughs in machine learning and natural language processing to build, test, and deploy advanced algorithmic tools that underpin rigorous empirical research in real\-world environments.
* Lead and collaborate on technically challenging projects involving AI, machine learning, natural language processing, and large\-scale experimentation.
* Contribute to the design and execution of randomized controlled trials and other empirical methods used to evaluate the impact of AI\-driven interventions.
* Collaborate closely with other researchers to translate theoretical models and experimental designs into high\-performance, production\-ready systems.
* Co\-author or contribute to academic publications and technical reports intended for peer\-reviewed journals, conference proceedings, and lay audiences.
* Stay abreast of emerging technologies and research developments related to AI, computational social science, and causal inference.
* Abide by and follow the Harvard University IT technical standards, policies and Code of Conduct.
 Projects you will work on include, but are not limited to:
* AI in Education: We are designing and testing AI\-powered technologies that go beyond generic tools like ChatGPT to provide tailored support for student learning. Our flagship tool, PingPong, is currently being evaluated through a large\-scale randomized experiment across universities and community colleges nationwide. In addition, we are piloting innovations such as virtual lectures, personalized student diagnostics, and teacher co\-pilot tools. This role will help design, implement, and scale these technologies so they can be rigorously tested and used in real classroom settings.
* AI in Public Policy: We are engineering AI systems that improve public service delivery and decision\-making. Examples include tools that assist county prosecutors in making unbiased charging decisions, help public defender clients to avoid jail time due to missed court dates, and support adjudicators as they process unemployment insurance claims. In this role, you will work on building robust, production\-quality systems that can be deployed in high\-stakes government environments where reliability, fairness, and performance are critical.
**Qualifications**
**Basic Qualifications:**
* Minimum of two years’ post\-secondary education or relevant work experience
**Additional Qualifications and Skills:**
* Bachelor's degree and/or relevant work experience in computer science, data science, or a closely related field, with a strong emphasis on advanced software engineering, machine learning, artificial intelligence, and empirical research methodologies.
* Experience working with generative AI pipelines.
* Experience deploying software in a cloud environment.
* Demonstrated team performance skills, service mindset approach, and the ability to act as a trusted advisor.
* Experience with Python / TypeScript and familiarity with Svelte / React preferred.
 Additional Information
* Appointment End Date: This is a fully benefits\-eligible term appointment, ending one year from date of hire, with the possibility of renewal.
* Visa Sponsorship Information: Harvard University is unable to provide visa sponsorship for this position
* Pre\-Employment Screening: Identity, Education
**Important Application instructions:**
* Applications must include the following, or they will be considered incomplete:
+ Resume
+ Cover letter including:
- A link to a piece of code on GitHub that you wrote, ideally something that demonstrates your technical skills and you’d enjoy walking us through if you were selected for an interview.
- A short description of the project you linked to.
- Confirmation that you are legally authorized to work in the United States without sponsorship for at least two years.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057\.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78">
      <c r="A78" t="inlineStr">
        <is>
          <t>li-4353200428</t>
        </is>
      </c>
      <c r="B78" t="inlineStr">
        <is>
          <t>Java Software Engineer with Martech Products Experience</t>
        </is>
      </c>
      <c r="C78" t="inlineStr">
        <is>
          <t>Visionary Innovative Technology Solutions LLC</t>
        </is>
      </c>
      <c r="D78" t="inlineStr">
        <is>
          <t>linkedin</t>
        </is>
      </c>
      <c r="E78">
        <f>HYPERLINK("https://www.linkedin.com/jobs/view/4353200428", "https://www.linkedin.com/jobs/view/4353200428")</f>
        <v/>
      </c>
      <c r="F78" t="inlineStr"/>
      <c r="G78" t="inlineStr"/>
      <c r="H78" t="inlineStr"/>
      <c r="I78" t="inlineStr">
        <is>
          <t>**Job Description:** 
* Hands\-on enterprise\-level J2EE–based web application development and support
* Hands\-on experience in Spring / Spring Boot / microservices
* Analyze the products / tools / APIs provided by vendors (vendors who supply SAAS\-based solutions to
 **SYF** 
 , e.g., Workfront, BlueConic, Digital Asset Management (Widen)
* Airship, BlueShift, Media Ocean, Epsilon / Harmony
**Primary Skills / Expertise** 
* Java 1\.8
* Spring Boot
* React JS
* Microservices
* Splunk
* New Relic
* Python
* Kafka
* SAAS Products (Off\-the\-shelf cloud products)
**MarTech Products** 
* Google Analytics, Google BigQuery
* PCF – Pivotal Cloud Foundry
* CDP platforms like
 **Blueconic**
* Personalization platforms like
 **Dynamic Yield**
* Ad platforms like
 **Kevel**
* DAM platform
* CMS/UCM platform
* CRM platform
* Tagging management platform
* Email Service Provider solutions</t>
        </is>
      </c>
    </row>
    <row r="79">
      <c r="A79" t="inlineStr">
        <is>
          <t>li-4341015636</t>
        </is>
      </c>
      <c r="B79" t="inlineStr">
        <is>
          <t>Senior Software Engineer</t>
        </is>
      </c>
      <c r="C79" t="inlineStr">
        <is>
          <t>Microsoft</t>
        </is>
      </c>
      <c r="D79" t="inlineStr">
        <is>
          <t>linkedin</t>
        </is>
      </c>
      <c r="E79">
        <f>HYPERLINK("https://www.linkedin.com/jobs/view/4341015636", "https://www.linkedin.com/jobs/view/4341015636")</f>
        <v/>
      </c>
      <c r="F79" t="inlineStr"/>
      <c r="G79" t="inlineStr">
        <is>
          <t>Redmond, WA</t>
        </is>
      </c>
      <c r="H79" t="inlineStr"/>
      <c r="I79" t="inlineStr">
        <is>
          <t>**Overview**
 The ES365 (Microsoft 365 Engineering Systems) team owns the tools that make up the end\-to\-end developer experience in Office and Substrate from source control and check\-in experience to build, validation, and deployment automation, and we’re making big, bold changes – for the better! We’re making it easy to build and ship apps across platforms and endpoints, and we’re moving away from proprietary, internal\-only tools onto “one Microsoft” investments, open source, and industry standard tools. This is an exciting time as we seek to re\-invent productivity, leveraging the power of AI universally.  We’re a growing team looking for a
 **Senior Software Engineer** 
 to join us. We have opportunities that span a wide range of front\-end and back\-end technologies including web application development, CLI development, back\-end services, machine learning, managed code, native code, cross\-platform, databases, distributed systems, cloud services, and more.  If you are excited about making engineers productive and happy by developing tools and services, we want you in ES365\. Come be at the center of Microsoft 365 and join the team that is building the future of Engineering Systems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product managers, designers, and partner teams to deliver a set of features with the right overall design and architecture.
* Own and deliver complete features across the development lifecycle, including design, architecture, implementation, testability, debugging, shipping, and servicing.
* Write clean, well\-thought\-out code with an emphasis on quality, performance, simplicity, durability, scalability, and maintainability.
* Be committed to delivering the best experience for our customers.
* Help create a diverse and inclusive culture where everyone can bring their full and authentic self and where we do our best work as a result.
**Other**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Experience in building highly available distributed systems at scale.
* 3\+ years experience in developing features with AI
* 3\+ years experience in iOS and Android development
**Preferred Qualifications**
* Proven experience in design, coding, testing, problem solving, and debugging skills in any language.
* Experience working across disciplines, groups, and teams.
* Experience architecting and delivering distributed cloud services, Azure preferred.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li-4328878736</t>
        </is>
      </c>
      <c r="B80" t="inlineStr">
        <is>
          <t>Senior Software Engineer</t>
        </is>
      </c>
      <c r="C80" t="inlineStr">
        <is>
          <t>Microsoft</t>
        </is>
      </c>
      <c r="D80" t="inlineStr">
        <is>
          <t>linkedin</t>
        </is>
      </c>
      <c r="E80">
        <f>HYPERLINK("https://www.linkedin.com/jobs/view/4328878736", "https://www.linkedin.com/jobs/view/4328878736")</f>
        <v/>
      </c>
      <c r="F80" t="inlineStr"/>
      <c r="G80" t="inlineStr">
        <is>
          <t>Redmond, WA</t>
        </is>
      </c>
      <c r="H80" t="inlineStr"/>
      <c r="I80" t="inlineStr">
        <is>
          <t>**Overview**
 The Windows Cloud division is seeking a
 **Senior Software Engineer** 
 to help elevate Azure Virtual Desktop (AVD) and Windows 365 Cloud PC (W365\) to new heights.
 AVD and W365 were recently recognized as leaders in the inaugural Gartner Magic Quadrant™ for Desktop as a Service (DaaS). These services offer organizations a modern, scalable, cloud\-based Windows experience.
 If you're passionate about solving distributed systems challenges and building high\-scale infrastructure, this role offers the opportunity to design and implement critical platform features that directly impact the scalability, reliability, and performance of our cloud services. You’ll deepen your expertise in areas such as cloud compute, desktop virtualization, large\-scale storage, and microservices architecture. You’ll collaborate with a diverse team of engineers to build new platform capabilities across virtualized compute, storage, and networking—enhancing the value we deliver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Lead architectural discussions and design efforts for product and solution components.
* Create design documentation and lead validation of proposed solutions.
* Mentor others by modeling best practices and producing extensible, maintainable code.
* Optimize, debug, refactor, and reuse code to improve performance and maintainability.
* Identify and promote best practices and coding patterns.
* Design and develop large\-scale distributed software services.
* Drive modern engineering practices through design and code reviews.
* Define system interfaces across components and use data/telemetry to inform decisions.
* Ensure services are modular, secure, reliable, diagnosable, monitored, and reusable.
* Improve test coverage, implement integration tests, and resolve issues.
* Consider testability, portability, reliability, and maintainability in code readiness.
* Gain a working understanding of Microsoft’s business and contribute to cohesive, end\-to\-end user experiences.
* Focus on customer and partner needs using a data\-driven approach.
**Other**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3\+ years of experience designing, implementing, and shipping cloud services or software products.
* 3\+ years of experience with distributed systems delivering large\-scale, secure, and resilient cloud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Broad experience and track record of working across teams to deliver shared solutions to complex problems.
* Ability to quickly ramp up, understand complex problems, and create solutions across many products.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li-4341055610</t>
        </is>
      </c>
      <c r="B81" t="inlineStr">
        <is>
          <t>Senior Software Engineer - Backend Platform &amp; Commerce Services</t>
        </is>
      </c>
      <c r="C81" t="inlineStr">
        <is>
          <t>Microsoft</t>
        </is>
      </c>
      <c r="D81" t="inlineStr">
        <is>
          <t>linkedin</t>
        </is>
      </c>
      <c r="E81">
        <f>HYPERLINK("https://www.linkedin.com/jobs/view/4341055610", "https://www.linkedin.com/jobs/view/4341055610")</f>
        <v/>
      </c>
      <c r="F81" t="inlineStr"/>
      <c r="G81" t="inlineStr"/>
      <c r="H81" t="inlineStr"/>
      <c r="I81" t="inlineStr">
        <is>
          <t>**Overview**
 We are seeking a Software Engineer to drive the next generation of scalable, resilient, and performant backend systems at Microsoft. This role is ideal for a backend\-focused engineer with deep experience in .NET/C\#, distributed systems, and enterprise\-scale commerce platforms. You will architect and build robust services powering pricing, cart, and checkout experiences while ensuring reliability, observability, and compliance at scale.
 Our team sits within Marketing but plays a unique role as the bridge between business needs and modern engineering practices—shaping how Microsoft delivers next\-generation web and commerce experiences. We focus on transforming our marketing and product websites into performant, scalable platforms that enable seamless cart and checkout journeys, while leveraging modern web frameworks, reusable component libraries, and AI\-driven automation to drive measurable efficiency and revenue gains.
 The
 **Senior Software Engineer – Backend Platform \&amp; Commerce Experiences** 
 role will be central to this transformation. As a hands\-on engineer, you will modernize and scale web experiences across multiple properties, drive adoption of web components from our Reimagine design system, and extend that library to power dynamic, enterprise\-grade shopping and checkout flows. Beyond hands\-on development, you’ll influence architecture, improve developer efficiency through shared tooling and governance, and ensure quality at scale by reviewing pull requests and mentoring vendor engineering teams.
 Microsoft’s mission is to empower every person and every organization on the planet to achieve more. We value respect, integrity, and accountability and foster a culture of inclusion where everyone can thrive. In alignment with our values, this role emphasizes partnership, innovation, and continuous learning.
**Responsibilities**
* Design, build, and maintain scalable backend services in .NET/C\# for pricing, cart, and checkout workflows.
* Implement APIs and microservices that integrate with enterprise commerce and catalog systems.
* Ensure availability and performance through efficient code, caching, and fault\-tolerant design.
* Establish and maintain robust backend monitoring, logging, and telemetry pipelines.
* Review and validate vendor or partner\-delivered code for quality, performance, and compliance.
* Guide teams on practices for backend architecture, observability, and cloud\-native services.
* Integrate with enterprise commerce platforms, payment gateways, and customer identity services.
**Qualifications**
**Required Qualifications:** 
* Bachelor's Degree in Computer Science or related technical field AND 4\+ years technical engineering experience with coding in languages including, but not limited to, C, C\+\+, C\#, Java, JavaScript, or Python
+ OR equivalent experience.
* 4\+ years of experience hands\-on backend development experience. with .NET/C\# or relevant backend technology, including building APIs, microservices, and event\-driven architectures.
* 2\+ years of experience with relational databases (SQL Server, Azure SQL) or NoSQL solutions (Cosmos DB, Redis) including schema design, optimization, and query performance.
* 2\+ years of demonstrated experience in building scalable, high\-availability services for enterprise commerce systems (e.g. \- pricing, catalog, cart, checkout, payments).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Deep knowledge of cloud platforms (Azure preferred) including App Services, Functions, Service Bus/Event Hub, Key Vault, and API Management.
* Proven experience implementing observability and monitoring solutions (e.g., Azure App Insights, Splunk, Grafana, Prometheus) and diagnosing performance bottlenecks.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2">
      <c r="A82" t="inlineStr">
        <is>
          <t>li-4361674570</t>
        </is>
      </c>
      <c r="B82" t="inlineStr">
        <is>
          <t>Software Engineer</t>
        </is>
      </c>
      <c r="C82" t="inlineStr">
        <is>
          <t>TalentAlly</t>
        </is>
      </c>
      <c r="D82" t="inlineStr">
        <is>
          <t>linkedin</t>
        </is>
      </c>
      <c r="E82">
        <f>HYPERLINK("https://www.linkedin.com/jobs/view/4361674570", "https://www.linkedin.com/jobs/view/4361674570")</f>
        <v/>
      </c>
      <c r="F82" t="inlineStr"/>
      <c r="G82" t="inlineStr">
        <is>
          <t>Richmond, VA</t>
        </is>
      </c>
      <c r="H82" t="inlineStr"/>
      <c r="I8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PDN\-a0d0efbb\-5bf8\-4700\-933a\-c0ac548d5a79</t>
        </is>
      </c>
    </row>
    <row r="83">
      <c r="A83" t="inlineStr">
        <is>
          <t>li-4354877151</t>
        </is>
      </c>
      <c r="B83" t="inlineStr">
        <is>
          <t>Frontend Engineer</t>
        </is>
      </c>
      <c r="C83" t="inlineStr">
        <is>
          <t>RemoteHunter</t>
        </is>
      </c>
      <c r="D83" t="inlineStr">
        <is>
          <t>linkedin</t>
        </is>
      </c>
      <c r="E83">
        <f>HYPERLINK("https://www.linkedin.com/jobs/view/4354877151", "https://www.linkedin.com/jobs/view/4354877151")</f>
        <v/>
      </c>
      <c r="F83" t="inlineStr"/>
      <c r="G83" t="inlineStr"/>
      <c r="H83" t="inlineStr"/>
      <c r="I83"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li-4346036057</t>
        </is>
      </c>
      <c r="B84" t="inlineStr">
        <is>
          <t>Software Engineer, Client Engagement</t>
        </is>
      </c>
      <c r="C84" t="inlineStr">
        <is>
          <t>Charlie Health</t>
        </is>
      </c>
      <c r="D84" t="inlineStr">
        <is>
          <t>linkedin</t>
        </is>
      </c>
      <c r="E84">
        <f>HYPERLINK("https://www.linkedin.com/jobs/view/4346036057", "https://www.linkedin.com/jobs/view/4346036057")</f>
        <v/>
      </c>
      <c r="F84" t="inlineStr"/>
      <c r="G84" t="inlineStr">
        <is>
          <t>New York, NY</t>
        </is>
      </c>
      <c r="H84" t="inlineStr"/>
      <c r="I84"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Charlie Health leads the nation in high\-acuity virtual behavioral care, having delivered life\-saving treatment to more than 100,000 clients nationwide. Our Client Engagement team builds the product experiences that help clients engage between sessions and get more out of treatment by giving them the tools to reflect, practice, and grow.
 You’ll create dynamic, interactive features across web and mobile, from skills work and “homework” to personalized exercises and progress tracking. Using experimentation, thoughtful UX, and AI\-driven personalization, you’ll help clients receive the right content at the right time, adapt experiences based on their needs, and stay connected to care in a way that actually improves outcomes.
 If you want to build a modern client\-facing product surface with high ownership, ship fast, and use new tech to make treatment more effective in the real world, this is the team for you
**Responsibilities**
* Develop and deliver high quality, performant, maintainable features that drive meaningful business value using our core technology stack: React, Python, and PostgreSQL.
* Partner with teammates across the organization to understand our business. Leverage that understanding to drive data modeling discussions and decisions.
* Be an owner. Collaborate with product and design to iterate to top notch product solutions.
* Identify bottlenecks and implement improvements to engineering processes, tools, and procedures. We’re early and the expectation of folks joining at this stage is that you’ll play a huge part in setting and improving how we work.
* Promote a culture of collaboration and learning across engineering, product, and design team via mentoring, documentation, presentations, or other knowledge sharing methods.
* Ensure our clients can always access the care they need by participating in our on\-call rotation
**Requirements**
* Professional experience developing user facing web or mobile applications that deliver meaningful business value.
* Hands on production experience with an application programming language, preferably Python.
* Ability to break down ambiguous problems into smaller parts with tractable solutions.
* Growth mindset and a sense of humor. You welcome feedback and when you stumble you get back up. You adapt quickly in a fast\-paced environment and you enjoy fostering an environment that prioritizes fun, learning, and growth.
* 2\+ years experience as an engineer
* Please note: candidates located within a 75\-minute commute of our NYC office are expected to work onsite 4 days/week.
 Charlie Health does not provide visa sponsorship.
**Benefits**
 Charlie Health is pleased to offer comprehensive benefits to all full\-time, exempt employees. Read more about our benefits here.
**Additional Information**
*The total target cash compensation for this role will be between $155,000–$195,000 per year at the commencement of employment.*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85">
      <c r="A85" t="inlineStr">
        <is>
          <t>li-4328364783</t>
        </is>
      </c>
      <c r="B85" t="inlineStr">
        <is>
          <t>Software Engineer II</t>
        </is>
      </c>
      <c r="C85" t="inlineStr">
        <is>
          <t>Microsoft</t>
        </is>
      </c>
      <c r="D85" t="inlineStr">
        <is>
          <t>linkedin</t>
        </is>
      </c>
      <c r="E85">
        <f>HYPERLINK("https://www.linkedin.com/jobs/view/4328364783", "https://www.linkedin.com/jobs/view/4328364783")</f>
        <v/>
      </c>
      <c r="F85" t="inlineStr"/>
      <c r="G85" t="inlineStr">
        <is>
          <t>Redmond, WA</t>
        </is>
      </c>
      <c r="H85" t="inlineStr"/>
      <c r="I85"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Supply Chain Engineering (CSCP\-E) group is an exciting and fast\-evolving engineering group within Microsoft that powers Microsoft’s Cloud\-first mission. We are responsible for supporting the supply chain that powers Microsoft's cloud infrastructure. This is a great opportunity to join a dynamic team and influence the way one of the world’s largest and fastest growing cloud environments is built and supported.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We are looking for a
 **Software Engineer II** 
 to join the team.
**Responsibilities**
* Collaborate with stakeholders to determine user requirements for a set of features.
* Contribute to the identification of dependencies and the development of design documents for a product area with minimal oversight.
* Create and implement code for products, services, or features, reusing code as applicable.
* Participate in efforts to break down larger work items into smaller tasks and provide estimations.
* Act as a Designated Responsible Individual (DRI), working on\-call to monitor systems, product features, or services for degradation, downtime, or interruptions, and gain approval to restore systems/products/services for simple issues.
* Build design, code, and deployment with security built in as default.
* Create detailed design and implementation based on functional requirements.
* Be a contributor to delivering high\-quality, highly available services.
* Create improvements for systems and engineering processes with simplicity and maintainability as core tenets.
* Be a role model for an open, honest, and inclusive approach to problem\-solving.
* Leverage subject\-matter expertise of product features and partner with stakeholders (e.g., project managers) to drive project plans, release plans, and work items for the workgroup.
* Support and influence the team culture towards customer\-centricity and continuous improvement.
* Implement practices that ensure accurate, safe, and efficient releases for our services.
* Leverage sound engineering practices and principles.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Industry experience with cloud technologies (Azure, AWS, Google).
* Experience with distributed systems, micro\-service architecture, scalability patterns, and high\-availability architectures.
* Experience with REST Based API’s development, messaging patterns (e.g. Service bus, Event Hub, Storage Queues) and cloud storage technologies ( e.g. Cosmos DB).
* Proficient in problem\-solving skills, with a data\-driven approach to debugging and performance optimization.
* Effective communication and collaboration skills, with the ability to lead technical discussions.
* Experience in deploying, monitoring, and operating services in the cloud.
* Ability to learn and self\-motivated.
* Problem\-solving, troubleshooting, and organizational skills.
* Experience with or exposure to Agile and iterative development processes.
* Familiarity with modern engineering practices such as CI/CD and version control systems like Git.
 \#CSCP \#CSCPJobs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6">
      <c r="A86" t="inlineStr">
        <is>
          <t>li-4329053272</t>
        </is>
      </c>
      <c r="B86" t="inlineStr">
        <is>
          <t>Software Engineer, AWS (Hybrid)</t>
        </is>
      </c>
      <c r="C86" t="inlineStr">
        <is>
          <t>AAA National</t>
        </is>
      </c>
      <c r="D86" t="inlineStr">
        <is>
          <t>linkedin</t>
        </is>
      </c>
      <c r="E86">
        <f>HYPERLINK("https://www.linkedin.com/jobs/view/4329053272", "https://www.linkedin.com/jobs/view/4329053272")</f>
        <v/>
      </c>
      <c r="F86" t="inlineStr"/>
      <c r="G86" t="inlineStr">
        <is>
          <t>Lake Mary, FL</t>
        </is>
      </c>
      <c r="H86" t="inlineStr"/>
      <c r="I86" t="inlineStr">
        <is>
          <t>**Business Summary**
 The Software Engineer designs, builds, and supports cloud\-native applications on AWS, contributing directly to application architecture, development, and reliability. This role focuses on hands\-on software development, adherence to enterprise standards, and collaboration with cross\-functional teams to deliver secure, scalable, and high\-performing solutions.
**What You'll Do**
* Develop and maintain backend and frontend applications using Java, Node.js, and React.
* Build, deploy, and support applications on AWS
* Develop and integrate CMS platforms and APIs
* Collaborate with product, UX, and engineering teams to deliver end\-to\-end solutions.
* Write clean, testable, and maintainable code.
* Participate in code reviews, design discussions, and technical problem\-solving
* Troubleshoot and resolve application and production issues
**What You Bring**
* Hands\-on experience with Java and modern frameworks
* Experience building applications with Node.js and React
* Strong working knowledge of AWS (cloud\-native development is a must)
* Experience developing or integrating Content Management Systems
* Understanding of APIs, databases, and modern SDLC practices
* Ability to work effectively in Agile or iterative development environments
**Nice to Have**
* Experience with CI/CD pipelines and automated testing
* Familiarity with microservices or cloud\-native architecture
**Education \&amp; Experience**
* Bachelor’s degree in Computer Science, Information Technology, or a related field, and five (5\) to seven (7\) years of experience leading software, enterprise system support, and/or BU applications, infrastructure, or networks.
* Associate’s degree in computer science, Information Technology, or a related field, and IT certification in ITIL, PMP, PMI, Lean, or a related certificate, and
* Seven (7\) to nine (9\) years of experience leading software, enterprise system support, and/or business unit applications, infrastructure, or networks.
**Hiring Range:** 
 $78,040 \- $98,330
 This position is also eligible for participation in AAA, Inc.'s Annual Incentive Plan.
**AAA, Inc. is committed to paying competitively and equitably. The posted range for this position** 
**reflects competitive compensation based on market data, internal equity, and the role's skills and requirements. The compensation offered will depend on your qualifications and experience.**
**AAA Inc. supports a flexible work environment for our associates. We are committed to collaboration, innovation, and work\-life balance and offer a hybrid work model of three days in\-office and two days at home (or whenever you work best) each week.**
**AAA, Inc. is not accepting unsolicited assistance from any search firms for this employment opportunity. All resumes submitted by search firms to any employee working at AAA, Inc., either by email, the Internet, or in any form and method, without a valid written Statement of Work in place for this position from AAA, Inc. will be deemed the sole property of AAA, Inc. No fee will be paid if AAA, Inc. hires the candidate due to the referral or through other means.**</t>
        </is>
      </c>
    </row>
    <row r="87">
      <c r="A87" t="inlineStr">
        <is>
          <t>li-4358168940</t>
        </is>
      </c>
      <c r="B87" t="inlineStr">
        <is>
          <t>Staff Software Engineer</t>
        </is>
      </c>
      <c r="C87" t="inlineStr">
        <is>
          <t>Storm3</t>
        </is>
      </c>
      <c r="D87" t="inlineStr">
        <is>
          <t>linkedin</t>
        </is>
      </c>
      <c r="E87">
        <f>HYPERLINK("https://www.linkedin.com/jobs/view/4358168940", "https://www.linkedin.com/jobs/view/4358168940")</f>
        <v/>
      </c>
      <c r="F87" t="inlineStr"/>
      <c r="G87" t="inlineStr"/>
      <c r="H87" t="inlineStr"/>
      <c r="I87" t="inlineStr">
        <is>
          <t>⚡
 **Staff Software Engineer** 
 🌎
 **US (remote)** 
 💸
 **$210k \- $240k \+ equity** 
 Join a
 **leading platform** 
 empowering primary care providers to succeed with Medicare patients across 44 states.
**Your impact:** 
 Act as
 **technical architect** 
 and
 **strategic partner** 
 , owning large‑scale, cross‑functional initiatives that deliver scalable healthcare tech at massive scale. Shape the platform powering thousands of providers and better patient outcomes.
**What you'll do:** 
* **Drive system design** 
 for distributed data pipelines, APIs, and microservices processing healthcare data at scale
* **Architect full\-stack solutions** 
 (RESTful/event‑driven backend \+ modern web apps) with observability and production excellence
* **Lead technical strategy** 
 across product, ops, and clinical teams, setting standards and mentoring engineers
* **Own multi‑quarter projects** 
 balancing speed, quality, and HIPAA/SOC2 compliance
**Must\-haves:** 
* 8–12\+ years backend/full‑stack experience with
 **service‑oriented architectures** 
 and
 **large data systems**
* Proven track record designing
 **scalable distributed systems** 
 (microservices, event‑driven)
* **AWS/cloud proficiency** 
 (infra, pipelines, cost optimization)
* **Production ops** 
 expertise (observability, monitoring, incident response)
* Experience aligning tech with
 **business/healthcare outcomes**
**Nice\-to\-haves:** 
* Healthcare tech (EHR, claims, FHIR, risk adjustment)
* **HIPAA/SOC2 compliance**
* Frontend architecture \+ AI tooling
**Why apply?** 
* **Rapid growth** 
 with massive market opportunity
* Partnering with
 **thousands of providers** 
 transforming Medicare care
* **Extreme ARR scaling** 
 \+ headcount expansion
* Competitive comp \+ equity \+ platinum health insurance</t>
        </is>
      </c>
    </row>
    <row r="88">
      <c r="A88" t="inlineStr">
        <is>
          <t>li-4361656605</t>
        </is>
      </c>
      <c r="B88" t="inlineStr">
        <is>
          <t>Software Engineer</t>
        </is>
      </c>
      <c r="C88" t="inlineStr">
        <is>
          <t>TalentAlly</t>
        </is>
      </c>
      <c r="D88" t="inlineStr">
        <is>
          <t>linkedin</t>
        </is>
      </c>
      <c r="E88">
        <f>HYPERLINK("https://www.linkedin.com/jobs/view/4361656605", "https://www.linkedin.com/jobs/view/4361656605")</f>
        <v/>
      </c>
      <c r="F88" t="inlineStr"/>
      <c r="G88" t="inlineStr">
        <is>
          <t>Irving, TX</t>
        </is>
      </c>
      <c r="H88" t="inlineStr"/>
      <c r="I8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PDN\-a0d0efbb\-5bf8\-4700\-933a\-c0ac548d5a79</t>
        </is>
      </c>
    </row>
    <row r="89">
      <c r="A89" t="inlineStr">
        <is>
          <t>li-4359100027</t>
        </is>
      </c>
      <c r="B89" t="inlineStr">
        <is>
          <t>Lead Software Engineer</t>
        </is>
      </c>
      <c r="C89" t="inlineStr">
        <is>
          <t>Confidential</t>
        </is>
      </c>
      <c r="D89" t="inlineStr">
        <is>
          <t>linkedin</t>
        </is>
      </c>
      <c r="E89">
        <f>HYPERLINK("https://www.linkedin.com/jobs/view/4359100027", "https://www.linkedin.com/jobs/view/4359100027")</f>
        <v/>
      </c>
      <c r="F89" t="inlineStr"/>
      <c r="G89" t="inlineStr"/>
      <c r="H89" t="inlineStr"/>
      <c r="I89" t="inlineStr">
        <is>
          <t>The Lead Software Developer is a senior technical and delivery\-focused role responsible for leading software system implementations from requirements through deployment. This includes solution architecture, technical leadership of a project team, customer\-facing design decisions, mentoring junior developers, and ensuring the software solution meets performance, reliability, and operational requirements in high\-automation warehouse environments.
 Success in this role is demonstrated through consistent delivery of project milestones, strong technical decision\-making, and leadership that elevates both customer outcomes and the development team.
 Key Job Responsibilities
 Technical Leadership
* Own technical design and architecture for assigned projects, ensuring alignment with platform standards
* Translate customer requirements into development tasks and delivery plans
* Lead code reviews, enforce coding standards, and guide system design decisions
* Escalate and resolve complex defects, performance bottlenecks, and automation system issues
 Project Team Leadership
* Coordinate sprint planning, resource assignments, and delivery milestones using Agile tools
* Mentor and coach junior and mid\-level developers
* Serve as the technical point of contact for internal stakeholders and customer engineering teams
* Collaborate with QA, Support, and Product teams to improve release readiness and deployment quality
 Hands\-On Development
* Design and develop .NET applications (C\#, WPF/MVVM, REST services)
* Build SQL Server data models, stored procedures, and performance\-optimized queries
* Integrate warehouse execution/control systems with industrial automation environments (e.g., PLCs, AMRs, host systems)
 Required Skills and Experience
* Bachelor’s degree in Computer Science or equivalent practical experience
* 4\-6 years of professional software development experience in an object\-oriented language
* Prior experience leading developers or acting in a technical lead capacity
* Ability to gather and translate customer requirements into scalable solution architectures
* Strong problem\-solving, communication, and ownership mindset
 Preferred Skills and Experience
* Professional experience with C\#/.NET
* Experience with WPF/MVVM or .NET\-based UI applications
* Experience developing RESTful APIs and service integrations
* Experience with SQL Server (data modeling and stored procedures)
* Agile leadership experience (sprint planning, backlog management, estimation)
* Experience with DevOps tools for source control, CI/CD, and project tracking
 Tools and Technologies
* C\#, WPF, MVVM, XAML, WCF/REST
 Other Requirements
* Travel up to 25% annually (domestic and international)
* Participation in rotating 24/7 support after project ramp\-up (additional compensation provided)
* Must be eligible to work in the United States
 \*No sponsorship available</t>
        </is>
      </c>
    </row>
    <row r="90">
      <c r="A90" t="inlineStr">
        <is>
          <t>li-4355023095</t>
        </is>
      </c>
      <c r="B90" t="inlineStr">
        <is>
          <t>Senior Software Engineer</t>
        </is>
      </c>
      <c r="C90" t="inlineStr">
        <is>
          <t>Microsoft</t>
        </is>
      </c>
      <c r="D90" t="inlineStr">
        <is>
          <t>linkedin</t>
        </is>
      </c>
      <c r="E90">
        <f>HYPERLINK("https://www.linkedin.com/jobs/view/4355023095", "https://www.linkedin.com/jobs/view/4355023095")</f>
        <v/>
      </c>
      <c r="F90" t="inlineStr"/>
      <c r="G90" t="inlineStr">
        <is>
          <t>Redmond, WA</t>
        </is>
      </c>
      <c r="H90" t="inlineStr"/>
      <c r="I90" t="inlineStr">
        <is>
          <t>**Overview**
 Overview
 The Ads Data Platform Team, part of Microsoft AI (Artificial Intelligence), is hiring a Software Engineer II\-Big Data Systems.
 This role is available in Redmond, WA
 Our team powers the backbone of Microsoft’s global ads marketplace—gathering, storing, and enriching over half a trillion ad\-serving events every day. We build data platforms that fuel business analytics, machine learning models, and real\-time reporting at massive scale. If you’re passionate about solving complex problems and driving innovation, this is the place for you.
**As Part Of Our Team, You’ll**
* Design and operate high\-scale, high\-performance systems that process billions of events through near\-real\-time and offline pipelines.
* Build data applications that directly impact Microsoft Ads’ double\-digit annual growth.
* Work on cutting\-edge technologies in distributed systems, machine learning, and big data.
 Why join us?
* Online advertising is one of the fastest\-growing businesses on the Internet, with $70B of a $600B market already online—and we’re just getting started.
* You’ll tackle technical challenges that demand computational intelligence, scalable algorithms, and interdisciplinary expertise across data mining, optimization, and economics.
* Be part of a results\-driven, inclusive culture where your ideas matter and your work create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BingAds stakeholders to determine requirements for new features to drive up Ads business. Create system design for feature requirements. Assure system meets security and compliance requirements and expectations. Creates a clear and articulated plan for testing and assuring quality solutions.
* Implement the features with high efficiency, extensibility, diagnosability, reliability, and maintainability with few defects. Reviews code of product to assure it meets the team's and Microsoft’s quality standards, is reliable and accurate, and is appropriate for the scale of the product feature.
* Maintain operations of live service as issues arise on a rotational, on\-call basis. Identifies solutions and mitigations to simple and complex issues and escalates as necessary. Acts as a Designated Responsible Individual (DRI) working on call to monitor system/product feature/service for degradation, downtime, or interruptions. Responds within Service Level Agreement (SLA) timeframe. Escalate issues to appropriate owners.
* Build knowledge, share new ideas, and share pinpoints of engineering tool gaps to improve software developer tools to support other programs, tools, and applications to create, debug, and maintain code for product features. Contribute to the development of automation within production and deployment of a product feature.
* Profile and analyze distributed system performance and capacity bottlenecks. Propose and implement solutions to improve system latency and capacity to meet BingAds online serving requirements.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Azure.
* Experience in Machine learning and online system design, implementation and qualification.
* 2\+ years’ experience in Distributed Systems and Big Data Technologies such as Spark, Hadoop, HDFS, Kafka, Flink, Scala.
 \#MicrosoftAI \#BingAds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1">
      <c r="A91" t="inlineStr">
        <is>
          <t>li-4314917284</t>
        </is>
      </c>
      <c r="B91" t="inlineStr">
        <is>
          <t>Lead Software Engineer</t>
        </is>
      </c>
      <c r="C91" t="inlineStr">
        <is>
          <t>Altana</t>
        </is>
      </c>
      <c r="D91" t="inlineStr">
        <is>
          <t>linkedin</t>
        </is>
      </c>
      <c r="E91">
        <f>HYPERLINK("https://www.linkedin.com/jobs/view/4314917284", "https://www.linkedin.com/jobs/view/4314917284")</f>
        <v/>
      </c>
      <c r="F91">
        <f>HYPERLINK("https://job-boards.greenhouse.io/altanaai/jobs/7491151003&amp;urlHash=ArdE", "https://job-boards.greenhouse.io/altanaai/jobs/7491151003&amp;urlHash=ArdE")</f>
        <v/>
      </c>
      <c r="G91" t="inlineStr">
        <is>
          <t>Brooklyn, NY</t>
        </is>
      </c>
      <c r="H91" t="inlineStr"/>
      <c r="I91" t="inlineStr">
        <is>
          <t>Altana is the network for trusted trade. Our AI\-powered product network empowers governments and businesses to build a more resilient and secure global economy while keeping trade flowing.
**The Opportunity at Altana**
 The Engineering team is responsible for building out the platforms, API’s, services, workflows, and logical architectures for bringing this vision to life. We are creating a platform fundamentally driven by AI, which scales to a massive trove of data, and a diverse customer base; it is a complex system that will stretch engineering in many directions. You’ll work closely with our Data Scientists on projects to analyze and observe world\-scale datasets, write code that can scale to produce never\-before\-seen insights, and construct APIs to deliver our product vision.
**You Will**
* Ingest product requirements, define technical requirements, and design practical, iterative technology designs that achieve our product and technical goals.
* Work with your product manager to develop implementation plans against our technical product roadmaps.
* Personally maintain, develop, and deploy services creating and supporting our overall architecture.
* Analyze and propose technical solutions to invent, enable, and enhance our product offerings.
* Be responsible for automating, testing, and deploying your own and your team’s work.
* Review the code and technical designs authored by your team members while holding a high bar for quality.
* Mentor developers and help them level up their skills.
* Be responsible for the day\-to\-day work of a team of engineers and ensure that the team is progressing along the defined roadmap.
* Drive technical decision\-making and problem\-solving across the team, ensuring solutions are efficient, scalable, and maintainable.
* Serve as the first point of escalation for a portion of the product surface area
**You Have**
* BS or MS degree in Computer Science, or equivalent experience.
* 5\+ years of real\-world professional experience writing back end or data\-driven software in demanding environments.
* You’ve deployed production code and services to cloud\-hosted environments.
* You have demonstrated experience delivering incremental releases from proof\-of\-concept to MVP to production.
* Self\-starter with demonstrated experience working on large, complex problems.
* You care deeply about engineering excellence, clean code, and knowledge\-sharing.
* You have strong written and verbal communication skills.
* Experience leading other engineers on complex projects.
**Nice To Have, But Not Required**
* Experience with Python Machine Learning toolsets (Numpy, Pandas, Dedupe).
* Experience with container technologies like Docker and Kubernetes.
**Technologies we love to use at Altana**
* Languages: Python, PySpark
* Tools: Docker, Git, Kubernetes, Swagger/OpenAPI, AWS/Azure, MLFlow, Celery
* Datastores: Databricks and Delta Lakes
 This role can be based in either of our Altana New York or San Francisco, CA hub locations, with hybrid work flexibility.
**US Salary Range And Benefits**
 $180,000\- $230,000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92">
      <c r="A92" t="inlineStr">
        <is>
          <t>li-4321951125</t>
        </is>
      </c>
      <c r="B92" t="inlineStr">
        <is>
          <t>Senior Software Engineer</t>
        </is>
      </c>
      <c r="C92" t="inlineStr">
        <is>
          <t>Orion</t>
        </is>
      </c>
      <c r="D92" t="inlineStr">
        <is>
          <t>linkedin</t>
        </is>
      </c>
      <c r="E92">
        <f>HYPERLINK("https://www.linkedin.com/jobs/view/4321951125", "https://www.linkedin.com/jobs/view/4321951125")</f>
        <v/>
      </c>
      <c r="F92" t="inlineStr"/>
      <c r="G92" t="inlineStr">
        <is>
          <t>Philadelphia, PA</t>
        </is>
      </c>
      <c r="H92" t="inlineStr"/>
      <c r="I92" t="inlineStr">
        <is>
          <t>**About This Job**
 The Software Engineer is responsible for the maintenance and development of new software in a client/server environment, for the operations staff of Orion. This position will utilize the system development life cycle to ensure delivery of concise, well tested, well thought out, and usable projects completed in a timely manner.
**For External Candidates**
 Candidates must work in\-office at one of the following locations for at least 3 days per week: Omaha, NE; Berwyn, PA; Hebron, KY; Chandler, AZ; or Lehi, UT.
**For Internal Candidates**
*A* 
 ll internal employees, regardless of their current work arrangement (remote or in\-office), are encouraged to apply.
**Essential Functions Of The Job**
* Designs, develops, tests and deploys applications by writing new code and improving existing code ensuring applications work properly.
* Provides support for design, development and implementation of application development projects.
* Understands and uses best practices and standard guidance.
* Understands and debugs different tiers of the application, UI, API, and database.
* Able to create and modify routine, low impact code.
* Troubleshoots and debugs system inefficiencies.
* Assists in maintaining databases accuracy and stability.
* Identifies and troubleshoots issues with various sites or programming code and fix any resulting problems.
* Secures applications against hacking vulnerabilities.
* Maintains a high level of technical knowledge in all applicable programming languages and database formats.
* Mentors other developers while acting as a resources for input and advice.
* Identifies and fixes resource bottlenecks.
* Identifies technical challenges and propose innovative solutions to address them.
* Mentors and guides junior engineers, providing technical guidance and fostering a culture of learning and growth.
* Participates in architectural discussions and contribute to the evolution of the technical roadmap.
* Stays up\-to\-date with the latest industry trends, technologies, and best practices.
* Troubleshoots and resolves complex technical issues in collaboration with the broader engineering team.
* Collaborates with cross\-functional teams to drive projects to successful completion within the specified timeframe.
* Continuously optimizes and improves existing systems and processes for enhanced performance and efficiency.
**Skills Needed To Perform The Job**
* Knowledge of S.O.L.I.D. design principles and design patterns.
* Knowledge of continuous integration, hosting infrastructures, and networking concepts.
* Knowledge of PC architecture and operations, operating systems, networking database management and development, as well as high level of programming knowledge.
* Knowledge of the various stages of the software development life cycle, definition of solution architecture, detailed design, solution development, testing and deployment.
* Knowledge and solid understanding of object\-oriented analysis, design and programming
* Knowledge of Salesforce preferred.
* Ability to multi\-task while maintaining careful attention to detail.
* Ability to work effectively both individually and within a team environment.
* Ability to work with a sense of urgency to meet deadlines and address competing priorities.
* Proficient skills with Microsoft Office software including Word, Excel, PowerPoint and Outlook.
* Effective written, listening and verbal communication skills.
* Effective problem solving and organizational skills.
**Education Needed to Perform the Job**
* Minimum of a bachelor's degree in Computer Science, MIS, or Information System Analysis required.
**Experience Needed To Perform The Job**
* Minimum of 5 years of experience with ASP.NET Web API, Entity Framework, C\#, Restful Services, Web Services, and SQL Server in an application development role preferred.
* Experience with AngularJS, JavaScript, CSS, and HTML preferred.
* Equivalent education and experience will be considered
**Salary Range**
 $108,245\.00 \- $169,933\.00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93">
      <c r="A93" t="inlineStr">
        <is>
          <t>li-4317530756</t>
        </is>
      </c>
      <c r="B93" t="inlineStr">
        <is>
          <t>Senior Performance Software Engineer, Deep Learning Libraries</t>
        </is>
      </c>
      <c r="C93" t="inlineStr">
        <is>
          <t>NVIDIA</t>
        </is>
      </c>
      <c r="D93" t="inlineStr">
        <is>
          <t>linkedin</t>
        </is>
      </c>
      <c r="E93">
        <f>HYPERLINK("https://www.linkedin.com/jobs/view/4317530756", "https://www.linkedin.com/jobs/view/4317530756")</f>
        <v/>
      </c>
      <c r="F93">
        <f>HYPERLINK("https://nvidia.wd5.myworkdayjobs.com/NVIDIAExternalCareerSite/job/US-CA-Santa-Clara/Senior-Performance-Software-Engineer\u002d\u002dDeep-Learning-Libraries_JR2006435?source=jobboardlinkedin&amp;urlHash=m1JE", "https://nvidia.wd5.myworkdayjobs.com/NVIDIAExternalCareerSite/job/US-CA-Santa-Clara/Senior-Performance-Software-Engineer\u002d\u002dDeep-Learning-Libraries_JR2006435?source=jobboardlinkedin&amp;urlHash=m1JE")</f>
        <v/>
      </c>
      <c r="G93" t="inlineStr">
        <is>
          <t>Austin, TX</t>
        </is>
      </c>
      <c r="H93" t="inlineStr"/>
      <c r="I93" t="inlineStr">
        <is>
          <t>We are now looking for a Senior Performance Software Engineer for Deep Learning Libraries! Do you enjoy tuning parallel algorithms and analyzing their performance? If so, we want to hear from you! As a deep learning library performance software engineer, you will be developing optimized code to accelerate linear algebra and deep learning operations on NVIDIA GPUs. The team delivers high\-performance code to NVIDIA’s cuDNN , cuBLAS , and TensorRT libraries to accelerate deep learning models. The team is proud to play an integral part in enabling the breakthroughs in domains such as image classification, speech recognition, and natural language processing. Join the team that is building the underlying software used across the world to power the revolution in artificial intelligence! We’re always striving for peak GPU efficiency on current and future\-generation GPUs. To get a sense of the code we write, check out our CUTLASS open\-source project showcasing performant matrix multiply on NVIDIA’s Tensor Cores with CUDA. This specific position primarily deals with code lower in the deep learning software stack, right down to the GPU HW.
**What You'll Be Doing**
* Writing highly tuned compute kernels, mostly in C\+\+ CUDA, to perform core deep learning operations (e.g. matrix multiplies, convolutions, normalizations)
* Following general software engineering best practices including support for regression testing and CI/CD flows
* Collaborating with teams across NVIDIA:
+ CUDA compiler team on generating optimal assembly code
+ Deep learning training and inference performance teams on which layers require optimization
+ Hardware and architecture teams on the programming model for new deep learning hardware features
**What We Need To See**
* Masters or PhD degree or equivalent experience in Computer Science, Computer Engineering, Applied Math, or related field
* 6\+ years of relevant industry experience
* Demonstrated strong C\+\+ programming and software design skills, including debugging, performance analysis, and test design
* Experience with performance\-oriented parallel programming, even if it’s not on GPUs (e.g. with OpenMP or pthreads)
* Solid understanding of computer architecture and some experience with assembly programming
**Ways To Stand Out From The Crowd**
* Tuning BLAS or deep learning library kernel code
* CUDA/OpenCL GPU programming
* Numerical methods and linear algebra
* LLVM, TVM tensor expressions, or TensorFlow MLIR
 NVIDIA is widely considered to be one of the technology world’s most desirable employers. We have some of the most forward\-thinking and hard working people in the world working for us. If you're creative, autonomous, and love a challenge, consider joining our Deep Learning Library team and help us build the real\-time, cost\-effective computing platform driving our success in this exciting and quickly growing field.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JR2006435</t>
        </is>
      </c>
    </row>
    <row r="94">
      <c r="A94" t="inlineStr">
        <is>
          <t>li-4354963982</t>
        </is>
      </c>
      <c r="B94" t="inlineStr">
        <is>
          <t>Senior Software Engineer</t>
        </is>
      </c>
      <c r="C94" t="inlineStr">
        <is>
          <t>Haystack</t>
        </is>
      </c>
      <c r="D94" t="inlineStr">
        <is>
          <t>linkedin</t>
        </is>
      </c>
      <c r="E94">
        <f>HYPERLINK("https://www.linkedin.com/jobs/view/4354963982", "https://www.linkedin.com/jobs/view/4354963982")</f>
        <v/>
      </c>
      <c r="F94">
        <f>HYPERLINK("https://us.haystackapp.io/roles/6967792549b60748f90332f6?src=linkedin&amp;urlHash=zvgy", "https://us.haystackapp.io/roles/6967792549b60748f90332f6?src=linkedin&amp;urlHash=zvgy")</f>
        <v/>
      </c>
      <c r="G94" t="inlineStr"/>
      <c r="H94" t="inlineStr"/>
      <c r="I94" t="inlineStr">
        <is>
          <t>**Software Development Manager, AWS Neuron Machine Learning Distributed Training \- Model Enablement \| Cupertino, California \| Hybrid \| $166,400 \- $287,700** 
 We're working with Annapurna Labs (part of Amazon) on this exciting opportunity.
 Lead a high\-impact team at Annapurna Labs, shaping the future of cloud\-scale machine learning with AWS Neuron. Drive innovation in distributed training and inference, empowering customers with cutting\-edge ML accelerators.
**The Role** 
 • Lead and mentor a strong team of engineers and managers in Machine Learning Distributed Training.
 • Oversee the full development lifecycle of integrations and extensions for PyTorch, XLA, and JAX.
 • Architect and deploy solutions for distributed training libraries like FSDP and DDP, including MoE architectures.
 • Ensure seamless support for key ML functionality within a combined chip/software platform.
 • Collaborate across diverse teams to deliver innovative software solutions for global customers.
**What You'll Need** 
 • 3\+ years of proven experience in engineering team management.
 • Established background in developing customer\-facing Machine Learning products.
 • Strong technical proficiency in Machine Learning and software development.
 • Experience with distributed systems and high\-scale applications.
 • Passion for innovation, data, analytics, and solving challenging technical problems.
**What's On Offer** 
 • Contribute to groundbreaking technology that impacts global AWS customers.
 • Opportunity for continuous learning and career growth in a supportive environment.
 • Enjoy robust work\-life balance and a flexible hybrid work model.
 • Be part of an inclusive team that values diverse experiences and promotes mentorship.
**Apply via Haystack today!**</t>
        </is>
      </c>
    </row>
    <row r="95">
      <c r="A95" t="inlineStr">
        <is>
          <t>li-4341525010</t>
        </is>
      </c>
      <c r="B95" t="inlineStr">
        <is>
          <t>Principal Software Engineer</t>
        </is>
      </c>
      <c r="C95" t="inlineStr">
        <is>
          <t>Microsoft</t>
        </is>
      </c>
      <c r="D95" t="inlineStr">
        <is>
          <t>linkedin</t>
        </is>
      </c>
      <c r="E95">
        <f>HYPERLINK("https://www.linkedin.com/jobs/view/4341525010", "https://www.linkedin.com/jobs/view/4341525010")</f>
        <v/>
      </c>
      <c r="F95" t="inlineStr"/>
      <c r="G95" t="inlineStr">
        <is>
          <t>Redmond, WA</t>
        </is>
      </c>
      <c r="H95" t="inlineStr"/>
      <c r="I95" t="inlineStr">
        <is>
          <t>**Overview**
 We are building a planet\-scale multi\-modal database from the ground up. You will be part of the team that is reimagining the databases in the era of Large Language Models (LLMs) by deeply integrating Artificial Intelligence (AI) into all parts of the stack.
 As a Principal Software Engineer, you will lead and collaborate with a team of passionate engineers, driving ideas to impactful results in a fast\-paced environment. You will be responsible for operating the service for some of the largest enterprise customers.
 You will be working on operations, live site, deployment, monitoring, compliance, alerting and maintaining the Service Level Agreement (SLA) for our service.
 Successful engineers in our team have problem solving, design, coding and debugging skills, drive for execution and results, rigor in delivering quality software and a desire for continuous learning. Our team values a friendly, collaborative atmosphere with a passion for technology, and we believe that a diverse team with diverse perspectives that applies empathy and uses great communication skills helps deliver superior products and is key to success. This is a great opportunity to challenge yourself, grow your career, and influence the next generation of computing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This will be an individual contributor role with the majority of time focused on coding responsibilities pertaining to quality of service, livesite, monitoring, deployment, service lifecycle.
* Leads identification of dependencies and the development of design documents for a product, application, service, or platform.
* Leads by example and mentors others to produce extensible and maintainable code used across products.
* Holds accountability as a Designated Responsible Individual (DRI), mentoring engineers across products/solutions, working on\-call to monitor system/product/service for degradation, downtime, or interruptions.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Currently programming/coding (100%) in your current or most recent role.
* Experience with M365 Level D, Azure Compliance, Operating Services in multiple heterogenous environments (e.g. Torus, AME, PME, Sovereign Clouds, etc.
* Extensive experience with Helm, Kubernetes/AKS/Cosmic, Prometheus, Grafana.
* Experience in operating large scale consumer/enterprise services.
 \#Research
 \#MSRR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li-4355003076</t>
        </is>
      </c>
      <c r="B96" t="inlineStr">
        <is>
          <t>Senior Software Engineer, Real Time</t>
        </is>
      </c>
      <c r="C96" t="inlineStr">
        <is>
          <t>RemoteHunter</t>
        </is>
      </c>
      <c r="D96" t="inlineStr">
        <is>
          <t>linkedin</t>
        </is>
      </c>
      <c r="E96">
        <f>HYPERLINK("https://www.linkedin.com/jobs/view/4355003076", "https://www.linkedin.com/jobs/view/4355003076")</f>
        <v/>
      </c>
      <c r="F96" t="inlineStr"/>
      <c r="G96" t="inlineStr"/>
      <c r="H96" t="inlineStr"/>
      <c r="I96" t="inlineStr">
        <is>
          <t>About the Opportunity:
 The organization provides a safety technology platform that supports communities by proactively preventing crime and enhancing security. Its hardware and software connect cities, law enforcement, businesses, schools, and neighborhoods in a public\-private safety network nationwide. The role involves joining the Real\-Time team to build essential tools for first responders, law enforcement, and commercial clients, focusing on developing and refining a client\-facing product that delivers real\-time data and features such as hot lists, mapping solutions, web\-socket functionality, and mobile integrations. The position includes direct customer interaction and opportunities to influence critical technology solutions.
 Responsibilities:
 • Develop and refine client\-facing real\-time data tools
 • Work on key features including hot list tools, mapping solutions, web\-socket functionality, and mobile integrations
 • Collaborate with clients to build technology solutions for real\-time crime centers
 • Deliver high\-impact results through direct customer interaction
 • Contribute to engineering tasks and participate in technical discussions
 • Spread knowledge through public communication channels
 • Own the full lifecycle of assigned work
 • Engage in cross\-team communication to solve problems
 • Participate in at least one customer call within the first 90 days
 Requirements:
 • Strong coding skills with a continuous learning mindset
 • Problem\-solving motivation for unknown and complex challenges
 • Up\-to\-date knowledge of latest web technologies
 • Familiarity with Typescript (Node) and general API design
 • Proficiency in React with Typescript
 • Experience with various data stores, especially PostgreSQL
 • Knowledge of observability and monitoring tools such as DataDog and Grafana
 • Experience with WebSocket protocols and deploying applications to Kubernetes using Helm
 • Familiarity with AWS services like S3, API Gateway, and SQS
 Compensation:
 • Starting salary range between $171,000 and $190,000
 • Stock options included
 • Salary based on experience, education, and market factors
 Benefits \&amp; Perks:
 • Flexible PTO plus 11 company holidays
 • Fully paid medical, dental, vision insurance, and HSA match
 • 12 weeks of 100% paid parental leave; additional 6\-8 weeks for birthing parents
 • $50,000 lifetime maximum benefit for adoption, surrogacy, or fertility expenses via partnered digital health service
 • Mental health benefits including therapy, coaching, and medication management
 • Caregiver support services available
 • 1:1 sessions with equity tax advisors
 • Employee Resource Groups supporting diversity and inclusion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li-4329003002</t>
        </is>
      </c>
      <c r="B97" t="inlineStr">
        <is>
          <t>Software Engineer IV (Tech Lead)</t>
        </is>
      </c>
      <c r="C97" t="inlineStr">
        <is>
          <t>Beacon Biosignals</t>
        </is>
      </c>
      <c r="D97" t="inlineStr">
        <is>
          <t>linkedin</t>
        </is>
      </c>
      <c r="E97">
        <f>HYPERLINK("https://www.linkedin.com/jobs/view/4329003002", "https://www.linkedin.com/jobs/view/4329003002")</f>
        <v/>
      </c>
      <c r="F97" t="inlineStr"/>
      <c r="G97" t="inlineStr">
        <is>
          <t>Boston, MA</t>
        </is>
      </c>
      <c r="H97" t="inlineStr"/>
      <c r="I97" t="inlineStr">
        <is>
          <t>Beacon Biosignals is on a mission to revolutionize precision medicine for the brain. We are the leading at\-home EEG platform supporting clinical development of novel therapeutics for neurological, psychiatric, and sleep disorders. Our FDA 510(k)\-cleared Waveband EEG headband and AI algorithms enable quantitative biomarker discovery and implementation. Beacon’s Clinico\-EEG database contains EEG data from nearly 100,000 patients, and our cloud\-native analytics platform powers large\-scale RWD/RWE retrospective and predictive studies. Beacon Biosignals is changing the way that patients are treated for any disorder that affects brain physiology.
 Beacon Biosignals is seeking a Software Engineer IV to serve as Tech Lead for the CleveMed Portal (CMP) Team. You’ll design, modernize, and scale the backend and frontend systems that underpin Beacon’s current generation of clinical diagnostic tests, building secure, reliable, and maintainable services using modern .NET technologies and Vue.js \+ TypeScript.
 This role focuses on engineering depth and technical leadership. You’ll own architecture, code quality, and delivery practices, partner closely with cross\-functional teams, and deliver production\-grade solutions that help Beacon Dx deliver a first\-in\-class home sleep test experience for patients and clinicians.
 Beacon's robust asynchronous work practices ensure a first\-class remote work experience, but we also have in\-person office hubs available in Boston, New York, and Cleveland.
**What Success Looks Like**
**Technical Leadership \&amp; Execution**
* Set and communicate clear technical direction for the team, ensuring designs and implementations align with Beacon’s platform architecture.
* Lead delivery of high\-impact features and services, from discovery and scoping through deployment, observability, and iteration.
* Break down complex initiatives into actionable plans and guide the team through key architectural and technical decisions.
* Proactively identify and resolve blockers to maintain team momentum and execution quality.
* Partner with your manager to define expectations, priorities, and realistic timelines.
**Product \&amp; Cross\-Functional Partnership**
* Act as the team’s primary technical representative, communicating status, risks, and dependencies to stakeholders.
* Collaborate with product, design, and data teams to align roadmaps with technical constraints and cross\-team integrations.
* Champion product quality, balancing scope, risk, and technical debt to deliver meaningful value to users.
**Engineering Standards \&amp; Team Stewardship**
* Uphold and model high standards in architecture, code quality, documentation, and engineering practices.
* Provide mentorship and constructive feedback to help elevate the entire team’s technical capabilities.
* Improve engineering practices over time by identifying gaps, proposing refinements, and codifying standards.
* Step in as needed to lead team rituals or represent the group in broader engineering or company forums.
**What You Will Bring**
* 8\+ years of professional software engineering experience, including full\-stack development and production systems design.
* Demonstrated experience leading technical execution, setting direction, guiding architecture, and driving alignment across teams.
* Proven ability to make sound technical decisions amid ambiguity and to translate complex constraints into clear action for the team.
* Strong proficiency in C\#, ASP.NET (Core or Framework), Web API, Entity Framework, and SQL Server.
* Experience designing and scaling secure backend services and APIs across multiple .NET versions.
* Hands\-on expertise with Azure App Service, Azure SQL, Azure Functions, and secure configuration using Key Vault.
* Proven track record with GitHub Actions CI/CD, infrastructure\-as\-code concepts, and automated testing workflows.
* Proficiency in Vue 3 and/or TypeScript, and experience with modern frontend build tooling (Vite, npm, Node).
* Strength in debugging, performance tuning, and data optimization across SQL and API layers.
* Excellent written and verbal communication skills, with the ability to clarify complex concepts and communicate tradeoffs effectively.
* A collaborative, product\-oriented mindset and experience delivering secure, reliable, observable systems at pace.
* Bonus: Experience in healthcare, medical devices, or another regulated industry.
 The base salary range for this role is determined based on past experience, specific skills and qualifications. 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row>
    <row r="98">
      <c r="A98" t="inlineStr">
        <is>
          <t>li-4362360974</t>
        </is>
      </c>
      <c r="B98" t="inlineStr">
        <is>
          <t>Network Automation Software Engineer</t>
        </is>
      </c>
      <c r="C98" t="inlineStr">
        <is>
          <t>Fluidstack</t>
        </is>
      </c>
      <c r="D98" t="inlineStr">
        <is>
          <t>linkedin</t>
        </is>
      </c>
      <c r="E98">
        <f>HYPERLINK("https://www.linkedin.com/jobs/view/4362360974", "https://www.linkedin.com/jobs/view/4362360974")</f>
        <v/>
      </c>
      <c r="F98" t="inlineStr"/>
      <c r="G98" t="inlineStr">
        <is>
          <t>Austin, Texas Metropolitan Area</t>
        </is>
      </c>
      <c r="H98" t="inlineStr"/>
      <c r="I98"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**About The Role**
 We are seeking a Senior / Staff Network Automation Engineer to join the Network Engineering Core Pillar. You will be responsible for building the automation systems and tooling that enable FluidStack to deploy and operate network infrastructure at scale — from network data modeling and cutsheet generation to config automation and device validation.
 This role is central to our mission of making every datacenter deployment repeatable, automated, and driven from a single source of truth. You will work closely with cross\-functional teams to mature our network model within DCIM tooling, build intent\-based cutsheet automation, develop config generation pipelines, and create device validation tooling that ensures network infrastructure is production\-ready before customer workloads land.
**Focus**
* Design and maintain network data models within DCIM platform that serve as the authoritative source of truth for all downstream automation
* Build intent\-based cutsheet automation that generates deployment artifacts (cable matrices, rack elevations, port mappings) directly from network models
* Develop config generation pipelines that render device configurations from templates and network model data
* Create device validation and health check tooling that automates the deployment lifecycle — from bootstrap through validation to production handoff
* Build automation frameworks for network provisioning, including ZTP workflows and device onboarding
* Collaborate with cross\-functional partners (DCIM SWE, ICT, Deployment teams) to ensure physical and logical artifacts align throughout the deployment process
* Contribute to the design and architecture of network automation systems, identifying opportunities to reduce manual effort and improve reliability
**Basic Qualifications**
* Strong programming skills in Python or Go with experience building production automation systems
* 5\+ years of experience in network engineering with a focus on automation and tooling development
* Hands\-on experience with DCIM/IPAM platforms including data modeling, API integration, and using these systems as a source of truth for automation
* Experience with network configuration management and templated config generation (Jinja2, Ansible, or similar)
* Experience with infrastructure\-as\-code principles and tools (Terraform, Ansible, or similar)
* Familiarity with network hardware platforms (Arista, Juniper, Mellanox/NVIDIA, or similar) and network operating systems
* Excellent communication skills with the ability to work across engineering teams and document technical decisions clearly
**Nice To Haves**
* Experience building automation that generates deployment artifacts (cutsheets, cable matrices, rack elevations) from network models
* Experience with ZTP (Zero Touch Provisioning) systems and device bootstrap workflows
* Demonstrated knowledge of datacenter network fundamentals: TCP/IP, BGP, EVPN/VXLAN, and related protocols
* Familiarity with test automation frameworks for network device validation and health checks
* Experience with GPU cluster networking, AI/ML infrastructure, or high\-performance computing environments
* Knowledge of monitoring and observability stacks (Prometheus, Grafana) and how they integrate with network automation
* Experience with Kubernetes networking concepts (CNIs, service meshes) and container orchestration platforms
* Familiarity with network lab provisioning tools like Containerlab for development and testing
**Salary \&amp; Benefits**
* Competitive total compensation package (salary \+ equity).
* Retirement or pension plan, in line with local norms.
* Health, dental, and vision insurance.
* Generous PTO policy, in line with local norms.
 The base salary range for this position is $200,000 \- $250,000 per year, depending on experience, skills, qualifications, and location. This range represents our good faith estimate of the compensation for this role at the time of posting. Total compensation may also include equity in the form of stock options.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$200K \- $250K</t>
        </is>
      </c>
    </row>
    <row r="99">
      <c r="A99" t="inlineStr">
        <is>
          <t>li-4357630166</t>
        </is>
      </c>
      <c r="B99" t="inlineStr">
        <is>
          <t>Software Engineer (Device Software)</t>
        </is>
      </c>
      <c r="C99" t="inlineStr">
        <is>
          <t>Gables Search Group</t>
        </is>
      </c>
      <c r="D99" t="inlineStr">
        <is>
          <t>linkedin</t>
        </is>
      </c>
      <c r="E99">
        <f>HYPERLINK("https://www.linkedin.com/jobs/view/4357630166", "https://www.linkedin.com/jobs/view/4357630166")</f>
        <v/>
      </c>
      <c r="F99" t="inlineStr"/>
      <c r="G99" t="inlineStr">
        <is>
          <t>Knoxville, TN</t>
        </is>
      </c>
      <c r="H99" t="inlineStr"/>
      <c r="I99" t="inlineStr">
        <is>
          <t>Highly regarded corporation in the greater Knoxville area is growing! They will be adding a Software Engineer to their R\&amp;D group to
 **design control firmware and embedded systems** 
 . Prefer candidates with experience in
 **C firmware** 
 for embedded systems. Will work with instrument technology and firmware for machinery control.
 This company produces highly\-sophisticated equipment involving electromechanical control systems. Software Engineers work very closely with the R\&amp;D team so excellent communication skills (written and verbal) is required. This is a complex product involving
 **controllers and data generators** 
 . The Software Engineer will work with legacy products as well as new product design. Must have experience developing software for devices.
 Excellent work environment for a creative Software Engineer who likes to solve problems and "bring a product to life". Will work as part of an Engineering team.
 Position requires a technical
 **BS degree (Computer Engineering or Electrical Engineering** 
 preferred) along with 5 years experience. Knowledge of
 **C\# (.Net)** 
 for Windows as well as
 **Linux and web / cloud technologies** 
 is a plus
 Relocation assistance will be provided.
 Must be authorized to work in the U.S. without sponsorship. Company cannot provide sponsorship at this time.</t>
        </is>
      </c>
    </row>
    <row r="100">
      <c r="A100" t="inlineStr">
        <is>
          <t>li-4301738234</t>
        </is>
      </c>
      <c r="B100" t="inlineStr">
        <is>
          <t>Senior Software Engineer - Java (Remote)</t>
        </is>
      </c>
      <c r="C100" t="inlineStr">
        <is>
          <t>First Citizens Bank</t>
        </is>
      </c>
      <c r="D100" t="inlineStr">
        <is>
          <t>linkedin</t>
        </is>
      </c>
      <c r="E100">
        <f>HYPERLINK("https://www.linkedin.com/jobs/view/4301738234", "https://www.linkedin.com/jobs/view/4301738234")</f>
        <v/>
      </c>
      <c r="F100" t="inlineStr"/>
      <c r="G100" t="inlineStr">
        <is>
          <t>Raleigh, NC</t>
        </is>
      </c>
      <c r="H100" t="inlineStr"/>
      <c r="I100" t="inlineStr">
        <is>
          <t>**Overview**
 This is a remote role that may only be hired in the following location(s): AZ, GA, NC and TX.
 We are looking for a hands\-on Senior Software Engineer to join our growing SVB Go Online Banking delivery team, which provides technology solutions and integration services in following areas: Digital Banking, Core banking, Credit/Charge/Debit Cards, and Foreign Exchange.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As a Sr. Software Engineer, primary responsibility will be towards the development and support of Digital Banking solutions/projects. The Senior Software engineer will be responsible for all software aspects within the team including research, design, technology insertion, development, testing and supporting them.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Software application development and maintenance OR High School Diploma or GED and 8 years of experience in Software application development and maintenance
**Preferred Skills**
* Excellent ability to communicate technical information clearly and work effectively with cross\-functional teams
* Strong design \&amp; development experience with JEE \&amp; Enterprise Technologies: JMS, JDBC, Web development, Transactions, WS\-\*, JVM, JSP, Servlets, EJB, JNDI, JMX, JTA, Spring, JUnit, Hibernate.
* Strong analytical and problem\-solving skills
* Experience building SpringBoot Microservices.
* Experience building applications using container architecture with Kubernetes orchestration.
* Preferred experience on public API development and using API Gateway like APIGEE.
* In\-depth understanding of JavaScript, including ES6\+ features, Loopback, closures and asynchronous programming
* Worked on Agile projects and has complete knowledge of day to day Agile routines.
* Proven experience in building user interfaces with React.js
* Familiarity with state management libraries like Redux or MobX
* Understanding of the React component lifecycle and its best practices
* Experience with testing frameworks like Jest or Mocha
* Ability to interact with REST APIs and handle data fetching and manipulation
* Proficient in using GITLAB for version control
* Experience with Jira, Confluence and ORACLE Database systems
* Understanding of basic UI/UX design principles
* Prior experience with regulated financial organization is a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01">
      <c r="A101" t="inlineStr">
        <is>
          <t>li-4354990888</t>
        </is>
      </c>
      <c r="B101" t="inlineStr">
        <is>
          <t>Manufacturing Controls/Software Engineer</t>
        </is>
      </c>
      <c r="C101" t="inlineStr">
        <is>
          <t>Pave Talent</t>
        </is>
      </c>
      <c r="D101" t="inlineStr">
        <is>
          <t>linkedin</t>
        </is>
      </c>
      <c r="E101">
        <f>HYPERLINK("https://www.linkedin.com/jobs/view/4354990888", "https://www.linkedin.com/jobs/view/4354990888")</f>
        <v/>
      </c>
      <c r="F101" t="inlineStr"/>
      <c r="G101" t="inlineStr">
        <is>
          <t>Henderson, NV</t>
        </is>
      </c>
      <c r="H101" t="inlineStr"/>
      <c r="I101" t="inlineStr">
        <is>
          <t>Pave Talent is hiring on behalf of our client, an established vertically integrated battery manufacturer in Henderson, NV. This 201\-500 employee company operates state\-of\-the\-art facilities producing lithium\-ion and LiFePO4 cells and battery packs. Known for innovation\-driven, safety\-first, and collaborative engineering culture backed by private equity investment.
 As Manufacturing Controls/Software Engineer, you'll design and implement automation systems that directly impact production efficiency and product quality. You'll troubleshoot PLC systems, program Kuka robots, develop HMI interfaces, and build data collection systems that drive measurable manufacturing improvements. Your work ensures reliable power solutions reach customers in medical, military, robotics, and industrial markets where failure is not an option.
**Your Impact:** 
* Design and implement PLC control systems for automated manufacturing processes focused on efficiency and quality improvements
* Program and troubleshoot Kuka robots on automated assembly lines to minimize downtime and optimize cycle times
* Develop intuitive HMI interfaces and SCADA configurations that empower operators and improve response times
* Lead continuous improvement projects using production data and Pareto analysis to solve recurring manufacturing challenges
* Collaborate with production, quality, and maintenance teams to integrate control systems across manufacturing operations
* Assist in developing internal MES architecture to enhance production visibility and traceability
* Provide hands\-on technical support and training to manufacturing personnel on control systems
* Ensure all automation systems meet safety and regulatory standards for battery manufacturing
**Required Qualifications:** 
* Bachelor's degree in Electrical Engineering, Software Engineering, Computer Engineering, or related technical field
* 3\+ years hands\-on experience in controls engineering within a manufacturing environment
* Strong PLC programming skills in Ladder Logic, Structured Text, or Function Block Diagram
* Experience developing HMI interfaces and working with SCADA systems
* Knowledge of industrial communication protocols (EtherNet/IP, Modbus, Profinet, or similar)
* Proven troubleshooting abilities in fast\-paced production environments
* Authorization to work in the US without sponsorship
**Preferred Qualifications:** 
* Kuka robot programming experience (KRL language)
* Familiarity with Allen\-Bradley or Siemens PLC platforms
* Experience in regulated manufacturing (automotive, medical device, aerospace, or similar)
* Background in MES development or integration projects
**What You'll Receive:** 
 Market competitive compensation with performance bonus structure. Comprehensive benefits from Day 1\. Join a growing company with private equity backing and clear expansion trajectory.
 Work on cutting\-edge battery technology supporting critical applications in medical devices, defense systems, and renewable energy. Henderson, NV location offers lower cost of living with access to outdoor recreation and proximity to Las Vegas amenities.
 This engineering team values innovation and welcomes fresh perspectives on automation challenges. You'll have autonomy to implement solutions while collaborating with experienced manufacturing professionals.</t>
        </is>
      </c>
    </row>
    <row r="102">
      <c r="A102" t="inlineStr">
        <is>
          <t>li-4335464135</t>
        </is>
      </c>
      <c r="B102" t="inlineStr">
        <is>
          <t>Sr Software Engineer</t>
        </is>
      </c>
      <c r="C102" t="inlineStr">
        <is>
          <t>USI Insurance Services</t>
        </is>
      </c>
      <c r="D102" t="inlineStr">
        <is>
          <t>linkedin</t>
        </is>
      </c>
      <c r="E102">
        <f>HYPERLINK("https://www.linkedin.com/jobs/view/4335464135", "https://www.linkedin.com/jobs/view/4335464135")</f>
        <v/>
      </c>
      <c r="F102">
        <f>HYPERLINK("https://jobs.usi.com/Jobs/JobDetail?jobId=31272&amp;src=LinkedIn&amp;urlHash=MUNF", "https://jobs.usi.com/Jobs/JobDetail?jobId=31272&amp;src=LinkedIn&amp;urlHash=MUNF")</f>
        <v/>
      </c>
      <c r="G102" t="inlineStr">
        <is>
          <t>Valhalla, NY</t>
        </is>
      </c>
      <c r="H102" t="inlineStr"/>
      <c r="I102" t="inlineStr">
        <is>
          <t>**Requirements**
**Description and Requirements**
**General Description:** 
 Responsible for creating software solutions to improve existing applications and streamline processes.
**Responsibilities**
* Ensure performance and operational reliability of applications.
* Ensure data integrity and security of applications.
* Collaborate on the engineering and architecture of custom software solutions.
* Create modules, patterns, or frameworks to solve complex business issues.
* Create end to end system integration designs and deployment strategies.
* Collaborate on enterprise coding standards and drive process improvements.
* Provide estimates for development efforts.
* Break down stories into tasks and report on progress.
* Collaborate with team members for task assignments, pseudo code and or class definitions.
* Mentor junior team members on design patterns and code reusability.
* Take part in code reviews and provide a positive environment for feedback and new ideas.
* Prototype end to end solutions for new technologies being implemented. Identify roadblocks and alternate solutions early in the process.
* Keep the application stack current – remediate technical debt.
* Provide progress updates, identify risks, and offer solutions.
* Create documentation of designs and solutions.
* Perform thorough unit testing.
**Cyber Security Job Responsibilities**
* Operate in accordance with USI Policies for the Information Security Program (PISP) and USI Standards for the Information Security Program (SISP)
* Keep up to date with security updates and improvements. Implement improvements as appropriate.
* Protect systems against unauthorized access by appropriately defining access.
* Upgrade systems by implementing and maintaining security and technical controls.
**Knowledge, Skills And Abilities**
* Experience in ConceptOne application is a requirement.
* Experience with SQL Development
* Experience with Reporting tools such as SSRS or Power BI is desirable
* Experience with Infomaker is highly desirable
* 5\+ years developing software solutions.
* Bachelor’s degree in Information Technology or related field, or equivalent work experience.
* Ability to develop patterns to solve common problems.
* Effective decision making under pressure.
* Understanding of Agile/Scrum software development life\-cycle.
* Strong written and verbal communication, including technical writing skills.
* Keep informed about industry information, technology and trends.
* Ability to travel up to 20% of time.
**Why USI?**
 With approximately $3 billion in revenue and over 10,500 associates across approximately 200 offices nationwide, USI is one of the largest insurance brokerage and consulting firms in the world. At USI, we have created one of the most dynamic personal and professional development cultures in the industry. We invest heavily in our associates, and we take pride in celebrating their growth and success through our one\-of\-a\-kind employee reward and recognition programs.
**Unrivaled Resources and Support**
 What truly distinguishes USI as a premier insurance brokerage and consulting firm is the
 **USI ONE Advantage®** 
 , a game\-changing value proposition that delivers to clients a robust set of risk management and benefit solutions with bottom\-line financial impact. USI ONE® represents Omni, Network, Enterprise—the three key elements that set USI apart from the competition. Through USI ONE, we develop strategic, timely, and effective risk management and benefit programs in terms that are easy to understand, and we demonstrate how the solutions can have a positive economic impact.
**Industry\-Leading Programs, Rewards, and Recognition**
 In addition to competitive pay, incentives, and benefits, USI recognizes associates through our Summit Awards program, rewarding excellence in those who build our brand each day. USI offers
 **employee programs** 
 that recognize outstanding achievement and help our associates lead healthy, productive lives. We turn care into action with our award\-winning wellness program, college scholarships for associates' children, and financial help in times of need.
**Deep Community Engagement**
 We are committed to giving back to our local communities and supporting a culture of environmental sustainability. From sharing our time, talent, and resources to support local non\-profit organizations, animal shelters, and environmental beautification and restoration projects – to partnering with eco\-conscious vendors and taking steps to reduce our own environmental footprint – we’re working
 **together as ONE** 
 to build a better future.
**Committed to a Diverse and Inclusive Workplace**
 Our award\-winning
 **I’m With U** 
 diversity and inclusion program educates our associates to help them better understand and serve our clients, prospects, fellow team members, and local communities through curated education and training resources, employee support programs, and community outreach initiatives to build a more diverse, equitable, and inclusive culture.
**Nationally Recognized as a Top Insurance Employer**
* Recognized as one of Insurance Business America’s Top Insurance Employers eight consecutive years (2018\-2025\).
* Named to Business Insurance’s annual list of the Best Places to Work in Insurance six years in a row (2020\-2025\).
* Named to Fortune’s Best Workplaces in Financial Services \&amp; Insurance list for the last two years (2024\-2025\).
* Certified as a Great Place To Work two years in a row (2024\-2025\).
 Visit our
 **Awards and Accolades page** 
 for a complete list of our latest industry awards and recognitions!
 USI is committed to providing a full\-suite of competitive benefits for our growing population and its diverse needs. We offer a wide range of health, welfare and financial benefits including medical, wellness, dental and vision, 401(k), flexible spending and health savings accounts, short and long\-term disability, life insurance and other unique employer\-sponsored and voluntary programs. USI also offers a generous paid time off policy, paid family leave benefit as well as paid holiday time .
 Salary Range: $140,000\- $155,000
 Deadline for applications 2/26/26</t>
        </is>
      </c>
    </row>
    <row r="103">
      <c r="A103" t="inlineStr">
        <is>
          <t>li-4354973678</t>
        </is>
      </c>
      <c r="B103" t="inlineStr">
        <is>
          <t>Software Engineer, Business Process and Operations Management Platforms (Eng 3)</t>
        </is>
      </c>
      <c r="C103" t="inlineStr">
        <is>
          <t>Comcast</t>
        </is>
      </c>
      <c r="D103" t="inlineStr">
        <is>
          <t>linkedin</t>
        </is>
      </c>
      <c r="E103">
        <f>HYPERLINK("https://www.linkedin.com/jobs/view/4354973678", "https://www.linkedin.com/jobs/view/4354973678")</f>
        <v/>
      </c>
      <c r="F103">
        <f>HYPERLINK("https://jobs.comcast.com/job/-/-/45483/90515231296?source=linkedin_spons_job_at&amp;urlHash=r09Y", "https://jobs.comcast.com/job/-/-/45483/90515231296?source=linkedin_spons_job_at&amp;urlHash=r09Y")</f>
        <v/>
      </c>
      <c r="G103" t="inlineStr">
        <is>
          <t>Mount Laurel, NJ</t>
        </is>
      </c>
      <c r="H103" t="inlineStr"/>
      <c r="I103"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Business Information Technology (BIT) is a specialized group within Comcast Technology focused on serving business customers—ranging from small businesses to large enterprises and federal government clients. BIT is seeking a Software Engineer III to design, develop, and enhance our internally built, multi\-tenant Business Process and Operations Management Platform. This platform enables agents to efficiently manage fulfillment orders, collaborate across teams, and ensure seamless communication and tracking throughout the request lifecycle. In this role, you will lead the end\-to\-end development process—from intake and design to implementation and testing—partnering with offshore engineers and serving as the primary development point of contact for the platform. You will work closely with product stakeholders, architecture teams, and QA to deliver high\-quality, scalable solutions.
**Job Description**
 This Engineer can be based with the team in either Mt Laurel, NJ; Reston, VA; or Philadelphia, PA.
*This position is ineligible for visa sponsorship. To be considered for this role, you must be legally authorized to work in the United States and not require sponsorship for employment now or in the future*
**Core Responsibilities**
* Own development for our internally developed multi\-tenant biz ops platform; potentially transition to adjacent platforms within the team per business needs
* Participate in intake and architecture discussions to translate requirements into scalable designs, leveraging BPM concepts and platform patterns.
* Design and develop modern web applications and microservices using Angular (UI), Java/Spring Boot (services), and database technologies.
* Coordinate with offshore teams to drive delivery: clarify requirements, break down work, review code/designs, and ensure quality at each stage.
* Integrate with internal/external systems via web services/microservices, ETLs, and data pipelines; work with the Kotja database where applicable.
* Leverage BPM tooling (e.g., Flowable, Oracle BPM, or equivalent) to model and implement business processes within the platform.
* Author and facilitate test design: build unit/integration tests, define test cases, and collaborate with QA to validate functionality against specs.
* Serve as the primary dev contact for Bedrock (production support team exists; you’ll triage and drive fixes/changes on the development side).
* Document technical decisions: designs, APIs, data models, process flows, test results, and operational runbooks.
* Apply AI\-assisted development practices (team uses Copilot) to accelerate coding, testing, and documentation—while maintaining high code quality.
* Mentor junior engineers and contribute to engineering best practices, code reviews, and continuous improvement efforts.
* Monitor and evaluate competing products/approaches, proposing improvements to the platform’s design, reliability, and developer experience.
* Work typical business hours with occasional coordination across time zones for offshore collaboration.
* Consistent exercise of independent judgment and discretion in matters of significance.
* Other duties and responsibilities as assigned.
**Qualifications**
* 5–8\+ years of professional software engineering experience with modern web and service development.
* Proficiency in programming languages: Java, C\+\+, Python.
* Hands on experience using Front\-end technologies: Angular/React/Vue, JavaScript, HTML, CSS, jQuery.
* Integration frameworks: Spring Framework, Spring Integration, Apache Camel
* Solid database fundamentals: MSSQL, MySQL, Oracle, and NoSQL databases like MongoDB.
* Unit testing frameworks: JUnit, TestNG.
* Demonstrated experience with Service\-oriented architecture (SOA), RESTful APIs, and microservices
* Messaging platforms: RabbitMQ, Kafka.
* CI/CD tools: GoCD, Jenkins, Concourse.
* Understanding of Business process management concepts and tools: JBPM, Activiti, Flowable.
* Experience coordinating with offshore teams (requirements clarity, delivery oversight, code/design reviews).
* Strong testing mindset: unit/integration testing, test case design, and collaboration with QA.
* Excellent communication skills; comfortable being the primary dev contact for a platform/team.
**Preferred**
* Cloud platforms: Pivotal Cloud Foundry, AWS, Azure.
* Secure coding practices, Full\-stack development experience.
* Data analysis and reporting using R, Python.
* Familiarity with AI/ML concepts and use of Copilot or similar AI tools in development workflows.
* Experience in telecom or cable industry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BPM Architecture; Software Development; Angular UI; Design; AI Concepts; Java Spring
**Salary**
 Primary Location Pay Range: $114,985\.89 \- $172,478\.83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04">
      <c r="A104" t="inlineStr">
        <is>
          <t>li-4308090330</t>
        </is>
      </c>
      <c r="B104" t="inlineStr">
        <is>
          <t>Software Engineer, Beam Planning (Starshield)</t>
        </is>
      </c>
      <c r="C104" t="inlineStr">
        <is>
          <t>SpaceX</t>
        </is>
      </c>
      <c r="D104" t="inlineStr">
        <is>
          <t>linkedin</t>
        </is>
      </c>
      <c r="E104">
        <f>HYPERLINK("https://www.linkedin.com/jobs/view/4308090330", "https://www.linkedin.com/jobs/view/4308090330")</f>
        <v/>
      </c>
      <c r="F104" t="inlineStr"/>
      <c r="G104" t="inlineStr">
        <is>
          <t>Hawthorne, CA</t>
        </is>
      </c>
      <c r="H104" t="inlineStr"/>
      <c r="I10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BEAM PLANNING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As a Beam Planning Software Engineer on the Starshield program, you will be working on real time scheduling systems which coordinate the payload behavior for the Starshield constellation. Our goal is to ensure that space and ground hardware is optimally scheduled to minimize latency, maximize constellation uptime, throughput and reliability.
 Our software engineers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
**Responsibilities**
* Develop highly reliable, real\-time software that plans and executes network topology for our low\-latency, high\-bandwidth satellite\-based global network in order to connect assets and maximize user experience
* Participate in and lead architecture, design, and code reviews
* Develop prototypes and manage experiments to prove out key design concepts
* Develop tools for software development and deployment, data analysis and visualization, and test execution across multiple environments, including virtualized hardware environments, real hardware\-in\-the\-loop simulations, and on\-orbit testing
**Basic Qualifications**
* Bachelor's degree in computer science, engineering, math, or scientific discipline; OR 2\+ years of professional experience in software development in lieu of a degree
* Development experience in C, C\+\+ or assembly
**Preferred Skills And Experience**
* Knowledgeable in real\-time rendering, game engine development, physics simulation, or other real\-time, resource\-constrained, high\-performance computing
* Familiarity in network topology, numerical optimization techniques, graph theoretic approaches, or convex optimization
* Developed, debugged, and deployed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 Experience with distributed systems and internet services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05">
      <c r="A105" t="inlineStr">
        <is>
          <t>li-4361691937</t>
        </is>
      </c>
      <c r="B105" t="inlineStr">
        <is>
          <t>Software Engineering Manager, Storage, Google Distributed Cloud</t>
        </is>
      </c>
      <c r="C105" t="inlineStr">
        <is>
          <t>Google</t>
        </is>
      </c>
      <c r="D105" t="inlineStr">
        <is>
          <t>linkedin</t>
        </is>
      </c>
      <c r="E105">
        <f>HYPERLINK("https://www.linkedin.com/jobs/view/4361691937", "https://www.linkedin.com/jobs/view/4361691937")</f>
        <v/>
      </c>
      <c r="F105" t="inlineStr"/>
      <c r="G105" t="inlineStr">
        <is>
          <t>Durham, NC</t>
        </is>
      </c>
      <c r="H105" t="inlineStr"/>
      <c r="I105" t="inlineStr">
        <is>
          <t>Note: By applying to this position you will have an opportunity to share your preferred working location from the following:
 **Raleigh, NC, USA; Durham, NC, USA** 
 .
 **Minimum qualifications:**
* Bachelor's degree or equivalent practical experience.
* 8 years of experience in software development.
* 3 years of experience in a technical leadership role; overseeing projects, with 2 years of experience in a people management, supervision/team leadership role.
* 3 years of experience with developing infrastructure, distributed systems or networks, or experience with compute technologies, storage or hardware architecture.
**Preferred qualifications:**
* Experience with System Integration, Configuration Management, Control Management, Orchestration layer, etc.
* Experience with Storage Systems and Managing Storage Systems.
* Experience leading teams of direct reports.
* Experience with Cloud platforms.
* Experience with Kubernetes or container orchestration frameworks.
* Experience in GoLang.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the Software Engineering Manager, you will drive the storage everywhere idea for Data Protection (e.g., Storage Replication, File, Block, Object) and Disaster Recovery in Google Distributed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engineers to design and land new features in Kubernetes, Storage, and the Data Protection/Disaster Recovery space.
* Manage stakeholders and partner relationships.
* Influence technical direction and roadmap.
* Work on Data Protection and Disaster Recovery for Google Distributed Cloud Edge/Hosted.
* Develop engineers on the team by providing opportunities for growth and development, and help shape team culture and create a positive working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li-4345026470</t>
        </is>
      </c>
      <c r="B106" t="inlineStr">
        <is>
          <t>Senior Software Engineer - Tibco BW (Remote North Carolina)</t>
        </is>
      </c>
      <c r="C106" t="inlineStr">
        <is>
          <t>First Citizens Bank</t>
        </is>
      </c>
      <c r="D106" t="inlineStr">
        <is>
          <t>linkedin</t>
        </is>
      </c>
      <c r="E106">
        <f>HYPERLINK("https://www.linkedin.com/jobs/view/4345026470", "https://www.linkedin.com/jobs/view/4345026470")</f>
        <v/>
      </c>
      <c r="F106" t="inlineStr"/>
      <c r="G106" t="inlineStr">
        <is>
          <t>North Carolina, United States</t>
        </is>
      </c>
      <c r="H106" t="inlineStr"/>
      <c r="I106" t="inlineStr">
        <is>
          <t>**Overview**
 This is a remote role that may only be hired in the following location: North Carolina.
 This position is within DEPOSITS \&amp; SHARED SVCS DEPT and related to API development, the design, implementation, and support of our
 **TIBCO Enterprise Service Bus** 
 . Ability to create conceptual end to end integration deliverables, technical specification documents and recommend high quality solutions for the TIBCO BW ESB integration platform.  Ability to Analyze, code, test, and implement in coordination with management, associates, and end users while following the Enterprise SDLC. May oversee the work of less experienced analysts or assist in special projects as needed
**Responsibilities**
* 
+ Implementation of integration services using TIBCO BW (6/10x), TIBCO EMS.
+ Implementation knowledge of API Gateway like Layer 7 / Apigee
+ Basic knowledge in Splunk
+ Gap analysis of new requirements and documented solution options (change description, impact analysis, effort estimates) Issue/Bug investigation \&amp; resolution, Support Project team and Application Business Analysts.
+ Functional mappings from specifications and/or business requirements; translate source/target schemas into transformation logic aligned with logistics processes and data standards.
+ Assist Operations Team to resolve production escalation as and when needed.
+ System Testing \- Develops and oversees a comprehensive testing plan. Investigates, analyzes, and determines user needs. Verifies the successful implementation of software, patches, and upgrades.
+ System Enhancement \- Utilizes end user feedback and requests to develop system improvements that impact applications. Determines solutions for known issues and business needs. Coordinates with interface applications and other business units to verify request definitions, then makes appropriate system configuration or parameter changes.
**Qualifications**
 Bachelor's Degree and 4 years of experience in Software application development and maintenance
 OR
 High School Diploma or GED and 8 years of experience in Software application development and maintenance
**Preferred Qualifications**
* TIBCO BW (6/10x)
* API Gateway (Eg: Layer 7 / Apigee)
* TIBCO EMS
* Integration tech: XML/XSD, JSON, REST/SOAP; messaging (JMS/EMS);
* SDLC \&amp; Ops: Git, CI/CD (e.g., jenkins, Azure Dev Ops, antifactory repositories), environment configuration, packaging/deployment, logging/monitoring, troubleshooting.
* Nice to have Knowledge in Logging \&amp; Exception handling tools (Eg: njams)
* Security Patterns MTLS, OAUTH 2\.0
* Experience in the Banking and Finance Industry
* Experience with Okta; SQL Scripting.
* Experience with ServiceNow or other information technology ticketing system
* Ability to build strong collaborative and productive relationships
* In\-depth knowledge of System Life Cycle Development methodology (Waterfall and Agile)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07">
      <c r="A107" t="inlineStr">
        <is>
          <t>li-4346102898</t>
        </is>
      </c>
      <c r="B107" t="inlineStr">
        <is>
          <t>Cloud Software Engineer</t>
        </is>
      </c>
      <c r="C107" t="inlineStr">
        <is>
          <t>The Swift Group, LLC</t>
        </is>
      </c>
      <c r="D107" t="inlineStr">
        <is>
          <t>linkedin</t>
        </is>
      </c>
      <c r="E107">
        <f>HYPERLINK("https://www.linkedin.com/jobs/view/4346102898", "https://www.linkedin.com/jobs/view/4346102898")</f>
        <v/>
      </c>
      <c r="F107">
        <f>HYPERLINK("https://jobs.gem.com/the-swift-group/am9icG9zdDq5bxcVKRdLsNq85pkzjwOm?utm_source=GemJobBoardLink&amp;utm_medium=4000023008&amp;urlHash=7S5I", "https://jobs.gem.com/the-swift-group/am9icG9zdDq5bxcVKRdLsNq85pkzjwOm?utm_source=GemJobBoardLink&amp;utm_medium=4000023008&amp;urlHash=7S5I")</f>
        <v/>
      </c>
      <c r="G107" t="inlineStr">
        <is>
          <t>Annapolis Junction, MD</t>
        </is>
      </c>
      <c r="H107" t="inlineStr"/>
      <c r="I107" t="inlineStr">
        <is>
          <t>For the
 **OPS Consulting** 
 team, ‘the power to help’ means helping our clients, helping serve the mission, helping our employees and their families, and helping the community. Headquartered in Hanover, MD. OPS Consulting has over two decades of experience specializing in the most mission\-critical operations. We are thought leaders and innovators. The ingenuity of our developers, engineers, cyber experts, linguists, and analysts are dedicated to empowering our clients, fulfilling The Mission, and remaining trusted leaders and advisers in national security and technology solutions.
 We are looking for a
 **Cloud Software Engineer** 
 to join a growing team in
 **Annapolis Junction, MD.**
 Provide cloud software research, development, and engineering services to include requirements analysis, software development, installation, integration, evaluation, enhancement, sustainment, testing, validation, and issue diagnosis and resolution.
**Responsibilities**
* Design, implement, and test new features and capabilities for Apache Accumulo to support large content and metadata repositories.
* Conduct Apache Accumulo training sessions, including hands\-on software configuration and programming exercises.
* Develop web\-based user interfaces to support search and presentation of operational data.
* Develop web services that provide REST\-based APIs to content and metadata repositories.
**Requirements**
* Within the last seven (7\) years, a minimum of five (5\) years of combined programming experience using two (2\) or more of the following languages: Java, C\+\+, or Python.
* Within the last five (5\) years, a minimum of three (3\) years of experience designing and developing applications in a Windows or UNIX/Linux operating environment.
* Within the last five (5\) years, a minimum of three (3\) years of experience with Open Source (NoSQL) products supporting highly distributed, massively parallel computation needs such as HBase, Apache Accumulo, or BigTable.
* Within the last three (3\) years, a minimum of one (1\) year of experience with MapReduce.
* Within the last three (3\) years, a minimum of one (1\) year of experience with the Hadoop Distributed File System (HDFS).
* Within the last three (3\) years, a minimum of one (1\) year of experience with requirements analysis and design for one (1\) or more object\-oriented systems.
* Within the past two (2\) years, a minimum of six (6\) months of development experience with Kubernetes, Amazon Web Services (AWS), Microsoft Azure, or Google Cloud Computing Services.
* Bachelor’s degree in Computer Science or a related discipline.
* An associate’s degree in Computer Science or a related discipline plus two (2\) years of programming experience may be substituted for a bachelor’s degree.
* Five (5\) years of programming experience may be substituted for a bachelor’s degree.
* US citizenship and an active security clearance required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08">
      <c r="A108" t="inlineStr">
        <is>
          <t>li-4362372159</t>
        </is>
      </c>
      <c r="B108" t="inlineStr">
        <is>
          <t>FX E-trading Java Senior Lead Software Engineer</t>
        </is>
      </c>
      <c r="C108" t="inlineStr">
        <is>
          <t>JPMorganChase</t>
        </is>
      </c>
      <c r="D108" t="inlineStr">
        <is>
          <t>linkedin</t>
        </is>
      </c>
      <c r="E108">
        <f>HYPERLINK("https://www.linkedin.com/jobs/view/4362372159", "https://www.linkedin.com/jobs/view/4362372159")</f>
        <v/>
      </c>
      <c r="F108" t="inlineStr"/>
      <c r="G108" t="inlineStr">
        <is>
          <t>Jersey City, NJ</t>
        </is>
      </c>
      <c r="H108" t="inlineStr"/>
      <c r="I108" t="inlineStr">
        <is>
          <t>**Job Description**
 Be an integral part of an agile team that's constantly pushing the envelope to enhance, build, and deliver top\-notch technology products.
 As a Senior Lead Software Engineer at JPMorgan Chase within the Commercial \&amp; Investment Technology Rates eTrading, you are an integral part of an agile team dedicated to enhancing, building, and delivering trusted market\-leading technology products in a secure, stable, and scalable manner. Your role involves promoting significant business impact through your expertise and contributions, applying deep technical knowledge and problem\-solving skills to address a wide range of challenges across multiple technologies and applications. You will be responsible for building components that support the global macro FX eTrading business, collaborating with a team of 20 developers worldwide, and working closely with our trading partners. These components must be highly available, scalable, and operate with minimal latency, handling high volumes of real\-time data and requiring careful performance tuning. You will be accountable for the overall success of the systems, including their design, development, deployment, optimization, and day\-to\-day operation.
**Job Responsibilities**
* Regularly provides technical guidance and direction to support the business and its technical teams, contractors, and vendors
* Design, develop, and maintain electronic trading components.
* Use low\-level programming techniques to produce highly optimized, low\-latency trading software
* Serve as a Second line support backing up the 1st line operate team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Java
* Will have a deep understanding of algorithms, data structures, system design, threading implications, and strategies for optimizing performance\-sensitive code.
* Relevant Markets experience required.
* Low latency middleware
* Ability to work collaboratively in a global team on long\-term technical problems
* Possess a great attention to detail
* Ability to analyze and fix problems quickly
* Capable of working independently as well as part of a team. Able to learn quickly and apply new skills effectively
* Experience in Computer Science, Computer Engineering, Mathematics, or a related technical field
**Preferred Qualifications, Capabilities, And Skills**
* FX experience preferred
* Scripting skills, python will be an advantage.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9">
      <c r="A109" t="inlineStr">
        <is>
          <t>li-4343678464</t>
        </is>
      </c>
      <c r="B109" t="inlineStr">
        <is>
          <t>Staff Software Engineer, Infrastructure</t>
        </is>
      </c>
      <c r="C109" t="inlineStr">
        <is>
          <t>Engine</t>
        </is>
      </c>
      <c r="D109" t="inlineStr">
        <is>
          <t>linkedin</t>
        </is>
      </c>
      <c r="E109">
        <f>HYPERLINK("https://www.linkedin.com/jobs/view/4343678464", "https://www.linkedin.com/jobs/view/4343678464")</f>
        <v/>
      </c>
      <c r="F109" t="inlineStr"/>
      <c r="G109" t="inlineStr">
        <is>
          <t>Denver, CO</t>
        </is>
      </c>
      <c r="H109" t="inlineStr"/>
      <c r="I109"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As a
 **Staff Infrastructure Engineer** 
 at Engine, you will be a strategic leader responsible for defining the long\-term vision and shaping the architectural strategy of the infrastructure platform that powers our entire engineering organization. This role moves beyond team\-level ownership to solve the most complex, high\-stakes problems that unlock major organizational leverage and drive strategic business outcomes.
 Your mission is to architect and own critical outcomes end\-to\-end, thinking in systems and connecting multi\-functional dots to ensure the platform is not only reliable but also a powerful accelerant for product development across the company. You will drive change across multiple stakeholders, serving as the domain expert for infrastructure architecture and guiding the technical direction of multiple engineering teams.
 This is a hands\-on engineering leadership role where you will contribute directly to platform capabilities, write clean and scalable code, and apply broad expertise to advance company goals by influencing how infrastructure is delivered across the organization.
**Key Responsibilities:**
* **Platform Strategy \&amp; Architecture:** 
 Define and drive the multi\-year roadmap for the cloud infrastructure platform, making high\-stakes, strategic decisions around performance, cost, and maintainability. Serve as the ultimate domain expert for critical systems.
* **System\-Level Automation:** 
 Architect and lead the implementation of our strategic Infrastructure as Code (IaC) platform, ensuring the solution provides organizational leverage and adheres to a robust, scalable governance model.
* **CI/CD Ecosystem Evolution:** 
 Own and drive the evolution of the organization's deployment ecosystem, setting the standard for secure, reliable, and high\-velocity enterprise\-wide deployment strategy.
* **Organizational Reliability \&amp; Observability:** 
 Define the company's observability strategy (SLOs/SLIs) and lead major, cross\-functional incident response efforts. Leverage deep system\-level thinking to diagnose root causes and prevent recurrence of high\-impact outages.
* **Self\-Service Platform Ownership:** 
 Architect and own the core platform capabilities and system\-level contracts that unlock significant self\-service capabilities for all product engineering teams, maximizing autonomy while enforcing guardrails.
* **Technical Leadership \&amp; Mentorship:** 
 Set the technical standards and best practices for infrastructure engineering across the organization. Provide hands\-on coaching and mentoring to Senior and Principal engineers, influencing the technical direction of peer teams.
* **Security \&amp; Governance Leadership:** 
 Partner with Security and Compliance leadership to integrate advanced security controls and policy enforcement mechanisms at the architectural layer, ensuring compliance without sacrificing developer velocity.
**Required Skills \&amp; Experience:**
* **8\+ years of high\-impact experience** 
 in DevOps, Platform, or Infrastructure roles, with a proven history of designing and operating large\-scale, multi\-account production systems on AWS.
* **Deep expertise in system\-level programming** 
 and architectural design in languages such as Go or Python, used to engineer internal infrastructure platforms and APIs.
* **Proven track record of owning critical outcomes end\-to\-end** 
 across multiple functions and driving results with multi\-departmental impact.
* Ability to think strategically across functions, connecting technology decisions to company objectives and translating abstract concepts into clear, actionable engineering plans.
* Expert\-level knowledge of IaC (Terraform strongly preferred) and hands\-on experience designing and operating container orchestration systems (Kubernetes/EKS).
* Demonstrated experience serving as a trusted technical advisor and driving change on cross\-functional initiatives across a large group of stakeholders.
**Nice to Have:**
* Experience developing and evangelizing an Infrastructure as a Product (IaaP) or Internal Developer Platform (IDP) strategy.
* Expertise in advanced cloud networking, Cloudflare, security primitives, and compliance frameworks.
* Prior experience contributing to company strategy through innovative and effective solutions.
*Applications for this role will be accepted through April 15th, 2026 or until the role is filled. We encourage you to apply early, as we may begin reviewing applications before the deadline.*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$137,300—$190,000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110">
      <c r="A110" t="inlineStr">
        <is>
          <t>li-4362322538</t>
        </is>
      </c>
      <c r="B110" t="inlineStr">
        <is>
          <t>Java/AWS Lead Software Engineer</t>
        </is>
      </c>
      <c r="C110" t="inlineStr">
        <is>
          <t>JPMorganChase</t>
        </is>
      </c>
      <c r="D110" t="inlineStr">
        <is>
          <t>linkedin</t>
        </is>
      </c>
      <c r="E110">
        <f>HYPERLINK("https://www.linkedin.com/jobs/view/4362322538", "https://www.linkedin.com/jobs/view/4362322538")</f>
        <v/>
      </c>
      <c r="F110" t="inlineStr"/>
      <c r="G110" t="inlineStr">
        <is>
          <t>Atlanta, GA</t>
        </is>
      </c>
      <c r="H110" t="inlineStr"/>
      <c r="I110" t="inlineStr">
        <is>
          <t>**Job Description**
**Job Description**
 We have an opportunity to impact your career and provide an adventure where you can push the limits of what's possible. As a Lead Software Engineer at JPMorgan Chase within the Consumer \&amp; Community Banking (CCB), you play a crucial role in an agile team dedicated to enhancing, building, and delivering trusted, market\-leading technology products in a secure, stable, and scalable manner. As a core technical contributor, you are tasked with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Demonstrates a product mindset whilst managing the application lifecycles as an application owner
* Adds to team culture of diversity, opportunity, inclusion, and respect
**Required Qualifications, Capabilities, And Skills**
* Formal training or certification on Software Engineering concepts and 10\+ years applied experience
* Strong system design, application development, and operational stability skills with advanced understanding of agile methodologies, CI/CD, and application resiliency
* Advanced proficiency in Full\-stack application development in Python, Java 11/17/21, Kafka \&amp; front\-end development using React
* Expertise in microservices architecture, RESTful APIs, and database technologies (PostgreSQL, MySQL and NoSQL databases like DynamoDB)
* Skilled in development and testing tools such as JUnit, Groovy, Postman, REST Assured, Eclipse, Maven, Jenkins, and IntelliJ
* Familiarity with containerization and orchestration tools including Docker, Kubernetes, and Helm
* Experience with performance testing tools including JMeter and Blazemeter
* Experience with distributed systems and cloud platforms including AWS, GCP, and Azure
* Hands\-on experience working with Large Language Models (LLMOps) and generative AI, including chunking, tokenization, embeddings, and evaluation pipelines
* Experience with AI/ML frameworks such as TensorFlow, PyTorch, scikit\-learn, and Hugging Face
* Effective communication skills across teams and management levels, with a proactive approach to process improvement and collaboration
**Preferred Qualifications, Capabilities, And Skills**
* Familiarity with graph databases, vector databases, open search, etc.
* Familiarity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1">
      <c r="A111" t="inlineStr">
        <is>
          <t>li-4341264146</t>
        </is>
      </c>
      <c r="B111" t="inlineStr">
        <is>
          <t>Lead Software Engineer – Computer Vision &amp; Automation (Transportation)</t>
        </is>
      </c>
      <c r="C111" t="inlineStr">
        <is>
          <t>Leidos</t>
        </is>
      </c>
      <c r="D111" t="inlineStr">
        <is>
          <t>linkedin</t>
        </is>
      </c>
      <c r="E111">
        <f>HYPERLINK("https://www.linkedin.com/jobs/view/4341264146", "https://www.linkedin.com/jobs/view/4341264146")</f>
        <v/>
      </c>
      <c r="F111">
        <f>HYPERLINK("https://careers.leidos.com/jobs/17094767-lead-software-engineer-computer-vision-and-automation-transportation?tm_job=R-00171269&amp;tm_event=view&amp;tm_company=2502&amp;bid=56&amp;urlHash=OO9w", "https://careers.leidos.com/jobs/17094767-lead-software-engineer-computer-vision-and-automation-transportation?tm_job=R-00171269&amp;tm_event=view&amp;tm_company=2502&amp;bid=56&amp;urlHash=OO9w")</f>
        <v/>
      </c>
      <c r="G111" t="inlineStr">
        <is>
          <t>McLean, VA</t>
        </is>
      </c>
      <c r="H111" t="inlineStr"/>
      <c r="I111" t="inlineStr">
        <is>
          <t>**Description**
**Lead Software Engineer – Computer Vision \&amp; Automation (Transportation)**
 Are you interested in improving and shaping the transportation industry with a group of intelligent and motivated individuals?  Consider joining the Leidos team operating the Federal Highway Administration (FHWA)’s
 **Saxton Transportation Operations Laboratory (STOL)** 
 , a USDOT research lab focused on the improvement of transportation operations, safety, mobility, and environmental impacts.  STOL champions the integration of emerging technologies such as cooperative driving automation (CDA) and Vehicle\-to\-Everything (V2X) to revolutionize transportation.
**Location:** 
 This role will be expected to work full\-time at the customer site in
 **McLean, VA**
 Learn about STOL here
 **:** 
**https://highways.dot.gov/turner\-fairbank\-highway\-research\-center/labs/STOL**
**Candidates MUST**
**All applicants must be legally authorized to work in the United States with proof of legal status and be eligible for a Public Trust Clearance which includes three consecutive years in the United States within the last five years.**
 Leidos is seeking a
 **Lead Software Engineer – Computer Vision \&amp; Automation (Transportation)** 
 to join a highly successful team in researching and developing Connected and Automated Vehicle (CAV) technologies to shape the future of transportation. We are looking for someone who is motivated by variety, thrives in a challenging environment, seeks professional growth, and will be a key part of a team developing and extending a variety of applications and components to improve results that impact the transportation industry.
 The successful candidate will work with external organizations – including state and local Departments of Transportation (DOTs) – to identify how computer vision technologies can improve transportation safety and operations and to create business development opportunities in these areas. As new projects are created through these strategic partnerships, the successful candidate will lead these computer vision projects, which will aim to support and optimize the use of advanced transportation technologies such as intelligent transportation systems (ITS), CDA, C\-V2X, CAV and AI\-driven predictive modeling.
**Primary Responsibilities**
* Lead delivery of software and system components that incorporate object recognition and automation for transportation applications, ensuring solutions meet both technical requirements and compliance standards.
* Serve as a technical lead on medium\-to\-large, complex projects in partnership with state and local Departments of Transportation (DOTs), providing oversight on design, development, and delivery.
* Support business development, including proposal writing and client engagement.
* Break down program and project\-level requirements into actionable engineering tasks, supporting efficient execution by the development team.
* Collaborate with program managers, contracting officers, and agency stakeholders to align technical solutions with mission objectives and regulatory frameworks.
* Develop and maintain documentation, reporting artifacts, and deliverables required by contract and oversight authorities.
* Mentor engineers in applying advanced technologies, automation practices, and secure development principles to government solutions.
* Provide accurate cost, schedule, and performance estimates for development tasks.
**Required Qualifications**
* Master’s degree with 5\+ years of relevant experience; OR Bachelor’s degree with 7\+ years of relevant experience.
* 5\+ years of experience with object recognition and automation in the transportation/automotive domain, including applied use in prototype and/or production systems with at least one of the following types of sensors: camera, lidar, and/or radar.
* Hands\-on expertise with programming languages such as Python, Java, or C\+\+.
* Strong written and verbal communication skills with ability to collaborate across diverse teams.
* Experience with at least one relational database management system (Oracle, MySQL, PostgreSQL, SQL Server, etc.).
* Ability to work in a fast\-paced, research\-oriented environment with travel up to 10% for stakeholder engagement, testing, and site visits.
* Ability to obtain and maintain a Public Trust clearance (which includes three years of immediate residency in the US).
**Preferred Qualifications**
* Proven experience in business development, including identifying new market opportunities, building strategic partnerships, and driving portfolio/revenue growth.
* Designing, training, and deploying computer vision models (e.g., YOLO, TensorFlow, PyTorch, Core ML, or OpenCV) for detection, classification, and tracking in real\-world environments.
* Implementing automation pipelines that integrate recognition systems into business or agency workflows, improving efficiency and accuracy.
* Developing and optimizing algorithms for real\-time recognition tasks across varied conditions (e.g., lighting, environmental, and sensor constraints).
* Integrating recognition systems into larger enterprise or agency platforms, including dashboards, analytics tools, and decision support systems.
* Working knowledge of Agile methodologies and development tools such as Jira, Bitbucket, and Confluence; Scrum Master certification is a plus.
* Experience delivering complete systems or applications, preferably for state and local DOTs, the Federal Highway Administration (FHWA), and/or USDOT ITS Joint Program Office.
* Self\-motivated with a demonstrated ability to explore new tools, frameworks, and techniques.
**Anticipated salary range for this role is $95,000\-$130,000**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12">
      <c r="A112" t="inlineStr">
        <is>
          <t>li-4348078379</t>
        </is>
      </c>
      <c r="B112" t="inlineStr">
        <is>
          <t>Senior Software Engineer, Android</t>
        </is>
      </c>
      <c r="C112" t="inlineStr">
        <is>
          <t>Credit Genie</t>
        </is>
      </c>
      <c r="D112" t="inlineStr">
        <is>
          <t>linkedin</t>
        </is>
      </c>
      <c r="E112">
        <f>HYPERLINK("https://www.linkedin.com/jobs/view/4348078379", "https://www.linkedin.com/jobs/view/4348078379")</f>
        <v/>
      </c>
      <c r="F112" t="inlineStr"/>
      <c r="G112" t="inlineStr">
        <is>
          <t>Philadelphia, PA</t>
        </is>
      </c>
      <c r="H112" t="inlineStr"/>
      <c r="I112"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We are looking for a Senior Android Engineer to help architect our Mobile Apps for the next 2\-3 years of growth. Ideal candidate should’ve designed/architected mobile apps with high quality, stability, and low latency.
 Are you passionate about building high\-quality Android apps and excited by the challenge of re\-architecting a product from the ground up? As a Senior Android Engineer, you'll take ownership of key components of our mobile app as we transition from React Native to native Android technologies. You'll collaborate closely with cross\-functional teams to ensure our mobile app scales and evolves to meet the needs of millions of users.
**What You'll Do**
* Collaborate with designers, product managers, and other engineers to define a compelling UX that functions well within an Android mobile app
* Write code for app design, features, components, and integrations in a clean, readable, and reusable fashion
* Provide Android mobile app expertise, helping improve the team's development practices, design patterns, deployment processes, and customer experience
* Work with stakeholders from product, marketing, etc. on initiatives aligning with our KPIs and business priorities
* Contribute to all phases of the development lifecycle
* Participate in standard engineering practices such as code reviews, standups, planning meetings, and product/technology demos
* Stay abreast of emerging technologies and industry trends, evaluating their potential to enhance the Credit Genie product suite and maintain our competitive edge
**Requirements**
* 5\+ years of professional mobile development
* Proficient in Kotlin
* Deep understanding of mobile app UX best practices
* Ability to propose, refine, code, and update UX/product solutions to ensure they meet customer needs
* Proficiency in taking design mocks (including Figma files) and coding them in\-app using Kotlin
* Experience working independently and directly with product, marketing, and engineering teams in a highly iterative environment
* Strong analytical and problem\-solving skills
* Excellent communication skills
**Nice to Have**
* Experience working on personal finance management (PFM) products.
* Understanding of UX design concepts (e.g. density, diversity) and the languages, systems, principles, and processes used in design creation
* Comfort using design prototyping tools (e.g. Figma, Invision, Origami, or Sketch)
* Ability to maintain a style guide, UI kit, and brand
* Familiarity with consumer credit risk and the customer life cycle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13">
      <c r="A113" t="inlineStr">
        <is>
          <t>li-4346171847</t>
        </is>
      </c>
      <c r="B113" t="inlineStr">
        <is>
          <t>Ground Software Engineer II/ Senior Ground Software Engineer I</t>
        </is>
      </c>
      <c r="C113" t="inlineStr">
        <is>
          <t>Rocket Lab</t>
        </is>
      </c>
      <c r="D113" t="inlineStr">
        <is>
          <t>linkedin</t>
        </is>
      </c>
      <c r="E113">
        <f>HYPERLINK("https://www.linkedin.com/jobs/view/4346171847", "https://www.linkedin.com/jobs/view/4346171847")</f>
        <v/>
      </c>
      <c r="F113">
        <f>HYPERLINK("https://job-boards.greenhouse.io/rocketlab/jobs/7571799003?gh_src=3ad4b3093us&amp;urlHash=v4fX", "https://job-boards.greenhouse.io/rocketlab/jobs/7571799003?gh_src=3ad4b3093us&amp;urlHash=v4fX")</f>
        <v/>
      </c>
      <c r="G113" t="inlineStr">
        <is>
          <t>Littleton, CO</t>
        </is>
      </c>
      <c r="H113" t="inlineStr"/>
      <c r="I113"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**GROUND SOFTWARE ENGINEER II/ SENIOR GROUND SOFTWARE ENGINEER I**
 As a
 **Ground Software Engineer II/ Senior Ground Software Engineer I** 
 based out of Rocket Lab’s site in Littleton, CO, you will be responsible for developing cutting\-edge spacecraft ground software for our various Space Systems missions, and for providing ground system development and support for internal and external customers. You will support the Space Systems organization, with deliverables required for internal leadership, board of directors, and investors.
**What You’ll Get To Do**
* Develop and evolve web\-based software architecture for spacecraft operations
* Work closely with flight software developers, operations personnel, and systems engineers to understand requirements and functional needs
* Deploy and configure the Rocket Lab Ground Data System
* Establish monitoring and alerting to detect system degradation and outages
* Identify ground systems issues and provide technical insight for resolution
**(Please note: this position can be hired at the Ground Software Engineer II or Senior Ground Software Engineer I level.)**
**Qualifications You’ll Bring As Ground Software Engineer Ii**
* Bachelor’s degree in engineering or other technical discipline
* 2\+ years of relevant work experience developing software
* 2\+ years of relevant work experience developing in Python
* Experience architecting web\-based software applications
* Experience with AWS
* U.S. citizenship is required, due to program requirements
* Active DoD U.S. Government Secret security clearance or, ability to obtain and maintain one
**Qualifications You'll Bring As Senior Ground Software Engineer i**
* Bachelor’s degree in engineering or other technical discipline
* 5\+ years of relevant work experience developing software
* 5\+ years of relevant work experience developing in Python
* Experience architecting web\-based software applications
* Experience with AWS
* U.S. citizenship is required, due to program requirements
* Active DoD U.S. Government Secret security clearance or, ability to obtain and maintain one
**These Qualifications Would Be Nice To Have**
* Full\-stack software development experience, including: ○ Backend – Python and/or Golang ○ Frontend – Typescript and/or Javascript (Angular or React) ○ Database – InfluxDB, PostgreSQL, or equivalent
* Experience with Python web experience (FastAPI or equivalent)
* Experience with micro\-service architectures
* Experience leading complete system development efforts with a team
* Ability to write clear, well\-tested, and well\-documented software
* Experience supporting satellite, spacecraft, constellation, and/or launch vehicle mission operations
* Familiarity with database design and implementation
* Experience using Git or other version control systems
* Experience with SQL
* Experience with ticketing systems like Jira, etc.
* Experience with Kubernetes orchestration
* Experience with Oauth authentication flows
* Experience in full\-stack and/or web development (NodeJS, Angular, TypeScript, or equivalent)
* Experience in the aerospace industry
* Experience in CCSDS recommended standards, including Space Packet Protocol and COP\-1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$110,000—$160,000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14">
      <c r="A114" t="inlineStr">
        <is>
          <t>li-4329221455</t>
        </is>
      </c>
      <c r="B114" t="inlineStr">
        <is>
          <t>Software Engineer IV (full-stack) - Hybrid (Raleigh or Jersey City)</t>
        </is>
      </c>
      <c r="C114" t="inlineStr">
        <is>
          <t>Arch Insurance Group Inc.</t>
        </is>
      </c>
      <c r="D114" t="inlineStr">
        <is>
          <t>linkedin</t>
        </is>
      </c>
      <c r="E114">
        <f>HYPERLINK("https://www.linkedin.com/jobs/view/4329221455", "https://www.linkedin.com/jobs/view/4329221455")</f>
        <v/>
      </c>
      <c r="F114" t="inlineStr"/>
      <c r="G114" t="inlineStr"/>
      <c r="H114" t="inlineStr"/>
      <c r="I114"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**Job Summary**
 Software Engineer IV (full\-stack) brings deep, hands‑on expertise in aligning technology solutions with business objectives across assigned applications and platforms. This role provides direction and guidance to engineers, developers, and contract teams, driving software development activities across multiple teams and project phases. The incumbent ensures effective execution of delivery plans, helps set departmental priorities, and ensures that all software development goals and standards are consistently met.
 This is a hybrid, twice\-a\-week in\-office role in our Raleigh or Jersey City Offices.
**Essential RESPONSIBILITIES And ACCOUNTABILITIES**
* Design, develop, and maintain both frontend (UI) and backend (API, services) components.
* Build and modify APIs, UI screens, workflows, rules, and configuration components as outlined in the Development Guidelines.
* Responsible for effective and timely development of new and/or enhanced systems/technologies.
* Manage all aspects of the Software Development Lifecycle and Production Support service levels.
* Ensures high level technical support is provided. Works closely with customers, other IT managers, and management to identify and maximize opportunities to use technology to improve business processes.
* Prepares business cases, including financial analyses of potential new technologies/systems/applications.
* Evaluates based on company strategic needs and resource availability.
* Leads business analysis, development work and quality assurance of projects for assigned systems/technologies.
* Collaborate effectively at all levels to prepare strategic plans. Ensures system requests tie into objectives of the company strategy map and budgets.
* Contributes to the development of information technology, development standards, policies, processes and procedures to ensure consistent compatibility and integration throughout the company.
* Continuously reviews the technology needs of supported business functions/processes relative to new technological developments and trends. Keeps abreast of the industry and emerging technology
* Leads and manages teams to accomplish objectives through effective recruitment \&amp; selection, training \&amp; development, performance management and rewards \&amp; recognition.
**JOB SPECIFICATIONS**
**Knowledge \&amp; Skills:**
* Broad knowledge of software development techniques, processes, methods and best practices.
* Proficiency with various programming languages used. Knowledge of application UI/UX frameworks, processes, and best practices
* Strong knowledge of P\&amp;C insurance products, applications, technologies.
* Strong understanding of Agile development methods and its application to company technology needs.
* High level knowledge/expertise in Angular/React Frameworks and Java Spring boot development, implementation, and maintenance of large\-scale business applications.
* Strong strategic decision making \&amp; long\-term planning abilities to manage resources and develop efficient and effective solutions to diverse and complex business problems.
* Excellent communication and interpersonal skills to effectively lead and motivate team.
* Excellent interpersonal, communication, presentation \&amp; consultative skills for effective collaboration with senior management.
* Good general business acumen.
**Education \&amp; Experience:**
 Required knowledge \&amp; skills would typically be acquired through a bachelor’s degree and 10 years of related experience in software development \&amp; architecture design, including technical delivery and business analysis.
 For individuals assigned or hired to work in the location(s) indicated below, the base salary range is provided. Range is as of the time of posting. Position is incentive eligible.
 $130,000 \- $185,000/year
*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14400 Arch Insurance Group Inc.</t>
        </is>
      </c>
    </row>
    <row r="115">
      <c r="A115" t="inlineStr">
        <is>
          <t>li-4343351107</t>
        </is>
      </c>
      <c r="B115" t="inlineStr">
        <is>
          <t>Senior Software Engineer- Master Data Management (MDM)</t>
        </is>
      </c>
      <c r="C115" t="inlineStr">
        <is>
          <t>First Citizens Bank</t>
        </is>
      </c>
      <c r="D115" t="inlineStr">
        <is>
          <t>linkedin</t>
        </is>
      </c>
      <c r="E115">
        <f>HYPERLINK("https://www.linkedin.com/jobs/view/4343351107", "https://www.linkedin.com/jobs/view/4343351107")</f>
        <v/>
      </c>
      <c r="F115">
        <f>HYPERLINK("https://jobs.firstcitizens.com/jobs/32057?lang=en-us&amp;iis=Social+Media/Job+Boards&amp;iisn=LinkedIn&amp;urlHash=XmA4", "https://jobs.firstcitizens.com/jobs/32057?lang=en-us&amp;iis=Social+Media/Job+Boards&amp;iisn=LinkedIn&amp;urlHash=XmA4")</f>
        <v/>
      </c>
      <c r="G115" t="inlineStr">
        <is>
          <t>Raleigh, NC</t>
        </is>
      </c>
      <c r="H115" t="inlineStr"/>
      <c r="I115" t="inlineStr">
        <is>
          <t>**Overview**
 This position is for a Master Data Management (MDM) engineer with deep technical expertise in building, managing, and supporting MDM applications.
 This position provides complex technical support to data processing systems through enhancement of related software and processes. Develops software and procedures that improve processing capabilities. Analyzes, codes, tests, and implements in coordination with management, associates, and end users. Serves as production system support by resolving issues and ensuring ongoing functionality. May oversee the work of less experienced analysts or assist in special projects as needed.
**Responsibilities**
* Design, development, and deployment of comprehensive MDM solutions across the organization, with an emphasis on financial data domains.
* Demonstrate extensive experience with multiple MDM implementations, including platform selection, comparison, and optimization.
* Develop and present end\-to\-end MDM architectures, ensuring scalability, data quality, and governance standards are met.
* Collaborate with business stakeholders to understand reference data sources and develop strategies for managing reference and master data effectively.
* Implement data integration pipelines leveraging modern data engineering tools and practices.
* Develop, automate, and maintain data workflows.
* Develop \&amp; maintain ETL Processes
**Qualifications**
 Bachelor's Degree and 4 years of experience in Software application development and maintenance OR High School Diploma or GED and 8 years of experience in Software application development and maintenance
**Preferred**
* Min. 8\+ years of total experience in data engineering, with a proven track record of building, maintaining MDM Applications, preferably in the financial services industry.
* Min 5\+ years extensive hands\-on experience designing and deploying MDM solutions \&amp; comparing MDM platforms.
* Strong functional knowledge data Mastering concepts, reference data sources and domain\-specific data standards.
* Hands on Data engineering skills using SQL, Extract transform \&amp; Load (ETL) skills using Informatica/ SSIS or similar tools.
* Knowledge of database systems and tools to effectively utilized features for MDM implementations.
* Exposure to 3rd party data providers for MDM integration platforms/vendor solutions
* Experience with CI/CD practices, tools, and automation pipelines.
* Ability to work collaboratively across teams to deliver complex data solutions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16">
      <c r="A116" t="inlineStr">
        <is>
          <t>li-4355072184</t>
        </is>
      </c>
      <c r="B116" t="inlineStr">
        <is>
          <t>Principal Software Engineer - Identity &amp; Governance</t>
        </is>
      </c>
      <c r="C116" t="inlineStr">
        <is>
          <t>Microsoft</t>
        </is>
      </c>
      <c r="D116" t="inlineStr">
        <is>
          <t>linkedin</t>
        </is>
      </c>
      <c r="E116">
        <f>HYPERLINK("https://www.linkedin.com/jobs/view/4355072184", "https://www.linkedin.com/jobs/view/4355072184")</f>
        <v/>
      </c>
      <c r="F116" t="inlineStr"/>
      <c r="G116" t="inlineStr">
        <is>
          <t>Redmond, WA</t>
        </is>
      </c>
      <c r="H116" t="inlineStr"/>
      <c r="I11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fill the role of
 **Principal Software Engineer \- Identity \&amp; Governance.**
 Our team drives identity security and access governance by eliminating standing privileges through least\-privilege access (LPA) and delivering just\-in\-time access via an advanced Privileged Access Management (PAM) solution. This includes approval workflows, session controls, and telemetry for high\-risk accounts and workloads. We’re also pioneering AI\-driven agents that automate compliance checks, streamline access reviews, and detect anomalies \- helping enterprises strengthen security posture while maintaining agility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design and delivery of complex, scalable features that strengthen identity security and access governance, ensuring resilience and exceptional user experience.
* Drive technical strategy and architecture decisions across multiple services, influencing partner teams and aligning with compliance and security requirements.
* Champion modern engineering practices, including AI\-driven approaches, automation, and cloud\-native patterns, across the full development lifecycle.
* Mentor and guide engineers, fostering technical excellence and continuous improvement in security, reliability, and performance.
* Collaborate cross\-org to solve challenging technical problems, streamline processes, and reduce operational costs while improving live\-site health.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Bachelor’s or Master’s Degree in Computer Science or related technical field OR equivalent experience. 8\+ years of technical engineering experience, including: \- Strong coding and design skills in C\+\+, .NET, Java, Python, TypeScript or equivalent experience \- Expertise in distributed systems, cloud\-native architectures, and identity/security solutions. Deep understanding of authentication and authorization protocols (OAuth, OpenID Connect, SAML). Proven experience building secure, scalable enterprise solutions on Azure or similar cloud platforms.
* Proven experience in architecting and delivering secure, scalable enterprise solutions. Deep knowledge of security best practices, identity protocols (OAuth, OpenID Connect, SAML), and experience implementing secure software solutions. Familiarity with cloud\-native architectures, distributed systems, and modern DevOps practices.
 \#MSFTSecurity, \#MSFTSecurity \#MSFTSecurity \#Identity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7">
      <c r="A117" t="inlineStr">
        <is>
          <t>li-4362392875</t>
        </is>
      </c>
      <c r="B117" t="inlineStr">
        <is>
          <t>Lead Java AI Software Engineer</t>
        </is>
      </c>
      <c r="C117" t="inlineStr">
        <is>
          <t>Wells Fargo</t>
        </is>
      </c>
      <c r="D117" t="inlineStr">
        <is>
          <t>linkedin</t>
        </is>
      </c>
      <c r="E117">
        <f>HYPERLINK("https://www.linkedin.com/jobs/view/4362392875", "https://www.linkedin.com/jobs/view/4362392875")</f>
        <v/>
      </c>
      <c r="F117" t="inlineStr"/>
      <c r="G117" t="inlineStr">
        <is>
          <t>Charlotte, NC</t>
        </is>
      </c>
      <c r="H117" t="inlineStr"/>
      <c r="I117" t="inlineStr">
        <is>
          <t>**About This Role**
 Wells Fargo is seeking a Lead Specialty Payments Software Engineer to join our Global Payments and Liquidity team to be part of the transformation initiative leveraging GenA to accelerate development and build new capabilities. In this role as an AI engineer, you will develop cutting edge artificial intelligence solutions using large language models, agentic frameworks, and other innovative technologies. The ideal candidate would have knowledge in designing, developing, and deploying applications leveraging LLM models and systems, with a strong focus on Prompt Engineering, Fine Tuning, RAG implementation and Agentic frameworks.
 Learn more about the career areas and lines of business at wellsfargojobs.com
**In This Role, You Will**
* Design, develop, and deploy AI applications using Enterprise APIs, LLM's, agent frameworks, and other related technologies
* Collaborate with enterprise teams to integrate LLM models with the existing products and systems
* Develop and maintain large scale applications using Java, Python, OpenShift containers, and other relevant technologies
* Stay up to date with the latest advancements in AI, LLM second agentic frameworks and apply this knowledge to improve existing systems and develop new ones
* Troubleshoot and resolve complex technical issues related to applications and models
* Assist other individuals in advanced software development
**Required Qualifications:**
* 5\+ years of Specialty Software Engineering experience, or equivalent demonstrated through one or a combination of the following: work experience, training, military experience, education
* 5\+ years' experience in software development
* 5\+ years' experience in Python, java, OpenShift containers, and other relevant technologies
* 3\+ years of AI and ML concepts, including deep learning, natural language processing and computer vision
**Desired Qualifications:**
* Knowledge of Chatbots, Transformer models, SWE\-Bench is preferred
* Excellent problem\-solving skills with the ability to troubleshoot and resolve complex technical issues
* Strong collaboration and communication skills with the ability to work effectively with cross functional teams
* Experience with the agile development methodologies and version control systems such as GIT
* Certification in AI, machine learning or a related field
* Bachelor's or Master's degree in computer science, artificial intelligence or a related field
**Locations:**
* 300 S Brevard St., Charlotte, North Carolina 28202
* 194 Wood Ave S, Iselin, New Jersey 08830
* 125 High St.\-Boston, Massachusetts 0211
**Pay Range**
 Reflected is the base pay range offered for this position. Pay may vary depending on factors including but not limited to achievements, skills, experience, or work location. The range listed is just one component of the compensation package offered to candidates.
 $119,000\.00 \- $224,000\.00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R\-514818\-2</t>
        </is>
      </c>
    </row>
    <row r="118">
      <c r="A118" t="inlineStr">
        <is>
          <t>li-4355091412</t>
        </is>
      </c>
      <c r="B118" t="inlineStr">
        <is>
          <t>Entry Level Software Developer</t>
        </is>
      </c>
      <c r="C118" t="inlineStr">
        <is>
          <t>Revature</t>
        </is>
      </c>
      <c r="D118" t="inlineStr">
        <is>
          <t>linkedin</t>
        </is>
      </c>
      <c r="E118">
        <f>HYPERLINK("https://www.linkedin.com/jobs/view/4355091412", "https://www.linkedin.com/jobs/view/4355091412")</f>
        <v/>
      </c>
      <c r="F118">
        <f>HYPERLINK("https://www.revature.com/entry-level-software-engineer?utm_source=linkedin&amp;sourcedBy=DurgaLP&amp;urlHash=6ACF", "https://www.revature.com/entry-level-software-engineer?utm_source=linkedin&amp;sourcedBy=DurgaLP&amp;urlHash=6ACF")</f>
        <v/>
      </c>
      <c r="G118" t="inlineStr">
        <is>
          <t>Chicago, IL</t>
        </is>
      </c>
      <c r="H118" t="inlineStr"/>
      <c r="I118" t="inlineStr">
        <is>
          <t>**About the Role:** 
 Revature helps motivated individuals kick start a career in tech. With our
 **Entry Level Software Developer** 
 role, there is no prior professional experience required. Our employees are well\-prepared with effective, proven, on\-the\-job training across all the most in\-demand programming technologies.
**About Revature:** 
 Revature is one of the largest and fastest\-growing employers of emerging talent across the U.S., partnering with Fortune 500 companies, the biggest System Integrators, and government contractors to identify future leaders who will truly make an impact on their business.
**Entry Level Software Developer Training Program:** 
* Full time paid training
* Curriculum developed in partnership with our corporate clients ensure that you are focused on only the most in\-demand programming skills
* Real world projects enhance your skills and prepare you for placement with one of our corporate partners
* Employee engagement team members are assigned to support you during your program
* Access to an expansive network of like\-minded peers who can show you the Revature ropes, and ensure you'll rock up your new tech career
**What We're Looking For:** 
* Bachelor's degree, or higher
* Legally authorized to work in the US without the need for current or future sponsorship
* Strong desire to learn to code – no prior professional experience required
* A natural problem solver with strong communication and interpersonal skills.
**Benefits of joining Revature as an Entry Level Software Developer:** 
* Launch a career with no prior experience
* Competitive salary
* Paid time off
* 401k
* Mentoring program
* Experience with the largest companies in the US
* Career acceleration: over 72% of Revature alumni have received an additional promotion and 92% saw their salary significantly increase after launching their tech career with Revature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119">
      <c r="A119" t="inlineStr">
        <is>
          <t>li-4346009865</t>
        </is>
      </c>
      <c r="B119" t="inlineStr">
        <is>
          <t>Staff Software Engineer, Infrastructure- Weights &amp; Biases</t>
        </is>
      </c>
      <c r="C119" t="inlineStr">
        <is>
          <t>Weights &amp; Biases</t>
        </is>
      </c>
      <c r="D119" t="inlineStr">
        <is>
          <t>linkedin</t>
        </is>
      </c>
      <c r="E119">
        <f>HYPERLINK("https://www.linkedin.com/jobs/view/4346009865", "https://www.linkedin.com/jobs/view/4346009865")</f>
        <v/>
      </c>
      <c r="F119">
        <f>HYPERLINK("https://coreweave.com/careers/job?4624132006&amp;board=weights_and_biases&amp;gh_jid=4624132006&amp;urlHash=kH29", "https://coreweave.com/careers/job?4624132006&amp;board=weights_and_biases&amp;gh_jid=4624132006&amp;urlHash=kH29")</f>
        <v/>
      </c>
      <c r="G119" t="inlineStr">
        <is>
          <t>San Francisco, CA</t>
        </is>
      </c>
      <c r="H119" t="inlineStr"/>
      <c r="I119"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At marimo, we’re on a mission to make the world’s best open\-source programming environment for working with data, together with a world\-class, scalable, and performant cloud\-hosted counterpart. marimo is a reinvention of the Python notebook — it
 *feels* 
 like a next\-gen reactive Python notebook, but is stored as pure Python that can be versioned with Git, deployed as a data app, run as a script, and reused as a module. Incubated initially with scientists at Stanford, marimo is now used by leading companies, labs, and universities around the world, with millions of downloads since launch and over 17,000 stars on our GitHub repository.
 On the marimo team, we believe that the tools we use shape the way we think — better tools, for better minds. If you're passionate about developer tools, thrive in ambiguity, enjoy solving challenging engineering problems at scale, and yearn for greenfield problems, you'll fit right in.
 The
 **molab** 
 team develops a cloud\-hosted marimo notebook service called
 **molab** 
 . molab lets anyone in the world experiment with data, build interactive apps, and share their work for free, all using the open\-source marimo notebook and accelerated by AI\-assisted coding. This is a high impact team and product, undergoing rapid growth and working on many challenging greenfield problems — with an emphasis on building highly available, low latency and fault tolerant systems.
**About The Role**
 As a staff engineer on marimo's core open source team, you will co\-design and implement the backend architecture of molab, solving for high availability, low latency (both the ability to rapidly spin up and spin down notebook kernels on demand, as well as low latency communication between the notebook frontend and backend), stability, and fraud and abuse. You will design molab to run on CoreWeave's specialized kubernetes\-based clusters and integrate with CoreWeave object storage, and will solve for keeping utilization of GPUs high.
**Who You Are:** 
 (This section has to be the technical and measurable requirement of the role, soft skills cannot be measured)
* 8\+ years of experience in software engineering
* Strong fundamentals that are language agnostic
* Expertise in computer systems, including parallel computing (threading, multiprocessing), concurrency (asynchronous programming), networking/inter\-process communication
* Experience with containerization, container orchestration (kubernetes), scheduling, networked filesystems, resource allocation, distributed systems, and cloud infrastructure
* Experience building highly available, fault\-tolerant systems
* Strong communication skills, written and verbal†
**Preferred**
* Proficiency with Python and Python packaging
* Basic experience with or awareness of the Python stack for AI/ML
* Empathy for practitioners and researchers in AI, ML, data engineering, NLP, or other quantitative work
* Experience with GPU resource allocation and sharing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empower developers by building performant and scalable tools
* You’re curious about how developers in AI, ML, and data experiment with models and code
* You’re an expert in building highly scalable cloud infrastructure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2026-01-14T17:07:43Z</dcterms:created>
  <dcterms:modified xsi:type="dcterms:W3CDTF">2026-01-14T17:07:43Z</dcterms:modified>
</cp:coreProperties>
</file>