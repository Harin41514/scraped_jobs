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in-e0adc17f1a3e010a</t>
        </is>
      </c>
      <c r="B2" t="inlineStr">
        <is>
          <t>Principal Data Engineer</t>
        </is>
      </c>
      <c r="C2" t="inlineStr">
        <is>
          <t>Microsoft</t>
        </is>
      </c>
      <c r="D2" t="inlineStr">
        <is>
          <t>indeed</t>
        </is>
      </c>
      <c r="E2">
        <f>HYPERLINK("https://www.indeed.com/viewjob?jk=e0adc17f1a3e010a", "https://www.indeed.com/viewjob?jk=e0adc17f1a3e010a")</f>
        <v/>
      </c>
      <c r="F2">
        <f>HYPERLINK("https://apply.careers.microsoft.com/careers/job/1970393556658148?utm_source=indeed&amp;domain=microsoft.com", "https://apply.careers.microsoft.com/careers/job/1970393556658148?utm_source=indeed&amp;domain=microsoft.com")</f>
        <v/>
      </c>
      <c r="G2" t="inlineStr">
        <is>
          <t>Redmond, WA, US</t>
        </is>
      </c>
      <c r="H2" s="2" t="n">
        <v>46030</v>
      </c>
      <c r="I2" t="inlineStr">
        <is>
          <t>**Overview**  
The mission of the Spectre team is to make fundamental contributions to advancing the state of the art in Geospatial AI, including developing foundation models for aerial object detection, tracking and map generation, and building an end\-to\-end AI pipeline using cutting\-edge ML techniques and system optimization. We conduct applied research and integrate our AI solutions on real customer data to deliver high\-value and high\-impact solutions. We are an agile team that moves fast from ideas to experimentation, and to product development. We are looking for a motivated Principal Data Engineer to join us in delivering the next wave of AI innovation.
In collaboration with Microsoft Planetary Computer, Spectre is building the AI Platform to harness the power of PB of data and cutting\-edge foundation models to generate accurate geospatial insights for a growing number of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apply the latest AI, Computer Vision and Machine Learning algorithms to build customer\-centric solutions.
* You will modify and advance the state\-of\-the\-art approaches in object detection and tracking to deliver best\-in\-class solutions to our customers.
* You will optimize the run\-time performance of the latest Computer Vision and Machine Learning algorithms to meet customer’s requirements on various hardware platforms.
* Partner with industry\-leading Engineers, Data Scientists, Designers and Program Managers to deliver solid technical designs.
* Embody our Culture and Values.
 **Qualifications**  
Required Qualifications:* Master's Degree in Computer Science, Math, Software Engineering, Computer Engineering, or related field AND 4\+ years experience in business analytics, data science, software development, data modeling, or data engineering
	+ OR Bachelor's Degree in Computer Science, Math, Software Engineering, Computer Engineering, or related field AND 6\+ years experience in business analytics, data science, software development, data modeling, or data engineering OR equivalent experience.
Additional Requirements:
* Ability to meet Microsoft, customer and/or government security screening requirements are required for this role. These requirements include, but are not limited to the following specialized security screenings: This position will be required to pass the Microsoft Cloud background check upon hire/transfer and every two years thereafter.
Preferred Qualifications:
* Experience with C\+\+/Python, debugging ability across technology stacks.
* Experience in Deep Learning using frameworks such as PyTorch and TensorFlow.
* Experience in Shipping Computer Vision or Machine Learning based runtimes.
* Practical experience working with geospatial data workflows or datasets.
Data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
      <c r="A3" t="inlineStr">
        <is>
          <t>in-ebcc45ca675814e3</t>
        </is>
      </c>
      <c r="B3" t="inlineStr">
        <is>
          <t>Data Engineer - U.S.</t>
        </is>
      </c>
      <c r="C3" t="inlineStr">
        <is>
          <t>Luma Financial Technologies</t>
        </is>
      </c>
      <c r="D3" t="inlineStr">
        <is>
          <t>indeed</t>
        </is>
      </c>
      <c r="E3">
        <f>HYPERLINK("https://www.indeed.com/viewjob?jk=ebcc45ca675814e3", "https://www.indeed.com/viewjob?jk=ebcc45ca675814e3")</f>
        <v/>
      </c>
      <c r="F3">
        <f>HYPERLINK("https://ats.rippling.com/luma-financial-technologies/jobs/d8a147a2-4a82-44a3-9198-2d704f308d8b?jobSite=Indeed", "https://ats.rippling.com/luma-financial-technologies/jobs/d8a147a2-4a82-44a3-9198-2d704f308d8b?jobSite=Indeed")</f>
        <v/>
      </c>
      <c r="G3" t="inlineStr">
        <is>
          <t>Cincinnati, OH, US</t>
        </is>
      </c>
      <c r="H3" s="2" t="n">
        <v>46036</v>
      </c>
      <c r="I3" t="inlineStr">
        <is>
          <t>**About Luma Financial Technologies**
Founded in 2018, Luma Financial Technologies (“Luma”) has pioneered a cutting\-edge fintech software platform that has been adopted by broker/dealer firms, RIA offices, and private banks around the world. By using Luma, institutional and retail investors have a fully customizable, independent, buy\-side technology platform that helps financial teams more efficiently learn about, research, purchase, and manage alternative investments as well as annuities. Luma gives these users the ability to oversee the full, end\-to\-end process lifecycle by offering a suite of solutions. These include education resources and training materials; creation and pricing of custom structured products; electronic order entry; and post\-trade management. By prioritizing transparency and ease of use, Luma is a multi\-issuer, multi\-wholesaler, and multi\-product option that advisors can utilize to best meet their clients’ specific portfolio needs. Headquartered in Cincinnati, OH, Luma also has offices in New York, NY, Miami, FL, Zurich, Switzerland and Lisbon, Portugal. For more information, please visit Luma’s website.
 **About the role**
We are looking for an experienced Data Engineer to lead our data infrastructure development, focusing on building robust, scalable, and efficient data solutions. The ideal candidate will bring expertise in modern data engineering technologies and a proven track record of delivering high\-performance data pipelines.
 **Please note:**
* **This is a hybrid position required to work from Luma Financial Technologies New York, NY or Cincinnati, OH office 2\-3 days/week**
* **Sponsorship for U.S. work authorization is not available for this opportunity**
 **Key Responsibilities \&amp; Opportunities**
* 
**Data Pipeline Development**
* Design, develop, and maintain advanced data pipelines in Snowflake using dbt
* Design, develop and maintain data pipelines using Python
* Implement and optimize complex ETL/ELT processes
* Ensure comprehensive data quality and consistency across multiple systems
**Performance and Optimization**
* Create and optimize sophisticated SQL queries for advanced reporting and analysis
* Develop efficient database queries with a focus on performance optimization
* Troubleshoot complex data transformation challenges
**Monitoring and Reliability**
* Implement and manage production data pipeline monitoring
* Develop proactive health checks and monitoring protocols
* Diagnose and rapidly resolve data integration issues
**Cross\-Functional Collaboration**
* Interface effectively with product, engineering, and business intelligence teams
* Translate complex technical requirements into comprehensive data solutions
* Provide technical leadership and guidance on data engineering challenges
**Qualifications**
* 3\-5 years of professional experience in data engineering
* Bachelor's degree in Computer Science, Data Science, or related field
* Excellent written and verbal communication skills
* Proven ability to collaborate effectively across geographical boundaries
* Proven technical expertise in:
o Python
o Advanced SQL
o dbt
o Snowflake
o Data pipeline architecture</t>
        </is>
      </c>
    </row>
    <row r="4">
      <c r="A4" t="inlineStr">
        <is>
          <t>in-d5fdd3c4024e483c</t>
        </is>
      </c>
      <c r="B4" t="inlineStr">
        <is>
          <t>Senior Data Engineer</t>
        </is>
      </c>
      <c r="C4" t="inlineStr">
        <is>
          <t>Sanctuary Computer</t>
        </is>
      </c>
      <c r="D4" t="inlineStr">
        <is>
          <t>indeed</t>
        </is>
      </c>
      <c r="E4">
        <f>HYPERLINK("https://www.indeed.com/viewjob?jk=d5fdd3c4024e483c", "https://www.indeed.com/viewjob?jk=d5fdd3c4024e483c")</f>
        <v/>
      </c>
      <c r="F4">
        <f>HYPERLINK("http://www.indeed.com/job/senior-data-engineer-d5fdd3c4024e483c", "http://www.indeed.com/job/senior-data-engineer-d5fdd3c4024e483c")</f>
        <v/>
      </c>
      <c r="G4" t="inlineStr">
        <is>
          <t>US</t>
        </is>
      </c>
      <c r="H4" s="2" t="n">
        <v>46036</v>
      </c>
      <c r="I4" t="inlineStr">
        <is>
          <t>**Original job post link:**
**https://www.notion.so/garden3d/Senior\-Data\-Engineer\-2e7131fea2c7800094e4d9340a5df499?source\=copy\_link**
**APPLICATION LINK BELOW**
We are recruiting a **Sr. Data Engineer** for a client in the AI / health \&amp; wellness space
**About garden3d**
We are a worker\-owned creative collective, innovating on everything from brands and IRL communities to IoT devices and cross\-platform apps. We share profit, open source everything, spin out new businesses, and invest in exciting ideas through financial and/or in\-kind contributions.
Our client roster includes **Google**, **Stripe**, **Figma**, **Hinge**, **Black Socialists in America**, **ACLU**, **Pratt**, **Parsons**, **Mozilla**, **The Nobel Prize**, **MIT**, **Gnosis**, **Etsy** \&amp; **Gagosian**. We’re the software team behind innovative products like **The Light Phone** \&amp; **Mill**, and we a global, decentralized community space collective called **Index Space**.
We think of our garden3d as collective for creative people, prioritizing a happy, talented, and diverse studio culture. We work on projects that bring value to our world, and we balance deep care for the work we do with a genuine curiosity about life outside of our jobs.
About the client
**Our client is an early\-stage AI startup based in NYC** (but open to remote team members). The founders have experience building and scaling successful ventures including a 9\-figure exit.
**Who we’re looking for:**
We’re looking for a **Senior Data Engineer** with deep expertise in designing and owning data pipelines, workflow orchestration, and complex data integrations. You’ll play a key role in evolving our data ingestion architecture, from an existing in\-house, code\-defined workflow system backed by queues, to a more scalable and observable orchestration layer using **Prefect**.
In this role, you’ll lead the development and optimization of pipelines handling both structured and unstructured data from a wide range of sources, including web crawls and scrapers. You’ll be expected to make architectural decisions, ensure reliability and scalability, and establish best practices for workflow design, monitoring, and performance as our data platform grows.
In this role, you’ll work across a variety of initiatives to find cost\-effective, high\-quality, pragmatic solutions to complex problems. Responsibilities will include:
* Monitoring and maintaining data pipelines, troubleshooting new errors, and addressing format drift
* Extracting and enriching additional data elements from diverse sources
* Reprocessing and validating large datasets in batch workflows
* Designing and integrating new data sources into existing pipelines
* Aligning and integrating extracted data with the core application data model to ensure consistency and usability
* Participating in code reviews, providing constructive feedback to teammates and ensuring adherence to best practices
* Contributing to project success by keeping a close eye on team velocity, project scope, budget, and timeline
* Negotiating with clients to align project scope with budget and timeline, if needed
**Who you are**
The person we’re looking for is happy, relaxed and easy to get along with. They’re flexible on anything except conceits that will lower their usually outstanding work quality. They work “smart”, by carefully managing their workflow and staggering features that have dependencies intelligently — they prefer deep work but are OK coming up to the surface now and then for top level / strategic conversations.
We believe people with backgrounds or interests in design, art, music, food or fashion tend to have a well rounded sense of design \&amp; quality — so a variety of hobbies or side projects is a big nice to have!
**Compensation**
The pay scale ranges from **$180 p/hr** to **$230 p/hr** based on experience.
In addition to cash compensation, **equity may be offered** for candidates with the right level of experience, commitment, and long\-term alignment.
**Must Have Competencies:**
* Strong proficiency in **Python**
* Experience with **data/workflow orchestration tools** (e.g., **Prefect, Dagster, Airflow**)
* A thorough understanding ETL \&amp; data transformation for the ingestion of industry standard LLMs (OpenAI, Claude, etc)
* Familiarity with **Large Language Models (LLMs)**
* Skilled in **interfacing with APIs** (OpenAI, Google Gemini/Vertex, etc.) using wrapper libraries such as Instructor, LiteLLM, etc.
* Practical experience in **prompt engineering**
* Ability to work with **structured outputs** and potentially tool calling
* **5\+ years** of general experience in backend (Ruby on Rails, Elixir Phoenix, Python Django, or Node Express) and/or native app development (React Native, Flutter, Android, AOSP, Kotlin/Java).
**Nice to Have Competencies:**
We’re always pitching for new and exciting technology niches. Some of the areas below are relevant to us!
* Experience with **Google Cloud Platform (GCP)**, particularly Cloud Run and Cloud Tasks
* Knowledge of **search technologies**, including embeddings and vector databases for semantic search, as well as keyword\-based search (BM25\)
* Familiarity with **PySpark** for batch data processing
* **Experience working with LLMs, Vector Databases, and other generalist AI\-enabled application patterns**
* **Client\-facing experience**: working directly with customers to gather requirements and provide technical solutions
* **Product management experience**: defining product roadmaps and collaborating closely with stakeholders
* **Engineering management experience**: leading teams, setting technical direction, and mentoring developers
**How we interview:**
Our interview process starts with a call where you get to meet a few members of our team. From there we’ll ask appropriate candidates to take part in a technical exercise which helps illustrate skill level and comfort.
***Direct application link here:***   
https://garden3d.notion.site/1f1131fea2c78095922ec7e09bd96101  
***(*****Tell us a bit about your interest in the role and share your information by filling out the questions.*****)***
Quick tip! Adding a **Loom recording** to your profile in our form to showcase your skillset can really make your application stand out!
Job Type: Full\-time
Pay: $180\.00 \- $230\.00 per hour
Expected hours: 40 per week
Application Question(s):
* Have you filled out the form in this link?
https://www.notion.so/garden3d/1f1131fea2c78095922ec7e09bd96101
If not yet, please copy the URL above and fill it out :)
Quick tip! Adding a Loom recording to your profile in our form to showcase your skillset can really make your application stand out!
Work Location: Remote</t>
        </is>
      </c>
    </row>
    <row r="5">
      <c r="A5" t="inlineStr">
        <is>
          <t>in-94496a8da0281445</t>
        </is>
      </c>
      <c r="B5" t="inlineStr">
        <is>
          <t>Data Engineer 3</t>
        </is>
      </c>
      <c r="C5" t="inlineStr">
        <is>
          <t>Network Designs</t>
        </is>
      </c>
      <c r="D5" t="inlineStr">
        <is>
          <t>indeed</t>
        </is>
      </c>
      <c r="E5">
        <f>HYPERLINK("https://www.indeed.com/viewjob?jk=94496a8da0281445", "https://www.indeed.com/viewjob?jk=94496a8da0281445")</f>
        <v/>
      </c>
      <c r="F5">
        <f>HYPERLINK("https://netdes.isolvedhire.com/jobs/1685014-76852.html", "https://netdes.isolvedhire.com/jobs/1685014-76852.html")</f>
        <v/>
      </c>
      <c r="G5" t="inlineStr">
        <is>
          <t>McLean, VA, US</t>
        </is>
      </c>
      <c r="H5" s="2" t="n">
        <v>46035</v>
      </c>
      <c r="I5"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The Data Engineer will be responsible for designing, developing, and maintaining data pipelines and architectures that support the collection, transformation, and storage of large datasets. The candidate will work closely with data scientists, analysts, and other stakeholders to ensure data is accessible, reliable, and optimized for performance. This role requires strong technical expertise in data engineering and a deep understanding of best practices in data management.
**Requirements:**
* U.S Citizenship required.
* Must be able to obtain and maintain a Public Trust clearance
* This position is remote but may require occasional onsite meetings in McLean, VA.
* You can be based out of following states: AZ, DC, FL, GA, OH, ME, MD, SC, TX, UT, VA, NC, OK, WV.
**Qualifications and Experience:**
* Bachelor's Degree in Computer Science, Information Technology, or a related field.
* At least 7 years of experience in Oracle\-focused database engineering or a related role.
* Proficiency in Oracle SQL and PL/SQL, including stored procedures, functions, and packages, and experience with Oracle RDS.
* Strong understanding of database design principles, normalization, and data modeling, including schema and metadata management.
* Experience with performance tuning and optimization of SQL queries, including indexing strategies, execution plans, partitioning, and materialized views.
* Knowledge of ETL/ELT data transformations and data validation and reconciliation frameworks.
* Strong analytical and problem\-solving skills, including data quality profiling and discrepancy analysis.
* Attention to detail and commitment to quality.
* Excellent communication skills and the ability to work collaboratively in a team environment.
* Ability to work independently and manage multiple priorities.
**Preferred Qualifications:**
* Experience in a government contracting environment.
* Knowledge of machine learning and data analytics tools.
* Familiarity with DevOps practices and CI/CD pipelines.
**Responsibilities**
**Data Pipeline Development:**
* Design, develop, and maintain scalable and efficient data pipelines for collecting, processing, and storing data from various sources.
* Ensure data pipelines are reliable and able to handle large volumes of data in real\-time or batch processing.
**Data Architecture:**
* Design and implement data architectures that support data processing and analytics needs.
* Optimize data storage solutions for performance, scalability, and security.
**Data Integration:**
* Integrate data from multiple sources, ensuring data quality and consistency.
* Develop ETL (Extract, Transform, Load) processes to move and transform data as required.
**Database Management:**
* Manage database systems and ensure they are optimized for data retrieval and processing.
* Maintain and enhance database schemas and develop advanced database queries
**Collaboration:**
* Work closely with data scientists, analysts, and other stakeholders to understand data requirements and deliver relevant solutions.
* Coordinate with cross\-functional teams to ensure seamless data integration and accessibility.
**Performance Monitoring and Optimization:**
* Monitor data infrastructure performance and identify areas for improvement.
* Implement performance tuning measures to enhance the efficiency of data processing.
**Security and Compliance:**
* Maintain data security and ensure compliance with relevant regulations and standards, such as FedRAMP, FISMA, and HIPAA.
* Implement data governance policies and procedures.
 **Documentation and Best Practices:**
* Create and maintain comprehensive documentation for data pipelines, architectures, and processes.
* Follow best practices in data engineering, including version control, testing, and code quality.
**Continuous Improvement:**
* Stay updated with the latest industry trends and technologies in data engineering.
* Continuously seek opportunities to improve data infrastructure and processes.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6">
      <c r="A6" t="inlineStr">
        <is>
          <t>in-74d40169b6d07656</t>
        </is>
      </c>
      <c r="B6" t="inlineStr">
        <is>
          <t>Data Engineer</t>
        </is>
      </c>
      <c r="C6" t="inlineStr">
        <is>
          <t>Infoverity</t>
        </is>
      </c>
      <c r="D6" t="inlineStr">
        <is>
          <t>indeed</t>
        </is>
      </c>
      <c r="E6">
        <f>HYPERLINK("https://www.indeed.com/viewjob?jk=74d40169b6d07656", "https://www.indeed.com/viewjob?jk=74d40169b6d07656")</f>
        <v/>
      </c>
      <c r="F6">
        <f>HYPERLINK("https://infoverity.zohorecruit.com/jobs/Infoverity-USA-Careers/530797000014057410/Data-Engineer?source=CareerSite", "https://infoverity.zohorecruit.com/jobs/Infoverity-USA-Careers/530797000014057410/Data-Engineer?source=CareerSite")</f>
        <v/>
      </c>
      <c r="G6" t="inlineStr">
        <is>
          <t>Dublin, OH, US</t>
        </is>
      </c>
      <c r="H6" s="2" t="n">
        <v>46035</v>
      </c>
      <c r="I6" t="inlineStr">
        <is>
          <t>### **Job Information**
Date Opened
01/14/2026
Job Type
Full time
Industry
IT Professional Services
Work Experience
1\-3 years
City
Dublin
State/Province
Ohio
Country
United States
Zip/Postal Code
43017
### **About Us**
Infoverity is a leading systems integrator and global professional services firm driven to simplify and maximize the value of their clients’ information. Founded in 2011, Infoverity provides complementary services for many digital initiatives, including MDM and PIM Strategy and Implementation, Data Governance and Analytics, Content Management, Data Integration, Enterprise Hosting, and Operational Services that help large enterprises in the retail, consumer goods, manufacturing, financial and healthcare sectors simplify and maximize the value of their information. Infoverity, a 100% employee\-owned company, has been on the Inc. 5000, recognized by IDG’s Computerworld as one of the Best Places to Work in IT, as a Wonderful Workplace for Young Professionals and as a “Best Place to Work” by Inc. Magazine and Business First. Infoverity’s global headquarters is in Dublin, Ohio. The EMEA headquarters and Global Development Center is in Valencia, Spain. Additional offices are located in Germany and India.  
### **Job Description**
**About the Opportunity**  
Infoverity is seeking a highly skilled and analytical **Data Engineer** to join our consulting team and help architect, build, and optimize cutting\-edge data platforms for our clients. This role focuses on designing scalable solutions across modern cloud environments, with a specialization in tools like Databricks, Snowflake, and Microsoft Fabric. As a pivotal member of Infoverity, you’ll collaborate with solution architects, data scientists, and business analysts to deliver high\-impact data pipelines, integration workflows, and AI/ML\-ready ecosystems.  
If you are passionate about cloud\-based data engineering, solving complex technical challenges, and enabling advanced analytics for diverse industries, this is your opportunity to work with world\-class teams and make a tangible impact. You’ll play a key role in delivering tailored strategies for data ingestion, transformation, and optimization that align with broader organizational goals in AI, business intelligence, and data governance.  
This is your chance to help leading organizations build transformative solutions that maximize the value of their data. At Infoverity, your expertise will shape best\-in\-class cloud architectures, enable AI/ML readiness, and empower businesses to achieve bold analytics and operational goals. If you thrive on innovation, collaboration, and technical excellence, apply today!  
**Key Responsibilities**  
* **Data Engineering:** Design and implement scalable data pipelines for ingesting, transforming, and storing data using platforms like Databricks, Snowflake, and Microsoft Fabric.
* **Integration \&amp; Optimization:** Develop efficient ETL/ELT workflows to ensure seamless data movement and optimize performance.
* **AI/ML Enablement:** Build data pipelines to support advanced analytics and AI/ML workflows in cloud environments.
* **Data Modeling \&amp; Governance:** Create data models and establish governance frameworks to ensure integrity, security, and consistency.
* **Client Collaboration:** Partner with clients to understand business needs and design tailored data solutions.
* **Cloud Solutions:** Work with cloud platforms (e.g., AWS, Azure, GCP) to implement optimized storage and retrieval systems.
* **Performance \&amp; Automation:** Monitor and optimize query performance, and create reusable automation scripts for efficient workflows.
* **Training \&amp; Documentation:** Deliver training, documentation, and support to ensure client adoption and enhance organizational data literacy.
### **Requirements**
**Required Qualifications**  
* Bachelor’s degree in Computer Science, Data Engineering, Information Systems, or related discipline.
* 2–3 years of experience in designing and implementing data engineering solutions.
* Strong expertise in Databricks, Snowflake, and/or Microsoft Fabric for data pipeline and operations development.
* Proficiency in SQL, Python, Spark, and distributed data frameworks.
* Practical experience with ETL/ELT workflows, cloud\-native services, and data warehousing.
* Understanding of AI/ML\-related data workflows, including preparation for feature engineering and model optimization.
* Knowledge of data governance, security protocols, and compliance standards in cloud ecosystems.
* Excellent communication skills with the ability to collaborate across diverse teams and engage clients effectively.
* Demonstrated ability to work both independently and as part of a dynamic team.
**Preferred Qualifications**  
* Certifications in Databricks, Snowflake, Microsoft Fabric, or cloud platforms such as Azure, AWS, or GCP.
* Hands\-on experience with data orchestration tools such as Apache Airflow, dbt, or Delta Lake.
* Familiarity with DevOps processes, CI/CD pipelines, and IaC tools like Terraform.
* Experience in regulated industries (e.g., healthcare, insurance, finance), with a focus on compliance and data security.
* Background in automating infrastructure and workflows across advanced cloud environments.
### **Benefits**
**Highlights of our Benefits Package**  
* Infoverity's benefits program is designed to provide comprehensive, affordable, medical, dental, and vision coverage and support for you and your family. Infoverity employees pay only 15% of the cost!
* In addition to these benefits Infoverity is also proud to offer life and disability insurance, a wide\-ranging EAP, and pet insurance!
* Infoverity offers a 401(k) plan with competitive employer contributions
* Donate to charitable endeavors? That's great! Infoverity matches a portion of your donations
* Infoverity provides ample opportunities for professional development and upskilling
* Infoverity offers flexible hours and hybrid/remote work
* Finally...Infoverity is a 100% Employee Owned company (ESOP)!
Infoverity is an equal opportunity employer. We celebrate diversity and are committed to fostering, cultivating, and preserving a culture of inclusion. We believe that our people are our most valuable asset. The collective sum of the individual differences, life experiences, knowledge, and unique capabilities that our employees invest in their work represents a significant part of not only our culture, but our reputation and achievement.
In order to provide equal employment and advancement opportunities to all individuals, employment decisions at Infoverity are based on merit, qualifications, and business needs. We do not discriminate on the basis of age, race, color, gender, marital status, sexual orientation, gender identity, pregnancy, national origin, religion, veteran status, physical or mental disability, genetic information, creed, citizenship, or any other status protected by federal, state, or local law.
Reasonable Accommodation  
Infoverity is committed to providing a barrier\-free environment for all professionals. Consistent with applicable law, we provide reasonable accommodations to qualified applicants and employees with disabilities. If you need support or an accommodation to complete your application or participate in the interview process, please contact Human Resources at careers@infoverity.com.</t>
        </is>
      </c>
    </row>
    <row r="7">
      <c r="A7" t="inlineStr">
        <is>
          <t>in-8d436b2301211a93</t>
        </is>
      </c>
      <c r="B7" t="inlineStr">
        <is>
          <t>Data engineer</t>
        </is>
      </c>
      <c r="C7" t="inlineStr">
        <is>
          <t>Stacklogy</t>
        </is>
      </c>
      <c r="D7" t="inlineStr">
        <is>
          <t>indeed</t>
        </is>
      </c>
      <c r="E7">
        <f>HYPERLINK("https://www.indeed.com/viewjob?jk=8d436b2301211a93", "https://www.indeed.com/viewjob?jk=8d436b2301211a93")</f>
        <v/>
      </c>
      <c r="F7">
        <f>HYPERLINK("https://stacklogy.com/career/", "https://stacklogy.com/career/")</f>
        <v/>
      </c>
      <c r="G7" t="inlineStr">
        <is>
          <t>US</t>
        </is>
      </c>
      <c r="H7" s="2" t="n">
        <v>46035</v>
      </c>
      <c r="I7"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8">
      <c r="A8" t="inlineStr">
        <is>
          <t>in-afb943da928b8440</t>
        </is>
      </c>
      <c r="B8" t="inlineStr">
        <is>
          <t>Senior Director of Data Platform Engineering</t>
        </is>
      </c>
      <c r="C8" t="inlineStr">
        <is>
          <t>Comcast</t>
        </is>
      </c>
      <c r="D8" t="inlineStr">
        <is>
          <t>indeed</t>
        </is>
      </c>
      <c r="E8">
        <f>HYPERLINK("https://www.indeed.com/viewjob?jk=afb943da928b8440", "https://www.indeed.com/viewjob?jk=afb943da928b8440")</f>
        <v/>
      </c>
      <c r="F8">
        <f>HYPERLINK("https://jobs.comcast.com/job/-/-/45483/90566119104?source=ind_orga_at", "https://jobs.comcast.com/job/-/-/45483/90566119104?source=ind_orga_at")</f>
        <v/>
      </c>
      <c r="G8" t="inlineStr">
        <is>
          <t>Philadelphia, PA, US</t>
        </is>
      </c>
      <c r="H8" s="2" t="n">
        <v>46035</v>
      </c>
      <c r="I8"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is seeking a Senior Director of Data Platform Engineering to lead and expand our Data Platforms Engineering team. This team is the foundation of our Data, AI and Machine Learning (ML) infrastructure, providing the critical platforms and tools that empower our Data Engineers, Data Scientists and ML Engineers to efficiently build, test, and deploy data workloads, pipelines and models at scale. The ideal candidate should have strong expertise in data storage, compute, data fabric, unified data catalogs, data products, workflow orchestration, feature stores for AI, ML ops, data observability, and supporting data for AI models with overall ML / AI driven engineering development approach. As the Senior Director of Platform, you will set the strategic vision, guide technical execution, data and platform architecture, SDLC patterns and contribute as a hands\-on engineer to ensure scalable and practical solutions. Your leadership in this role will help drive data innovations that enhance the customer experience across Comcast’s products and services**Job Description**
**Core Responsibilities**
* Drive modernization of legacy data systems by defining strategies to transition from traditional architectures to modern, cloud\-native, and AI\-driven platforms while maintaining business continuity.
* Accelerate real\-time data delivery to meet urgent business needs by implementing streaming and low\-latency data solutions that enable faster decision\-making.
* Champion agility and speed in platform development by fostering a culture of rapid iteration, automation, and continuous improvement across the SDLC.
* Adopt a platform\-as\-a\-product mindset, ensuring scalability, usability, and cost efficiency while balancing innovation with financial responsibility.
* Lead engineering initiatives that integrate multi\-cloud and AI infrastructure, optimizing for performance, cost, and security.
* Collaborate cross\-functionally to align platform capabilities with evolving business priorities, competitive pressures, and cultural transformation goals.
* Promote cutting\-edge technology adoption and open new horizons for the organization by leveraging modern tools and frameworks (e.g., Snowflake, Kafka, Kubernetes, AI/ML stacks).
* Instill engineering excellence through robust design standards, code quality, and reliability practices, ensuring the platform can scale with business demands.
* Drive cultural and technological change by inspiring teams to embrace innovation, experimentation, and a forward\-thinking approach to data and AI.
**What We're Looking For:**
* 15\+ years of experience in Data, backend, streaming, API management, data engineering, or platform engineering, with ideally 4\+ years in ML/AI.
* 5\+ years of engineering management experience, ideally in data platform role.
* Deep technical understanding of modern data architecture (lakehouse, streaming, data mesh, serverless pipelines, iceberg, open table formats)
* Background in broadband or telecommunications would be highly preferred.
* Strong leadership in matrixed organizations, skilled in driving alignment across engineering, AI, and business units
* Expertise in Data and ML Ops and data infrastructure development.
* Strong understanding of cloud\-native infrastructure and scalable ML systems.
* Proven ability to align data and AI platform strategy with business and product objectives.
* Passion for mentorship, coaching, and team development.
* Excellent communication skills, with the ability to collaborate across technical and non\-technical teams.
* Strong ability to evaluate build vs. buy decisions for ML tooling and infrastructure.
* Experience with cost optimization and platform observability frameworks.
**Nice to Have:**
* Contributions to open\-source or thought leadership in data/AI engineering communities.
* Experience with AWS S3, MinIO, Argo, Kafka, Kubernetes, Terraform, Databricks, Flink, Ray, or other data ML Ops tooling.
* Familiarity with governance models (data cataloging, lineage, access management).
* Proven success designing and scaling enterprise\-grade data platforms in cloud or hybrid environments (AWS, Azure, or GCP).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 Engineering; Forward Thinking; Technology; People Leadership; Communication
 **Salary:**
Pay Range: This job can be performed in Denver Campus with a Pay Range of $198,510\.41 \- $297,765\.62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10 Years \+</t>
        </is>
      </c>
    </row>
    <row r="9">
      <c r="A9" t="inlineStr">
        <is>
          <t>in-6c4d2827563c8076</t>
        </is>
      </c>
      <c r="B9" t="inlineStr">
        <is>
          <t>Senior Data Engineer</t>
        </is>
      </c>
      <c r="C9" t="inlineStr">
        <is>
          <t>Capital One</t>
        </is>
      </c>
      <c r="D9" t="inlineStr">
        <is>
          <t>indeed</t>
        </is>
      </c>
      <c r="E9">
        <f>HYPERLINK("https://www.indeed.com/viewjob?jk=6c4d2827563c8076", "https://www.indeed.com/viewjob?jk=6c4d2827563c8076")</f>
        <v/>
      </c>
      <c r="F9">
        <f>HYPERLINK("https://www.capitalonecareers.com/job/-/-/1732/90548522864", "https://www.capitalonecareers.com/job/-/-/1732/90548522864")</f>
        <v/>
      </c>
      <c r="G9" t="inlineStr">
        <is>
          <t>Wilmington, DE, US</t>
        </is>
      </c>
      <c r="H9" s="2" t="n">
        <v>46034</v>
      </c>
      <c r="I9"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in-a2b553ccf10cdec2</t>
        </is>
      </c>
      <c r="B10" t="inlineStr">
        <is>
          <t>Senior Lead Data Engineer</t>
        </is>
      </c>
      <c r="C10" t="inlineStr">
        <is>
          <t>Capital One</t>
        </is>
      </c>
      <c r="D10" t="inlineStr">
        <is>
          <t>indeed</t>
        </is>
      </c>
      <c r="E10">
        <f>HYPERLINK("https://www.indeed.com/viewjob?jk=a2b553ccf10cdec2", "https://www.indeed.com/viewjob?jk=a2b553ccf10cdec2")</f>
        <v/>
      </c>
      <c r="F10">
        <f>HYPERLINK("https://www.capitalonecareers.com/job/-/-/1732/90551957200", "https://www.capitalonecareers.com/job/-/-/1732/90551957200")</f>
        <v/>
      </c>
      <c r="G10" t="inlineStr">
        <is>
          <t>McLean, VA, US</t>
        </is>
      </c>
      <c r="H10" s="2" t="n">
        <v>46034</v>
      </c>
      <c r="I10" t="inlineStr">
        <is>
          <t>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Data Engineer  
McLean, VA: $229,900 \- $262,400 for Sr. Lead Data Engineer  
Richmond, VA: $209,000 \- $238,500 for Sr. Lead Data Engineer  
Riverwoods, IL: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in-0ab0396168681dc1</t>
        </is>
      </c>
      <c r="B11" t="inlineStr">
        <is>
          <t>Data Engineer II (IT@JH Office of the Deputy CIO)</t>
        </is>
      </c>
      <c r="C11" t="inlineStr">
        <is>
          <t>Johns Hopkins University</t>
        </is>
      </c>
      <c r="D11" t="inlineStr">
        <is>
          <t>indeed</t>
        </is>
      </c>
      <c r="E11">
        <f>HYPERLINK("https://www.indeed.com/viewjob?jk=0ab0396168681dc1", "https://www.indeed.com/viewjob?jk=0ab0396168681dc1")</f>
        <v/>
      </c>
      <c r="F11">
        <f>HYPERLINK("https://hiring.jhu.edu/careers/job/1133910733536?hl=en_US&amp;domain=jhu.edu", "https://hiring.jhu.edu/careers/job/1133910733536?hl=en_US&amp;domain=jhu.edu")</f>
        <v/>
      </c>
      <c r="G11" t="inlineStr">
        <is>
          <t>Baltimore, MD, US</t>
        </is>
      </c>
      <c r="H11" s="2" t="n">
        <v>46010</v>
      </c>
      <c r="I11" t="inlineStr">
        <is>
          <t>IT@JH Office of Deputy CIO is seeking a ***Data Engineer II*** who is responsible for the data architecture and integration of university processes, systems and data to improve reporting and analytics across functions, offices and schools. This includes the architecture, design and implementation of infrastructure and operations for the University Data Warehouse (UDW), complementary Lakehouse, and other modern data technologies.
 **Specific Duties \&amp; Responsibilities**
* Contribute to the design, production, and maintenance of data pipelines for data acquisition, management, transformation, and back\-end code development to power data web applications and convert raw data into usable information.
* Write and maintain ETL/ELTs that operate on a variety of structured and unstructured sources.
* Develop and maintain web data scraping systems for automatic data acquisition.
* Help design data architecture and provide ongoing support.
* Input/output data from databases and perform queries.
* Create scripts to clean, transform, and analyze data.
* Put data pipelines into production using data warehousing systems.
* Create and implement production software to monitor data quality and detect data anomalies.
* Perform daily manual data quality assurance tasks.
* Support, maintain, and troubleshoot the software infrastructure.
* Source data, conduct analyses, visualize data, and generate insights to support ongoing research projects and other requests across the organization.
* Collaborate with developers, analysts, data scientists, researchers, policy experts, and other partners.
* Communicate with Division leadership, and others on the team.
* Collaborate with external partners, contractors, and vendors.
* Other duties as assigned.
 **On\-Call Rotation**
* This position requires a support rotation, which may entail some off\-hour support.
**Minimum Qualifications**  
* Bachelor’s Degree.
* Five years of related work experience focused within database management and design and business requirement gathering.
* Additional education may substitute for required experience and additional related experience may substitute for required education beyond a high school diploma/graduation equivalent, to the extent permitted by the JHU equivalency formula.
**Preferred Qualifications**  
* Five years of progressive responsibility for data architecture in complex environment, extensive experience with relational, analytic, and other primary data and BI development approaches.
* Implementation and support experience with large\-scale real\-time and batch ETL/ELT for data ingestion and integration.
* Experience in dimensional modeling, student systems and information, APIs, advanced SQL, Power BI, Fabric, Azure, pipelines.
 **Technical Skills \&amp; Expected Level of Proficiency**
* Data Management and Analysis \- Intermediate
* Data Pipeline Architecture \&amp; ETL/ELT Development \- Intermediate
* Database Querying \- Intermediate
* Data Validation and Quality Assurance \- Intermediate
* Data Visualization \- Intermediate
* Data Warehousing \&amp; Architecture \- Intermediate
* Oral and written communications \- Intermediate
* Programming Languages \- Intermediate
* Web Scraping and Data Acquisition \- Intermediate
Classified Title: Data Engineer II  
Job Posting Title (Working Title): Data Engineer II (IT@JH Office of the Deputy CIO)
Role/Level/Range: ATP/04/PG
Starting Salary Range: $99,800 \- $175,000 Annually (Commensurate w/exp.)  
Employee group: Full Time  
Schedule: Mon\-Fri, 8:30am\-5pm  
FLSA Status: Exempt  
Location: Remote  
Department name: IT@JH Office of the Deputy CIO
Personnel area: University Administration</t>
        </is>
      </c>
    </row>
    <row r="12">
      <c r="A12" t="inlineStr">
        <is>
          <t>in-90d6dc72c3476b6b</t>
        </is>
      </c>
      <c r="B12" t="inlineStr">
        <is>
          <t>Data Engineer</t>
        </is>
      </c>
      <c r="C12" t="inlineStr">
        <is>
          <t>Amazon.com</t>
        </is>
      </c>
      <c r="D12" t="inlineStr">
        <is>
          <t>indeed</t>
        </is>
      </c>
      <c r="E12">
        <f>HYPERLINK("https://www.indeed.com/viewjob?jk=90d6dc72c3476b6b", "https://www.indeed.com/viewjob?jk=90d6dc72c3476b6b")</f>
        <v/>
      </c>
      <c r="F12">
        <f>HYPERLINK("https://www.amazon.jobs/jobs/3141339/data-engineer?cmpid=DA_INAD200785B", "https://www.amazon.jobs/jobs/3141339/data-engineer?cmpid=DA_INAD200785B")</f>
        <v/>
      </c>
      <c r="G12" t="inlineStr">
        <is>
          <t>Seattle, WA, US</t>
        </is>
      </c>
      <c r="H12" s="2" t="n">
        <v>46001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in-49c340fad6f4109c</t>
        </is>
      </c>
      <c r="B13" t="inlineStr">
        <is>
          <t>Data Engineer</t>
        </is>
      </c>
      <c r="C13" t="inlineStr">
        <is>
          <t>Amazon.com</t>
        </is>
      </c>
      <c r="D13" t="inlineStr">
        <is>
          <t>indeed</t>
        </is>
      </c>
      <c r="E13">
        <f>HYPERLINK("https://www.indeed.com/viewjob?jk=49c340fad6f4109c", "https://www.indeed.com/viewjob?jk=49c340fad6f4109c")</f>
        <v/>
      </c>
      <c r="F13">
        <f>HYPERLINK("https://www.amazon.jobs/jobs/3141339/data-engineer?cmpid=DA_INAD200785B", "https://www.amazon.jobs/jobs/3141339/data-engineer?cmpid=DA_INAD200785B")</f>
        <v/>
      </c>
      <c r="G13" t="inlineStr">
        <is>
          <t>San Francisco, CA, US</t>
        </is>
      </c>
      <c r="H13" s="2"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in-15b099ae67b8659d</t>
        </is>
      </c>
      <c r="B14" t="inlineStr">
        <is>
          <t>Delivery Consultant - Data Engineer, Data and Machine Learning, WWPS US Federal</t>
        </is>
      </c>
      <c r="C14" t="inlineStr">
        <is>
          <t>Amazon Web Services</t>
        </is>
      </c>
      <c r="D14" t="inlineStr">
        <is>
          <t>indeed</t>
        </is>
      </c>
      <c r="E14">
        <f>HYPERLINK("https://www.indeed.com/viewjob?jk=15b099ae67b8659d", "https://www.indeed.com/viewjob?jk=15b099ae67b8659d")</f>
        <v/>
      </c>
      <c r="F14">
        <f>HYPERLINK("https://www.amazon.jobs/jobs/3134583/delivery-consultant--data-engineer-data-and-machine-learning-wwps-us-federal?cmpid=DA_INAD200785B", "https://www.amazon.jobs/jobs/3134583/delivery-consultant--data-engineer-data-and-machine-learning-wwps-us-federal?cmpid=DA_INAD200785B")</f>
        <v/>
      </c>
      <c r="G14" t="inlineStr">
        <is>
          <t>Arlington, VA, US</t>
        </is>
      </c>
      <c r="H14" s="2" t="n">
        <v>45991</v>
      </c>
      <c r="I1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in-85b21064ccec47aa</t>
        </is>
      </c>
      <c r="B15" t="inlineStr">
        <is>
          <t>Delivery Consultant - Data Engineer, Data and Machine Learning, WWPS US Federal</t>
        </is>
      </c>
      <c r="C15" t="inlineStr">
        <is>
          <t>Amazon Web Services</t>
        </is>
      </c>
      <c r="D15" t="inlineStr">
        <is>
          <t>indeed</t>
        </is>
      </c>
      <c r="E15">
        <f>HYPERLINK("https://www.indeed.com/viewjob?jk=85b21064ccec47aa", "https://www.indeed.com/viewjob?jk=85b21064ccec47aa")</f>
        <v/>
      </c>
      <c r="F15">
        <f>HYPERLINK("https://www.amazon.jobs/jobs/3134583/delivery-consultant--data-engineer-data-and-machine-learning-wwps-us-federal?cmpid=DA_INAD200785B", "https://www.amazon.jobs/jobs/3134583/delivery-consultant--data-engineer-data-and-machine-learning-wwps-us-federal?cmpid=DA_INAD200785B")</f>
        <v/>
      </c>
      <c r="G15" t="inlineStr">
        <is>
          <t>Herndon, VA, US</t>
        </is>
      </c>
      <c r="H15" s="2"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li-4353084660</t>
        </is>
      </c>
      <c r="B2" t="inlineStr">
        <is>
          <t>Data Engineer, Data &amp; Analytics</t>
        </is>
      </c>
      <c r="C2" t="inlineStr">
        <is>
          <t>Louis Dreyfus Company</t>
        </is>
      </c>
      <c r="D2" t="inlineStr">
        <is>
          <t>linkedin</t>
        </is>
      </c>
      <c r="E2">
        <f>HYPERLINK("https://www.linkedin.com/jobs/view/4353084660", "https://www.linkedin.com/jobs/view/4353084660")</f>
        <v/>
      </c>
      <c r="F2" t="inlineStr"/>
      <c r="G2" t="inlineStr">
        <is>
          <t>Wilton, CT</t>
        </is>
      </c>
      <c r="H2" t="inlineStr"/>
      <c r="I2" t="inlineStr">
        <is>
          <t>Louis Dreyfus Company is a leading merchant and processor of agricultural goods. Our activities span the entire value chain from farm to fork, across a broad range of business lines, we leverage our global reach and extensive asset network to serve our customers and consumers around the world. Structured as a matrix organization of six geographical regions and ten platforms, Louis Dreyfus Company is active in over 100 countries and employs approximately 18,000 people globally.
**Job Description**
**This position is not eligible for sponsorship.**
 LDC is seeking a talented Data Engineer to join our expanding team of Data Analytics and AI. In this role, you'll architect and implement innovative data solutions that directly impact business decision\-making and operational efficiency.
 As a data engineer at LDC, you'll work at the forefront of agricultural technology, building scalable data pipelines and AI\-powered analytics solutions. You'll collaborate with diverse datasets—from satellite imagery and weather forecasts to market data and proprietary trading information—transforming raw data into actionable intelligence that powers our business.
 Duties \&amp; Responsibilities
 Data Engineering \&amp; Infrastructure
* Design, build, and maintain scalable data pipelines and ETL/ELT workflows using modern cloud\-native architectures
* Design and implement robust software solutions in Python, focusing on scalability, performance, and reliability.
* Schedule and automate workflows, enhancing operational efficiency and accuracy.
* Collaborate in the development and maintenance of cloud\-based infrastructure, applying best practices in DevOps to ensure high data availability and scalability.
* Work closely with data scientists, quantitative researchers, and trading teams to understand their data needs, providing technical solutions that enable effective data analysis and strategy implementation.
* Ensure code quality and maintainability by implementing strong CI/CD practices, code versioning, automated tests, and conducting thorough peer\-reviews.
* Stay current with emerging trends and advancements in software development, data engineering, and cloud technologies, integrating new tools and techniques where beneficial.
* Expertise in handling and optimizing relational databases to support analytical applications
* Ensure data quality, governance, and compliance through automated testing and monitoring frameworks
 Data Transformation \&amp; Modeling
* Design and implement dimensional data models, star schemas, and semantic layers optimized for analytics and reporting
* Create and maintain data models and data transformation logic using SQL and Python
* Develop automated, high\-quality indicators and KPIs from diverse data sources
* Perform exploratory data analysis to uncover patterns and support business intelligence initiatives
* Collaborate with data scientists to productionize machine learning models and AI solutions
**Qualifications**
 Required Qualifications
 Essential:
* 2\+ years of experience in data engineering roles with focus on data modeling, pipeline development, ETL/ELT, and analytics platform management
* Expert\-level proficiency in SQL for complex queries, optimization, and performance tuning
* 1\+ years of hands\-on experience with Python for data engineering, including libraries such as Pandas, NumPy, PySpark, and data visualization tools (Plotly, Matplotlib)
* Proficiency with modern cloud data platforms (Azure preferred, AWS or GCP acceptable)
* Experience with data orchestration tools (Azure Data Factory preferred, Airflow, Prefect, Dagster)
* Understanding of DataOps, CI/CD pipelines, version control (Git), and infrastructure as code
 Preferred:
* Experience with distributed computing frameworks (Databricks, Apache Spark)
* Understanding of commodities trading, supply chain analytics, or agricultural industry domains
 Education
 Bachelor's or, Master's degree in Computer Science, Data Engineering, Computer/Systems Engineering, Data Science, Statistics, Mathematics, or related quantitative field. Candidates with equivalent professional experience and demonstrated technical expertise will be considered.
**Additional Information**
 Additional Information for the job
**What We Offer**
 We provide a dynamic and stimulating international environment, which will stretch and develop your abilities and channel your skills and expertise with outstanding career development opportunities in one of the largest and most solid private companies in the world.
* Comprehensive benefits program including medical, dental and vision care coverage, flexible spending account plans, employee assistance program, life insurance and disability coverage
* 401k with Company Match
* Family Friendly Benefits including childbirth and parental leave, fertility and family building benefits
* Paid Time Off (PTO) and Paid Holidays
* Flexible work available (not applicable to all roles)
**Diversity \&amp; Inclusion**
 LDC is driven by a set of shared values and high ethical standards, with diversity and inclusion being part of our DNA. LDC is an equal opportunity employer committed to providing a working environment that embraces and values diversity, equity and inclusion.
 LDC encourages diversity, supports local communities and environmental initiatives. We encourage people of all backgrounds to apply.
**Equal employment opportunity (EEO)**
 Louis Dreyfus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**Sustainability**
 Sustainable value is at the heart of our purpose as a company.
 We are passionate about creating fair and sustainable value, both for our business and for other value chain stakeholders: our people, our business partners, the communities we touch and the environment around us</t>
        </is>
      </c>
    </row>
    <row r="3">
      <c r="A3" t="inlineStr">
        <is>
          <t>li-4354963589</t>
        </is>
      </c>
      <c r="B3" t="inlineStr">
        <is>
          <t>Data Engineer</t>
        </is>
      </c>
      <c r="C3" t="inlineStr">
        <is>
          <t>AARATECH</t>
        </is>
      </c>
      <c r="D3" t="inlineStr">
        <is>
          <t>linkedin</t>
        </is>
      </c>
      <c r="E3">
        <f>HYPERLINK("https://www.linkedin.com/jobs/view/4354963589", "https://www.linkedin.com/jobs/view/4354963589")</f>
        <v/>
      </c>
      <c r="F3" t="inlineStr"/>
      <c r="G3" t="inlineStr"/>
      <c r="H3" t="inlineStr"/>
      <c r="I3"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4">
      <c r="A4" t="inlineStr">
        <is>
          <t>li-4353074549</t>
        </is>
      </c>
      <c r="B4" t="inlineStr">
        <is>
          <t>Data Engineer</t>
        </is>
      </c>
      <c r="C4" t="inlineStr">
        <is>
          <t>Bitcruit Solutions</t>
        </is>
      </c>
      <c r="D4" t="inlineStr">
        <is>
          <t>linkedin</t>
        </is>
      </c>
      <c r="E4">
        <f>HYPERLINK("https://www.linkedin.com/jobs/view/4353074549", "https://www.linkedin.com/jobs/view/4353074549")</f>
        <v/>
      </c>
      <c r="F4" t="inlineStr"/>
      <c r="G4" t="inlineStr"/>
      <c r="H4" t="inlineStr"/>
      <c r="I4" t="inlineStr">
        <is>
          <t>We have partnered with a data consulting firm to support the hiring of a Data Engineer with hands\-on experience in Databricks and modern data engineering practices. This role will focus on designing, developing, and maintaining data pipelines, ensuring data quality, and enabling advanced analytics across the enterprise. The ideal candidate will have a strong foundation in SQL, Python, and Spark, with experience across the Databricks Lakehouse ecosystem and familiarity with modern ELT, transformation, and data governance tools.
 Responsibilities
* Design, develop, and maintain ETL/ELT pipelines and Databricks notebooks for data ingestion, transformation, and reporting.
* Implement and optimize Spark\-based workflows using Databricks Workflows, Delta Lake, and Unity Catalog.
* Leverage Databricks partner tools (e.g., Fivetran, dbt, Coalesce) for scalable data ingestion, transformation, and orchestration.
* Conduct data reconciliation across source, staging, and target systems to ensure accuracy and completeness.
* Build and maintain SQL\- and Python\-based automation frameworks for regression, smoke, and integration testing.
* Validate structured and semi\-structured data formats including CSV, JSON, XML, Parquet, Avro, and fixed\-length files.
* Review and refactor existing code for performance, scalability, and maintainability.
* Support workflow orchestration using tools such as Airflow, Azure Data Factory, or Control\-M.
* Collaborate with data governance and cataloging teams leveraging tools such as Alation or Unity Catalog to improve discoverability and lineage tracking.
 Required Skills \&amp; Experience
* Experience with cloud platforms (Azure, AWS, or Google Cloud Platform).
* 2\+ years of experience with Databricks and Unity Catalog.
* 4\+ years of Python experience
* Strong proficiency in SQL (joins, CTEs, window functions, query optimization, stored procedures).
* Solid experience with PySpark, pandas, and Python scripting for data manipulation and validation.
* Familiarity with medallion architecture and data warehouse concepts, including star/snowflake schemas, fact/dimension modeling, and reporting logic.
* Experience validating flat files (CSV, TSV, TXT) including delimiter handling, header checks, null value handling, and schema enforcement.
* Proven ability to interpret and implement complex transformation logic from source to target systems.
 Soft Skills
* Strong problem\-solving, analytical, and debugging capabilities.
* Excellent written and verbal communication skills for interfacing with developers, clients, and technical stakeholders.
* Ability to work independently while collaborating effectively in a team\-oriented environment.
 Nice\-to\-Have (Preferred but not required)
* Exposure to Databricks ecosystem tools such as Fivetran, dbt, Coalesce, and Alation.
* Experience building CI/CD pipelines and DevOps practices for data engineering.
* Knowledge of data governance, metadata management, and security frameworks (e.g., GDPR, SOC2, Unity Catalog RBAC).
 Familiarity with data quality frameworks (e.g., Great Expectations, Deequ).
 Benefits
 Comprehensive health coverage including medical, dental, and vision plans
 Life and disability insurance coverage
 401(k) retirement plan
 Additional insurance benefits to support long\-term financial and personal security</t>
        </is>
      </c>
    </row>
    <row r="5">
      <c r="A5" t="inlineStr">
        <is>
          <t>li-4362362656</t>
        </is>
      </c>
      <c r="B5" t="inlineStr">
        <is>
          <t>Sr. Data Analytics Engineer</t>
        </is>
      </c>
      <c r="C5" t="inlineStr">
        <is>
          <t>goHappy</t>
        </is>
      </c>
      <c r="D5" t="inlineStr">
        <is>
          <t>linkedin</t>
        </is>
      </c>
      <c r="E5">
        <f>HYPERLINK("https://www.linkedin.com/jobs/view/4362362656", "https://www.linkedin.com/jobs/view/4362362656")</f>
        <v/>
      </c>
      <c r="F5" t="inlineStr"/>
      <c r="G5" t="inlineStr">
        <is>
          <t>Richmond, VA</t>
        </is>
      </c>
      <c r="H5" t="inlineStr"/>
      <c r="I5" t="inlineStr">
        <is>
          <t>**The Opportunity** 
 goHappy is hiring a Data Analytics Engineer to help build the data foundation that powers trustworthy reporting, self\-serve insights, and decision\-making across the company. This is a unique opportunity to join at the ground floor and own the core analytics engineering layer end\-to\-end, from defining foundational metrics and data models to implementing best practices that scale.
 In this role, you’ll be both a hands\-on builder and a technical partner to the business, designing data architecture, developing foundational models in dbt, and partnering with Product, Engineering, and GTM leaders to turn ambiguous questions into reliable, reusable data products.
 This is a senior individual contributor role. You’ll lead through technical ownership, influence, and execution, while helping set standards and patterns that future hires will build on.
**What You'll Do** 
 Help Build the Data Foundation
* Execute the analytics engineering roadmap by identifying the highest\-leverage data opportunities and delivering the models and datasets needed to support them
* Design and build a single source of truth by developing foundational data models (dimensional modeling, star schemas, modular marts) that standardize business definitions and metrics
* Manage a modern analytics infrastructure by implementing and using tools like dbt, Snowflake, and Git, including CI/CD patterns
* Implement scalable standards for modeling, naming, testing, documentation, and dataset ownership to ensure maintainability as the organization grows
* Improve trust in data by implementing data quality checks, monitoring and observability practices, and clear guidance on what is trusted
* Partner cross\-functionally with engineering, product, finance, and other business leaders to understand data needs and deliver solutions that drive decisions and outcomes
 Enable Self\-Serve and Decision\-Making
* Build curated datasets and semantic\-friendly layers that keep BI and reporting consistent and reliable
* Create dashboards and analytics tools that empower stakeholders to self\-serve confidently, with clear definitions and documentation
* Translate ambiguous business questions into structured, scalable data solutions, and not one\-off queries
* Translate complex analytical findings into clear, actionable recommendations that influence product strategy
 Lead Through Technical Ownership
* Act as the analytics engineering voice in technical decisions, ensuring solutions are practical, robust, secure, and useful
* Drive cross\-functional projects from discovery through delivery, influencing outcomes without formal authority
* Contribute to data literacy and adoption through metrics definitions, training, and strong documentation
* Collaborate with product managers during discovery to identify the right problems to solve using data
**What We're Looking For** 
 Analytics Engineering and Modeling Expertise
* 5 to 8\+ years in analytics engineering, data engineering, BI, or closely related roles, with senior\-level scope
* Advanced proficiency in SQL and cloud data warehouses (Snowflake preferred)
* Strong hands\-on experience with dbt (or similar transformation frameworks), including modular project organization, plus testing and documentation practices
* Proven ability to design scalable, reusable data models (dimensional modeling, star schemas, canonical metrics, shared dimensions)
* Experience with BI tools (Looker, Tableau, Mode, or similar) and building datasets that support reliable reporting
* Working knowledge of Python for scripting, automation, and data transformation
 Engineering Rigor and End\-to\-End Ownership
* Comfort owning pipelines and data flows end\-to\-end (sources to warehouse to transformations to BI and downstream consumption)
* Familiarity with Git and GitHub, code review workflows, and CI/CD practices for analytics code
* Experience implementing data quality and reliability patterns (dbt tests, Great Expectations, Monte Carlo, alerting, SLAs, or similar)
* Strong understanding of modern data architecture patterns and tradeoffs, with the ability to build what’s needed now while planning for scale
 Business Partnership and Senior IC Skills
* Strong track record partnering with non\-technical stakeholders, turning vague questions into clear requirements, then turning requirements into reliable data products
* Excellent communication skills, including explaining data concepts to business audiences and aligning on definitions and outcomes
* Strong prioritization instincts, focusing on work that unlocks the most value and reduces recurring pain
* Comfortable operating in ambiguity, moving fast while maintaining trust and quality
**Bonus Points** 
* Experience with semantic modeling layers like LookML
* Familiarity with workflow orchestration tools (Hevo, Airflow, Dagster)
* Background in high\-growth startup or tech environments
* Knowledge of data cataloging and metadata management tools (Atlan, etc.)
* Understanding of AI/ML applications and prompt engineering for LLMs
* Experience with statistical analysis and experimental design
**Why This Role Is Special** 
 This is a rare opportunity to help define the analytics function at a growing company. You'll have the freedom to establish best practices, choose our tooling, and have an immediate impact on business decisions. If you're someone who gets excited about both the big picture strategy and rolling up your sleeves to build, this role offers the best of both worlds. You'll work closely with leadership to shape how gohappy uses data to drive growth.
 Our Mission: “Help ALL frontline workers feel more valued and connected so they can reach their full potential. And live a more fulfilling life.”
 We're building world\-class applications that solve real problems for real people. We obsess over customer needs, move fast, and celebrate wins together. If you thrive in environments where you can touch every part of the stack and see your work make an immediate difference, you'll love it here.</t>
        </is>
      </c>
    </row>
    <row r="6">
      <c r="A6" t="inlineStr">
        <is>
          <t>li-4354963586</t>
        </is>
      </c>
      <c r="B6" t="inlineStr">
        <is>
          <t>Data Engineer</t>
        </is>
      </c>
      <c r="C6" t="inlineStr">
        <is>
          <t>AARATECH</t>
        </is>
      </c>
      <c r="D6" t="inlineStr">
        <is>
          <t>linkedin</t>
        </is>
      </c>
      <c r="E6">
        <f>HYPERLINK("https://www.linkedin.com/jobs/view/4354963586", "https://www.linkedin.com/jobs/view/4354963586")</f>
        <v/>
      </c>
      <c r="F6" t="inlineStr"/>
      <c r="G6" t="inlineStr"/>
      <c r="H6" t="inlineStr"/>
      <c r="I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7">
      <c r="A7" t="inlineStr">
        <is>
          <t>li-4355072378</t>
        </is>
      </c>
      <c r="B7" t="inlineStr">
        <is>
          <t>Data Engineer</t>
        </is>
      </c>
      <c r="C7" t="inlineStr">
        <is>
          <t>AARATECH</t>
        </is>
      </c>
      <c r="D7" t="inlineStr">
        <is>
          <t>linkedin</t>
        </is>
      </c>
      <c r="E7">
        <f>HYPERLINK("https://www.linkedin.com/jobs/view/4355072378", "https://www.linkedin.com/jobs/view/4355072378")</f>
        <v/>
      </c>
      <c r="F7" t="inlineStr"/>
      <c r="G7" t="inlineStr"/>
      <c r="H7" t="inlineStr"/>
      <c r="I7"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8">
      <c r="A8" t="inlineStr">
        <is>
          <t>li-4355003478</t>
        </is>
      </c>
      <c r="B8" t="inlineStr">
        <is>
          <t>Data Engineer</t>
        </is>
      </c>
      <c r="C8" t="inlineStr">
        <is>
          <t>AARATECH</t>
        </is>
      </c>
      <c r="D8" t="inlineStr">
        <is>
          <t>linkedin</t>
        </is>
      </c>
      <c r="E8">
        <f>HYPERLINK("https://www.linkedin.com/jobs/view/4355003478", "https://www.linkedin.com/jobs/view/4355003478")</f>
        <v/>
      </c>
      <c r="F8" t="inlineStr"/>
      <c r="G8" t="inlineStr"/>
      <c r="H8" t="inlineStr"/>
      <c r="I8"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9">
      <c r="A9" t="inlineStr">
        <is>
          <t>li-4354963956</t>
        </is>
      </c>
      <c r="B9" t="inlineStr">
        <is>
          <t>Data Engineer</t>
        </is>
      </c>
      <c r="C9" t="inlineStr">
        <is>
          <t>Slalom</t>
        </is>
      </c>
      <c r="D9" t="inlineStr">
        <is>
          <t>linkedin</t>
        </is>
      </c>
      <c r="E9">
        <f>HYPERLINK("https://www.linkedin.com/jobs/view/4354963956", "https://www.linkedin.com/jobs/view/4354963956")</f>
        <v/>
      </c>
      <c r="F9">
        <f>HYPERLINK("https://jobs.slalom.com/?src=a121R00000NSLLRQA5#/post/a0hPh000003lEDt&amp;urlHash=ZoFb", "https://jobs.slalom.com/?src=a121R00000NSLLRQA5#/post/a0hPh000003lEDt&amp;urlHash=ZoFb")</f>
        <v/>
      </c>
      <c r="G9" t="inlineStr">
        <is>
          <t>New York, United States</t>
        </is>
      </c>
      <c r="H9" t="inlineStr"/>
      <c r="I9" t="inlineStr">
        <is>
          <t>**Role: Data Engineer \- Consultant**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Machine Learning and Artificial Intelligence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 You will work in a hybrid environment, with expectation to be in\-person with Slalom teams and clients as needed.
* You also must be within commutable distance to one of Slalom's Atlanta, Boston or New York City's office locations.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we're targeting to hire at either the Consultant or Sr. Consultant level. The base salary pay range is $119,000 \- $147,500 for Consultant, $136,000 \- $169,500 for Sr. Consultant, depending on candidate location and experience.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10">
      <c r="A10" t="inlineStr">
        <is>
          <t>li-4325471591</t>
        </is>
      </c>
      <c r="B10" t="inlineStr">
        <is>
          <t>Data Engineer</t>
        </is>
      </c>
      <c r="C10" t="inlineStr">
        <is>
          <t>Orveon Global</t>
        </is>
      </c>
      <c r="D10" t="inlineStr">
        <is>
          <t>linkedin</t>
        </is>
      </c>
      <c r="E10">
        <f>HYPERLINK("https://www.linkedin.com/jobs/view/4325471591", "https://www.linkedin.com/jobs/view/4325471591")</f>
        <v/>
      </c>
      <c r="F10" t="inlineStr"/>
      <c r="G10" t="inlineStr">
        <is>
          <t>New York, NY</t>
        </is>
      </c>
      <c r="H10" t="inlineStr"/>
      <c r="I10" t="inlineStr">
        <is>
          <t>**About Us**
 Orveon is a new kind of beauty company launched in December 2021 when we acquired our three iconic brands \- bareMinerals, BUXOM, and Laura Mercier. With more than 600 associates, operating in 40\+ countries, we're truly a global business. Our headquarters are in New York, with additional locations in major cities worldwide.
 We love our brands and are embarking on a powerful shift: To change how the world thinks about beauty. We are a collective of premium and prestige beauty brands committed to making beauty better and creating consumer love.
 People here are passionate, innovative, and thoughtful. This is an inspirational group of talented people, working together to build something better. We are looking for the best talent to join us on that journey. We believe we can accomplish more when we move as one.
**About The Role**
 We are seeking a skilled and motivated Data Engineer to join our team. As a key contributor to our data architecture, you will play a central role in designing, building, and maintaining scalable data pipelines and solutions using Microsoft Fabric. You will collaborate closely with Power BI developers, and business analysts to ensure data is accessible, reliable, and optimized for analytics and decision\-making.
**Primary Duties \&amp; Responsibilities**
* Design, develop, and maintain robust data pipelines using Microsoft Fabric, including Data Factory, OneLake, and Lakehouse.
* Integrate data from various sources (structured and unstructured) into centralized data platforms.
* Collaborate with Data Architects to implement scalable and secure data models.
* Optimize data workflows for performance, reliability, and cost\-efficiency.
* Ensure data quality, governance, and compliance with internal and external standards.
* Support Power BI developers and business analysts with curated datasets and semantic models.
* Monitor and troubleshoot data pipeline issues and implement proactive solutions.
* Document data processes, architecture, and best practices.
**Qualifications**
* Bachelor's degree in Computer Science, Data Science, Information Technology or related field.
* 3\+ years hands on experience in data engineering
* Proficiency in Apache Spark.
* Strong programming skills in Python, SQL, with experience in CI/CD
* Experience in data modeling.
* Best practices in managing lakehouses and warehouses.
* Strong problem\-solving skills and attention to detail.
* Excellent communication and collaboration abilities.
* Familiarity with MS fabric technologies and tools
* Familiarity with version control (Git/Azure Devops)
* Microsoft Data technologies especially Power BI
* Experience with Azure data services such as Data factory, synapse, purview, logic/function apps.
**What Orveon Offers You**
 You are a creator of Orveon’s success and your own. This is a rare opportunity to share your voice, accelerate your career, drive innovation and fostering growth. We’re a human sized company so your work will have a big impact on the organization. We invest in the well\-being of our Orveoners – both personally and professionally and provide tailored benefits to support all of you, such as:
* “Hybrid First” Model 2\-3 days per week in office, balancing virtual and face\-to\-face interactions.
* “Work From Anywhere” – Freedom to work three (3\) weeks annually from the lo\-cation of your choice.
* Complimentary Products – Free and discounted products on new releases and fan\-favorites.
* Professional Development – Exposure to senior leadership, learning and development programs, and career advancement opportunities.
* Community Engagement – Volunteer opportunities in the communities in which we live and work.
**Other things to know!**
**Pay Transparency\-** 
 One of our values is Stark Honesty, and the following represents a good faith estimate of the compensation range for this position.
 At Orveon Global, we carefully consider a wide range of non\-discriminatory factors when deter\-mining salary. Actual salaries will vary depending on factors including but not limited to location, education, experience, and qualifications.
 The pay range for this position $80,500\-$100,500\. Supplemented with all the amazing benefits above for full\-time employees!
**Opportunities and Accommodations\-** 
 Orveon is deeply committed to building a workplace and global community where inclusion is not only valued but prioritized. Find out more on our careers page.
**BE AWARE OF FRAUD!** 
 Please be aware of potentially fraudulent job postings or suspicious recruiter activity by persons that are posing as Orveon Global Recruiters/HR. Please confirm that the person you are working with has an @orveonglobal.com email address. Additionally, Orveon Global does NOT request financial information or payments from candidates at any point during the hiring process. If you suspect fraudulent activity, please visit the Orveon Global Careers Site at https://www.orveonglobal.com/career to verify the posting and apply though our secure online portal.</t>
        </is>
      </c>
    </row>
    <row r="11">
      <c r="A11" t="inlineStr">
        <is>
          <t>li-4354933654</t>
        </is>
      </c>
      <c r="B11" t="inlineStr">
        <is>
          <t>Data Engineer</t>
        </is>
      </c>
      <c r="C11" t="inlineStr">
        <is>
          <t>AARATECH</t>
        </is>
      </c>
      <c r="D11" t="inlineStr">
        <is>
          <t>linkedin</t>
        </is>
      </c>
      <c r="E11">
        <f>HYPERLINK("https://www.linkedin.com/jobs/view/4354933654", "https://www.linkedin.com/jobs/view/4354933654")</f>
        <v/>
      </c>
      <c r="F11" t="inlineStr"/>
      <c r="G11" t="inlineStr"/>
      <c r="H11" t="inlineStr"/>
      <c r="I11"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2">
      <c r="A12" t="inlineStr">
        <is>
          <t>li-4361694153</t>
        </is>
      </c>
      <c r="B12" t="inlineStr">
        <is>
          <t>Data Engineer - U.S.</t>
        </is>
      </c>
      <c r="C12" t="inlineStr">
        <is>
          <t>Luma Financial Technologies</t>
        </is>
      </c>
      <c r="D12" t="inlineStr">
        <is>
          <t>linkedin</t>
        </is>
      </c>
      <c r="E12">
        <f>HYPERLINK("https://www.linkedin.com/jobs/view/4361694153", "https://www.linkedin.com/jobs/view/4361694153")</f>
        <v/>
      </c>
      <c r="F12" t="inlineStr"/>
      <c r="G12" t="inlineStr">
        <is>
          <t>Cincinnati, OH</t>
        </is>
      </c>
      <c r="H12" t="inlineStr"/>
      <c r="I12" t="inlineStr">
        <is>
          <t>**About Luma Financial Technologies** 
 Founded in 2018, Luma Financial Technologies (“Luma”) has pioneered a cutting\-edge fintech software platform that has been adopted by broker/dealer firms, RIA offices, and private banks around the world. By using Luma, institutional and retail investors have a fully customizable, independent, buy\-side technology platform that helps financial teams more efficiently learn about, research, purchase, and manage alternative investments as well as annuities. Luma gives these users the ability to oversee the full, end\-to\-end process lifecycle by offering a suite of solutions. These include education resources and training materials; creation and pricing of custom structured products; electronic order entry; and post\-trade management. By prioritizing transparency and ease of use, Luma is a multi\-issuer, multi\-wholesaler, and multi\-product option that advisors can utilize to best meet their clients’ specific portfolio needs. Headquartered in Cincinnati, OH, Luma also has offices in New York, NY, Miami, FL, Zurich, Switzerland and Lisbon, Portugal. For more information, please visit Luma’s website.
**About the role** 
 We are looking for an experienced Data Engineer to lead our data infrastructure development, focusing on building robust, scalable, and efficient data solutions. The ideal candidate will bring expertise in modern data engineering technologies and a proven track record of delivering high\-performance data pipelines.
**Please note:** 
* **This is a hybrid position required to work from Luma Financial Technologies New York, NY or Cincinnati, OH office 2\-3 days/week**
* **Sponsorship for U.S. work authorization is not available for this opportunity**
**Key Responsibilities \&amp; Opportunities:** 
**Data Pipeline Development** 
* Design, develop, and maintain advanced data pipelines in Snowflake using dbt
* Design, develop and maintain data pipelines using Python
* Implement and optimize complex ETL/ELT processes
* Ensure comprehensive data quality and consistency across multiple systems
**Performance and Optimization** 
* Create and optimize sophisticated SQL queries for advanced reporting and analysis
* Develop efficient database queries with a focus on performance optimization
* Troubleshoot complex data transformation challenges
**Monitoring and Reliability** 
* Implement and manage production data pipeline monitoring
* Develop proactive health checks and monitoring protocols
* Diagnose and rapidly resolve data integration issues
**Cross\-Functional Collaboration** 
* Interface effectively with product, engineering, and business intelligence teams
* Translate complex technical requirements into comprehensive data solutions
* Provide technical leadership and guidance on data engineering challenges
**Qualifications** 
* 3\-5 years of professional experience in data engineering
* Bachelor's degree in Computer Science, Data Science, or related field
* Excellent written and verbal communication skills
* Proven ability to collaborate effectively across geographical boundaries
* Proven technical expertise in:
 o Python
 o Advanced SQL
 o dbt
 o Snowflake
 o Data pipeline architecture</t>
        </is>
      </c>
    </row>
    <row r="13">
      <c r="A13" t="inlineStr">
        <is>
          <t>li-4340070750</t>
        </is>
      </c>
      <c r="B13" t="inlineStr">
        <is>
          <t>Senior Data Engineer</t>
        </is>
      </c>
      <c r="C13" t="inlineStr">
        <is>
          <t>AMH</t>
        </is>
      </c>
      <c r="D13" t="inlineStr">
        <is>
          <t>linkedin</t>
        </is>
      </c>
      <c r="E13">
        <f>HYPERLINK("https://www.linkedin.com/jobs/view/4340070750", "https://www.linkedin.com/jobs/view/4340070750")</f>
        <v/>
      </c>
      <c r="F13" t="inlineStr"/>
      <c r="G13" t="inlineStr">
        <is>
          <t>Calabasas, CA</t>
        </is>
      </c>
      <c r="H13" t="inlineStr"/>
      <c r="I13"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**Senior Data Engineer** 
 is responsible for designing, building, and managing the data platform and tools to allow for the efficient processing and analysis of large data sets. Develops and maintains scalable data pipelines, ensures data quality, and deploys machine learning models to production. Collaborates with business teams to improve data models that feed business intelligence tools, increasing data accessibility and fostering data\-driven decision\-making across the organization. Builds real\-time and batch pipelines to handle large volumes of data efficiently. Collaborates with cross\-functional teams and translate business requirements into scalable data solutions.
**Responsibilities:** 
* Design, develop, and maintain real\-time or batch data pipelines to process and analyze large volumes of data. Designs and develops programs and tools to support ingestion, curation, and provisioning of complex first party and third\-party data to achieve analytics, reporting, and data science. Design and develop Advanced Data Products and Intelligent API’s. Monitors the system performance by performing regular tests, troubleshoots, and integrates new features.
* Lead in analysis of data and the design the data architecture to support BI, AI/ML and data products.
* Designs and implements data platform architecture to meet organization analytical requirements. Ensures the solution designs address operational requirements such as scalability, maintainability, extensibility, flexibility, and integrity.
* Provide technical leadership and mentorship to team members. Leads peer development and code reviews with focus on test driven development and Continuous Integration and Continuous Development (CICD).
**Requirements:** 
* Bachelor’s degree in computer science, information systems, data science, management information systems, mathematics, physics, engineering, statistics, economics, and/or a related field required.
* Master’s degree in computer science, information systems, data science, management information systems, mathematics, physics, engineering, statistics, economics, and/or a related field preferred.
* Minimum of eight (8\) years of experience as a data engineer with full\-stack capabilities
* Minimum of ten (10\) years of Experience in programming
* Minimum of five (5\) years in Cloud technologies like Azure, Aws or Google.
* Strong SQL Knowledge
* Experience in ML and ML Pipeline a plus
* Experience in real\-time integration, developing intelligent apps and data products.
* Proficiency in Python and experience with CI/CD practices
* Strong background in IAAS platforms and infrastructure
* Hands\-on experience with Databricks, Spark, Fabric, or similar technologies
* Experience in Agile methodologies
* Hands\-on experience in the design and development of data pipelines and data products
* Experience in developing data ingestion, data processing, and analytical pipelines for big data, NoSQL, and data warehouse solutions.
* Hands\-on experience implementing data migration and data processing using Azure services: ADLS, Azure Data Factory, Event Hub, IoT Hub, Azure Stream Analytics, Azure Analysis Service, HDInsight, Databricks Azure Data Catalog, Cosmo Db, ML Studio, AI/ML, etc.
* Extensive experience in Big Data technologies such as Apache Spark and streaming technologies such as Kafka, EventHub, etc.
* Extensive experience in designing data applications in a cloud environment.
* Intermediate experience in RESTful APIs, messaging systems, and AWS or Microsoft Azure.
* Extensive experience in Data Architecture and data modeling
* Expert in data analysis and data quality frameworks.
* Knowledgeable with BI tools such as Power BI and Tableau.
* May occasionally work evenings and/or weekends.
**Compensation**
 The anticipated pay range/scale for this position is $121,116\.00 to $151,395\.00 Annually.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is>
      </c>
    </row>
    <row r="14">
      <c r="A14" t="inlineStr">
        <is>
          <t>li-4354877749</t>
        </is>
      </c>
      <c r="B14" t="inlineStr">
        <is>
          <t>Data Engineer</t>
        </is>
      </c>
      <c r="C14" t="inlineStr">
        <is>
          <t>Slalom</t>
        </is>
      </c>
      <c r="D14" t="inlineStr">
        <is>
          <t>linkedin</t>
        </is>
      </c>
      <c r="E14">
        <f>HYPERLINK("https://www.linkedin.com/jobs/view/4354877749", "https://www.linkedin.com/jobs/view/4354877749")</f>
        <v/>
      </c>
      <c r="F14">
        <f>HYPERLINK("https://jobs.slalom.com/?src=a121R00000NSLLRQA5#/post/a0hPh000003lEDt&amp;urlHash=ZoFb", "https://jobs.slalom.com/?src=a121R00000NSLLRQA5#/post/a0hPh000003lEDt&amp;urlHash=ZoFb")</f>
        <v/>
      </c>
      <c r="G14" t="inlineStr">
        <is>
          <t>Massachusetts, United States</t>
        </is>
      </c>
      <c r="H14" t="inlineStr"/>
      <c r="I14" t="inlineStr">
        <is>
          <t>**Role: Data Engineer \- Consultant**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Machine Learning and Artificial Intelligence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 You will work in a hybrid environment, with expectation to be in\-person with Slalom teams and clients as needed.
* You also must be within commutable distance to one of Slalom's Atlanta, Boston or New York City's office locations.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we're targeting to hire at either the Consultant or Sr. Consultant level. The base salary pay range is $119,000 \- $147,500 for Consultant, $136,000 \- $169,500 for Sr. Consultant, depending on candidate location and experience.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15">
      <c r="A15" t="inlineStr">
        <is>
          <t>li-4355190169</t>
        </is>
      </c>
      <c r="B15" t="inlineStr">
        <is>
          <t>Data Engineer</t>
        </is>
      </c>
      <c r="C15" t="inlineStr">
        <is>
          <t>AbsoluteCare</t>
        </is>
      </c>
      <c r="D15" t="inlineStr">
        <is>
          <t>linkedin</t>
        </is>
      </c>
      <c r="E15">
        <f>HYPERLINK("https://www.linkedin.com/jobs/view/4355190169", "https://www.linkedin.com/jobs/view/4355190169")</f>
        <v/>
      </c>
      <c r="F15" t="inlineStr"/>
      <c r="G15" t="inlineStr"/>
      <c r="H15" t="inlineStr"/>
      <c r="I15" t="inlineStr">
        <is>
          <t>**Job Summary**
 This role will help shape AbsoluteCare’s Data Warehouse and Data Strategy for current and future implementations. The Data Engineer with work in close collaboration with AbsoluteCare Leaders to translate Business asks into IT solutions. This role will work on identifying the right solution for both existing and new requirements by enhancing / converting existing systems or creating newer solutions.
**Duties And Responsibilities**
* Design and build robust healthcare platform on MS SQL Server.
* Analyze and integrate healthcare payer data and Clinical EHR data.
* Follow best SDLC practices for developing IT solutions.
* Document and communicate strategy used for Design and Development.
* Develop and deliver on key milestones on roadmap for Data Warehouse.
* Automate manual reporting and develop novel reporting using the Microsoft BI stack and other reporting tools.
* Work collaboratively with our MedEcon team, Infrastructure team and Integrated Clinical Team to define, create, document, and implement ad\-hoc reports/analytics that support the AbsoluteCare clinical care model and strategy.
* Conduct analyses using tools such as SQL and Microsoft Excel.
* Organize, clarify, and translate business processes into reporting requirements from a diverse set of end users (e.g. executives, clinicians).
* Interpret healthcare data to translate requirements into IT solutions.
* Relate disparate data sets to extract actionable insights.
* Support business needs through the development of ad\-hoc and standardized reports as requested by the executive leadership team, as well as internal and external customers.
* Troubleshoot and align the reporting needs of end users to available data sets.
* Limited/occasional travel for onsite team meetings etc.
**Minimum Qualifications**
* Bachelor’s degree in business, information technology, statistics, mathematics, health sciences, or related field or equivalent work experience required.
* 2\+ years of combined working experience on Microsoft stack including SSIS, SSMS, .NET OR C\#
* Preferred 1\-3 years of developing ASP.NET Core Application
* Preferred 1\-3 years of C\# Development
* Preferred 3 years of health care data experience
* Preferred 1 year of Python experience
* Intermediate proficiency with Microsoft Excel required.
* Technical knowledge of relational databases (SQL server), querying, data warehouses, and decision support tools required.
* Ability to work independently with limited direction and/or guidance.
* Capable of successfully balancing numerous and competing priorities.
* Excellent written and verbal communication skills with experience collaborating with executives strongly preferred.
* Insatiable curiosity.
* Highly organized with strong documentation skills.
* Passion for data and the act of transforming data to achieve results.
* Ability and willingness to travel occasionally.
**Working conditions**
 This job operates in a professional office environment and/or in a remote capacity. This role routinely uses general office equipment.
**Physical Requirements**
* Ability to communicate clearly and exchange accurate information constantly.
* Ability to remain stationary for long periods of time.
* Constantly operates computer, keyboard, copy and fax machine, phone, and other general office equipment.
* Ability to occasionally move objects up to 20 lbs.
**Direct reports**
 None.</t>
        </is>
      </c>
    </row>
    <row r="16">
      <c r="A16" t="inlineStr">
        <is>
          <t>li-4355063452</t>
        </is>
      </c>
      <c r="B16" t="inlineStr">
        <is>
          <t>Data Engineer</t>
        </is>
      </c>
      <c r="C16" t="inlineStr">
        <is>
          <t>Slalom</t>
        </is>
      </c>
      <c r="D16" t="inlineStr">
        <is>
          <t>linkedin</t>
        </is>
      </c>
      <c r="E16">
        <f>HYPERLINK("https://www.linkedin.com/jobs/view/4355063452", "https://www.linkedin.com/jobs/view/4355063452")</f>
        <v/>
      </c>
      <c r="F16" t="inlineStr"/>
      <c r="G16" t="inlineStr">
        <is>
          <t>Florida, United States</t>
        </is>
      </c>
      <c r="H16" t="inlineStr"/>
      <c r="I16" t="inlineStr">
        <is>
          <t>**Role: Data Engineer \- Consultant**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Machine Learning and Artificial Intelligence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 You will work in a hybrid environment, with expectation to be in\-person with Slalom teams and clients as needed.
* You also must be within commutable distance to one of Slalom's Atlanta, Boston or New York City's office locations.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we're targeting to hire at either the Consultant or Sr. Consultant level. The base salary pay range is $119,000 \- $147,500 for Consultant, $136,000 \- $169,500 for Sr. Consultant, depending on candidate location and experience.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17">
      <c r="A17" t="inlineStr">
        <is>
          <t>li-4346026028</t>
        </is>
      </c>
      <c r="B17" t="inlineStr">
        <is>
          <t>AI Data Engineer</t>
        </is>
      </c>
      <c r="C17" t="inlineStr">
        <is>
          <t>Clinical ink</t>
        </is>
      </c>
      <c r="D17" t="inlineStr">
        <is>
          <t>linkedin</t>
        </is>
      </c>
      <c r="E17">
        <f>HYPERLINK("https://www.linkedin.com/jobs/view/4346026028", "https://www.linkedin.com/jobs/view/4346026028")</f>
        <v/>
      </c>
      <c r="F17" t="inlineStr"/>
      <c r="G17" t="inlineStr"/>
      <c r="H17" t="inlineStr"/>
      <c r="I17" t="inlineStr">
        <is>
          <t>**Company Information**
 Clinical Ink is the global life science company that brings data, technology, and patient science together to unlock clinical discovery. Our deep therapeutic\-area expertise, coupled with Direct Data Capture, eCOA, eConsent, telehealth, neurocognitive testing, and digital biomarkers advancement, drive the industry standard for data precision and usher in a new generation of clinical trials. With offices in Philadelphia, PA, Winston Salem, NC, and Iowa City, IA, Clinical Ink is rewriting the clinical development experience.
**Job Description**
 Clinical Ink is seeking an
 ***AI Data Engineer***
 to join our Artificial Intelligence and Innovation Lab. In this role, you will lead the design and implementation of robust data pipelines that support rapid prototyping of mobile health applications and device integrations. You will collaborate closely with mobile development, platform engineering, and data science teams to ensure prototype solutions are scalable and compatible with our existing AWS\-based infrastructure and Snowflake data warehouses. This position is ideal for a data engineer excited by early\-stage innovation and improving clinical trial research through connected technology. The AI Data Engineer's responsibilities include:
* Design, build, and maintain real\-time and batch data pipelines using AWS services (e.g., S3\).
* Ingest and normalize data from mobile apps, sensors, and connected health devices.
* Collaborate with platform teams to align proof\-of\-concept pipelines with enterprise data architecture standards.
* Ensure data pipelines meet privacy, security, and compliance standards (e.g., HIPAA, GxP).
* Support data scientists and product teams with structured datasets for analysis and visualization.
* Automate deployment and monitoring of data workflows in a DevOps\-friendly environment.
* Contribute to documentation, knowledge transfer, and rapid prototyping culture of the lab.
**Qualifications**
* 3\+ years experience in data engineering, preferably in digital health, healthcare, or sciences.
* Hands\-on experience with AWS services (e.g., S3, Quicksight).
* Strong Python programming skills.
* ETL tool experience.
* Familiarity with data governance, access controls, and healthcare compliance.
* Experience with connected device data and wearables is a plus.
* Collaborative mindset with ability to work cross\-functionally in a fast\-paced, iterative environment.
**Additional Information**
 Clinical ink is an equal opportunity employer and does not discriminate against otherwise qualified applicants on the basis of race, color, creed, religion, ancestry, age, sex, marital status, national origin, disability or handicap, or veteran status.
 www.clinicalink.com</t>
        </is>
      </c>
    </row>
    <row r="18">
      <c r="A18" t="inlineStr">
        <is>
          <t>li-4354849473</t>
        </is>
      </c>
      <c r="B18" t="inlineStr">
        <is>
          <t>Data Engineer</t>
        </is>
      </c>
      <c r="C18" t="inlineStr">
        <is>
          <t>Hirenza</t>
        </is>
      </c>
      <c r="D18" t="inlineStr">
        <is>
          <t>linkedin</t>
        </is>
      </c>
      <c r="E18">
        <f>HYPERLINK("https://www.linkedin.com/jobs/view/4354849473", "https://www.linkedin.com/jobs/view/4354849473")</f>
        <v/>
      </c>
      <c r="F18" t="inlineStr"/>
      <c r="G18" t="inlineStr"/>
      <c r="H18" t="inlineStr"/>
      <c r="I18" t="inlineStr">
        <is>
          <t>**About The Company**
 Capital One is a leading diversified financial services company renowned for its innovative approach to banking and credit card services. With a strong commitment to leveraging technology to enhance customer experiences, Capital One has established itself as a trusted brand in the financial industry. The company emphasizes a culture of innovation, agility, and inclusion, fostering an environment where talented professionals can thrive and make a meaningful impact. Capital One’s focus on data\-driven decision\-making and cutting\-edge digital solutions positions it at the forefront of the financial technology space, continuously striving to meet the evolving needs of its customers.
**About The Role**
 As a Lead Data Engineer at Capital One, you will play a pivotal role in transforming how data is harnessed to drive strategic decisions and innovative solutions. This position offers an exciting opportunity to lead complex data engineering projects, collaborate with cross\-functional teams, and implement scalable data architectures in a cloud environment. You will be responsible for designing, developing, and maintaining large\-scale data systems that support machine learning models, real\-time analytics, and business intelligence initiatives. The role requires a proactive mindset, technical expertise, and leadership capabilities to mentor team members and ensure best practices in data engineering are upheld.
**Qualifications**
 The ideal candidate will possess a blend of educational background and hands\-on experience in application development and big data technologies. A bachelor’s degree in Computer Science, Information Technology, or a related field is required. Candidates should have a minimum of four years of experience in application development, with at least two years dedicated to big data technologies. Experience with cloud platforms such as AWS, Microsoft Azure, or Google Cloud is essential, along with proficiency in programming languages like Python, Java, Scala, and SQL. Preferred qualifications include over seven years of relevant experience, extensive work with distributed data systems, real\-time streaming applications, NoSQL databases, and data warehousing solutions.
**Responsibilities**
* Collaborate with Agile teams to design, develop, test, and support end\-to\-end data solutions utilizing full\-stack development tools and modern technologies.
* Lead the development of scalable data pipelines and architectures that support machine learning, analytics, and reporting functions.
* Work closely with data scientists, product managers, and stakeholders to understand data needs and translate them into technical specifications.
* Utilize programming languages such as Java, Scala, and Python to build robust data processing applications.
* Implement and optimize data storage solutions using cloud\-based data warehouses like Redshift and Snowflake, as well as NoSQL databases such as MongoDB and Cassandra.
* Perform rigorous testing, code reviews, and performance tuning to ensure high\-quality, efficient data systems.
* Mentor junior team members, share knowledge, and promote best practices in data engineering and cloud computing.
* Stay current with emerging data technologies and trends, experimenting with new tools and techniques to enhance data infrastructure.
**Benefits**
 Capital One offers a comprehensive package of benefits designed to support your overall well\-being and professional growth. This includes competitive health, dental, and vision insurance plans, retirement savings options, and paid time off. The company also provides opportunities for continuous learning through training programs, certifications, and tuition reimbursement. Employees are encouraged to participate in wellness initiatives, financial planning resources, and work\-life balance programs. Additionally, the role is eligible for performance\-based incentives, including bonuses and long\-term incentives, rewarding your contributions to the company's success. Capital One fosters an inclusive environment that values diversity and promotes a culture of respect and collaboration.
 Equal Opportunity
 Capital One is an equal opportunity employer committed to fostering a diverse and inclusive workplace. We do not discriminate based on race, color, religion, sex, national origin, age, disability, veteran status, or any other protected characteristic. We actively promote a drug\-free workplace and adhere to all applicable laws and regulations regarding employment practices. We consider qualified applicants with criminal histories in accordance with legal requirements and ensure fair treatment throughout the hiring process. If you require accommodation during the application process, please contact our recruiting team for assistance. Capital One values the unique perspectives and experiences of all candidates and employees, and we strive to create a welcoming environment where everyone can succeed.</t>
        </is>
      </c>
    </row>
    <row r="19">
      <c r="A19" t="inlineStr">
        <is>
          <t>li-4352994693</t>
        </is>
      </c>
      <c r="B19" t="inlineStr">
        <is>
          <t>Sr. Data Engineer II (6135)</t>
        </is>
      </c>
      <c r="C19" t="inlineStr">
        <is>
          <t>MetroStar</t>
        </is>
      </c>
      <c r="D19" t="inlineStr">
        <is>
          <t>linkedin</t>
        </is>
      </c>
      <c r="E19">
        <f>HYPERLINK("https://www.linkedin.com/jobs/view/4352994693", "https://www.linkedin.com/jobs/view/4352994693")</f>
        <v/>
      </c>
      <c r="F19" t="inlineStr"/>
      <c r="G19" t="inlineStr">
        <is>
          <t>Aurora, CO</t>
        </is>
      </c>
      <c r="H19" t="inlineStr"/>
      <c r="I19" t="inlineStr">
        <is>
          <t>As
 **Sr. Data Engineer II** 
 ,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7 years experience
* Bachelor's Degree in Computer Science, Information Technology Management or Engineering, or other comparable degree or experience
* Active TS/SCI with the ability to obtain and maintain a CI polygraph clearance required
* Experience in Data/ML engineering
* Strong Experience with ETL, data labeling, and data preparation
* Experience with one or more of the following technologies: Cloudera, DataBricks, Snowflake, NiFi, Python, SQL, Kafka
* Strong experience designing, developing, and deploying data solutions in classified AWS cloud environments up to IL6\+
* Strong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SALARY RANGE: $152,000 \- $188,000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0">
      <c r="A20" t="inlineStr">
        <is>
          <t>li-4353184454</t>
        </is>
      </c>
      <c r="B20" t="inlineStr">
        <is>
          <t>Sr. Data Engineer I (6290)</t>
        </is>
      </c>
      <c r="C20" t="inlineStr">
        <is>
          <t>MetroStar</t>
        </is>
      </c>
      <c r="D20" t="inlineStr">
        <is>
          <t>linkedin</t>
        </is>
      </c>
      <c r="E20">
        <f>HYPERLINK("https://www.linkedin.com/jobs/view/4353184454", "https://www.linkedin.com/jobs/view/4353184454")</f>
        <v/>
      </c>
      <c r="F20" t="inlineStr"/>
      <c r="G20" t="inlineStr">
        <is>
          <t>St Louis, MO</t>
        </is>
      </c>
      <c r="H20" t="inlineStr"/>
      <c r="I20"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with CI poly required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1">
      <c r="A21" t="inlineStr">
        <is>
          <t>li-4340984832</t>
        </is>
      </c>
      <c r="B21" t="inlineStr">
        <is>
          <t>Senior Data Engineer</t>
        </is>
      </c>
      <c r="C21" t="inlineStr">
        <is>
          <t>Synechron</t>
        </is>
      </c>
      <c r="D21" t="inlineStr">
        <is>
          <t>linkedin</t>
        </is>
      </c>
      <c r="E21">
        <f>HYPERLINK("https://www.linkedin.com/jobs/view/4340984832", "https://www.linkedin.com/jobs/view/4340984832")</f>
        <v/>
      </c>
      <c r="F21" t="inlineStr"/>
      <c r="G21" t="inlineStr">
        <is>
          <t>New York, NY</t>
        </is>
      </c>
      <c r="H21" t="inlineStr"/>
      <c r="I21"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skilled Data Engineer with expertise in Databricks, Snowflake, Python, Pyspark, SQL, and Release Management to join our dynamic team. The ideal candidate will have a strong background in the banking domain and will be responsible for designing, developing, and maintaining robust data pipelines and systems to support our banking operations and analytics.
 Additional Information\*
 The base salary for this position will vary based on geography and other factors. In accordance with law, the base salary for this role if filled within NYC, NY is $110k \- $150k/year \&amp; benefits (see below).
**The Role**
**Responsibilities:**
* Design, develop, and maintain scalable and efficient data pipelines using Snowflake, Pyspark, and SQL.
* Write optimized and complex SQL queries to extract, transform, and load data.
* Develop and implement data models, schemas, and architecture that support banking domain requirements.
* Collaborate with data analysts, data scientists, and business stakeholders to gather data requirements.
* Automate data workflows and ensure data quality, accuracy, and integrity.
* Manage and coordinate release processes for data pipelines and analytics solutions.
* Monitor, troubleshoot, and optimize the performance of data systems.
* Ensure compliance with data governance, security, and privacy standards within the banking domain.
* Maintain documentation of data architecture, pipelines, and processes.
* Stay updated with the latest industry trends and incorporate best practices.
**Requirements:**
* Proven experience as a Data Engineer or in a similar role with a focus on Snowflake, Python, Pyspark, and SQL.
* Strong understanding of data warehousing concepts and cloud data platforms, especially Snowflake.
* Hands\-on experience with release management, deployment, and version control practices.
* Solid understanding of banking and financial services industry data and compliance requirements.
* Proficiency in Python scripting and Pyspark for data processing and automation.
* Experience with ETL/ELT processes and tools.
* Knowledge of data governance, security, and privacy standards.
* Excellent problem\-solving and analytical skills.
* Strong communication and collaboration abilities.
 Technical Skills:
* Good Knowledge in Azure and Databricks in highly preferred.
* Knowledge of Apache Kafka or other streaming technologies.
* Familiarity with DevOps practices and CI/CD pipelines.
* Prior experience working in the banking or financial services industry.
**Preferred skills:** 
 PySpark
 Financial systems/capital markets/credit risk/regulatory application development experience.
**We offer:**
* A multinational organization with 60 offices in 20 countries and the possibility to work abroad.
* 10 days of paid annual leave plus an additional 10 days of personal leave (floating days and sick days).
* A comprehensive insurance plan including medical, dental, vision, life insurance, and long\-term disability.
* Flexible hybrid policy.
* RRSP with employer’s contribution up to 4%.
* A higher education certification policy.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22">
      <c r="A22" t="inlineStr">
        <is>
          <t>li-4308086326</t>
        </is>
      </c>
      <c r="B22" t="inlineStr">
        <is>
          <t>Data Engineer (Direct To Cell)</t>
        </is>
      </c>
      <c r="C22" t="inlineStr">
        <is>
          <t>SpaceX</t>
        </is>
      </c>
      <c r="D22" t="inlineStr">
        <is>
          <t>linkedin</t>
        </is>
      </c>
      <c r="E22">
        <f>HYPERLINK("https://www.linkedin.com/jobs/view/4308086326", "https://www.linkedin.com/jobs/view/4308086326")</f>
        <v/>
      </c>
      <c r="F22">
        <f>HYPERLINK("https://boards.greenhouse.io/spacex/jobs/8186579002?gh_jid=8186579002&amp;gh_src=3c0864192&amp;urlHash=Ltg-", "https://boards.greenhouse.io/spacex/jobs/8186579002?gh_jid=8186579002&amp;gh_src=3c0864192&amp;urlHash=Ltg-")</f>
        <v/>
      </c>
      <c r="G22" t="inlineStr">
        <is>
          <t>Redmond, WA</t>
        </is>
      </c>
      <c r="H22" t="inlineStr"/>
      <c r="I2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(DIRECT TO CELL)**
 The Direct to Cell network will expand Starlink’s vision by providing ubiquitous connectivity and seamless access to text, voice, and data for LTE phones and devices across the globe. The Direct to Cell network leverages the infrastructure we’ve built for Starlink over the past several years. Starlink is the world’s largest satellite constellation and is providing fast, reliable internet to 7M\+ users worldwide. As the global leader in rocket and satellite launch and manufacturing, SpaceX is uniquely positioned to rapidly scale our Direct to Cell network and will rapidly launch a constellation of hundreds of satellites.
 As a Data Engineer, you will be responsible for developing the strategy, key metrics, tools, software services, and processes for assessing how well key aspects of Direct to Cell are scaling and how effective the Direct to Cell Network is itself, in serving millions of users around the globe. You will work with operators, engineering leaders, subsystem responsible engineers, software engineers, and network engineers inside the Direct to Cell organization as well as key contacts with various major external partners to help ensure the growth of this program.
**Responsibilities**
* Build and maintain mission\-critical infrastructure, tools, processes, and custom software to objectively assess growth areas for the Direct to Cell program
* Automate the aggregation of metrics and detection of widespread application issues across Direct to Cell
* Establish and maintain relationships with key third\-party application/content owners
* Lead technical investigations about chronic application\-level issues
* Build ground\-based software systems that ingest, transform, and store data
* Apply data analytics, models, and techniques to data products created by space vehicles
* Create catalogs of data and tools that can be used by you and other teams to perform analytics
* Fuse data from multiple sources to create usable information
**Basic Qualifications**
* Bachelor’s degree in computer science, data science, physics, mathematics, or a STEM discipline
* 1\+ years of data/software engineering experience (internship experience is applicable)
* Experience in analytics, data science, or machine learning
**Preferred Skills And Experience**
* Experience handling large (TB\+) datasets
* Experience using SQL,
* Development experience in an object\-oriented programming language (i.e. C, C\+\+, Python)
* Experience building solutions with Parquet, or similar storage formats
* Knowledge of Kubernetes
* Experience building solutions with in\-stream data processing of structured and semi\-structured data
* Experience building predictive models and machine learning pipelines (clustering analysis, prediction, anomaly detection)
* Experience in custom ETL design, implementation, and maintenance
* Experience with developing and deploying tools used for data analysis
* Experience using Spark, Presto, Flink, or Snowflake
* Ability to work effectively in a dynamic environment that includes working with changing needs and requirements
* Ability to take on projects that require taking initiative and developing new expertise
**Additional Requirements**
* Must be willing to work extended hours and weekends as needed
**Compensation And Benefits**
 Pay range:
 Data Engineer/Engineer I: $122,500\.00 \- $145,000\.00/per year
 Data Engineer/Engineer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3">
      <c r="A23" t="inlineStr">
        <is>
          <t>li-4353174150</t>
        </is>
      </c>
      <c r="B23" t="inlineStr">
        <is>
          <t>Senior Data Engineer</t>
        </is>
      </c>
      <c r="C23" t="inlineStr">
        <is>
          <t>Mastercard</t>
        </is>
      </c>
      <c r="D23" t="inlineStr">
        <is>
          <t>linkedin</t>
        </is>
      </c>
      <c r="E23">
        <f>HYPERLINK("https://www.linkedin.com/jobs/view/4353174150", "https://www.linkedin.com/jobs/view/4353174150")</f>
        <v/>
      </c>
      <c r="F23" t="inlineStr"/>
      <c r="G23" t="inlineStr">
        <is>
          <t>O'Fallon, MO</t>
        </is>
      </c>
      <c r="H23" t="inlineStr"/>
      <c r="I23"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**About The Role**
 The Global Business Solutions Center (GBSC) Analytics and Automation team is built upon strong contributors with leadership abilities, innovative mindsets and strong business and technical acumen. The team acts as an idea incubator supporting various GBSC initiatives by providing in\-depth analysis and strategic guidance. The team identifies ways to leverage data for answering business questions and driving operational efficiency. We innovate using new age technologies and data analysis techniques to discover actionable insights and communicate data in new and more effective ways for influencing business decisions, encouraging long\-term customer engagement, improving processes and productivity, and overall evolving the way we do business.
 Technology Stack
* Primary tools for Analytics: Alteryx, SSIS, Tableau, Power BI, Power Apps
* Core database environments: Oracle, MS SQL Server
 Role
* Support Automation \&amp; Analytics projects and initiatives within GBSC.
* Develop, test, and deploy Alteryx workflows to automate data extraction, transformation, and loading (ETL) processes.
* Develop Tableau dashboards and reports that adhere to visualization best practices and communicate a story.
* Collaborate with analysts and business stakeholders to understand requirements and translate them into technical workflows.
* Troubleshoot workflow SQL performance and errors, ensuring optimal processing speed and resource utilization.
**All About You**
* Bachelor’s degree in computer science, Information Technology, Data Science, or related field (or equivalent work experience)
* Experience in software development life cycle on analytics or systems integration engagements across strategy, design and implementation
* Experience in Data Warehouse related projects in product or service\-based organization
* Experience working with Alteryx and other ETL tools and reporting/analytics tools like Tableau or Power BI
* Expertise in information delivery and knowledge of data visualization techniques for preparing operational and executive dashboards
* Hands on experience on Oracle, SQL and other relevant Relational databases
* Strong knowledge of SQL; ability to write, execute and optimize performance of complex queries
* Data modeling and leveraging APIs
* Knowledge of a programming language like Python is a plus
* Ability to communicate complex quantitative analysis in a clear, precise, and actionable manner with both technical and non\-technical customers
* Problem solving mentality, resourcefulness and creativity in identifying solutions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24">
      <c r="A24" t="inlineStr">
        <is>
          <t>li-4354913721</t>
        </is>
      </c>
      <c r="B24" t="inlineStr">
        <is>
          <t>Data Engineer</t>
        </is>
      </c>
      <c r="C24" t="inlineStr">
        <is>
          <t>RemoteHunter</t>
        </is>
      </c>
      <c r="D24" t="inlineStr">
        <is>
          <t>linkedin</t>
        </is>
      </c>
      <c r="E24">
        <f>HYPERLINK("https://www.linkedin.com/jobs/view/4354913721", "https://www.linkedin.com/jobs/view/4354913721")</f>
        <v/>
      </c>
      <c r="F24">
        <f>HYPERLINK("https://www.remotehunter.com/apply-with-ai/cbc541cb-0314-4308-be9b-f74271d1faa8?utm_medium=job_posting&amp;utm_source=linkedin&amp;utm_campaign=data_engineer_remote&amp;utm_category=data_engineer&amp;utm_term=data_engineer&amp;urlHash=HZHH", "https://www.remotehunter.com/apply-with-ai/cbc541cb-0314-4308-be9b-f74271d1faa8?utm_medium=job_posting&amp;utm_source=linkedin&amp;utm_campaign=data_engineer_remote&amp;utm_category=data_engineer&amp;utm_term=data_engineer&amp;urlHash=HZHH")</f>
        <v/>
      </c>
      <c r="G24" t="inlineStr"/>
      <c r="H24" t="inlineStr"/>
      <c r="I24"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li-4353044272</t>
        </is>
      </c>
      <c r="B25" t="inlineStr">
        <is>
          <t>Senior Data Engineer</t>
        </is>
      </c>
      <c r="C25" t="inlineStr">
        <is>
          <t>Mastercard</t>
        </is>
      </c>
      <c r="D25" t="inlineStr">
        <is>
          <t>linkedin</t>
        </is>
      </c>
      <c r="E25">
        <f>HYPERLINK("https://www.linkedin.com/jobs/view/4353044272", "https://www.linkedin.com/jobs/view/4353044272")</f>
        <v/>
      </c>
      <c r="F25" t="inlineStr"/>
      <c r="G25" t="inlineStr">
        <is>
          <t>Atlanta, GA</t>
        </is>
      </c>
      <c r="H25" t="inlineStr"/>
      <c r="I25"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**Overview**
 The Data \&amp; Services team is a key differentiator for Mastercard, providing cutting\-edge services that help our customers grow. Focused on thinking big and scaling fast around the globe, this agile team is responsible for end\-to\-end solutions for a diverse global customer base. Centered on data\-driven technologies and innovation, these services include consulting, loyalty and marketing programs, business Test \&amp; Learn experimentation, and data\-driven information and risk management services.
 Within the Data \&amp; Services organization, Marketing Services places Mastercard at the heart of our customer’s b2c and b2b marketing strategies. We help our customers acquire, engage, and retain customers with end\-to\-end digital marketing services differentiated by our global marketing expertise, data and technology advantage, global network of preferred partners, and Mastercard brand assets.
 The Marketing Services team is looking for a Senior Data Engineer to provide technical ownership, with an emphasis on data architecture, engineering efficiency, and on\-time delivery.
**Role Responsibilities**
* Provide technical leadership in data engineering, ensuring best practices for data pipelines, data modeling, storage, and retrieval.
* Lead the scoping, design and implementation of data pipelines and data models to enable performant and scalable products.
* Work with multiple sources of data, storage systems, and building processes and pipelines to provide cohesive datasets for analysis and modeling.
* Ensure a high\-quality code base by writing and reviewing performant \&amp; scalable, well\-tested code.
* Collaborate with cross\-functional teams to define data requirements and design solutions that align with business objectives.
* Oversee data governance and quality, ensuring data accuracy, consistency, and compliance with industry standards.
* Mentor software engineers \&amp; data engineers, establishing data best practices and creating up\-skilling opportunities for the team.
* Ensure that software and system design and delivery support the goal of zero down time in production.
* Ensure development supports all appropriate data compliance and usage requirements, including PCI, GLBA, Safe Harbor, SOX, etc.
**All About You**
* Deep knowledge of software development processes including agile processes, test driven development and automation of the build and deployment processes (CI/CD)
* Experience with software development or application engineering with recent coding experience in two or more of the following languages: Python, Java, Scala, Pyspark, or other.
* Strong understanding of data with experience in ETL, event streaming, data ingestion, modelling, Big Data (Hadoop/Spark), data visualization \&amp; analytics,
* Experience with AWS cloud services for data engineering and ML workflows.
* Hands\-on experience with Databricks or Snowflake.
* Familiarity with industry best practices for collection and use of data.
* Strong technologist eager to learn new technologies and frameworks.
* Strong verbal and written communication and presentation skills, with ability to represent team at public events such as technology conferences.
* Project management skills and a demonstrated ability to understand complex information product constructs.
* Ability to manage multiple priorities simultaneously and partner with teams outside of the engineering organization.
* Experience integrating vendor and open\-source products into an overall system
* Hands on experience with Marketing technologies strongly preferred.
 This role is not eligible for Mastercard’s work authorization sponsorship. As such, candidates must be eligible to work in the United States, now as well as in the future, without employer sponsorship.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Atlanta, Georgia: $115,000 \- $184,000 USD</t>
        </is>
      </c>
    </row>
    <row r="26">
      <c r="A26" t="inlineStr">
        <is>
          <t>li-4348292538</t>
        </is>
      </c>
      <c r="B26" t="inlineStr">
        <is>
          <t>Analytics Engineer</t>
        </is>
      </c>
      <c r="C26" t="inlineStr">
        <is>
          <t>Suno</t>
        </is>
      </c>
      <c r="D26" t="inlineStr">
        <is>
          <t>linkedin</t>
        </is>
      </c>
      <c r="E26">
        <f>HYPERLINK("https://www.linkedin.com/jobs/view/4348292538", "https://www.linkedin.com/jobs/view/4348292538")</f>
        <v/>
      </c>
      <c r="F26" t="inlineStr"/>
      <c r="G26" t="inlineStr">
        <is>
          <t>Boston, MA</t>
        </is>
      </c>
      <c r="H26" t="inlineStr"/>
      <c r="I26"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hiring an Analytics Engineer to help transform how we understand, model, and scale the data behind our product and business. You’ll work across Product, Engineering, Science, and GTM teams to turn raw information into the reliable, actionable insights that power Suno’s next generation of creative tools.
 If you're a systems\-minded builder who loves clean data, clear metrics, and making complex things feel simple, we’d love to chat.
 Check out the Suno version of this role here!
**What You’ll Do**
* Partner with Product, Science, Engineering, and GTM teams to understand data needs, define key metrics, and translate business requirements into scalable data models.
* Design, build, and maintain dbt transformations and ETL pipelines that turn raw data into reliable, analytics\-ready tables.
* Implement data validation, testing, and monitoring frameworks to ensure accuracy, consistency, and timeliness of core datasets.
* Build and maintain dashboards and reports in tools like Hex, Looker, or Mode, giving teams real\-time visibility into product and business performance.
* Collaborate with stakeholders to define, instrument, and operationalize the metrics that inform strategic decisions across teams.
* Drive data democratization by developing reusable data products, documentation, and self\-serve tooling.
* Partner with Engineering, Science, and Product to ensure data instrumentation and event tracking align with analytics needs.
* Champion a data\-first culture by influencing how the organization collects, models, and interprets information.
**What You’ll Need**
* 5\+ years of experience in Analytics Engineering, Data Analytics, or Data Science roles, ideally supporting Product and GTM teams.
* Deep expertise in SQL and strong proficiency with dbt for modular, scalable data transformations.
* Experience with Airflow (or similar orchestration tools) and version control systems like GitHub.
* Proficiency in data processing, automation, and validation.
* Hands\-on experience building metrics reporting, dashboards, and analytical tools in platforms like Hex, Mode, Looker, or Tableau.
* Proven ability to translate messy, complex data into clear insights that drive real impact.
* A bias for action and pragmatism — delivering high\-quality data solutions without overengineering.
* A “full\-stack data” mindset, comfortable across collection, modeling, validation, and visualization layers.
* Experience helping build or scale an Analytics Engineering or Data Platform function at a startup or fast\-growing organization.
* A strong sense of ownership, curiosity, and comfort with ambiguity in a fast\-moving environment.
* A genuine passion for music, creativity, and AI — and excitement to help enable the next wave of generative creation.
**Location**
 This is an onsite role in Boston, New York City, Los Angeles, or San Francisco.
**Additional Notes:** 
 Applicants must be eligible to work in the US.
**Perks \&amp; Benefits For Full\-Time Employees**
* Generous Company Equity Package
* 401(k) with 3% Employer Match \&amp; Roth 401(k)
* Unlimited PTO \&amp; Sick Time
* Medical, Dental, \&amp; Vision Insurance (PPO w/ HSA \&amp; FSA options)
* Continued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7">
      <c r="A27" t="inlineStr">
        <is>
          <t>li-4362403101</t>
        </is>
      </c>
      <c r="B27" t="inlineStr">
        <is>
          <t>Senior Business Intelligence &amp; Analytics Engineer</t>
        </is>
      </c>
      <c r="C27" t="inlineStr">
        <is>
          <t>TAMKO</t>
        </is>
      </c>
      <c r="D27" t="inlineStr">
        <is>
          <t>linkedin</t>
        </is>
      </c>
      <c r="E27">
        <f>HYPERLINK("https://www.linkedin.com/jobs/view/4362403101", "https://www.linkedin.com/jobs/view/4362403101")</f>
        <v/>
      </c>
      <c r="F27" t="inlineStr"/>
      <c r="G27" t="inlineStr">
        <is>
          <t>Dallas, TX</t>
        </is>
      </c>
      <c r="H27" t="inlineStr"/>
      <c r="I27" t="inlineStr">
        <is>
          <t>TAMKO is seeking a Senior Business Intelligence \&amp; Analytics Engineer to work at our Corporate Dallas office in Coppell, TX. The candidate will join the Corporate IT AI \&amp; Analytics Team. This role will be assisting with the implementation of AI \&amp; Analytics into business processes.
**Summary of Essential Functions:**
 To perform this job successfully, an individual must be able to perform each essential function satisfactorily. Reasonable accommodations may be made to enable qualified individuals with disabilities to perform the essential functions. This position will require some travel between TAMKO facilities as needed.
 As a member of the Data \&amp; Analytics, you will play a key role in supporting our data \&amp; analytics initiatives. Working under the guidance of the Manager of Data \&amp; Analytics and in collaboration with our seasoned Data Science staff, you will contribute to projects that enhance our AI capabilities and drive forward our technological advances.
 Responsible for designing, developing, and supporting enterprise analytics solutions using SAP BW, SAP HANA, Microsoft Power BI, and WebFOCUS.
**Key Responsibilities**
**Applications:** 
* SAP BW \&amp; SAP HANA
+ Design and maintain SAP HANA models including Calculation Views
+ Manage SAP BW environments, data models, and performance optimization
* Power BI
+ End\-to\-end Power BI development including data integration, DAX, security, and optimization
+ Manage datasets, gateways, refreshes, and deployments
* WebFOCUS
+ Develop and maintain WebFOCUS reports and dashboards
+ Support migration or coexistence of WebFOCUS with Power BI solutions
* Data Integration
+ Integrate SAP and non\-SAP data sources
+ Manage connectivity and enterprise reporting requirements
**Required Qualifications**
* Strong SAP BW and SAP HANA experience
* Advanced Power BI expertise
* Experience programming WebFOCUS reports
* Ability to work independently
* Executive communication skills to work with customers of the data
**Preferred / Plus Qualifications**
* SAP S/4HANA Experience
* SQL Server \&amp; T\-SQL
* SAP BusinessObjects
* SAP Data Services
**Requirements**
* Education: Bachelor’s degree in an Engineering or STEM field is required.
* The role requires strong technical expertise, independence, collaboration, and executive\-level communication skills.
**Physical Requirements/Work Environment**
 The physical demands described here are representative of those that must be met by an employee to perform the essential functions of this job. Reasonable accommodations may be made to enable qualified individuals with disabilities to perform the essential functions.
* The employee must be able to operate computer and other office equipment.
* The noise level in the work environment is usually quiet and occasionally moderate.
 In addition to competitive wages, TAMKO offers a comprehensive benefits package, including Group Health and Life Insurance, Vision and Dental Insurance, a Flexible Benefits Plan, a 401(k) Retirement Plan with company match, a Profit Sharing Retirement Plan, and other valuable benefits.
 This job description is intended to describe the general nature and level of work expected. It is not intended to be an exhaustive list of all responsibilities, duties, or skills required and is subject to change at any time based on business needs.
 TAMKO Building Products LLC is one of the nation's largest independent manufacturers of residential and commercial roofing products, waterproofing products, and related building materials. Headquartered in Galena, Kansas, TAMKO has been committed to innovation, quality, and customer service for over 80 years. Our success is driven by our people — individuals who take pride in their work, share an ownership mindset, and are dedicated to delivering excellence. At TAMKO, we strive to foster a safe, supportive, and rewarding work environment where employees can grow and succeed.</t>
        </is>
      </c>
    </row>
    <row r="28">
      <c r="A28" t="inlineStr">
        <is>
          <t>li-4329170262</t>
        </is>
      </c>
      <c r="B28" t="inlineStr">
        <is>
          <t>Sr. BI Engineer</t>
        </is>
      </c>
      <c r="C28" t="inlineStr">
        <is>
          <t>CentralReach</t>
        </is>
      </c>
      <c r="D28" t="inlineStr">
        <is>
          <t>linkedin</t>
        </is>
      </c>
      <c r="E28">
        <f>HYPERLINK("https://www.linkedin.com/jobs/view/4329170262", "https://www.linkedin.com/jobs/view/4329170262")</f>
        <v/>
      </c>
      <c r="F28" t="inlineStr"/>
      <c r="G28" t="inlineStr"/>
      <c r="H28" t="inlineStr"/>
      <c r="I28"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We are seeking a Senior BI engineer with excellent SQL and Python coding skills and fluent with advanced data modeling and visualization features and who is familiar with BI tools or welcomes learning new tools. This role requires experience designing dashboards for optimal communication working with large volumes of data. Familiarity with web development (CSS, HTML, Javascript) is a plus.
 The ideal candidate will be a natural collaborator and problem solver who possesses a high intellectual curiosity and thrives in a dynamic, fast\-paced environment while playing many roles as situations demand.
**Key Accountabilities**
* The BI Engineer will create and maintain data sources, reports and dashboards with high visual appeal, high data accuracy and high performance for the company’s internal business data. The BI Engineer will facilitate more accurate and automated reporting and analysis. You will need to analyze and address data and performance issues, fix the Sisense dashboards and embedded code as well as work with relevant teams/individuals to address these issues. You will coordinate with team members in key departments (including Product, Application Development, Database Administrators, CR BillMax) to identify information needs and drivers for translation into data visualizations.
**As a Part Of The BI Team, You Will**
* Work within an Agile Development process
* Create and manage analytical and operational dashboards, KPIs, and repeatable reports for external and internal users.
* Acting as the first line of support for Sisense related questions and issues
* Creating and providing training sessions (as needed)
* Facilitate a process for ongoing bidirectional communication with the various functions and departments in the company
* Creating design templates and standards when needed
* Proactively identify and pursue opportunities individually as well as working with members of the Finance team to enhance reporting and to build out data sources and data visualizations to enable self\-service, trend analysis and insight into leading indicators and operational metrics
* Participate in cross\-functional initiatives, including defining KPIs and reporting needs, with finance, sales, operations, marketing, product, engineering, and other teams
**Example Projects You Might Work On**
* Developing new data models/cubes for clinical and financial analytics
* Maintenance, refactoring, and performance optimization of existing dashboards and/or data sources.
* Creating widgets and dashboards that provide aggregate and detailed data from existing data model.
* Use Python to interact with Sisense and SQL to implement automated activities
* Use AI development tools such as Dify.AI or n8n.IO to build AI\-enabled analytics
**Desired Skills And Experience**
* 5\+ years of SQL experience (good ability to read and understand existing SQL code, ability to self\-direct and explore complex data structures, including many\-to\-many and deep\-nested hierarchical structures)
* 3\+ years of a major BI tool experience (Sisense/Tableau/Power BI/etc.), with understanding of advanced calculation and visualization features as well as ability to troubleshoot Tableau and SQL issues related to data or performance
* 2\+ years of Python scripting/development
* Willingness to learn and master Sisense development
* Familiarity with Server\-based reporting and development (publishing, scheduling, user access permissions)
* Strongly preferred: experience with Sisense development
**Personal And Team Skills**
* Excellent attention to detail, strong organizational skills, and ability to prioritize work within a dynamic, deadline\-driven environment
* Experience leading insight and analysis projects from briefing stage through delivery
* Excellent communication skills with the ability to convey financial concepts to both financial and non\-financial audiences
* Team player who achieves corporate objectives while also working efficiently and accurately under tight time constraints
* Superior attention to detail and highly organized with a desire to exceed expectations
* Knowledgeable of dashboard performance optimization techniques
* Ability to work independently, with a proactive, risk\-mitigation approach
* Excellent listening, interpersonal, written, and oral communication skills
* Experience with Quality Assurance
* Experience working within Application Development lifecycle
* Experience working with one or more key departments: Operations, Customer Support, Product Management, Sales, Finance
 Base Salary Range
 $135,000—$150,000 USD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29">
      <c r="A29" t="inlineStr">
        <is>
          <t>li-4341087254</t>
        </is>
      </c>
      <c r="B29" t="inlineStr">
        <is>
          <t>Data Engineer</t>
        </is>
      </c>
      <c r="C29" t="inlineStr">
        <is>
          <t>ECS</t>
        </is>
      </c>
      <c r="D29" t="inlineStr">
        <is>
          <t>linkedin</t>
        </is>
      </c>
      <c r="E29">
        <f>HYPERLINK("https://www.linkedin.com/jobs/view/4341087254", "https://www.linkedin.com/jobs/view/4341087254")</f>
        <v/>
      </c>
      <c r="F29" t="inlineStr"/>
      <c r="G29" t="inlineStr"/>
      <c r="H29" t="inlineStr"/>
      <c r="I29" t="inlineStr">
        <is>
          <t>**Job Description**
 ECS is seeking a
 ***Data Engineer***
 to work
 ***remotely***
 .
 The Data Engineer will support the design, development, and deployment of the foundational data pipelines, data products, and automation required to implement a scalable data mesh architecture at the Department of Homeland Security (DHS). This role is responsible for building secure and reliable ingestion frameworks, transforming mission data into reusable domain\-oriented data assets, integrating systems with modern platforms such as Databricks, Snowflake, and Palantir, and ensuring high standards of data quality, performance, lineage, and observability across the enterprise.
**Ideal Candidate Experience**
* Data Engineering \&amp; Pipeline Development: 5\-7\+ years building scalable ETL/ELT pipelines using Python, Spark, SQL, or similar technologies.
* Cloud Data Platforms (AWS preferred): 4\-6\+ years working with services such as S3, Glue, Lambda, Redshift, EMR, or equivalents.
* Databricks/Snowflake Engineering: 3\-5\+ years designing notebooks, Delta Lake pipelines, SQL transformations, Snowflake tasks/streams, and performance\-optimized warehouses.
* Palantir Integration (Foundry preferred): 2\-4\+ years integrating data sources, developing pipelines, or enabling interoperability between Palantir and broader data ecosystems.
* Data Quality, Cataloging \&amp; Lineage: 3\-5\+ years implementing data validation frameworks, metadata tracking, and governance\-aligned data documentation.
* API \&amp; System Integration: 3\-5\+ years integrating cloud, legacy, and cross\-domain systems using REST, event streaming, or messaging frameworks.
 Required Skills
* 7\+ years’ experience creating reliable, scalable, and secure data pipelines that ingest, transform, store, and make data available to the business in near‑real‑time.
* BS degree in Computer Science or related field/equivalent experience.
* Ability to obtain a DHS Public Trust.
 Desired Skills
* Proficiency in Python, PySpark/Spark SQL, and scalable data processing patterns.
* Hands\-on experience with Databricks notebooks, Delta Lake, Snowflake data modeling, and workflow orchestration tools such as Airflow, Databricks Jobs, or AWS Step Functions.
* Familiarity with Palantir Foundry data pipelines, ontology integration, or platform interoperability.
* Solid understanding of data mesh concepts, including domain ownership, data product design, and federated governance.
* Familiarity with semantic layer/knowledge graph technologies.
* Experience with data catalog tools (Glue Catalog, Collibra, Alation) and version\-controlled development.
* Knowledge of federal security and compliance frameworks.
* Strong communication and documentation skills to collaborate with data product owners, mission stakeholders, and cross\-functional engineering teams.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30">
      <c r="A30" t="inlineStr">
        <is>
          <t>li-4336920553</t>
        </is>
      </c>
      <c r="B30" t="inlineStr">
        <is>
          <t>Senior Data Engineer</t>
        </is>
      </c>
      <c r="C30" t="inlineStr">
        <is>
          <t>Toorak Capital Partners</t>
        </is>
      </c>
      <c r="D30" t="inlineStr">
        <is>
          <t>linkedin</t>
        </is>
      </c>
      <c r="E30">
        <f>HYPERLINK("https://www.linkedin.com/jobs/view/4336920553", "https://www.linkedin.com/jobs/view/4336920553")</f>
        <v/>
      </c>
      <c r="F30" t="inlineStr"/>
      <c r="G30" t="inlineStr">
        <is>
          <t>Tampa, FL</t>
        </is>
      </c>
      <c r="H30" t="inlineStr"/>
      <c r="I30" t="inlineStr">
        <is>
          <t>**Company:** 
 Toorak Capital Partners is an integrated correspondent lending and table funding platform that acquires business purpose residential, multifamily and mixed\-use loans throughout the U.S. and the United Kingdom. Headquartered in Tampa, FL., Toorak Capital Partners acquires these loans directly from a network of private lenders on a correspondent basis.
**Summary:** 
* The role of the Lead Data Engineer is to develop, implement, for building high performance, scalable data solution to support Toorak’s Data Strategy
* Lead Data architecture for Toorak Capital.
* Lead efforts to create API framework to use data across customer facing and back office applications.
* Establish consistent data standards, reference architectures, patterns, and practices across the organization for both OLTP and OLAP (Data warehouse, Data Lake house) MDM and AI / ML technologies
* Lead sourcing and synthesis of Data Standardization and Semantics discovery efforts turning insights into actionable strategies that will define the priorities for the team and rally stakeholders to the vision
* Lead the data integration and mapping efforts to harmonize data.
* Champion standards, guidelines, and direction for ontology, data modeling, semantics and Data Standardization in general at Toorak.
* Lead strategies and design solutions for a wide variety of use cases like Data Migration (end\-to\-end ETL process), database optimization, and data architectural solutions for Analytics Data Projects
**Required Skills:** 
* Designing and maintaining the data models, including conceptual, logical, and physical data models
* 5\+ years of experience using NoSQL systems like MongoDB, DynamoDB and Relational SQL Database systems (PostgreSQL) and Athena
* 5\+ years of experience on Data Pipeline development, ETL and processing of structured and unstructured data
* 5\+ years of experience in large scale real\-time stream processing using Apache Flink or Apache Spark with messaging infrastructure like Kafka/Pulsar
* Proficiency in using data management tools and platforms, such as data cataloging software, data quality tools), and data governance platforms
* Experience with Big Query, SQL Mesh(or similar SQL\-based cloud platform).
* Knowledge of cloud platforms and technologies such as Google Cloud Platform, Amazon Web Services.
* Strong SQL skills.
* Experience with API development and frameworks.
* Knowledge in designing solutions with Data Quality, Data Lineage, and Data Catalogs
* Strong background in Data Science, Machine Learning, NLP, Text processing of large data sets
* Experience in one or more of the following: Dataiku, DataRobot, Databricks, UiPath would be nice to have.
* Using version control systems (e.g., Git) to manage changes to data governance policies, procedures, and documentation
* Ability to rapidly comprehend changes to key business processes and the impact on overall Data framework.
* Flexibility to adjust to multiple demands, shifting priorities, ambiguity, and rapid change.
* Advanced analytical skills.
* High level of organization and attention to detail.
* Self\-starter attitude with the ability to work independently.
* Knowledge of legal, compliance, and regulatory issues impacting data.
* Experience in finance preferred.</t>
        </is>
      </c>
    </row>
    <row r="31">
      <c r="A31" t="inlineStr">
        <is>
          <t>li-4361648680</t>
        </is>
      </c>
      <c r="B31" t="inlineStr">
        <is>
          <t>Data Engineer III</t>
        </is>
      </c>
      <c r="C31" t="inlineStr">
        <is>
          <t>TalentAlly</t>
        </is>
      </c>
      <c r="D31" t="inlineStr">
        <is>
          <t>linkedin</t>
        </is>
      </c>
      <c r="E31">
        <f>HYPERLINK("https://www.linkedin.com/jobs/view/4361648680", "https://www.linkedin.com/jobs/view/4361648680")</f>
        <v/>
      </c>
      <c r="F31" t="inlineStr"/>
      <c r="G31" t="inlineStr">
        <is>
          <t>Johnston, RI</t>
        </is>
      </c>
      <c r="H31" t="inlineStr"/>
      <c r="I31"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Are you passionate about building robust data ecosystems that power advanced analytics and business insights? Join our dynamic team as a
 **Data Engineer III** 
 , where you'll design and implement cutting\-edge data pipelines, integrate diverse data sources, and ensure the highest standards of data quality, security, and compliance. This is your opportunity to work on impactful projects that shape the future of data\-driven decision\-making.
**What You'll Do** 
* **Architect \&amp; Innovate:** 
 Design and maintain scalable data pipelines and infrastructure for ingestion, integration, and storage of structured and unstructured data.
* **Enable Analytics:** 
 Deliver clean, reliable datasets for Business Intelligence, Advanced Analytics, and Data Science teams.
* **Optimize Performance:** 
 Implement modern practices using
 **Microsoft Fabric** 
 ,
 **SQL Server** 
 ,
 **SSIS** 
 ,
 **Power BI Premium** 
 , and big data frameworks like
 **Spark** 
 .
* **Ensure Quality:** 
 Validate solutions through rigorous testing and maintain data integrity across all systems.
* **Collaborate \&amp; Lead:** 
 Partner with Product Owners, Architects, Analysts, and Data Scientists on medium\-to\-large projects, and lead small\-to\-medium initiatives independently.
* **Drive Continuous Improvement:** 
 Automate processes, optimize data delivery, and redesign infrastructure for scalability.
**What We're Looking For** 
* Prefer 4 year/bachelor's degree or master's degree in computer science, Information Technology, Computer Engineering, or equivalent experience
* 5\+ years relatable work experience
* Ability to design and optimize SQL queries across cloud data warehouses, with strong proficiency in TSQL.
* Skilled in data orchestration and ETL tools such as Azure Data Factory or SSIS, and eager to adopt Fabric Data Factory (Pipelines \&amp; Dataflows Gen2\).
* Background in CI/CD and version control for data solutions (e.g., Git, deployment pipelines), with interest in DevOps practices for analytics platforms.
* Familiarity with modern data lake architectures, including Delta Lake and medallion design patterns.
* Knowledge of columnar storage formats and lakehouse technologies such as Delta Lake and Parquet for scalable data processing.
* Hands\-on work with big data frameworks like Apache Spark (PySpark or Scala) for batch workloads is helpful.
* Understanding BI and semantic modeling concepts, including star schema design and performance tuning is helpful.
 Compensation, Grade, and Job Title will be determined based on qualifications, experience, and technical skillset.
 Well qualified candidates may be considered for a data engineer IV.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PDN\-a0d0eff9\-2478\-4188\-bf3c\-a21763b4e10b</t>
        </is>
      </c>
    </row>
    <row r="32">
      <c r="A32" t="inlineStr">
        <is>
          <t>li-4353054277</t>
        </is>
      </c>
      <c r="B32" t="inlineStr">
        <is>
          <t>GCP Data Engineer</t>
        </is>
      </c>
      <c r="C32" t="inlineStr">
        <is>
          <t>Headway Tek Inc</t>
        </is>
      </c>
      <c r="D32" t="inlineStr">
        <is>
          <t>linkedin</t>
        </is>
      </c>
      <c r="E32">
        <f>HYPERLINK("https://www.linkedin.com/jobs/view/4353054277", "https://www.linkedin.com/jobs/view/4353054277")</f>
        <v/>
      </c>
      <c r="F32" t="inlineStr"/>
      <c r="G32" t="inlineStr"/>
      <c r="H32" t="inlineStr"/>
      <c r="I32" t="inlineStr">
        <is>
          <t>**Position : GCP Data Engineer** 
**Location: Remote** 
**Full Time** 
**Summary:**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t>
        </is>
      </c>
    </row>
    <row r="33">
      <c r="A33" t="inlineStr">
        <is>
          <t>li-4361656495</t>
        </is>
      </c>
      <c r="B33" t="inlineStr">
        <is>
          <t>Senior Analytics Engineer</t>
        </is>
      </c>
      <c r="C33" t="inlineStr">
        <is>
          <t>Harnham</t>
        </is>
      </c>
      <c r="D33" t="inlineStr">
        <is>
          <t>linkedin</t>
        </is>
      </c>
      <c r="E33">
        <f>HYPERLINK("https://www.linkedin.com/jobs/view/4361656495", "https://www.linkedin.com/jobs/view/4361656495")</f>
        <v/>
      </c>
      <c r="F33" t="inlineStr"/>
      <c r="G33" t="inlineStr"/>
      <c r="H33" t="inlineStr"/>
      <c r="I33" t="inlineStr">
        <is>
          <t>**Senior Analytics Engineer** 
**Remote, US based** 
**$160k–$175k base salary** 
 A mission driven SaaS company supporting thousands of nonprofit organizations is scaling its data and analytics capability. The platform powers donor management, fundraising, and payments, helping nonprofits strengthen communities and drive measurable impact. As the business grows, data is becoming central to how decisions are made across Finance, GTM, and Product.
 This is an opportunity to step into a high ownership analytics engineering role where your work directly influences business strategy and execution.
**The Role** 
 As a Senior Analytics Engineer, you will own the analytics layer end to end. This role blends data modeling, analytics engineering, reporting, and stakeholder partnership, with a clear mandate to move the organization from reactive reporting to insight led decision making.
 You will be embedded within the Finance organization and work closely with leaders across Finance, Sales, GTM, RevOps, and Product. This is a senior individual contributor role with a clear path toward people leadership as the data function matures.
**What You Will Do** 
* Own the analytics stack from data modeling in Snowflake through to dashboards and reporting in Metabase
* Design and maintain high quality data models that power trusted, scalable analytics
* Lead the migration away from legacy BI tools and establish a single source of truth
* Build self service dashboards for Finance, GTM, RevOps, and Product stakeholders
* Partner with business leaders to translate questions into durable analytics solutions
* Proactively surface insights that influence planning, forecasting, and strategic decisions
* Improve data quality, consistency, and usability across the analytics layer
* Define analytics standards, tooling, and best practices as the function evolves
* Support the transition toward predictive and forward\-looking analytics over time
**What We Are Looking For** 
* 5–7\+ years of experience in analytics engineering, analytics, or data analysis
* Advanced SQL skills with hands on experience in Snowflake
* Strong experience building dashboards in Metabase
* Proven ability to own data models and analytics foundations end to end
* Experience working cross functionally with Finance, Sales, GTM, RevOps, and Product
* Comfort operating independently and taking full ownership of analytics domains
* Experience with dbt, forecasting, experimentation, or predictive analytics is a plus
* Interest in modern data tooling and AI enabled analytics
* Strong communication skills and ability to work effectively with non technical stakeholders
**Why This Role** 
 This role is ideal for a Senior Analytics Engineer who wants ownership, visibility, and real influence. You will help shape how data is used across a growing SaaS organization while supporting a meaningful social mission, with the opportunity to grow into leadership as the team scales.</t>
        </is>
      </c>
    </row>
    <row r="34">
      <c r="A34" t="inlineStr">
        <is>
          <t>li-4355102120</t>
        </is>
      </c>
      <c r="B34" t="inlineStr">
        <is>
          <t>AWS Data Engineer</t>
        </is>
      </c>
      <c r="C34" t="inlineStr">
        <is>
          <t>Smart IT Frame LLC</t>
        </is>
      </c>
      <c r="D34" t="inlineStr">
        <is>
          <t>linkedin</t>
        </is>
      </c>
      <c r="E34">
        <f>HYPERLINK("https://www.linkedin.com/jobs/view/4355102120", "https://www.linkedin.com/jobs/view/4355102120")</f>
        <v/>
      </c>
      <c r="F34" t="inlineStr"/>
      <c r="G34" t="inlineStr">
        <is>
          <t>Reston, VA</t>
        </is>
      </c>
      <c r="H34" t="inlineStr"/>
      <c r="I34" t="inlineStr">
        <is>
          <t>**Role: AWS Data Engineer** 
**Location: Reston, VA (100% Onsite from day one)** 
**Type: Full Time/ Contract\-to\-Hire** 
**Experience: 10\+ years** 
**About Smart IT Frame:** 
**At Smart IT Frame,** 
 we connect top talent with leading organizations across the USA. With over a decade of staffing excellence, we specialize in IT, healthcare, and professional roles, empowering both clients and candidates to grow together.
**Job Description:** 
* Seeking an
 **AWS Data Engineer** 
 to design, build, and maintain scalable data pipelines and
 **ETL** 
 solutions using
 **Python/PySpark** 
 and
 **AWS managed services** 
 to support analytics and data product needs.
**Key Responsibilities** 
* Build and maintain
 **ETL pipelines** 
 using
 **Python and
 *PySpark* 
 on AWS Glue** 
 and other compute platforms
* Orchestrate workflows with
 **AWS Step Functions** 
 and
 **serverless components (Lambda)**
* Implement messaging and event\-driven patterns using
 **AWS SNS and SQS**
* Design and optimize data storage and querying in
 **Amazon Redshift**
**Required Skills** 
* Strong experience with
 **Python and Pyspark** 
 for large\-scale data processing
* Proven
 **hands\-on experience** 
 with
 **AWS services: Lambda, SNS, SQS, Glue, Redshift, Step Functions**
* **Solid SQL\-** 
*SQL* 
 skills and familiarity with data modeling and query optimization
* Experience with ETL best practices, data quality checks, and monitoring/alerting
 📩 Apply today or share profiles at ajayjoshuva.p@smartitframe.com</t>
        </is>
      </c>
    </row>
    <row r="35">
      <c r="A35" t="inlineStr">
        <is>
          <t>li-4328957443</t>
        </is>
      </c>
      <c r="B35" t="inlineStr">
        <is>
          <t>Senior AI Data Engineer- Vice President</t>
        </is>
      </c>
      <c r="C35" t="inlineStr">
        <is>
          <t>Citi</t>
        </is>
      </c>
      <c r="D35" t="inlineStr">
        <is>
          <t>linkedin</t>
        </is>
      </c>
      <c r="E35">
        <f>HYPERLINK("https://www.linkedin.com/jobs/view/4328957443", "https://www.linkedin.com/jobs/view/4328957443")</f>
        <v/>
      </c>
      <c r="F35" t="inlineStr"/>
      <c r="G35" t="inlineStr">
        <is>
          <t>New York, NY</t>
        </is>
      </c>
      <c r="H35" t="inlineStr"/>
      <c r="I35" t="inlineStr">
        <is>
          <t>The Senior AI Data Engineer (Applications Development Technology Lead Analyst \- C13\) is a senior\-level position responsible for designing, developing, and deploying AI agents capable of understanding goals, planning actions, and executing tasks with minimal human intervention. This role requires a strong understanding of AI principles, agent\-based systems, machine learning, and software engineering best practices. The ideal candidate will be able to translate research ideas into robust and scalable production systems. In coordination with the Technology team, this role will also be responsible for establishing and implementing new or revised application systems and programs. The overall objective of this role is to lead applications systems analysis and programming activities.
**Key Responsibilities:**
* Agent Design and Development: Design and implement intelligent agents, including their perception, reasoning, planning, and action execution modules.
* System Architecture: Develop scalable and robust architectures for agentic systems, ensuring high performance, reliability, and security.
* Machine Learning Integration: Integrate various machine learning models (e.g., LLMs, reinforcement learning, predictive models) to enhance agent capabilities and decision\-making.
* Task Automation: Develop agents that can automate complex tasks, optimize workflows, and solve real\-world problems across various domains.
* Framework and Tooling: Utilize and contribute to agentic AI frameworks and development tools.
* Evaluation and Optimization: Design and implement metrics and evaluation strategies for agent performance, continuously optimizing and improving agent behavior.
* Research and Innovation: Stay abreast of the latest advancements in AI, particularly in agent\-based systems, autonomous AI, and related fields, and propose innovative solutions.
* Collaboration: Work closely with cross\-functional teams including AI researchers, data scientists, product managers, and software engineers to integrate agentic solutions into broader products and services.
* Documentation: Create comprehensive technical documentation for agent designs, implementations, and operational procedures.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**Required Qualifications:**
* 6\+ years of professional experience in software development with a focus on AI, machine learning, or agent\-based systems.
* Experience in finance industry a plus.
* Programming: Strong proficiency in Python, SQL; Java is a plus.
* AI/ML Expertise:
+ Solid understanding of core AI concepts, including knowledge representation, automated planning, decision\-making under uncertainty, and multi\-agent systems.
+ Experience with machine learning frameworks (e.g., TensorFlow, PyTorch) and relevant libraries (e.g., Scikit\-Learn, NumPy, Pandas).
+ Familiarity with large language models (LLMs) and their application in agentic systems.
+ Familiarity with specific agent frameworks (e.g., LangChain, AutoGen, CrewAI, RAG) or research in multi\-agent reinforcement learning.
+ Experience in designing and implementing APIs for AI services.
* Software Engineering: Experience with software development best practices, including version control (Git), CI/CD pipelines, testing, and code reviews.
* Problem\-Solving: Excellent analytical and problem\-solving skills with a creative approach to complex challenges.
* Communication: Strong written and verbal communication skills, with the ability to articulate complex technical concepts to diverse audiences.
* Platforms: Experience with cloud platforms (AWS, Azure, GCP) and containerization technologies (Docker, Kubernetes).
**Education:**
* Bachelor's degree in computer science, artificial intelligence, robotics, or a related quantitative field, or equivalent experience
* Master's degree preferred
 This job description provides a high\-level review of the types of work performed. Other job\-related duties may be assigned as required.
 \-\-\-\-\-\-\-\-\-\-\-\-\-\-\-\-\-\-\-\-\-\-\-\-\-\-\-\-\-\-\-\-\-\-\-\-\-\-\-\-\-\-\-\-\-\-\-\-\-\-\-\-\-\-
**Job Family Group:**
 Technology
 \-\-\-\-\-\-\-\-\-\-\-\-\-\-\-\-\-\-\-\-\-\-\-\-\-\-\-\-\-\-\-\-\-\-\-\-\-\-\-\-\-\-\-\-\-\-\-\-\-\-\-\-\-\-
**Job Family:**
 Applications Development
 \-\-\-\-\-\-\-\-\-\-\-\-\-\-\-\-\-\-\-\-\-\-\-\-\-\-\-\-\-\-\-\-\-\-\-\-\-\-\-\-\-\-\-\-\-\-\-\-\-\-\-\-\-\-
**Time Type:**
 Full time
 \-\-\-\-\-\-\-\-\-\-\-\-\-\-\-\-\-\-\-\-\-\-\-\-\-\-\-\-\-\-\-\-\-\-\-\-\-\-\-\-\-\-\-\-\-\-\-\-\-\-\-\-\-\-
**Primary Location:**
 New York New York United States
 \-\-\-\-\-\-\-\-\-\-\-\-\-\-\-\-\-\-\-\-\-\-\-\-\-\-\-\-\-\-\-\-\-\-\-\-\-\-\-\-\-\-\-\-\-\-\-\-\-\-\-\-\-\-
**Primary Location Full Time Salary Range:**
 $142 320,00 \- $213 480,00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dic 30,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36">
      <c r="A36" t="inlineStr">
        <is>
          <t>li-4341296646</t>
        </is>
      </c>
      <c r="B36" t="inlineStr">
        <is>
          <t>Qlik Data Engineer</t>
        </is>
      </c>
      <c r="C36" t="inlineStr">
        <is>
          <t>Victaulic</t>
        </is>
      </c>
      <c r="D36" t="inlineStr">
        <is>
          <t>linkedin</t>
        </is>
      </c>
      <c r="E36">
        <f>HYPERLINK("https://www.linkedin.com/jobs/view/4341296646", "https://www.linkedin.com/jobs/view/4341296646")</f>
        <v/>
      </c>
      <c r="F36" t="inlineStr"/>
      <c r="G36" t="inlineStr">
        <is>
          <t>Northampton County, PA</t>
        </is>
      </c>
      <c r="H36" t="inlineStr"/>
      <c r="I36" t="inlineStr">
        <is>
          <t>**Description**
 Summary
**This position is NOT eligible for visa sponsorship.**
 This role will specialize in building comprehensive data pipeline development and management, enabling our current Business Intelligence team to focus on analytics and business value while ensuring robust, scalable data integration solutions.
 Background and Current State
 Our Business Intelligence team currently operates as a multi\-disciplinary unit managing the complete data lifecycle from ingestion to visualization. The current structure requires our BI professionals to wear many hats, handling responsibilities that span data engineering, ETL/ELT development, data modeling, report creation, dashboard development, and business relationship management. While this approach has served us well in establishing our data capabilities, the increasing complexity of our data ecosystem and growing business demands have created capacity constraints and specialization challenges.
 Our data integration landscape has evolved significantly with the adoption of Qlik Data Integration and Qlik Talend Cloud Enterprise Edition. The current team's broad responsibilities limit the depth of specialization possible in any single area, particularly in the technical aspects of modern real\-time data integration and the advanced features available in Qlik Talend Cloud Enterprise Edition. As our organization increasingly requires real\-time analytics, operational reporting, and seamless data movement across hybrid cloud environments, we need dedicated expertise to ensure our Qlik platform delivers optimal performance and business value.
**Primary Job Responsibilities**
**Data Integration Architecture and Engineering**
* Develop and maintain ETL/ELT data pipelines leveraging Qlik Data Integration for data warehouse generation in bronze, silver, gold layers
* Build consumer facing datamarts, views, and push\-down calculations to enable improved analytics by BI team and Citizen Developers
* Implement enterprise data integration patterns supporting batch, real\-time, and hybrid processing requirements
* Coordinate execution of and monitor pipelines to ensure timely reload of EDW
**Technical Implementation and Platform Management**
* Configure and manage Qlik Data Integration components including pipeline projects, lineage, data catalog, data quality, and data marketplace
* Implement data quality rules and monitoring using Qlik and Talend tools
* Manage Qlik Tenant, security, access and manage Data Movement Gate way
**Performance, Monitoring, Governance and Management**
* Monitor and optimize data replication performance, latency, and throughput across all integration points
* Implement comprehensive logging, alerting, and performance monitoring
* Conduct regular performance audits and capacity planning for integration infrastructure
* Establish SLA monitoring and automated recovery procedures for critical data flows
**Collaboration and Enterprise Support**
* Provide technical expertise on Qlik Data Integration best practices and enterprise patterns
* Support database administrators and infrastructure teams with replication and integration architecture
* Lead technical discussions on data strategy and platform roadmap decisions
**Key Qualifications**
**Required Skills**
* Bachelor's degree in Computer Science, Information Systems, or related technical field
* 4\+ years of experience in enterprise data integration with at least 2 years of hands\-on Qlik or Talend experience
* Strong understanding of change data capture (CDC) technologies and real\-time data streaming concepts
* Strong understanding of data lake and data warehouse strategies, and data modelling
* Advanced SQL skills with expertise in database replication, synchronization, and performance tuning
* Experience with enterprise ETL/ELT tools and data integration patterns
* Proficiency in at least one programming language (Java, Python, or SQL scripting)
**Preferred Qualifications**
* Qlik Data Integration certification or Talend certification (Data Integration, Data Quality, or Big Data)
* Experience with cloud platforms (AWS or Azure) and hybrid integration scenarios
* Experience with Snowflake preferred
* Understanding of data governance frameworks and regulatory compliance requirements
* Experience with API management and microservices architecture
**Soft Skills**
* Strong analytical and troubleshooting capabilities with complex integration challenges
* Excellent communication skills with ability to explain technical integration concepts to business stakeholders
* Collaborative approach with experience in cross\-functional enterprise teams
* Detail\-oriented mindset with commitment to data accuracy and system reliability
* Adaptability to evolving integration requirements and emerging technologies
**This position is NOT eligible for visa sponsorship.**
*EEO Statement: Victaulic is an Equal Employment Opportunity (EOE/M/F/Vets/Disabled) employer and welcomes all qualified applicants. Applicants will receive fair and impartial consideration without regard to race, gender, color, religion, national origin, age, disability, veteran status, sexual orientation, genetic data, or other legally protected status*
 \#TOP123
 Victaulic Staffing Partner Communication Policy
*All staffing agencies are strictly forbidden from directly contacting any Victaulic employees, except those within the Human Resources/Talent Acquisition team. All communications, inquiries and candidate submissions must be routed through Victaulic's Human Resources/Talent Acquisition team. Non\-compliance with this policy may result in the suspension of partnership, cancellation of the current contract, and/or the imposition of a mandatory probation period before any future business can resume. Additionally, non\-compliance may lead to a permanent ban on future business. This policy ensures a streamlined and compliant recruitment process.*</t>
        </is>
      </c>
    </row>
    <row r="37">
      <c r="A37" t="inlineStr">
        <is>
          <t>li-4361656560</t>
        </is>
      </c>
      <c r="B37" t="inlineStr">
        <is>
          <t>Associate Data Engineer</t>
        </is>
      </c>
      <c r="C37" t="inlineStr">
        <is>
          <t>A Hiring Company</t>
        </is>
      </c>
      <c r="D37" t="inlineStr">
        <is>
          <t>linkedin</t>
        </is>
      </c>
      <c r="E37">
        <f>HYPERLINK("https://www.linkedin.com/jobs/view/4361656560", "https://www.linkedin.com/jobs/view/4361656560")</f>
        <v/>
      </c>
      <c r="F37">
        <f>HYPERLINK("https://www.click2apply.net/6967bc12539804be2d515f54&amp;urlHash=ko8d", "https://www.click2apply.net/6967bc12539804be2d515f54&amp;urlHash=ko8d")</f>
        <v/>
      </c>
      <c r="G37" t="inlineStr">
        <is>
          <t>Washington, DC</t>
        </is>
      </c>
      <c r="H37" t="inlineStr"/>
      <c r="I37" t="inlineStr">
        <is>
          <t>**Associate Data Engineer** 
 With over 5 million members, Working America mobilizes working people who don’t have the benefit of a union at work to fight for good jobs and a fair economy. As the community affiliate of the AFL\-CIO, we unite working people in urban and suburban communities around a shared economic agenda.
 The Associate Data Engineer will support Working America's data integration work, including troubleshooting data issues, supporting interface data flows, and contributing to data validation and transformation efforts. Under the direction of the Manager of Data and Cloud services, they will assist in documenting data structures, supporting audit readiness, and ensuring compliance with data governance standards.
**This is a fixed\-term position through Dec. 18, 2026\.** 
**Reports to:** 
 IT Manager of Data \&amp; Cloud Services
 Duties and Responsibilities
 ● Support the design, development, and maintenance of data pipelines and database systems.
 ● Manage data quality, supporting data integration across internal and external systems,and maintaining metadata and data dictionaries.
 ● Write and update technical documentation for collaboration and knowledge sharing with team members.
 ● Support the development of reports and visualizations based on established report definitions.
 ● Other duties as assigned.
**Qualifications** 
 ● STEM\-related Associate’s degree preferred,
 ● 0\-2 years of related work experience in data engineering or architecture required;
 ● Familiarity with data systems and infrastructures, pipelines, and data sets required;
 ● Strong command of relational databases and SQL; Extract, Transform, and Load (ETL) data into a relational database required;
 ● Familiarity with cloud infrastructure technologies.
 ● 0\-2 years of Python strongly preferred;
 ● Familiarity with GitHub;
 ● Excellent listening, interpersonal, communication and problem solving skills;
 ● Ability to use good judgment, take initiative, and make recommendations in resolving problems;
 ● Ability to work long and irregular hours as necessary in response to technical difficulties.
**Location:** 
 Washington, DC
**Position** 
 ● Full\-time
 ● FLSA Classification: Non\-Exempt
 The Step 1 salary is $94,209, with additional steps considered for candidates with experience and qualifications beyond what is required above. Includes medical insurance, paid time off, and 401(k) with employer contribution.
 The position is a bargaining unit position, represented by the Washington\-Baltimore NewsGuild, TNG\-CWA, Local 32035\.
 Working America is an equal opportunity employer. Working America is committed to building a diverse workforce and encourages applications from women, people of color, LGBTQIA and other non\-conforming individuals, and individuals with disabilities.
**Compensation details:** 
 94209\-94209 Yearly Salary</t>
        </is>
      </c>
    </row>
    <row r="38">
      <c r="A38" t="inlineStr">
        <is>
          <t>li-4345998947</t>
        </is>
      </c>
      <c r="B38" t="inlineStr">
        <is>
          <t>Data Engineer Lead</t>
        </is>
      </c>
      <c r="C38" t="inlineStr">
        <is>
          <t>Old National Bank</t>
        </is>
      </c>
      <c r="D38" t="inlineStr">
        <is>
          <t>linkedin</t>
        </is>
      </c>
      <c r="E38">
        <f>HYPERLINK("https://www.linkedin.com/jobs/view/4345998947", "https://www.linkedin.com/jobs/view/4345998947")</f>
        <v/>
      </c>
      <c r="F38">
        <f>HYPERLINK("https://careers-oldnational.icims.com/jobs/18141/data-engineer-lead/job?in_iframe=1&amp;mode=apply&amp;iis=LinkedIn&amp;urlHash=dRjt", "https://careers-oldnational.icims.com/jobs/18141/data-engineer-lead/job?in_iframe=1&amp;mode=apply&amp;iis=LinkedIn&amp;urlHash=dRjt")</f>
        <v/>
      </c>
      <c r="G38" t="inlineStr">
        <is>
          <t>Chicago, IL</t>
        </is>
      </c>
      <c r="H38" t="inlineStr"/>
      <c r="I38"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39">
      <c r="A39" t="inlineStr">
        <is>
          <t>li-4353014318</t>
        </is>
      </c>
      <c r="B39" t="inlineStr">
        <is>
          <t>Palantir Foundry Data Engineer</t>
        </is>
      </c>
      <c r="C39" t="inlineStr">
        <is>
          <t>Docupace</t>
        </is>
      </c>
      <c r="D39" t="inlineStr">
        <is>
          <t>linkedin</t>
        </is>
      </c>
      <c r="E39">
        <f>HYPERLINK("https://www.linkedin.com/jobs/view/4353014318", "https://www.linkedin.com/jobs/view/4353014318")</f>
        <v/>
      </c>
      <c r="F39" t="inlineStr"/>
      <c r="G39" t="inlineStr"/>
      <c r="H39" t="inlineStr"/>
      <c r="I39" t="inlineStr">
        <is>
          <t>Docupace is seeking a
 **Senior Data Engineer** 
 to design, build, and operate the foundational data infrastructure behind our
 **Palantir Foundry platform.** 
 This high\-impact role is central to enabling analytics, automation, and AI capabilities across our wealth\-management ecosystem.
**Role Summary** 
 You will build, model, and operate the data foundations that power our Palantir Foundry platform. This role owns ingestion and transformation across multi\-custodian feeds, wealth\-management systems, and compliance workflows, and maintains the Foundry Ontology to enable analytics, AI agents, and operational automation.
**What You'll Do** 
**Ingest \&amp; Model** 
* Design and implement Foundry pipelines from custodian APIs, internal databases, and third\-party providers using Pipeline Builder and Code Repositories (Python/PySpark/SQL).
* Model and maintain the Foundry Ontology (objects, properties, links) for core domains: Clients, Households, Accounts, Transactions, Advisors, Documents/Forms.
* Expose curated datasets/objects for Workshop apps, reporting, and programmatic access (e.g., GraphQL/REST).
**Data Quality \&amp; Governance** 
* Define validation rules and monitors for NIGO (Not\-In\-Good\-Order) detection, compliance surveillance, and NAO (New Account Opening) workflows.
* Implement schema evolution, data lineage, and documentation; ensure traceability from source to Ontology.
* Enforce data access controls and masking for PII; support audit readiness (FINRA/SEC) and privacy (GDPR/GLBA).
**Reliability \&amp; Operations** 
* Establish SLAs for freshness and availability; schedule jobs, implement alerting, and manage backfills.
* Own incident response/runbooks and cost\-aware compute usage; use Git\-based workflows and code reviews.
* Partner with Infra/Sec to align IAM, secrets, and environment configuration.
**Collaboration \&amp; Enablement** 
* Translate product/compliance use cases into data contracts; coordinate with upstream engineering on API quality.
* Enable downstream builders (Workshop apps, reports, AI features) via semantic layers and clear documentation.
* Provide office hours and training for analysts and product teams.
**Must\-Have Qualifications** 
* 5\+ years in data engineering with distributed processing (Spark/PySpark) and advanced SQL.
* Hands\-on Palantir Foundry experience (≥1 year building pipelines and Ontology) or demonstrably fast ramp with strong DE background on comparable stacks (e.g., Databricks/Spark).
* Strong proficiency in
**SQL**
 — Foundry heavily relies on SQL\-like operations for data transformations (similar to pipelines in dbt or Snowflake).
* Experience with
**data lineage**
 and
**versioned transformations**
* Proven data modeling across relational and graph/relationship domains.
* Comfort working with
**Spark**
 ,
**Hadoop**
 , or other distributed compute engines
* Knowledge of
**data partitioning**
 ,
**optimization**
 , and
**parallelized workloads**
 .
* API integration (REST/GraphQL), including auth, pagination, retries, and schema change handling.
* Testing \&amp; CI/CD for data (unit tests, data quality checks, code reviews) and strong Git hygiene.
* Excellent communication with product, compliance, and engineering partners.
**Nice\-to\-Have** 
* Wealth management/fintech or regulated industry experience; familiarity with FINRA/SEC workflows.
* Multi\-custodian data (e.g., Schwab, Fidelity, Pershing), account opening, NIGO resolution, surveillance.
* AWS data services and Infra\-as\-Code (e.g., S3/IAM/Glue/Terraform).
* Streaming (Kafka) and/or document/OCR pipelines for forms and unstructured data.
* Palantir training/certifications.
**30/60/90 Outcomes \&amp; KPIs** 
**30 days** 
* Access configured; baseline ingestion from ≥2 priority sources landing in curated layers.
* Draft Ontology v0 (Clients/Accounts/Transactions/Forms) reviewed with Product \&amp; Compliance.
* Initial DQ checks live (completeness, referential integrity).
**KPIs:** 
 first pipelines to Prod; freshness \&lt; 24h; \&gt;90% pass on critical DQ checks.
**60 days** 
* Ontology v1 published with relationships and semantic metrics for key use cases (NIGO/NAO, AUM views).
* 4–6 production pipelines with automated monitoring/alerts and runbooks; lineage documented end\-to\-end.
**KPIs:** 
 freshness \&lt; 4h on priority feeds; \&gt;95% DQ pass; \&lt;2h MTTR for data incidents.
**90 days** 
* First Workshop app/report and one AI/agent use case unblocked by Ontology actions or features.
* RBAC and PII controls in place; audit evidence automated for schema changes and releases.
* Cost/performance baseline with a monthly efficiency plan.
**KPIs:** 
 99\.5% pipeline SLA; 100% lineage coverage for Tier\-1 datasets; tracked cost/run with 10–20% optimization plan.
**What You'll Get** 
* Direct impact on a high\-visibility Foundry implementation transforming wealth\-management operations.
* Close collaboration with senior Product/Engineering leaders and Palantir solution teams.
* Competitive compensation and growth in a modern data/AI platform environment.</t>
        </is>
      </c>
    </row>
    <row r="40">
      <c r="A40" t="inlineStr">
        <is>
          <t>li-4352984484</t>
        </is>
      </c>
      <c r="B40" t="inlineStr">
        <is>
          <t>Data Engineer</t>
        </is>
      </c>
      <c r="C40" t="inlineStr">
        <is>
          <t>CFS</t>
        </is>
      </c>
      <c r="D40" t="inlineStr">
        <is>
          <t>linkedin</t>
        </is>
      </c>
      <c r="E40">
        <f>HYPERLINK("https://www.linkedin.com/jobs/view/4352984484", "https://www.linkedin.com/jobs/view/4352984484")</f>
        <v/>
      </c>
      <c r="F40" t="inlineStr"/>
      <c r="G40" t="inlineStr">
        <is>
          <t>Orlando, FL</t>
        </is>
      </c>
      <c r="H40" t="inlineStr"/>
      <c r="I40" t="inlineStr">
        <is>
          <t>**Position:** 
 Data Engineer
**Salary:** 
 $100,000 \- 115,000 \+ Bonus
**Benefits:** 
 Competitive Healthcare Plans, 34 Days of PTO (Paid Time Off), Onsite Gym, Wellness Programs, 401(k) match, Life Insurance, etc.
**Location:** 
 Orlando, FL (Onsite)
**Job Summary**
 a { text\-decoration: none; color: \#464feb; } tr th, tr td { border: 1px solid \#e6e6e6; } tr th { background\-color: \#f5f5f5; }
**Role**
 The Data Engineer will design, build, and maintain scalable data pipelines and platforms that support enterprise reporting, analytics, and data‑driven decision‑making. This role works closely with IT, data, and business teams to ensure data is accurate, accessible, secure, and ready for use across the organization. Here are a few reasons to apply:
* Outstanding benefits, including an onsite gym and 34 days of PTO.
* Leadership invested heavily in both the business and its people, fueling continued growth.
* Brand new, state of the art office currently being built.
**Key Responsibilities Of The Data Engineer**
* Support and enhance the Guidewire Enterprise Data Warehouse, ensuring reliable and accurate data flows
* Design and implement on‑prem or cloud‑based data platforms, integrating Guidewire and other enterprise data sources
* Build and maintain ETL/ELT pipelines to ingest, transform, and optimize data
* Develop and maintain data models for reporting, analytics, and advanced use cases (AI/ML)
* Implement data governance, quality, security, and compliance best practices
* Enable self‑service analytics and real‑time data processing using modern data technologies
* Collaborate with IT, analytics, and business teams to translate data needs into technical solutions
* Mentor junior team members and contribute to data architecture and modernization initiatives
* Manage work through ticketing systems and contribute to project planning
* Support reporting requests and ad‑hoc analysis for leadership as needed
**Preferred Experience Of The Data Engineer**
* Bachelor’s or Master’s degree in Computer Science, Information Systems, Data Science, or related field
* 5\+ years of experience in data engineering, data architecture, or related roles
* Experience with Guidewire InsuranceSuite data models (PolicyCenter, BillingCenter, ClaimCenter) preferred
* Strong experience with Azure‑based data platforms and lakehouse architectures
* Proficiency in ETL/ELT tools (SSIS, Azure Data Factory) and SQL‑based databases
* Hands‑on experience with big data and streaming technologies (Databricks, Spark, Kafka, etc.)
* Familiarity with BI tools such as Power BI, Tableau, or Looker
* Working knowledge of data governance, security, and compliance frameworks
* Experience using Jira or similar ticketing systems
**Bonus Experience Of The Data Engineer**
* Experience with Data Mesh architectures
* Exposure to machine learning / MLOps
* Azure Data Engineer certification
 \#INJAN2026 a { text\-decoration: none; color: \#464feb; } tr th, tr td { border: 1px solid \#e6e6e6; } tr th { background\-color: \#f5f5f5; } a { text\-decoration: none; color: \#464feb; } tr th, tr td { border: 1px solid \#e6e6e6; } tr th { background\-color: \#f5f5f5; } a { text\-decoration: none; color: \#464feb; } tr th, tr td { border: 1px solid \#e6e6e6; } tr th { background\-color: \#f5f5f5; } a { text\-decoration: none; color: \#464feb; } tr th, tr td { border: 1px solid \#e6e6e6; } tr th { background\-color: \#f5f5f5; }</t>
        </is>
      </c>
    </row>
    <row r="41">
      <c r="A41" t="inlineStr">
        <is>
          <t>li-4341268174</t>
        </is>
      </c>
      <c r="B41" t="inlineStr">
        <is>
          <t>Senior Data Engineer (Hybrid - AdTech | $150K-$210K + Bonus)</t>
        </is>
      </c>
      <c r="C41" t="inlineStr">
        <is>
          <t>CyberCoders</t>
        </is>
      </c>
      <c r="D41" t="inlineStr">
        <is>
          <t>linkedin</t>
        </is>
      </c>
      <c r="E41">
        <f>HYPERLINK("https://www.linkedin.com/jobs/view/4341268174", "https://www.linkedin.com/jobs/view/4341268174")</f>
        <v/>
      </c>
      <c r="F41" t="inlineStr"/>
      <c r="G41" t="inlineStr">
        <is>
          <t>Andover, MA</t>
        </is>
      </c>
      <c r="H41" t="inlineStr"/>
      <c r="I41"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TM4\-1848157L582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04/08/2025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2">
      <c r="A42" t="inlineStr">
        <is>
          <t>li-4282846252</t>
        </is>
      </c>
      <c r="B42" t="inlineStr">
        <is>
          <t>Databricks Data Engineer - Senior - Consulting - Location Open</t>
        </is>
      </c>
      <c r="C42" t="inlineStr">
        <is>
          <t>EY</t>
        </is>
      </c>
      <c r="D42" t="inlineStr">
        <is>
          <t>linkedin</t>
        </is>
      </c>
      <c r="E42">
        <f>HYPERLINK("https://www.linkedin.com/jobs/view/4282846252", "https://www.linkedin.com/jobs/view/4282846252")</f>
        <v/>
      </c>
      <c r="F42" t="inlineStr"/>
      <c r="G42" t="inlineStr">
        <is>
          <t>New York, NY</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li-4361628925</t>
        </is>
      </c>
      <c r="B43" t="inlineStr">
        <is>
          <t>Operational Excellence Data Engineer</t>
        </is>
      </c>
      <c r="C43" t="inlineStr">
        <is>
          <t>Novelis</t>
        </is>
      </c>
      <c r="D43" t="inlineStr">
        <is>
          <t>linkedin</t>
        </is>
      </c>
      <c r="E43">
        <f>HYPERLINK("https://www.linkedin.com/jobs/view/4361628925", "https://www.linkedin.com/jobs/view/4361628925")</f>
        <v/>
      </c>
      <c r="F43" t="inlineStr"/>
      <c r="G43" t="inlineStr">
        <is>
          <t>Guthrie, KY</t>
        </is>
      </c>
      <c r="H43" t="inlineStr"/>
      <c r="I43" t="inlineStr">
        <is>
          <t>Novelis is one of the world leaders in aluminum recycling and rolling and a leading sustainable aluminum solutions provider. Driven by our purpose of shaping a sustainable world together, we work alongside our customers to provide innovative solutions to the aerospace, automotive, beverage packaging and specialty markets. Headquartered in Atlanta, Georgia, Novelis has approximately 13,000 employees in 32 operating facilities on 4 continents.
**Responsibilities \&amp; Qualifications**
 The Novelis Guthrie, KY team is seeking an experienced Operational Excellence Data Engineer to join our automotive finishing plant. In this role, you will identify high\-value improvement projects, coordinate training, and support the development of the site’s loss intelligence system to prioritize initiatives. You will play a key role in driving continuous improvement and operational excellence across the facility.
 Additionally, you will collaborate with the Operational Excellence Manager to implement the Novelis Operating System (NOS), including plant\-wide value stream analysis and improvement planning cycles. This position requires strong coordination skills to manage numerous projects and provide regular updates to leadership.
**Responsibilities**
* Develop and enhance Operational Excellence methodologies and tools for the Guthrie facility.
* Conduct assessments to identify high\-impact improvement opportunities across manufacturing areas.
* Equip area managers with tools to identify issues and implement corrective actions to prevent recurrence.
* Collaborate with operations leadership to define technical problems and test hypotheses.
* Monitor and maintain model performance to meet operational requirements and adapt to changing conditions.
* Serve as a resource for operations, maintenance, EHS, and supply chain teams to achieve business objectives.
* Drive loss intelligence development by identifying and prioritizing projects aligned with business goals.
* Lead improvement teams and coach others to lead successful initiatives.
* Communicate deviations in planning or results promptly to collaborators.
* Translate complex findings into actionable insights for non\-technical audiences.
* Master improvement tools and deliver training to empower employees at all levels to embrace a ZERO LOSS culture.
* Prepare and report weekly and monthly KPI updates to leadership.
* Identify and share best guidelines to align site performance with global standards.
**Qualifications**
* Bachelor’s Degree required, Engineering or related field preferred.
* 3–5 years of experience in process engineering, automation, or manufacturing.
* Strong understanding of statistical analysis techniques (e.g., distributions, linear regression).
* Proficiency in analysis tools such as MS Excel, PowerBI, Minitab, and Project.
* Familiarity with programming languages such as SQL, Python, R, and MATLAB.
* Strong critical thinking skills and ability to collaborate on complex problem\-solving.
* Minimum 2 years of experience leading Lean, TPM, Kaizen, or Six Sigma initiatives with proven results in manufacturing.
* Six Sigma Green Belt required; Black Belt certification preferred.
* Demonstrated ability to work independently and lead multi\-functional teams to deliver improvements on time.
* Strong leadership, communication, and interpersonal skills.
* Highly organized, energetic, data\-driven, and results\-oriented professional.
****What We Offer:****
**Benefits**
 Novelis' benefits say a lot about how we care for each other. Our employees and their families have many different needs. As a result, our benefits offer choices on many levels and are high in quality, driven by the marketplace, and affordable. In addition to core benefits, we provide these unique to the industry benefits:
* Family Growth Programs: Paid parental Leave, Adoption Assistance, Fertility Treatment, Childcare Discount and Nursing Mom Support
* Employee Assistance Programs: free resources available 24/7 to you and your family in the areas of mental health, family life, and career and financial guidance
* Wellness Programs: incentives for wellness activities, wellness spending account, programs for building healthy habits, virtual physical therapy for joint, back, and pelvic health, health management programs and more.
* Diabetes Management Program
* Pet insurance
* Identity Theft Protection
* PerkSpot Discount Program
* Tuition assistance and career development programs
**Location Profile**
 Novelis’ Guthrie facility is located in Guthrie Kentucky approximately 30 minutes from the Tennessee state line near Clarksville Tennessee and Hopkinsville Kentucky. As Novelis’ newest facility Guthrie will house a heat treatment and pretreatment line that will serve the North American automotive market and employ 125 residents. In addition to hunting fishing and hiking residents enjoy the Guthrie Transportation Museum which is the hub of the city’s renewal efforts. The Guthrie team enjoys partnerships with Hopkinsville Community College Todd County High School Guthrie Fire Department and several local Rotary Clubs.
 Novelis recognizes its talented and diverse workforce as a key competitive advantage. . Novelis provides equal employment opportunities to all employees and applicants. All terms and conditions of employment at Novelis including recruiting hiring placement promotion termination layoffs recalls transfers leaves of absence compensation and training are without regard to race color religion age sex national origin disability status genetics protected veteran status sexual orientation gender identity or expression or any other characteristic protected by federal provincial or local laws.
**Disclaimer**
 We encourage all potential candidates to follow the protocols below and to be diligent when sharing any personal information:
* Check the job posting is live and valid via our careers page: Careers \- Novelis
* Verify any communication with us by contacting our talent team at Careers \- Novelis</t>
        </is>
      </c>
    </row>
    <row r="44">
      <c r="A44" t="inlineStr">
        <is>
          <t>li-4354954162</t>
        </is>
      </c>
      <c r="B44" t="inlineStr">
        <is>
          <t>Lead AWS Data Engineer</t>
        </is>
      </c>
      <c r="C44" t="inlineStr">
        <is>
          <t>Yochana</t>
        </is>
      </c>
      <c r="D44" t="inlineStr">
        <is>
          <t>linkedin</t>
        </is>
      </c>
      <c r="E44">
        <f>HYPERLINK("https://www.linkedin.com/jobs/view/4354954162", "https://www.linkedin.com/jobs/view/4354954162")</f>
        <v/>
      </c>
      <c r="F44" t="inlineStr"/>
      <c r="G44" t="inlineStr">
        <is>
          <t>St Louis, MO</t>
        </is>
      </c>
      <c r="H44" t="inlineStr"/>
      <c r="I44" t="inlineStr">
        <is>
          <t>**Position Title: Lead AWS Data Engineer** 
**Location: St. Louis, MO** 
**Job Description** 
**• Design and build scalable, cloud\-native data platforms using PySpark, Python, and modern data engineering practices.** 
**• Mentor and guide other engineers, sharing knowledge, reviewing code, and fostering a culture of curiosity, growth, and continuous improvement.** 
**• Create robust, maintainable ETL/ELT pipelines that integrate with diverse systems and serve business\-critical use cases.** 
**• Lead by example—write high\-quality, testable code and participate in architecture and design discussions with a long\-term view in mind.** 
**• Decompose complex problems into modular, efficient, and scalable components that align with platform and product goals.** 
**• Champion best practices in data engineering, including testing, version control, documentation, and performance tuning.** 
**• Drive collaboration across teams, working closely with product managers, data scientists, and other engineers to deliver high\-impact solutions.** 
**• Support data governance and quality efforts, ensuring data lineage, cataloging, and access management are built into the platform.** 
**• Continuously learn and apply new technologies, frameworks, and tools to improve team productivity and platform reliability.** 
**• Own and optimize cloud infrastructure components related to data engineering workflows, storage, processing, and orchestration.** 
**• Participate in architectural discussions, iteration planning, and feature sizing meetings** 
**• Adhere to Agile processes and participate actively in agile ceremonies** 
**• Stakeholder management skills** 
**All About You** 
* **Solid understanding of EMR Serverless, Apache Airflow, DAGs, Iceberg S3, SQS, DLQ, Lambda, AWS Lake Formation, Glue, Athena, Data Pipelines, Databricks Unity catalog, DBX S3**
* **Any experience in YAML Data Contracts**
* **Experience with containerization and infrastructure automation (e.g., Docker, Terraform) will be a good addition.**
* **Experience integrating heterogeneous systems and building resilient data pipelines across cloud environments.**
* **Familiarity with orchestration tools (e.g., Airflow, dbt, Step Functions, etc.).**
* **Exposure to data governance tools and practices (e.g., Lake Formation, Purview, or Atlan).**
* **AWS Certified Data Analytics, Azure Data Engineer), or demonstrable contributions to open source/data engineering communities will be a bonus. Exposure to machine learning data pipelines or MLOps is a plus.**</t>
        </is>
      </c>
    </row>
    <row r="45">
      <c r="A45" t="inlineStr">
        <is>
          <t>li-4345998946</t>
        </is>
      </c>
      <c r="B45" t="inlineStr">
        <is>
          <t>Data Engineer Lead</t>
        </is>
      </c>
      <c r="C45" t="inlineStr">
        <is>
          <t>Old National Bank</t>
        </is>
      </c>
      <c r="D45" t="inlineStr">
        <is>
          <t>linkedin</t>
        </is>
      </c>
      <c r="E45">
        <f>HYPERLINK("https://www.linkedin.com/jobs/view/4345998946", "https://www.linkedin.com/jobs/view/4345998946")</f>
        <v/>
      </c>
      <c r="F45">
        <f>HYPERLINK("https://careers-oldnational.icims.com/jobs/18141/data-engineer-lead/job?in_iframe=1&amp;mode=apply&amp;iis=LinkedIn&amp;urlHash=dRjt", "https://careers-oldnational.icims.com/jobs/18141/data-engineer-lead/job?in_iframe=1&amp;mode=apply&amp;iis=LinkedIn&amp;urlHash=dRjt")</f>
        <v/>
      </c>
      <c r="G45" t="inlineStr">
        <is>
          <t>Evansville, IN</t>
        </is>
      </c>
      <c r="H45" t="inlineStr"/>
      <c r="I45"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46">
      <c r="A46" t="inlineStr">
        <is>
          <t>li-4203583939</t>
        </is>
      </c>
      <c r="B46" t="inlineStr">
        <is>
          <t>Senior CX Analytics Engineer</t>
        </is>
      </c>
      <c r="C46" t="inlineStr">
        <is>
          <t>Coinbase</t>
        </is>
      </c>
      <c r="D46" t="inlineStr">
        <is>
          <t>linkedin</t>
        </is>
      </c>
      <c r="E46">
        <f>HYPERLINK("https://www.linkedin.com/jobs/view/4203583939", "https://www.linkedin.com/jobs/view/4203583939")</f>
        <v/>
      </c>
      <c r="F46" t="inlineStr"/>
      <c r="G46" t="inlineStr"/>
      <c r="H46" t="inlineStr"/>
      <c r="I4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Coinbase Customer Experience (CX) organization plays an imperative role in achieving our mission. Our team is dedicated to eliminating customer defects, driving efficiency through automation, and optimizing support operations. We are seeking an experienced Senior Analytics Engineer to lead insights into our quality assurance and knowledge management functions. As a Senior Analytics Engineer on our team, you will own and drive projects that create meaningful business impact. You’ll have the opportunity to transform data into measurable actions that improve customer experiences and help shape our long\-term strategy to deliver maximum impact to our customers.
**What you’ll be doing (ie. job duties):** 
* Improve customer experiences by developing bar raising metrics, self\-service tools, and deep analyses that drive actionable insights
* Collaborate with stakeholders to manage a long\-term analytic roadmap that balances the tactical and strategic needs of the business
* Proactively identify opportunity areas for improvement including deep dive investigations and processes to better serve our customers
* Drive the vision, building, and adoption of self\-service analytic capabilities; develop these capabilities at scale
* Understand data resources and know when, how, and which best to use for each project
* Ability to frame and break down complex business problems into key components and recommend practical solutions
* Monitor key performance metrics and use data to identify actionable opportunities to increase efficiency and make high\-quality decisions that drive performance improvements
* Build a collaborative team environment that fosters efficient execution, innovation, and continuous improvement
* Develop and support the analytical technologies that give our team timely, flexible, and structured access to their data
* Guide code reviews, provide SQL and Python expertise, and create well\-maintained ETL jobs
* Maintain a high bar for statistical rigor on your team; ensure that we’re conducting experimentation and causal analyses that build confidence with your stakeholders
**What we look for in you (ie. job requirements):** 
* 5\+ years of relevant data analytics experience in an operational environment, with a strong focus on quality measures
* Experience transforming unstructured data into actionable insights, outlier based agent performance management, and web analytics
* Professional experience using advanced SQL and data modeling skills to process large, complex datasets
* Proficient using at least one data visualization product (Looker, Tableau, QuickSight, etc.)
* Excellent written and verbal communication skills, including experience meeting with and communicating information to senior leadership
* Highly collaborative, with an ability to optimally secure inputs from many cross\-functional partner teams
* Ability to think strategically, formulate appropriate analytical solutions, and execute in order to solve business needs
**Nice to haves:** 
* Report automation experience (e.g. using Python, R)
* Knowledge of AWS services and cloud computing
* Experience with descriptive and inferential statistics
* Experience with financial industry regulations
 ID: P62711
 Pay Transparency Notice: Depending on your work location, the target annual salary for this position can range as detailed below. Full time offers from Coinbase also include target bonus \+ target equity \+ benefits (including medical, dental, vision and 401(k)).
 Pay Range: : $167,280 USD \- $196,800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47">
      <c r="A47" t="inlineStr">
        <is>
          <t>li-4341258117</t>
        </is>
      </c>
      <c r="B47" t="inlineStr">
        <is>
          <t>Senior Data Engineer (Hybrid - AdTech | $150K-$210K + Bonus)</t>
        </is>
      </c>
      <c r="C47" t="inlineStr">
        <is>
          <t>CyberCoders</t>
        </is>
      </c>
      <c r="D47" t="inlineStr">
        <is>
          <t>linkedin</t>
        </is>
      </c>
      <c r="E47">
        <f>HYPERLINK("https://www.linkedin.com/jobs/view/4341258117", "https://www.linkedin.com/jobs/view/4341258117")</f>
        <v/>
      </c>
      <c r="F47" t="inlineStr"/>
      <c r="G47" t="inlineStr">
        <is>
          <t>Los Angeles, CA</t>
        </is>
      </c>
      <c r="H47" t="inlineStr"/>
      <c r="I47"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TM4\-1848157L581 \-\- in the email subject line for your application to be considered.\*\*\*
 Nitu Gulati\-Pauly \- VP of Recruiting \&amp; Strategic Accounts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04/08/2025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8">
      <c r="A48" t="inlineStr">
        <is>
          <t>li-4341048430</t>
        </is>
      </c>
      <c r="B48" t="inlineStr">
        <is>
          <t>Senior Data Engineer (Hybrid - AdTech | $150K-$210K + Bonus)</t>
        </is>
      </c>
      <c r="C48" t="inlineStr">
        <is>
          <t>CyberCoders</t>
        </is>
      </c>
      <c r="D48" t="inlineStr">
        <is>
          <t>linkedin</t>
        </is>
      </c>
      <c r="E48">
        <f>HYPERLINK("https://www.linkedin.com/jobs/view/4341048430", "https://www.linkedin.com/jobs/view/4341048430")</f>
        <v/>
      </c>
      <c r="F48" t="inlineStr"/>
      <c r="G48" t="inlineStr">
        <is>
          <t>Fairfield, NJ</t>
        </is>
      </c>
      <c r="H48" t="inlineStr"/>
      <c r="I48"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TM4\-1848157L464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04/08/2025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9">
      <c r="A49" t="inlineStr">
        <is>
          <t>li-4346151647</t>
        </is>
      </c>
      <c r="B49" t="inlineStr">
        <is>
          <t>Data Engineer Lead</t>
        </is>
      </c>
      <c r="C49" t="inlineStr">
        <is>
          <t>Old National Bank</t>
        </is>
      </c>
      <c r="D49" t="inlineStr">
        <is>
          <t>linkedin</t>
        </is>
      </c>
      <c r="E49">
        <f>HYPERLINK("https://www.linkedin.com/jobs/view/4346151647", "https://www.linkedin.com/jobs/view/4346151647")</f>
        <v/>
      </c>
      <c r="F49" t="inlineStr"/>
      <c r="G49" t="inlineStr">
        <is>
          <t>Lake Elmo, MN</t>
        </is>
      </c>
      <c r="H49" t="inlineStr"/>
      <c r="I49"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50">
      <c r="A50" t="inlineStr">
        <is>
          <t>li-4340349719</t>
        </is>
      </c>
      <c r="B50" t="inlineStr">
        <is>
          <t>Staff Analytics Engineer</t>
        </is>
      </c>
      <c r="C50" t="inlineStr">
        <is>
          <t>GE Aerospace</t>
        </is>
      </c>
      <c r="D50" t="inlineStr">
        <is>
          <t>linkedin</t>
        </is>
      </c>
      <c r="E50">
        <f>HYPERLINK("https://www.linkedin.com/jobs/view/4340349719", "https://www.linkedin.com/jobs/view/4340349719")</f>
        <v/>
      </c>
      <c r="F50" t="inlineStr"/>
      <c r="G50" t="inlineStr">
        <is>
          <t>Dayton, OH</t>
        </is>
      </c>
      <c r="H50" t="inlineStr"/>
      <c r="I50" t="inlineStr">
        <is>
          <t>**Job Description Summary**
 The Staff Analytics Engineer will be responsible for delivering new, commercially re\-usable analytics solutions (Analytic Blueprint Packages) to drive business outcomes.
**Job Description**
**Key Responsibilities:**
* End\-to\-End Implementation: Take ownership of the entire analytics lifecycle, from requirements gathering and data pipeline development to delivering actionable insights and dashboards.
* Data Pipeline Development: Design, develop, and maintain robust ETL/ELT pipelines to process and transform data from various sources into usable formats.
* Data Modeling: Create and maintain optimized data models to support analytics and reporting needs, ensuring data integrity and consistency.
* Understanding Business Processes: Develop a deep understanding of business processes, particularly within supply chain sites, to identify opportunities for improvement and enable tracking of key performance indicators (KPIs) such as Safety, Quality, Delivery, Inventory, and Productivity (SQDIP).
* Collaboration with Business Users: Partner closely with business users to understand their data needs, translate requirements into technical solutions, and ensure analytics solutions align with business goals.
* Data Quality Assurance: Implement data validation and monitoring processes to ensure high\-quality and reliable data for analytics.
* Performance Optimization: Optimize data workflows and queries for efficiency and scalability, ensuring minimal latency and maximum performance.
* Analytics and Visualization: Develop and maintain interactive dashboards and visualizations using Spotfire to enable data\-driven decision\-making across the organization.
* Ownership and Accountability: Act as the primary owner of analytics solutions, ensuring timely delivery, ongoing maintenance, and continuous improvement of data products.
* Documentation and Standards: Develop and maintain documentation for data pipelines, models, and processes, ensuring adherence to best practices and company standards.
* Continuous Improvement: Identify opportunities for process improvement and automation within data workflows and analytics operations.
* Compliance and Security: Ensure data solutions comply with organizational policies, data privacy regulations, and security standards.
**Minimum Qualifications**
* Bachelor’s degree from accredited university or college with minimum of 4 years of professional experience OR Associates degree with minimum of 7 years of professional experience OR High School Diploma with minimum of 9 years of professional experience
* Minimum 4 years of professional experience in data and Analytics
* Note: Military experience is equivalent to professional experience
**Eligibility Requirements**
* Legal authorization to work in the U.S. is required. We will not sponsor individuals for employment visas, now or in the future, for this job opening.
**Preferred Qualifications**
* Proven experience with SQL, Python, and data visualization tools (e.g., Spotfire).
* Familiarity with cloud platforms (e.g., AWS, Azure) and data warehousing solutions (e.g., Snowflake, Redshift).
* Strong understanding of data modelling, ETL/ELT processes, and database design.
* Proficiency in data pipeline tools (e.g., Apache Airflow, dbt, or similar).
* Knowledge of data governance, security, and compliance best practices.
* Excellent problem\-solving and analytical skills.
* Effective communication and collaboration skills to work with business users and cross\-functional teams.
**Desired Qualifications**
* Experience with machine learning workflows and tools.
* Familiarity with Agile methodologies and tools like JIRA.
* Knowledge of GE Aerospace’s FLIGHT DECK operating system and lean principles.
* Experience in the aerospace or manufacturing industry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t>
        </is>
      </c>
    </row>
    <row r="51">
      <c r="A51" t="inlineStr">
        <is>
          <t>li-4352973848</t>
        </is>
      </c>
      <c r="B51" t="inlineStr">
        <is>
          <t>US_East | Data Engineer_L2</t>
        </is>
      </c>
      <c r="C51" t="inlineStr">
        <is>
          <t>Expedite Talent Solutions</t>
        </is>
      </c>
      <c r="D51" t="inlineStr">
        <is>
          <t>linkedin</t>
        </is>
      </c>
      <c r="E51">
        <f>HYPERLINK("https://www.linkedin.com/jobs/view/4352973848", "https://www.linkedin.com/jobs/view/4352973848")</f>
        <v/>
      </c>
      <c r="F51" t="inlineStr"/>
      <c r="G51" t="inlineStr">
        <is>
          <t>Bloomfield, NJ</t>
        </is>
      </c>
      <c r="H51" t="inlineStr"/>
      <c r="I51" t="inlineStr">
        <is>
          <t>"Possible 3 Month CTH \| No Fees \| Do Not Re\-Post\| Confidential
 TMR ID: XJT26M
 Role: AI/ML Engineer – Conversational AI, NLP \&amp; Data Platforms (Contract)
 Work location: Hybrid, CA
 Background and Meet and Greet: MANDATORY
 Job Description:
 "Title: AI/ML Engineer – Conversational AI, NLP \&amp; Data Platforms (Contract)
 Location: Hybrid, CA
 Duration: 6–12 months
 Role Summary:
 We are seeking a hands\-on Senior AI/ML Engineer (Contract) to build, train, test, deploy, and support production\-grade Conversational AI systems. These systems will leverage Hive tables and enterprise data to generate KPIs, metrics, and analytical reporting. The role requires strong expertise in AI/ML, NLP, deep learning, data engineering, and software development.
 Responsibilities:
* Design, build, and operate Conversational AI agents with multi\-turn dialog, intent recognition, and context management.
* Develop NLP pipelines for intent classification, entity extraction (NER), slot filling, and dialog state tracking.
* Train, fine\-tune, and evaluate deep learning models, including transformers, for domain\-specific tasks.
* Build and maintain ETL/ELT pipelines, Hive\-based data pipelines, and big data workflows using Spark, Hadoop, and Kafka.
* Implement RAG pipelines, prompt engineering, and agentic AI workflows for task\-oriented systems.
* Deploy AI/ML systems on cloud platforms (AWS, GCP, Azure) with Docker/Kubernetes.
* Monitor model and data pipeline performance, manage model retraining, and ensure reliability in production.
* Generate KPIs, metrics, dashboards, and reporting from AI\-driven outputs.
* Ensure data quality, compliance, and governance throughout the ML lifecycle.
 Required Skills:
* Expert in Python for AI/ML, NLP, and backend services.
* Strong SQL skills, including working with Hive tables.
* Object\-oriented programming experience in Java or Scala for data pipelines.
* Hands\-on experience with machine learning and deep learning frameworks (PyTorch, TensorFlow, Scikit\-learn).
* Strong NLP knowledge: tokenization, embeddings, intent detection, NER, sequence modeling, and transformers.
* Experience with ETL/ELT pipelines, data modeling, schema evolution, and large\-scale data processing (Spark, Hadoop, Kafka).
* Experience with cloud deployment and MLOps: Docker, Kubernetes, CI/CD, monitoring, and model versioning.
* Strong understanding of model training, testing, validation, and error analysis.
 Preferred Skills:
* Experience with enterprise Conversational AI platforms.
* Familiarity with multi\-agent orchestration frameworks.
* Experience generating business KPIs and analytics dashboards using tools like Tableau or Superset.
* Exposure to Finance, FP\&amp;A, workforce planning, or supply chain domains.
 Soft Skills:
* Strong analytical and problem\-solving abilities.
* Clear communication skills to explain technical concepts to stakeholders.
* Attention to detail and commitment to high\-quality, reliable AI systems.
* Ability to learn and adapt quickly in a fast\-paced environment.
 Education:
 Bachelor’s or Master’s degree in Computer Science, Data Science, Engineering, or related field.
 "
 Key Responsibilities:
 "Responsibilities:
* Design, build, and operate Conversational AI agents with multi\-turn dialog, intent recognition, and context management.
* Develop NLP pipelines for intent classification, entity extraction (NER), slot filling, and dialog state tracking.
* Train, fine\-tune, and evaluate deep learning models, including transformers, for domain\-specific tasks.
* Build and maintain ETL/ELT pipelines, Hive\-based data pipelines, and big data workflows using Spark, Hadoop, and Kafka.
* Implement RAG pipelines, prompt engineering, and agentic AI workflows for task\-oriented systems.
* Deploy AI/ML systems on cloud platforms (AWS, GCP, Azure) with Docker/Kubernetes.
* Monitor model and data pipeline performance, manage model retraining, and ensure reliability in production.
* Generate KPIs, metrics, dashboards, and reporting from AI\-driven outputs.
* Ensure data quality, compliance, and governance throughout the ML lifecycle.
 "
 What are the Mandatory skills and skill proficiencies required for this position?
 "Required Skills:
* Expert in Python for AI/ML, NLP, and backend services.
* Strong SQL skills, including working with Hive tables.
* Object\-oriented programming experience in Java or Scala for data pipelines.
* Hands\-on experience with machine learning and deep learning frameworks (PyTorch, TensorFlow, Scikit\-learn).
* Strong NLP knowledge: tokenization, embeddings, intent detection, NER, sequence modeling, and transformers.
* Experience with ETL/ELT pipelines, data modeling, schema evolution, and large\-scale data processing (Spark, Hadoop, Kafka).
* Experience with cloud deployment and MLOps: Docker, Kubernetes, CI/CD, monitoring, and model versioning.
* Strong understanding of model training, testing, validation, and error analysis.
 Preferred Skills:
* Experience with enterprise Conversational AI platforms.
* Familiarity with multi\-agent orchestration frameworks.
* Experience generating business KPIs and analytics dashboards using tools like Tableau or Superset.
* Exposure to Finance, FP\&amp;A, workforce planning, or supply chain domains.
 "
 What are the Optional skills and skill proficiencies for this position?
 Stretch Attitude
 The following details must accompany your submission:
 First Name, Middle name, and Last Name:
 City and State:
 Open to Relocate?
 Rate:
 Availability:
 Phone \#:
 Mobile \#:
 Email address:
 Visa type:
 Visa Expiration Date:
 Hiring Status:
 Soemia Pineda \- ERM
* North America
 Tel.: \+\*\*\*"</t>
        </is>
      </c>
    </row>
    <row r="52">
      <c r="A52" t="inlineStr">
        <is>
          <t>li-4362311559</t>
        </is>
      </c>
      <c r="B52" t="inlineStr">
        <is>
          <t>Senior Software Engineer, Search Analytics Engineering</t>
        </is>
      </c>
      <c r="C52" t="inlineStr">
        <is>
          <t>Google</t>
        </is>
      </c>
      <c r="D52" t="inlineStr">
        <is>
          <t>linkedin</t>
        </is>
      </c>
      <c r="E52">
        <f>HYPERLINK("https://www.linkedin.com/jobs/view/4362311559", "https://www.linkedin.com/jobs/view/4362311559")</f>
        <v/>
      </c>
      <c r="F52" t="inlineStr"/>
      <c r="G52" t="inlineStr">
        <is>
          <t>Mountain View, CA</t>
        </is>
      </c>
      <c r="H52" t="inlineStr"/>
      <c r="I52" t="inlineStr">
        <is>
          <t>**Minimum qualifications:**
* Bachelor’s degree or equivalent practical experience.
* 5 years of experience with software development in Kotlin and Typescript programming languages.
* 5 years of experience designing user interfaces and user experiences for web, mobile, or desktop applications.
* 3 years of experience testing, maintaining, or launching software products, and 1 year of experience with software design and architecture.
**Preferred qualifications:**
* Master's degree or PhD in Computer Science or related technical fields.
* Experience in thought\-leadership, relationship building and management skills, with internal stakeholders and external partners.
* Experience developing accessible technologies.
* Strong technical background in front\-end or full\-stack\-related roles.
* Proficiency in Java, SQL, or Go.
* Excellent communication/presentation skills, and strong strategic and problem\-solving skills, with the ability to communicate a technical goal and roadmap.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2026-01-14T17:07:42Z</dcterms:created>
  <dcterms:modified xsi:type="dcterms:W3CDTF">2026-01-14T17:07:42Z</dcterms:modified>
</cp:coreProperties>
</file>