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in-324f738088eeeed2</t>
        </is>
      </c>
      <c r="B2" t="inlineStr">
        <is>
          <t>Applied Scientist II, Prime Video - Personalization and Discovery Science, Personalization and Discovery Science</t>
        </is>
      </c>
      <c r="C2" t="inlineStr">
        <is>
          <t>Amazon.com</t>
        </is>
      </c>
      <c r="D2" t="inlineStr">
        <is>
          <t>indeed</t>
        </is>
      </c>
      <c r="E2">
        <f>HYPERLINK("https://www.indeed.com/viewjob?jk=324f738088eeeed2", "https://www.indeed.com/viewjob?jk=324f738088eeeed2")</f>
        <v/>
      </c>
      <c r="F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 t="inlineStr">
        <is>
          <t>Sunnyvale, CA, US</t>
        </is>
      </c>
      <c r="H2" s="2" t="n">
        <v>45930</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in-1a862fb96094ebe7</t>
        </is>
      </c>
      <c r="B3" t="inlineStr">
        <is>
          <t>Applied Scientist II, Prime Video - Personalization and Discovery Science, Personalization and Discovery Science</t>
        </is>
      </c>
      <c r="C3" t="inlineStr">
        <is>
          <t>Amazon.com</t>
        </is>
      </c>
      <c r="D3" t="inlineStr">
        <is>
          <t>indeed</t>
        </is>
      </c>
      <c r="E3">
        <f>HYPERLINK("https://www.indeed.com/viewjob?jk=1a862fb96094ebe7", "https://www.indeed.com/viewjob?jk=1a862fb96094ebe7")</f>
        <v/>
      </c>
      <c r="F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 t="inlineStr">
        <is>
          <t>Seattle, WA, US</t>
        </is>
      </c>
      <c r="H3" s="2" t="n">
        <v>45930</v>
      </c>
      <c r="I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in-293e849988e51d78</t>
        </is>
      </c>
      <c r="B4" t="inlineStr">
        <is>
          <t>Applied Scientist II, Prime Video - Personalization and Discovery Science, Personalization and Discovery Science</t>
        </is>
      </c>
      <c r="C4" t="inlineStr">
        <is>
          <t>Amazon.com</t>
        </is>
      </c>
      <c r="D4" t="inlineStr">
        <is>
          <t>indeed</t>
        </is>
      </c>
      <c r="E4">
        <f>HYPERLINK("https://www.indeed.com/viewjob?jk=293e849988e51d78", "https://www.indeed.com/viewjob?jk=293e849988e51d78")</f>
        <v/>
      </c>
      <c r="F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 t="inlineStr">
        <is>
          <t>New York, NY,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in-2f1934941e06a656</t>
        </is>
      </c>
      <c r="B5" t="inlineStr">
        <is>
          <t>Applied Scientist II, Prime Video - Personalization and Discovery Science</t>
        </is>
      </c>
      <c r="C5" t="inlineStr">
        <is>
          <t>Amazon.com</t>
        </is>
      </c>
      <c r="D5" t="inlineStr">
        <is>
          <t>indeed</t>
        </is>
      </c>
      <c r="E5">
        <f>HYPERLINK("https://www.indeed.com/viewjob?jk=2f1934941e06a656", "https://www.indeed.com/viewjob?jk=2f1934941e06a656")</f>
        <v/>
      </c>
      <c r="F5">
        <f>HYPERLINK("https://www.amazon.jobs/jobs/3086060/applied-scientist-ii-prime-video--personalization-and-discovery-science?cmpid=DA_INAD200785B", "https://www.amazon.jobs/jobs/3086060/applied-scientist-ii-prime-video--personalization-and-discovery-science?cmpid=DA_INAD200785B")</f>
        <v/>
      </c>
      <c r="G5" t="inlineStr">
        <is>
          <t>Seattle, WA, US</t>
        </is>
      </c>
      <c r="H5" s="2" t="n">
        <v>45915</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in-c5a740bed1354bc2</t>
        </is>
      </c>
      <c r="B6" t="inlineStr">
        <is>
          <t>Applied Scientist II, Prime Video - Personalization and Discovery Science</t>
        </is>
      </c>
      <c r="C6" t="inlineStr">
        <is>
          <t>Amazon.com</t>
        </is>
      </c>
      <c r="D6" t="inlineStr">
        <is>
          <t>indeed</t>
        </is>
      </c>
      <c r="E6">
        <f>HYPERLINK("https://www.indeed.com/viewjob?jk=c5a740bed1354bc2", "https://www.indeed.com/viewjob?jk=c5a740bed1354bc2")</f>
        <v/>
      </c>
      <c r="F6">
        <f>HYPERLINK("https://www.amazon.jobs/jobs/3086060/applied-scientist-ii-prime-video--personalization-and-discovery-science?cmpid=DA_INAD200785B", "https://www.amazon.jobs/jobs/3086060/applied-scientist-ii-prime-video--personalization-and-discovery-science?cmpid=DA_INAD200785B")</f>
        <v/>
      </c>
      <c r="G6" t="inlineStr">
        <is>
          <t>New York, NY, US</t>
        </is>
      </c>
      <c r="H6" s="2" t="n">
        <v>45915</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in-7ee44b57b0c58d44</t>
        </is>
      </c>
      <c r="B7" t="inlineStr">
        <is>
          <t>Applied Scientist II, Prime Video - Personalization and Discovery Science</t>
        </is>
      </c>
      <c r="C7" t="inlineStr">
        <is>
          <t>Amazon.com</t>
        </is>
      </c>
      <c r="D7" t="inlineStr">
        <is>
          <t>indeed</t>
        </is>
      </c>
      <c r="E7">
        <f>HYPERLINK("https://www.indeed.com/viewjob?jk=7ee44b57b0c58d44", "https://www.indeed.com/viewjob?jk=7ee44b57b0c58d44")</f>
        <v/>
      </c>
      <c r="F7">
        <f>HYPERLINK("https://www.amazon.jobs/jobs/3086060/applied-scientist-ii-prime-video--personalization-and-discovery-science?cmpid=DA_INAD200785B", "https://www.amazon.jobs/jobs/3086060/applied-scientist-ii-prime-video--personalization-and-discovery-science?cmpid=DA_INAD200785B")</f>
        <v/>
      </c>
      <c r="G7" t="inlineStr">
        <is>
          <t>Sunnyvale, CA, US</t>
        </is>
      </c>
      <c r="H7" s="2" t="n">
        <v>45915</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in-af51554f2082ac9f</t>
        </is>
      </c>
      <c r="B8" t="inlineStr">
        <is>
          <t>Sr. Applied Scientist, Prime Video - Personalization and Discovery Science</t>
        </is>
      </c>
      <c r="C8" t="inlineStr">
        <is>
          <t>Amazon.com</t>
        </is>
      </c>
      <c r="D8" t="inlineStr">
        <is>
          <t>indeed</t>
        </is>
      </c>
      <c r="E8">
        <f>HYPERLINK("https://www.indeed.com/viewjob?jk=af51554f2082ac9f", "https://www.indeed.com/viewjob?jk=af51554f2082ac9f")</f>
        <v/>
      </c>
      <c r="F8">
        <f>HYPERLINK("https://www.amazon.jobs/jobs/3083564/sr-applied-scientist-prime-video--personalization-and-discovery-science?cmpid=DA_INAD200785B", "https://www.amazon.jobs/jobs/3083564/sr-applied-scientist-prime-video--personalization-and-discovery-science?cmpid=DA_INAD200785B")</f>
        <v/>
      </c>
      <c r="G8" t="inlineStr">
        <is>
          <t>Sunnyvale, CA, US</t>
        </is>
      </c>
      <c r="H8" s="2" t="n">
        <v>45914</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in-02c8e18c326dc87f</t>
        </is>
      </c>
      <c r="B9" t="inlineStr">
        <is>
          <t>Sr. Applied Scientist, Prime Video - Personalization and Discovery Science</t>
        </is>
      </c>
      <c r="C9" t="inlineStr">
        <is>
          <t>Amazon.com</t>
        </is>
      </c>
      <c r="D9" t="inlineStr">
        <is>
          <t>indeed</t>
        </is>
      </c>
      <c r="E9">
        <f>HYPERLINK("https://www.indeed.com/viewjob?jk=02c8e18c326dc87f", "https://www.indeed.com/viewjob?jk=02c8e18c326dc87f")</f>
        <v/>
      </c>
      <c r="F9">
        <f>HYPERLINK("https://www.amazon.jobs/jobs/3083564/sr-applied-scientist-prime-video--personalization-and-discovery-science?cmpid=DA_INAD200785B", "https://www.amazon.jobs/jobs/3083564/sr-applied-scientist-prime-video--personalization-and-discovery-science?cmpid=DA_INAD200785B")</f>
        <v/>
      </c>
      <c r="G9" t="inlineStr">
        <is>
          <t>Seattle, WA, US</t>
        </is>
      </c>
      <c r="H9" s="2" t="n">
        <v>45914</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in-be0fa5c8e057bb7a</t>
        </is>
      </c>
      <c r="B10" t="inlineStr">
        <is>
          <t>Sr. Applied Scientist, Prime Video - Personalization and Discovery Science</t>
        </is>
      </c>
      <c r="C10" t="inlineStr">
        <is>
          <t>Amazon.com</t>
        </is>
      </c>
      <c r="D10" t="inlineStr">
        <is>
          <t>indeed</t>
        </is>
      </c>
      <c r="E10">
        <f>HYPERLINK("https://www.indeed.com/viewjob?jk=be0fa5c8e057bb7a", "https://www.indeed.com/viewjob?jk=be0fa5c8e057bb7a")</f>
        <v/>
      </c>
      <c r="F10">
        <f>HYPERLINK("https://www.amazon.jobs/jobs/3083564/sr-applied-scientist-prime-video--personalization-and-discovery-science?cmpid=DA_INAD200785B", "https://www.amazon.jobs/jobs/3083564/sr-applied-scientist-prime-video--personalization-and-discovery-science?cmpid=DA_INAD200785B")</f>
        <v/>
      </c>
      <c r="G10" t="inlineStr">
        <is>
          <t>New York, NY, US</t>
        </is>
      </c>
      <c r="H10" s="2" t="n">
        <v>45914</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in-043052c6b61c62bf</t>
        </is>
      </c>
      <c r="B11" t="inlineStr">
        <is>
          <t>Applied Scientist II, Prime Video - Personalization and Discovery Science, Personalization and Discovery Science</t>
        </is>
      </c>
      <c r="C11" t="inlineStr">
        <is>
          <t>Amazon.com</t>
        </is>
      </c>
      <c r="D11" t="inlineStr">
        <is>
          <t>indeed</t>
        </is>
      </c>
      <c r="E11">
        <f>HYPERLINK("https://www.indeed.com/viewjob?jk=043052c6b61c62bf", "https://www.indeed.com/viewjob?jk=043052c6b61c62bf")</f>
        <v/>
      </c>
      <c r="F11">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1" t="inlineStr">
        <is>
          <t>New York, NY, US</t>
        </is>
      </c>
      <c r="H11" s="2" t="n">
        <v>45886</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in-912f494bd9b99f3f</t>
        </is>
      </c>
      <c r="B12" t="inlineStr">
        <is>
          <t>Applied Scientist II, Prime Video - Personalization and Discovery Science, Personalization and Discovery Science</t>
        </is>
      </c>
      <c r="C12" t="inlineStr">
        <is>
          <t>Amazon.com</t>
        </is>
      </c>
      <c r="D12" t="inlineStr">
        <is>
          <t>indeed</t>
        </is>
      </c>
      <c r="E12">
        <f>HYPERLINK("https://www.indeed.com/viewjob?jk=912f494bd9b99f3f", "https://www.indeed.com/viewjob?jk=912f494bd9b99f3f")</f>
        <v/>
      </c>
      <c r="F12">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2" t="inlineStr">
        <is>
          <t>Sunnyvale, CA, US</t>
        </is>
      </c>
      <c r="H12" s="2" t="n">
        <v>45886</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in-75ec669f2a1c8f4e</t>
        </is>
      </c>
      <c r="B13" t="inlineStr">
        <is>
          <t>Sr. Applied Scientist, Prime Video - Personalization and Discovery Science</t>
        </is>
      </c>
      <c r="C13" t="inlineStr">
        <is>
          <t>Amazon.com</t>
        </is>
      </c>
      <c r="D13" t="inlineStr">
        <is>
          <t>indeed</t>
        </is>
      </c>
      <c r="E13">
        <f>HYPERLINK("https://www.indeed.com/viewjob?jk=75ec669f2a1c8f4e", "https://www.indeed.com/viewjob?jk=75ec669f2a1c8f4e")</f>
        <v/>
      </c>
      <c r="F13">
        <f>HYPERLINK("https://www.amazon.jobs/jobs/3061266/sr-applied-scientist-prime-video--personalization-and-discovery-science?cmpid=DA_INAD200785B", "https://www.amazon.jobs/jobs/3061266/sr-applied-scientist-prime-video--personalization-and-discovery-science?cmpid=DA_INAD200785B")</f>
        <v/>
      </c>
      <c r="G13" t="inlineStr">
        <is>
          <t>Sunnyvale, CA, US</t>
        </is>
      </c>
      <c r="H13" s="2" t="n">
        <v>45886</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in-853611b293ef30fe</t>
        </is>
      </c>
      <c r="B14" t="inlineStr">
        <is>
          <t>Sr. Applied Scientist, Prime Video - Personalization and Discovery Science</t>
        </is>
      </c>
      <c r="C14" t="inlineStr">
        <is>
          <t>Amazon.com</t>
        </is>
      </c>
      <c r="D14" t="inlineStr">
        <is>
          <t>indeed</t>
        </is>
      </c>
      <c r="E14">
        <f>HYPERLINK("https://www.indeed.com/viewjob?jk=853611b293ef30fe", "https://www.indeed.com/viewjob?jk=853611b293ef30fe")</f>
        <v/>
      </c>
      <c r="F14">
        <f>HYPERLINK("https://www.amazon.jobs/jobs/3061266/sr-applied-scientist-prime-video--personalization-and-discovery-science?cmpid=DA_INAD200785B", "https://www.amazon.jobs/jobs/3061266/sr-applied-scientist-prime-video--personalization-and-discovery-science?cmpid=DA_INAD200785B")</f>
        <v/>
      </c>
      <c r="G14" t="inlineStr">
        <is>
          <t>New York, NY, US</t>
        </is>
      </c>
      <c r="H14" s="2" t="n">
        <v>45886</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in-a74331a76570b567</t>
        </is>
      </c>
      <c r="B15" t="inlineStr">
        <is>
          <t>Applied Scientist II, Prime Video - Personalization and Discovery Science, Personalization and Discovery Science</t>
        </is>
      </c>
      <c r="C15" t="inlineStr">
        <is>
          <t>Amazon.com</t>
        </is>
      </c>
      <c r="D15" t="inlineStr">
        <is>
          <t>indeed</t>
        </is>
      </c>
      <c r="E15">
        <f>HYPERLINK("https://www.indeed.com/viewjob?jk=a74331a76570b567", "https://www.indeed.com/viewjob?jk=a74331a76570b567")</f>
        <v/>
      </c>
      <c r="F15">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5" t="inlineStr">
        <is>
          <t>Seattle, WA, US</t>
        </is>
      </c>
      <c r="H15" s="2" t="n">
        <v>45886</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in-4d6497f50ab82455</t>
        </is>
      </c>
      <c r="B16" t="inlineStr">
        <is>
          <t>Sr. Applied Scientist, Prime Video - Personalization and Discovery Science</t>
        </is>
      </c>
      <c r="C16" t="inlineStr">
        <is>
          <t>Amazon.com</t>
        </is>
      </c>
      <c r="D16" t="inlineStr">
        <is>
          <t>indeed</t>
        </is>
      </c>
      <c r="E16">
        <f>HYPERLINK("https://www.indeed.com/viewjob?jk=4d6497f50ab82455", "https://www.indeed.com/viewjob?jk=4d6497f50ab82455")</f>
        <v/>
      </c>
      <c r="F16">
        <f>HYPERLINK("https://www.amazon.jobs/jobs/3061266/sr-applied-scientist-prime-video--personalization-and-discovery-science?cmpid=DA_INAD200785B", "https://www.amazon.jobs/jobs/3061266/sr-applied-scientist-prime-video--personalization-and-discovery-science?cmpid=DA_INAD200785B")</f>
        <v/>
      </c>
      <c r="G16" t="inlineStr">
        <is>
          <t>Seattle, WA, US</t>
        </is>
      </c>
      <c r="H16" s="2" t="n">
        <v>45886</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in-e827c7c35c9ef5f3</t>
        </is>
      </c>
      <c r="B17" t="inlineStr">
        <is>
          <t>Sr. Applied Scientist, Prime Video - Personalization and Discovery Science</t>
        </is>
      </c>
      <c r="C17" t="inlineStr">
        <is>
          <t>Amazon.com</t>
        </is>
      </c>
      <c r="D17" t="inlineStr">
        <is>
          <t>indeed</t>
        </is>
      </c>
      <c r="E17">
        <f>HYPERLINK("https://www.indeed.com/viewjob?jk=e827c7c35c9ef5f3", "https://www.indeed.com/viewjob?jk=e827c7c35c9ef5f3")</f>
        <v/>
      </c>
      <c r="F17">
        <f>HYPERLINK("https://www.amazon.jobs/jobs/3059256/sr-applied-scientist-prime-video--personalization-and-discovery-science?cmpid=DA_INAD200785B", "https://www.amazon.jobs/jobs/3059256/sr-applied-scientist-prime-video--personalization-and-discovery-science?cmpid=DA_INAD200785B")</f>
        <v/>
      </c>
      <c r="G17" t="inlineStr">
        <is>
          <t>New York, NY,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in-6cbe9ae647563c2a</t>
        </is>
      </c>
      <c r="B18" t="inlineStr">
        <is>
          <t>Applied Scientist II, Prime Video - Personalization and Discovery Science</t>
        </is>
      </c>
      <c r="C18" t="inlineStr">
        <is>
          <t>Amazon.com</t>
        </is>
      </c>
      <c r="D18" t="inlineStr">
        <is>
          <t>indeed</t>
        </is>
      </c>
      <c r="E18">
        <f>HYPERLINK("https://www.indeed.com/viewjob?jk=6cbe9ae647563c2a", "https://www.indeed.com/viewjob?jk=6cbe9ae647563c2a")</f>
        <v/>
      </c>
      <c r="F18">
        <f>HYPERLINK("https://www.amazon.jobs/jobs/3059253/applied-scientist-ii-prime-video--personalization-and-discovery-science?cmpid=DA_INAD200785B", "https://www.amazon.jobs/jobs/3059253/applied-scientist-ii-prime-video--personalization-and-discovery-science?cmpid=DA_INAD200785B")</f>
        <v/>
      </c>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in-bd7b9fa4266acf56</t>
        </is>
      </c>
      <c r="B19" t="inlineStr">
        <is>
          <t>Sr. Applied Scientist, Prime Video - Personalization and Discovery Science</t>
        </is>
      </c>
      <c r="C19" t="inlineStr">
        <is>
          <t>Amazon.com</t>
        </is>
      </c>
      <c r="D19" t="inlineStr">
        <is>
          <t>indeed</t>
        </is>
      </c>
      <c r="E19">
        <f>HYPERLINK("https://www.indeed.com/viewjob?jk=bd7b9fa4266acf56", "https://www.indeed.com/viewjob?jk=bd7b9fa4266acf56")</f>
        <v/>
      </c>
      <c r="F19">
        <f>HYPERLINK("https://www.amazon.jobs/jobs/3059256/sr-applied-scientist-prime-video--personalization-and-discovery-science?cmpid=DA_INAD200785B", "https://www.amazon.jobs/jobs/3059256/sr-applied-scientist-prime-video--personalization-and-discovery-science?cmpid=DA_INAD200785B")</f>
        <v/>
      </c>
      <c r="G19" t="inlineStr">
        <is>
          <t>Seattle, WA,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in-1acf037386b892e9</t>
        </is>
      </c>
      <c r="B20" t="inlineStr">
        <is>
          <t>Applied Scientist II, Prime Video - Personalization and Discovery Science</t>
        </is>
      </c>
      <c r="C20" t="inlineStr">
        <is>
          <t>Amazon.com</t>
        </is>
      </c>
      <c r="D20" t="inlineStr">
        <is>
          <t>indeed</t>
        </is>
      </c>
      <c r="E20">
        <f>HYPERLINK("https://www.indeed.com/viewjob?jk=1acf037386b892e9", "https://www.indeed.com/viewjob?jk=1acf037386b892e9")</f>
        <v/>
      </c>
      <c r="F20">
        <f>HYPERLINK("https://www.amazon.jobs/jobs/3059253/applied-scientist-ii-prime-video--personalization-and-discovery-science?cmpid=DA_INAD200785B", "https://www.amazon.jobs/jobs/3059253/applied-scientist-ii-prime-video--personalization-and-discovery-science?cmpid=DA_INAD200785B")</f>
        <v/>
      </c>
      <c r="G20" t="inlineStr">
        <is>
          <t>Seattle, WA,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in-f40385054e919cea</t>
        </is>
      </c>
      <c r="B21" t="inlineStr">
        <is>
          <t>Sr. Applied Scientist, Prime Video - Personalization and Discovery Science</t>
        </is>
      </c>
      <c r="C21" t="inlineStr">
        <is>
          <t>Amazon.com</t>
        </is>
      </c>
      <c r="D21" t="inlineStr">
        <is>
          <t>indeed</t>
        </is>
      </c>
      <c r="E21">
        <f>HYPERLINK("https://www.indeed.com/viewjob?jk=f40385054e919cea", "https://www.indeed.com/viewjob?jk=f40385054e919cea")</f>
        <v/>
      </c>
      <c r="F21">
        <f>HYPERLINK("https://www.amazon.jobs/jobs/3059256/sr-applied-scientist-prime-video--personalization-and-discovery-science?cmpid=DA_INAD200785B", "https://www.amazon.jobs/jobs/3059256/sr-applied-scientist-prime-video--personalization-and-discovery-science?cmpid=DA_INAD200785B")</f>
        <v/>
      </c>
      <c r="G21" t="inlineStr">
        <is>
          <t>Sunnyvale, CA,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in-b4896a52302a4566</t>
        </is>
      </c>
      <c r="B22" t="inlineStr">
        <is>
          <t>Applied Scientist II, Prime Video - Personalization and Discovery Science</t>
        </is>
      </c>
      <c r="C22" t="inlineStr">
        <is>
          <t>Amazon.com</t>
        </is>
      </c>
      <c r="D22" t="inlineStr">
        <is>
          <t>indeed</t>
        </is>
      </c>
      <c r="E22">
        <f>HYPERLINK("https://www.indeed.com/viewjob?jk=b4896a52302a4566", "https://www.indeed.com/viewjob?jk=b4896a52302a4566")</f>
        <v/>
      </c>
      <c r="F22">
        <f>HYPERLINK("https://www.amazon.jobs/jobs/3059253/applied-scientist-ii-prime-video--personalization-and-discovery-science?cmpid=DA_INAD200785B", "https://www.amazon.jobs/jobs/3059253/applied-scientist-ii-prime-video--personalization-and-discovery-science?cmpid=DA_INAD200785B")</f>
        <v/>
      </c>
      <c r="G22" t="inlineStr">
        <is>
          <t>New York, NY,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in-6f10eb0790a6836d</t>
        </is>
      </c>
      <c r="B23" t="inlineStr">
        <is>
          <t>Applied Scientist, Prime Video - Personalization and Discovery Science</t>
        </is>
      </c>
      <c r="C23" t="inlineStr">
        <is>
          <t>Amazon.com</t>
        </is>
      </c>
      <c r="D23" t="inlineStr">
        <is>
          <t>indeed</t>
        </is>
      </c>
      <c r="E23">
        <f>HYPERLINK("https://www.indeed.com/viewjob?jk=6f10eb0790a6836d", "https://www.indeed.com/viewjob?jk=6f10eb0790a6836d")</f>
        <v/>
      </c>
      <c r="F23">
        <f>HYPERLINK("https://www.amazon.jobs/jobs/3033050/applied-scientist-prime-video--personalization-and-discovery-science?cmpid=DA_INAD200785B", "https://www.amazon.jobs/jobs/3033050/applied-scientist-prime-video--personalization-and-discovery-science?cmpid=DA_INAD200785B")</f>
        <v/>
      </c>
      <c r="G23" t="inlineStr">
        <is>
          <t>Seattle, WA,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in-40edddc1c5efd973</t>
        </is>
      </c>
      <c r="B24" t="inlineStr">
        <is>
          <t>Applied Scientist, Prime Video - Personalization and Discovery Science</t>
        </is>
      </c>
      <c r="C24" t="inlineStr">
        <is>
          <t>Amazon.com</t>
        </is>
      </c>
      <c r="D24" t="inlineStr">
        <is>
          <t>indeed</t>
        </is>
      </c>
      <c r="E24">
        <f>HYPERLINK("https://www.indeed.com/viewjob?jk=40edddc1c5efd973", "https://www.indeed.com/viewjob?jk=40edddc1c5efd973")</f>
        <v/>
      </c>
      <c r="F24">
        <f>HYPERLINK("https://www.amazon.jobs/jobs/3033050/applied-scientist-prime-video--personalization-and-discovery-science?cmpid=DA_INAD200785B", "https://www.amazon.jobs/jobs/3033050/applied-scientist-prime-video--personalization-and-discovery-science?cmpid=DA_INAD200785B")</f>
        <v/>
      </c>
      <c r="G24" t="inlineStr">
        <is>
          <t>Sunnyvale, CA, US</t>
        </is>
      </c>
      <c r="H24" s="2" t="n">
        <v>45845</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in-7c797e601b66d871</t>
        </is>
      </c>
      <c r="B25" t="inlineStr">
        <is>
          <t>Applied Scientist, Prime Video - Personalization and Discovery Science</t>
        </is>
      </c>
      <c r="C25" t="inlineStr">
        <is>
          <t>Amazon.com</t>
        </is>
      </c>
      <c r="D25" t="inlineStr">
        <is>
          <t>indeed</t>
        </is>
      </c>
      <c r="E25">
        <f>HYPERLINK("https://www.indeed.com/viewjob?jk=7c797e601b66d871", "https://www.indeed.com/viewjob?jk=7c797e601b66d871")</f>
        <v/>
      </c>
      <c r="F25">
        <f>HYPERLINK("https://www.amazon.jobs/jobs/3033050/applied-scientist-prime-video--personalization-and-discovery-science?cmpid=DA_INAD200785B", "https://www.amazon.jobs/jobs/3033050/applied-scientist-prime-video--personalization-and-discovery-science?cmpid=DA_INAD200785B")</f>
        <v/>
      </c>
      <c r="G25" t="inlineStr">
        <is>
          <t>New York, NY, US</t>
        </is>
      </c>
      <c r="H25" s="2" t="n">
        <v>45845</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in-c26a926288e53159</t>
        </is>
      </c>
      <c r="B26" t="inlineStr">
        <is>
          <t>Sr. ML Engineer-Cells</t>
        </is>
      </c>
      <c r="C26" t="inlineStr">
        <is>
          <t>Milwaukee Tool</t>
        </is>
      </c>
      <c r="D26" t="inlineStr">
        <is>
          <t>indeed</t>
        </is>
      </c>
      <c r="E26">
        <f>HYPERLINK("https://www.indeed.com/viewjob?jk=c26a926288e53159", "https://www.indeed.com/viewjob?jk=c26a926288e53159")</f>
        <v/>
      </c>
      <c r="F26">
        <f>HYPERLINK("https://tti.wd1.myworkdayjobs.com/en-US/Milwaukee/job/Brookfield-WI/Sr-ML-Engineer-Cells_R70084", "https://tti.wd1.myworkdayjobs.com/en-US/Milwaukee/job/Brookfield-WI/Sr-ML-Engineer-Cells_R70084")</f>
        <v/>
      </c>
      <c r="G26" t="inlineStr">
        <is>
          <t>Brookfield, WI, US</t>
        </is>
      </c>
      <c r="H26" s="2" t="n">
        <v>46035</v>
      </c>
      <c r="I26" t="inlineStr">
        <is>
          <t>Job Description:
INNOVATE WITHOUT BOUNDARIES! At Milwaukee Tool we firmly believe that our People and our Culture are the secrets to our success – so we give you unlimited access to everything you need to create disruptive new technologies and solutions on our electrical engineering teams. Our Engineering Team is responsible for giving life to the batteries, motors, and electronics that power solutions changing the lives of our users. Every developmental phase of these critical components happens in\-house under the watch of this team. We continue to invest in electrical engineering resources to design and develop leadership in electronic capabilities; something unique within the industry. And we’re pushing the limits in firmware engineering, power electronics, embedded systems, machine learning, and the use of artificial intelligence.  
Behind our doors you’ll be empowered every day to own it, drive it, and do what it takes to design and develop the biggest breakthroughs in the industry. Meanwhile, you’ll have the support and resources of the fastest\-growing brand in the construction industry to make it happen.  
Year after year, our team continues to make significant breakthroughs in the industry. We’re just getting started. To learn more about our story click HERE.
A Sr. ML Engineer on Cell Engineering will pioneer the integration of advanced data\-driven and hybrid physics–ML methodologies into Lithium\-ion cell engineering. This role will focus on applying machine learning techniques to develop predictive models, optimize cell design, incoming quality control, and product development processes. The ideal candidate will have a strong background in machine learning and data science, combined with a deep understanding of engineering principles, and will act as an independent driver for complex projects.
Duties and Responsibilities* Develop and implement ML models to predict and optimize cell performance, degradation, and lifetime.
* Collaborate with electrochemists and design engineers to integrate ML insights into cell architecture and material selection.
* Integrate physics\-based battery models with ML frameworks to improve performance prediction robustness and interpretability.
* Develop tools for early prediction of cycle\-life, impedance growth, OCV drift, or self\-discharge using engineering lab and ORT datasets.
* Use ML\-driven simulations and optimization techniques to accelerate design cycles.
* Support Pack and Charger teams by developing ML models that translate cell\-level data to pack performance, imbalance, or charge\-acceptance behavior.
* Define acceptance criteria and drive organizational change for standardized data structures and integrity of the databases.
* Apply advanced analytics to correlate design parameters with performance outcomes.
* Collaborate with Quality team to create ML tools for spec optimization and MP drift detection.
* Build predictive models for incoming material quality and process variability.
* Deploy anomaly detection and root\-cause analysis tools for supplier and production data.
* Act as a technical lead for ML initiatives across engineering teams.
* Mentor junior engineers and data scientists on ML best practices.
* Communicate via technical reports, presentations, and other documentation to communicate results and recommendations to internal and external stakeholders.
* Maintain knowledge of industry trends and emerging technologies related to Li\-ion battery cell development.
Education and Experience Requirements* Bachelor’s, or Master’s degree in Computer Science, Electrical Engineering, Mechanical Engineering, Data Science, or related fields with strong ML emphasis.
* Minimum 4\+ years of hands\-on experience in machine learning and data analytics.
* Proven track record of independently driving ML projects from concept to deployment.
* Experience with battery technology or electrochemical systems is highly desirable.
* Proficiency in Python, TensorFlow/PyTorch, and data visualization tools.
* Ability to integrate physics\-based models with data\-driven approaches
* Strong knowledge of supervised/unsupervised learning, deep learning, and statistical modeling.
* Familiarity with big data platforms and cloud computing (AWS, Azure, or GCP).
* Understanding of engineering principles related to energy storage systems.
* Knowledge of materials used in Lithium\-ion cell industry for cathode, anode, separator etc., and materials characterization techniques is preferred
* Highly motivated self\-driver with a never settle, always improving attitude.
* Excellent communication skills with a proven ability to collaborate effectively across cross\-functional teams.
We provide these great perks and benefits:* Robust health, dental and vision insurance plans.
* Generous 401 (K) savings plan.
* Education assistance.
* On\-site wellness, fitness center, food, and coffee service.
* And many more, check out our benefits site HERE.
*Milwaukee Tool is an equal opportunity employer.*</t>
        </is>
      </c>
    </row>
    <row r="27">
      <c r="A27" t="inlineStr">
        <is>
          <t>in-c590a63153aa3de1</t>
        </is>
      </c>
      <c r="B27" t="inlineStr">
        <is>
          <t>Senior Applied Scientist</t>
        </is>
      </c>
      <c r="C27" t="inlineStr">
        <is>
          <t>Microsoft</t>
        </is>
      </c>
      <c r="D27" t="inlineStr">
        <is>
          <t>indeed</t>
        </is>
      </c>
      <c r="E27">
        <f>HYPERLINK("https://www.indeed.com/viewjob?jk=c590a63153aa3de1", "https://www.indeed.com/viewjob?jk=c590a63153aa3de1")</f>
        <v/>
      </c>
      <c r="F27">
        <f>HYPERLINK("https://apply.careers.microsoft.com/careers/job/1970393556650846?utm_source=indeed&amp;domain=microsoft.com", "https://apply.careers.microsoft.com/careers/job/1970393556650846?utm_source=indeed&amp;domain=microsoft.com")</f>
        <v/>
      </c>
      <c r="G27" t="inlineStr">
        <is>
          <t>Redmond, WA, US</t>
        </is>
      </c>
      <c r="H27" s="2" t="n">
        <v>46008</v>
      </c>
      <c r="I2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Security Social Engineering Research Team** is dedicated to defending Microsoft's customers against threats across all messaging and web platforms through applied AI innovation. Our culture fosters a growth mindset, inspiring excellence, and encouraging teams and leaders to bring their best every day. As attackers' methods evolve, our solutions adapt and anticipate. This is an exciting opportunity to innovate and detect threats in real\-time across different platforms, technologies, and AI capabilities. Working with data at scale, utilizing emergent technologies, and being empowered by Microsoft's unique set of threat intelligence is the perfect challenge for any Applied Scientist.
We are seeking a **Senior Applied Scientist** to join our team. If you're looking to make a meaningful impact on protecting people and businesses, this is the team for you. Security is a top priority for our customers in a world filled with digital threats, regulatory scrutiny, and estate complexity.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Applied Scientist focused on protecting Microsoft customers from social engineering threat vectors, you will be responsible for:
* + Engage with stakeholders across our team and beyond to identify the most critical challenges worth solving
* + Developing and supporting production AI models and heuristics to detect social engineering attacks
* + Availability and willingness to cover a periodic on\-call rotation or engage in incident response as needed
* + Embody our culture and values
**Qualifications** **Minimum Qualifications:**
* Bachelor's Degree in Statistics, Econometrics, Computer Science, Electrical or Computer Engineering, or related field AND 4\+ years related experience (e.g., statistics predictive analytics, research).
*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2\+ years experience with processing large volumes of data in distributed environment (MapReduce, Spark, MPI, CUDA, etc)
* 1\+ years experience with at least 1 statically typed object\-oriented language (C\#, Java, C\+\+, Fortran etc.)
* Familiarity with software development tools such as GIT, automated build systems, and project tracking systems.
* Proficiency in measuring the health and effectiveness of systems.
* Demonstrated ability and motivation to self\-teach and navigate through ambiguity.
* Passion for cybersecurity is a plus, although previous experience or knowledge is not required.
**\#MSFTSecurity**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8">
      <c r="A28" t="inlineStr">
        <is>
          <t>in-298cd5a3f69b567c</t>
        </is>
      </c>
      <c r="B28" t="inlineStr">
        <is>
          <t>Applied Scientist, ML Compiler</t>
        </is>
      </c>
      <c r="C28" t="inlineStr">
        <is>
          <t>Amazon Web Services</t>
        </is>
      </c>
      <c r="D28" t="inlineStr">
        <is>
          <t>indeed</t>
        </is>
      </c>
      <c r="E28">
        <f>HYPERLINK("https://www.indeed.com/viewjob?jk=298cd5a3f69b567c", "https://www.indeed.com/viewjob?jk=298cd5a3f69b567c")</f>
        <v/>
      </c>
      <c r="F28">
        <f>HYPERLINK("https://www.amazon.jobs/jobs/3136884/applied-scientist-ml-compiler?cmpid=DA_INAD200785B", "https://www.amazon.jobs/jobs/3136884/applied-scientist-ml-compiler?cmpid=DA_INAD200785B")</f>
        <v/>
      </c>
      <c r="G28" t="inlineStr">
        <is>
          <t>Cupertino, CA, US</t>
        </is>
      </c>
      <c r="H28" s="2" t="n">
        <v>45993</v>
      </c>
      <c r="I28"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in-86c30fed3ac5c175</t>
        </is>
      </c>
      <c r="B29" t="inlineStr">
        <is>
          <t>Applied Scientist, ML Compiler</t>
        </is>
      </c>
      <c r="C29" t="inlineStr">
        <is>
          <t>Amazon Web Services</t>
        </is>
      </c>
      <c r="D29" t="inlineStr">
        <is>
          <t>indeed</t>
        </is>
      </c>
      <c r="E29">
        <f>HYPERLINK("https://www.indeed.com/viewjob?jk=86c30fed3ac5c175", "https://www.indeed.com/viewjob?jk=86c30fed3ac5c175")</f>
        <v/>
      </c>
      <c r="F29">
        <f>HYPERLINK("https://www.amazon.jobs/jobs/3136884/applied-scientist-ml-compiler?cmpid=DA_INAD200785B", "https://www.amazon.jobs/jobs/3136884/applied-scientist-ml-compiler?cmpid=DA_INAD200785B")</f>
        <v/>
      </c>
      <c r="G29" t="inlineStr">
        <is>
          <t>Seattle, WA, US</t>
        </is>
      </c>
      <c r="H29" s="2" t="n">
        <v>45993</v>
      </c>
      <c r="I2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in-304c8ee757443453</t>
        </is>
      </c>
      <c r="B30" t="inlineStr">
        <is>
          <t>Principal Applied Scientist, Amazon Special Projects</t>
        </is>
      </c>
      <c r="C30" t="inlineStr">
        <is>
          <t>Amazon.com</t>
        </is>
      </c>
      <c r="D30" t="inlineStr">
        <is>
          <t>indeed</t>
        </is>
      </c>
      <c r="E30">
        <f>HYPERLINK("https://www.indeed.com/viewjob?jk=304c8ee757443453", "https://www.indeed.com/viewjob?jk=304c8ee757443453")</f>
        <v/>
      </c>
      <c r="F30">
        <f>HYPERLINK("https://www.amazon.jobs/jobs/3132566/principal-applied-scientist-amazon-special-projects?cmpid=DA_INAD200785B", "https://www.amazon.jobs/jobs/3132566/principal-applied-scientist-amazon-special-projects?cmpid=DA_INAD200785B")</f>
        <v/>
      </c>
      <c r="G30" t="inlineStr">
        <is>
          <t>Seattle, WA, US</t>
        </is>
      </c>
      <c r="H30" s="2" t="n">
        <v>45982</v>
      </c>
      <c r="I3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in-aae698f71a46c28b</t>
        </is>
      </c>
      <c r="B31" t="inlineStr">
        <is>
          <t>Principal Applied Scientist, Amazon Special Projects</t>
        </is>
      </c>
      <c r="C31" t="inlineStr">
        <is>
          <t>Amazon.com</t>
        </is>
      </c>
      <c r="D31" t="inlineStr">
        <is>
          <t>indeed</t>
        </is>
      </c>
      <c r="E31">
        <f>HYPERLINK("https://www.indeed.com/viewjob?jk=aae698f71a46c28b", "https://www.indeed.com/viewjob?jk=aae698f71a46c28b")</f>
        <v/>
      </c>
      <c r="F31">
        <f>HYPERLINK("https://www.amazon.jobs/jobs/3132566/principal-applied-scientist-amazon-special-projects?cmpid=DA_INAD200785B", "https://www.amazon.jobs/jobs/3132566/principal-applied-scientist-amazon-special-projects?cmpid=DA_INAD200785B")</f>
        <v/>
      </c>
      <c r="G31" t="inlineStr">
        <is>
          <t>Boston, MA, US</t>
        </is>
      </c>
      <c r="H31" s="2" t="n">
        <v>45982</v>
      </c>
      <c r="I3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in-22e33db929e30fc6</t>
        </is>
      </c>
      <c r="B32" t="inlineStr">
        <is>
          <t>Senior Applied Scientist, Artificial General Intelligence</t>
        </is>
      </c>
      <c r="C32" t="inlineStr">
        <is>
          <t>Amazon.com</t>
        </is>
      </c>
      <c r="D32" t="inlineStr">
        <is>
          <t>indeed</t>
        </is>
      </c>
      <c r="E32">
        <f>HYPERLINK("https://www.indeed.com/viewjob?jk=22e33db929e30fc6", "https://www.indeed.com/viewjob?jk=22e33db929e30fc6")</f>
        <v/>
      </c>
      <c r="F32">
        <f>HYPERLINK("https://www.amazon.jobs/jobs/3131971/senior-applied-scientist-artificial-general-intelligence?cmpid=DA_INAD200785B", "https://www.amazon.jobs/jobs/3131971/senior-applied-scientist-artificial-general-intelligence?cmpid=DA_INAD200785B")</f>
        <v/>
      </c>
      <c r="G32" t="inlineStr">
        <is>
          <t>Sunnyvale, CA, US</t>
        </is>
      </c>
      <c r="H32" s="2" t="n">
        <v>45980</v>
      </c>
      <c r="I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in-7d68b5b6778a845b</t>
        </is>
      </c>
      <c r="B33" t="inlineStr">
        <is>
          <t>Senior Applied Scientist, Artificial General Intelligence</t>
        </is>
      </c>
      <c r="C33" t="inlineStr">
        <is>
          <t>Amazon.com</t>
        </is>
      </c>
      <c r="D33" t="inlineStr">
        <is>
          <t>indeed</t>
        </is>
      </c>
      <c r="E33">
        <f>HYPERLINK("https://www.indeed.com/viewjob?jk=7d68b5b6778a845b", "https://www.indeed.com/viewjob?jk=7d68b5b6778a845b")</f>
        <v/>
      </c>
      <c r="F33">
        <f>HYPERLINK("https://www.amazon.jobs/jobs/3131971/senior-applied-scientist-artificial-general-intelligence?cmpid=DA_INAD200785B", "https://www.amazon.jobs/jobs/3131971/senior-applied-scientist-artificial-general-intelligence?cmpid=DA_INAD200785B")</f>
        <v/>
      </c>
      <c r="G33" t="inlineStr">
        <is>
          <t>New York, NY, US</t>
        </is>
      </c>
      <c r="H33" s="2" t="n">
        <v>45980</v>
      </c>
      <c r="I3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in-9f55a22e5d21de23</t>
        </is>
      </c>
      <c r="B34" t="inlineStr">
        <is>
          <t>Senior Applied Scientist, Artificial General Intelligence</t>
        </is>
      </c>
      <c r="C34" t="inlineStr">
        <is>
          <t>Amazon.com</t>
        </is>
      </c>
      <c r="D34" t="inlineStr">
        <is>
          <t>indeed</t>
        </is>
      </c>
      <c r="E34">
        <f>HYPERLINK("https://www.indeed.com/viewjob?jk=9f55a22e5d21de23", "https://www.indeed.com/viewjob?jk=9f55a22e5d21de23")</f>
        <v/>
      </c>
      <c r="F34">
        <f>HYPERLINK("https://www.amazon.jobs/jobs/3131971/senior-applied-scientist-artificial-general-intelligence?cmpid=DA_INAD200785B", "https://www.amazon.jobs/jobs/3131971/senior-applied-scientist-artificial-general-intelligence?cmpid=DA_INAD200785B")</f>
        <v/>
      </c>
      <c r="G34" t="inlineStr">
        <is>
          <t>Boston, MA, US</t>
        </is>
      </c>
      <c r="H34" s="2" t="n">
        <v>45980</v>
      </c>
      <c r="I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in-94d05761bf130497</t>
        </is>
      </c>
      <c r="B35" t="inlineStr">
        <is>
          <t>Senior Applied Scientist, Artificial General Intelligence</t>
        </is>
      </c>
      <c r="C35" t="inlineStr">
        <is>
          <t>Amazon.com</t>
        </is>
      </c>
      <c r="D35" t="inlineStr">
        <is>
          <t>indeed</t>
        </is>
      </c>
      <c r="E35">
        <f>HYPERLINK("https://www.indeed.com/viewjob?jk=94d05761bf130497", "https://www.indeed.com/viewjob?jk=94d05761bf130497")</f>
        <v/>
      </c>
      <c r="F35">
        <f>HYPERLINK("https://www.amazon.jobs/jobs/3131971/senior-applied-scientist-artificial-general-intelligence?cmpid=DA_INAD200785B", "https://www.amazon.jobs/jobs/3131971/senior-applied-scientist-artificial-general-intelligence?cmpid=DA_INAD200785B")</f>
        <v/>
      </c>
      <c r="G35" t="inlineStr">
        <is>
          <t>Seattle, WA, US</t>
        </is>
      </c>
      <c r="H35" s="2" t="n">
        <v>45980</v>
      </c>
      <c r="I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in-68caa462767d5b58</t>
        </is>
      </c>
      <c r="B36" t="inlineStr">
        <is>
          <t>Senior Applied Scientist, Sponsored Products and Brands</t>
        </is>
      </c>
      <c r="C36" t="inlineStr">
        <is>
          <t>Amazon.com</t>
        </is>
      </c>
      <c r="D36" t="inlineStr">
        <is>
          <t>indeed</t>
        </is>
      </c>
      <c r="E36">
        <f>HYPERLINK("https://www.indeed.com/viewjob?jk=68caa462767d5b58", "https://www.indeed.com/viewjob?jk=68caa462767d5b58")</f>
        <v/>
      </c>
      <c r="F36">
        <f>HYPERLINK("https://www.amazon.jobs/jobs/3130062/senior-applied-scientist-sponsored-products-and-brands?cmpid=DA_INAD200785B", "https://www.amazon.jobs/jobs/3130062/senior-applied-scientist-sponsored-products-and-brands?cmpid=DA_INAD200785B")</f>
        <v/>
      </c>
      <c r="G36" t="inlineStr">
        <is>
          <t>New York, NY, US</t>
        </is>
      </c>
      <c r="H36" s="2" t="n">
        <v>45979</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in-97cd02eaf89c1892</t>
        </is>
      </c>
      <c r="B37" t="inlineStr">
        <is>
          <t>Senior Applied Scientist, Sponsored Products and Brands</t>
        </is>
      </c>
      <c r="C37" t="inlineStr">
        <is>
          <t>Amazon.com</t>
        </is>
      </c>
      <c r="D37" t="inlineStr">
        <is>
          <t>indeed</t>
        </is>
      </c>
      <c r="E37">
        <f>HYPERLINK("https://www.indeed.com/viewjob?jk=97cd02eaf89c1892", "https://www.indeed.com/viewjob?jk=97cd02eaf89c1892")</f>
        <v/>
      </c>
      <c r="F37">
        <f>HYPERLINK("https://www.amazon.jobs/jobs/3130062/senior-applied-scientist-sponsored-products-and-brands?cmpid=DA_INAD200785B", "https://www.amazon.jobs/jobs/3130062/senior-applied-scientist-sponsored-products-and-brands?cmpid=DA_INAD200785B")</f>
        <v/>
      </c>
      <c r="G37" t="inlineStr">
        <is>
          <t>Seattle, WA, US</t>
        </is>
      </c>
      <c r="H37" s="2" t="n">
        <v>45979</v>
      </c>
      <c r="I3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in-ea8e745de54673c0</t>
        </is>
      </c>
      <c r="B38" t="inlineStr">
        <is>
          <t>Principal Applied Scientist, Sponsored Products and Brands</t>
        </is>
      </c>
      <c r="C38" t="inlineStr">
        <is>
          <t>Amazon.com</t>
        </is>
      </c>
      <c r="D38" t="inlineStr">
        <is>
          <t>indeed</t>
        </is>
      </c>
      <c r="E38">
        <f>HYPERLINK("https://www.indeed.com/viewjob?jk=ea8e745de54673c0", "https://www.indeed.com/viewjob?jk=ea8e745de54673c0")</f>
        <v/>
      </c>
      <c r="F38">
        <f>HYPERLINK("https://www.amazon.jobs/jobs/3130855/principal-applied-scientist-sponsored-products-and-brands?cmpid=DA_INAD200785B", "https://www.amazon.jobs/jobs/3130855/principal-applied-scientist-sponsored-products-and-brands?cmpid=DA_INAD200785B")</f>
        <v/>
      </c>
      <c r="G38" t="inlineStr">
        <is>
          <t>New York, NY, US</t>
        </is>
      </c>
      <c r="H38" s="2" t="n">
        <v>45979</v>
      </c>
      <c r="I3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in-b225037378b52c5c</t>
        </is>
      </c>
      <c r="B39" t="inlineStr">
        <is>
          <t>Principal Applied Scientist, Sponsored Products and Brands</t>
        </is>
      </c>
      <c r="C39" t="inlineStr">
        <is>
          <t>Amazon.com</t>
        </is>
      </c>
      <c r="D39" t="inlineStr">
        <is>
          <t>indeed</t>
        </is>
      </c>
      <c r="E39">
        <f>HYPERLINK("https://www.indeed.com/viewjob?jk=b225037378b52c5c", "https://www.indeed.com/viewjob?jk=b225037378b52c5c")</f>
        <v/>
      </c>
      <c r="F39">
        <f>HYPERLINK("https://www.amazon.jobs/jobs/3130855/principal-applied-scientist-sponsored-products-and-brands?cmpid=DA_INAD200785B", "https://www.amazon.jobs/jobs/3130855/principal-applied-scientist-sponsored-products-and-brands?cmpid=DA_INAD200785B")</f>
        <v/>
      </c>
      <c r="G39" t="inlineStr">
        <is>
          <t>Seattle, WA, US</t>
        </is>
      </c>
      <c r="H39" s="2" t="n">
        <v>45979</v>
      </c>
      <c r="I3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in-5bc261a7f7cf7fb4</t>
        </is>
      </c>
      <c r="B40" t="inlineStr">
        <is>
          <t>Sr. Applied Scientist, AGI Foundations</t>
        </is>
      </c>
      <c r="C40" t="inlineStr">
        <is>
          <t>Amazon.com</t>
        </is>
      </c>
      <c r="D40" t="inlineStr">
        <is>
          <t>indeed</t>
        </is>
      </c>
      <c r="E40">
        <f>HYPERLINK("https://www.indeed.com/viewjob?jk=5bc261a7f7cf7fb4", "https://www.indeed.com/viewjob?jk=5bc261a7f7cf7fb4")</f>
        <v/>
      </c>
      <c r="F40">
        <f>HYPERLINK("https://www.amazon.jobs/jobs/3128807/sr-applied-scientist-agi-foundations?cmpid=DA_INAD200785B", "https://www.amazon.jobs/jobs/3128807/sr-applied-scientist-agi-foundations?cmpid=DA_INAD200785B")</f>
        <v/>
      </c>
      <c r="G40" t="inlineStr">
        <is>
          <t>Boston, MA, US</t>
        </is>
      </c>
      <c r="H40" s="2" t="n">
        <v>45978</v>
      </c>
      <c r="I4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in-216dfe8a9dd03cfd</t>
        </is>
      </c>
      <c r="B41" t="inlineStr">
        <is>
          <t>Sr. Applied Scientist, AGI Foundations</t>
        </is>
      </c>
      <c r="C41" t="inlineStr">
        <is>
          <t>Amazon.com</t>
        </is>
      </c>
      <c r="D41" t="inlineStr">
        <is>
          <t>indeed</t>
        </is>
      </c>
      <c r="E41">
        <f>HYPERLINK("https://www.indeed.com/viewjob?jk=216dfe8a9dd03cfd", "https://www.indeed.com/viewjob?jk=216dfe8a9dd03cfd")</f>
        <v/>
      </c>
      <c r="F41">
        <f>HYPERLINK("https://www.amazon.jobs/jobs/3128807/sr-applied-scientist-agi-foundations?cmpid=DA_INAD200785B", "https://www.amazon.jobs/jobs/3128807/sr-applied-scientist-agi-foundations?cmpid=DA_INAD200785B")</f>
        <v/>
      </c>
      <c r="G41" t="inlineStr">
        <is>
          <t>Bellevue, WA, US</t>
        </is>
      </c>
      <c r="H41" s="2" t="n">
        <v>45978</v>
      </c>
      <c r="I4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in-36a1f911c67c9e7c</t>
        </is>
      </c>
      <c r="B42" t="inlineStr">
        <is>
          <t>Sr. Applied Scientist, AGI Foundations</t>
        </is>
      </c>
      <c r="C42" t="inlineStr">
        <is>
          <t>Amazon.com</t>
        </is>
      </c>
      <c r="D42" t="inlineStr">
        <is>
          <t>indeed</t>
        </is>
      </c>
      <c r="E42">
        <f>HYPERLINK("https://www.indeed.com/viewjob?jk=36a1f911c67c9e7c", "https://www.indeed.com/viewjob?jk=36a1f911c67c9e7c")</f>
        <v/>
      </c>
      <c r="F42">
        <f>HYPERLINK("https://www.amazon.jobs/jobs/3128807/sr-applied-scientist-agi-foundations?cmpid=DA_INAD200785B", "https://www.amazon.jobs/jobs/3128807/sr-applied-scientist-agi-foundations?cmpid=DA_INAD200785B")</f>
        <v/>
      </c>
      <c r="G42" t="inlineStr">
        <is>
          <t>New York, NY, US</t>
        </is>
      </c>
      <c r="H42" s="2" t="n">
        <v>45978</v>
      </c>
      <c r="I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in-f87100ebc6bc618f</t>
        </is>
      </c>
      <c r="B43" t="inlineStr">
        <is>
          <t>Sr. Applied Scientist, AGI Foundations</t>
        </is>
      </c>
      <c r="C43" t="inlineStr">
        <is>
          <t>Amazon.com</t>
        </is>
      </c>
      <c r="D43" t="inlineStr">
        <is>
          <t>indeed</t>
        </is>
      </c>
      <c r="E43">
        <f>HYPERLINK("https://www.indeed.com/viewjob?jk=f87100ebc6bc618f", "https://www.indeed.com/viewjob?jk=f87100ebc6bc618f")</f>
        <v/>
      </c>
      <c r="F43">
        <f>HYPERLINK("https://www.amazon.jobs/jobs/3128807/sr-applied-scientist-agi-foundations?cmpid=DA_INAD200785B", "https://www.amazon.jobs/jobs/3128807/sr-applied-scientist-agi-foundations?cmpid=DA_INAD200785B")</f>
        <v/>
      </c>
      <c r="G43" t="inlineStr">
        <is>
          <t>Sunnyvale, CA, US</t>
        </is>
      </c>
      <c r="H43" s="2" t="n">
        <v>45978</v>
      </c>
      <c r="I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in-859455f8f10bf530</t>
        </is>
      </c>
      <c r="B44" t="inlineStr">
        <is>
          <t>Sr. Applied Scientist, Sponsored Products</t>
        </is>
      </c>
      <c r="C44" t="inlineStr">
        <is>
          <t>Amazon.com</t>
        </is>
      </c>
      <c r="D44" t="inlineStr">
        <is>
          <t>indeed</t>
        </is>
      </c>
      <c r="E44">
        <f>HYPERLINK("https://www.indeed.com/viewjob?jk=859455f8f10bf530", "https://www.indeed.com/viewjob?jk=859455f8f10bf530")</f>
        <v/>
      </c>
      <c r="F44">
        <f>HYPERLINK("https://www.amazon.jobs/jobs/3136156/sr-applied-scientist-sponsored-products?cmpid=DA_INAD200785B", "https://www.amazon.jobs/jobs/3136156/sr-applied-scientist-sponsored-products?cmpid=DA_INAD200785B")</f>
        <v/>
      </c>
      <c r="G44" t="inlineStr">
        <is>
          <t>Arlington, VA, US</t>
        </is>
      </c>
      <c r="H44" s="2" t="n">
        <v>45976</v>
      </c>
      <c r="I4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in-4cefa6127fb9dcf0</t>
        </is>
      </c>
      <c r="B45" t="inlineStr">
        <is>
          <t>Sr. Applied Scientist, Sponsored Products</t>
        </is>
      </c>
      <c r="C45" t="inlineStr">
        <is>
          <t>Amazon.com</t>
        </is>
      </c>
      <c r="D45" t="inlineStr">
        <is>
          <t>indeed</t>
        </is>
      </c>
      <c r="E45">
        <f>HYPERLINK("https://www.indeed.com/viewjob?jk=4cefa6127fb9dcf0", "https://www.indeed.com/viewjob?jk=4cefa6127fb9dcf0")</f>
        <v/>
      </c>
      <c r="F45">
        <f>HYPERLINK("https://www.amazon.jobs/jobs/3136156/sr-applied-scientist-sponsored-products?cmpid=DA_INAD200785B", "https://www.amazon.jobs/jobs/3136156/sr-applied-scientist-sponsored-products?cmpid=DA_INAD200785B")</f>
        <v/>
      </c>
      <c r="G45" t="inlineStr">
        <is>
          <t>New York, NY, US</t>
        </is>
      </c>
      <c r="H45" s="2" t="n">
        <v>45976</v>
      </c>
      <c r="I4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in-6d25b843b7e2054a</t>
        </is>
      </c>
      <c r="B46" t="inlineStr">
        <is>
          <t>Sr. Applied Scientist, Sponsored Products</t>
        </is>
      </c>
      <c r="C46" t="inlineStr">
        <is>
          <t>Amazon.com</t>
        </is>
      </c>
      <c r="D46" t="inlineStr">
        <is>
          <t>indeed</t>
        </is>
      </c>
      <c r="E46">
        <f>HYPERLINK("https://www.indeed.com/viewjob?jk=6d25b843b7e2054a", "https://www.indeed.com/viewjob?jk=6d25b843b7e2054a")</f>
        <v/>
      </c>
      <c r="F46">
        <f>HYPERLINK("https://www.amazon.jobs/jobs/3136156/sr-applied-scientist-sponsored-products?cmpid=DA_INAD200785B", "https://www.amazon.jobs/jobs/3136156/sr-applied-scientist-sponsored-products?cmpid=DA_INAD200785B")</f>
        <v/>
      </c>
      <c r="G46" t="inlineStr">
        <is>
          <t>Seattle, WA, US</t>
        </is>
      </c>
      <c r="H46" s="2" t="n">
        <v>45976</v>
      </c>
      <c r="I4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in-b94c452a4e41b909</t>
        </is>
      </c>
      <c r="B47" t="inlineStr">
        <is>
          <t>Applied Scientist, Sponsored Products and Brands</t>
        </is>
      </c>
      <c r="C47" t="inlineStr">
        <is>
          <t>Amazon.com</t>
        </is>
      </c>
      <c r="D47" t="inlineStr">
        <is>
          <t>indeed</t>
        </is>
      </c>
      <c r="E47">
        <f>HYPERLINK("https://www.indeed.com/viewjob?jk=b94c452a4e41b909", "https://www.indeed.com/viewjob?jk=b94c452a4e41b909")</f>
        <v/>
      </c>
      <c r="F47">
        <f>HYPERLINK("https://www.amazon.jobs/jobs/3122617/applied-scientist-sponsored-products-and-brands?cmpid=DA_INAD200785B", "https://www.amazon.jobs/jobs/3122617/applied-scientist-sponsored-products-and-brands?cmpid=DA_INAD200785B")</f>
        <v/>
      </c>
      <c r="G47" t="inlineStr">
        <is>
          <t>Seattle, WA, US</t>
        </is>
      </c>
      <c r="H47" s="2" t="n">
        <v>45965</v>
      </c>
      <c r="I4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in-3dd9d47d55db6d15</t>
        </is>
      </c>
      <c r="B48" t="inlineStr">
        <is>
          <t>Applied Scientist, Sponsored Products and Brands</t>
        </is>
      </c>
      <c r="C48" t="inlineStr">
        <is>
          <t>Amazon.com</t>
        </is>
      </c>
      <c r="D48" t="inlineStr">
        <is>
          <t>indeed</t>
        </is>
      </c>
      <c r="E48">
        <f>HYPERLINK("https://www.indeed.com/viewjob?jk=3dd9d47d55db6d15", "https://www.indeed.com/viewjob?jk=3dd9d47d55db6d15")</f>
        <v/>
      </c>
      <c r="F48">
        <f>HYPERLINK("https://www.amazon.jobs/jobs/3122617/applied-scientist-sponsored-products-and-brands?cmpid=DA_INAD200785B", "https://www.amazon.jobs/jobs/3122617/applied-scientist-sponsored-products-and-brands?cmpid=DA_INAD200785B")</f>
        <v/>
      </c>
      <c r="G48" t="inlineStr">
        <is>
          <t>New York, NY, US</t>
        </is>
      </c>
      <c r="H48" s="2" t="n">
        <v>45965</v>
      </c>
      <c r="I4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in-1f546fb1d808a6c7</t>
        </is>
      </c>
      <c r="B49" t="inlineStr">
        <is>
          <t>Principal Applied Scientist, Amazon AGI</t>
        </is>
      </c>
      <c r="C49" t="inlineStr">
        <is>
          <t>Amazon.com</t>
        </is>
      </c>
      <c r="D49" t="inlineStr">
        <is>
          <t>indeed</t>
        </is>
      </c>
      <c r="E49">
        <f>HYPERLINK("https://www.indeed.com/viewjob?jk=1f546fb1d808a6c7", "https://www.indeed.com/viewjob?jk=1f546fb1d808a6c7")</f>
        <v/>
      </c>
      <c r="F49">
        <f>HYPERLINK("https://www.amazon.jobs/jobs/3128808/principal-applied-scientist-amazon-agi?cmpid=DA_INAD200785B", "https://www.amazon.jobs/jobs/3128808/principal-applied-scientist-amazon-agi?cmpid=DA_INAD200785B")</f>
        <v/>
      </c>
      <c r="G49" t="inlineStr">
        <is>
          <t>Boston, MA, US</t>
        </is>
      </c>
      <c r="H49" s="2" t="n">
        <v>45964</v>
      </c>
      <c r="I4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in-fc6b94a775534d6b</t>
        </is>
      </c>
      <c r="B50" t="inlineStr">
        <is>
          <t>Principal Applied Scientist, Amazon AGI</t>
        </is>
      </c>
      <c r="C50" t="inlineStr">
        <is>
          <t>Amazon.com</t>
        </is>
      </c>
      <c r="D50" t="inlineStr">
        <is>
          <t>indeed</t>
        </is>
      </c>
      <c r="E50">
        <f>HYPERLINK("https://www.indeed.com/viewjob?jk=fc6b94a775534d6b", "https://www.indeed.com/viewjob?jk=fc6b94a775534d6b")</f>
        <v/>
      </c>
      <c r="F50">
        <f>HYPERLINK("https://www.amazon.jobs/jobs/3128808/principal-applied-scientist-amazon-agi?cmpid=DA_INAD200785B", "https://www.amazon.jobs/jobs/3128808/principal-applied-scientist-amazon-agi?cmpid=DA_INAD200785B")</f>
        <v/>
      </c>
      <c r="G50" t="inlineStr">
        <is>
          <t>San Francisco, CA, US</t>
        </is>
      </c>
      <c r="H50" s="2" t="n">
        <v>45964</v>
      </c>
      <c r="I5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in-bcfe8efb854846aa</t>
        </is>
      </c>
      <c r="B51" t="inlineStr">
        <is>
          <t>Sr. Applied Scientist, AGI Foundations</t>
        </is>
      </c>
      <c r="C51" t="inlineStr">
        <is>
          <t>Amazon.com</t>
        </is>
      </c>
      <c r="D51" t="inlineStr">
        <is>
          <t>indeed</t>
        </is>
      </c>
      <c r="E51">
        <f>HYPERLINK("https://www.indeed.com/viewjob?jk=bcfe8efb854846aa", "https://www.indeed.com/viewjob?jk=bcfe8efb854846aa")</f>
        <v/>
      </c>
      <c r="F51">
        <f>HYPERLINK("https://www.amazon.jobs/jobs/3123268/sr-applied-scientist-agi-foundations?cmpid=DA_INAD200785B", "https://www.amazon.jobs/jobs/3123268/sr-applied-scientist-agi-foundations?cmpid=DA_INAD200785B")</f>
        <v/>
      </c>
      <c r="G51" t="inlineStr">
        <is>
          <t>New York, NY, US</t>
        </is>
      </c>
      <c r="H51" s="2" t="n">
        <v>45963</v>
      </c>
      <c r="I5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in-1cf92b0990efd8d3</t>
        </is>
      </c>
      <c r="B52" t="inlineStr">
        <is>
          <t>Sr. Applied Scientist, AGI Foundations</t>
        </is>
      </c>
      <c r="C52" t="inlineStr">
        <is>
          <t>Amazon.com</t>
        </is>
      </c>
      <c r="D52" t="inlineStr">
        <is>
          <t>indeed</t>
        </is>
      </c>
      <c r="E52">
        <f>HYPERLINK("https://www.indeed.com/viewjob?jk=1cf92b0990efd8d3", "https://www.indeed.com/viewjob?jk=1cf92b0990efd8d3")</f>
        <v/>
      </c>
      <c r="F52">
        <f>HYPERLINK("https://www.amazon.jobs/jobs/3123268/sr-applied-scientist-agi-foundations?cmpid=DA_INAD200785B", "https://www.amazon.jobs/jobs/3123268/sr-applied-scientist-agi-foundations?cmpid=DA_INAD200785B")</f>
        <v/>
      </c>
      <c r="G52" t="inlineStr">
        <is>
          <t>Boston, MA, US</t>
        </is>
      </c>
      <c r="H52" s="2" t="n">
        <v>45963</v>
      </c>
      <c r="I5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in-8fb6579b6cd6f61e</t>
        </is>
      </c>
      <c r="B53" t="inlineStr">
        <is>
          <t>Sr. Applied Scientist, AGI Foundations</t>
        </is>
      </c>
      <c r="C53" t="inlineStr">
        <is>
          <t>Amazon.com</t>
        </is>
      </c>
      <c r="D53" t="inlineStr">
        <is>
          <t>indeed</t>
        </is>
      </c>
      <c r="E53">
        <f>HYPERLINK("https://www.indeed.com/viewjob?jk=8fb6579b6cd6f61e", "https://www.indeed.com/viewjob?jk=8fb6579b6cd6f61e")</f>
        <v/>
      </c>
      <c r="F53">
        <f>HYPERLINK("https://www.amazon.jobs/jobs/3123268/sr-applied-scientist-agi-foundations?cmpid=DA_INAD200785B", "https://www.amazon.jobs/jobs/3123268/sr-applied-scientist-agi-foundations?cmpid=DA_INAD200785B")</f>
        <v/>
      </c>
      <c r="G53" t="inlineStr">
        <is>
          <t>Bellevue, WA, US</t>
        </is>
      </c>
      <c r="H53" s="2" t="n">
        <v>45963</v>
      </c>
      <c r="I5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in-4bee9bb2b4cc910f</t>
        </is>
      </c>
      <c r="B54" t="inlineStr">
        <is>
          <t>Principal Applied Scientist, Advertiser Growth, Amazon Sponsored Products &amp; Brands</t>
        </is>
      </c>
      <c r="C54" t="inlineStr">
        <is>
          <t>Amazon.com</t>
        </is>
      </c>
      <c r="D54" t="inlineStr">
        <is>
          <t>indeed</t>
        </is>
      </c>
      <c r="E54">
        <f>HYPERLINK("https://www.indeed.com/viewjob?jk=4bee9bb2b4cc910f", "https://www.indeed.com/viewjob?jk=4bee9bb2b4cc910f")</f>
        <v/>
      </c>
      <c r="F54">
        <f>HYPERLINK("https://www.amazon.jobs/jobs/3115279/principal-applied-scientist-advertiser-growth-amazon-sponsored-products--brands?cmpid=DA_INAD200785B", "https://www.amazon.jobs/jobs/3115279/principal-applied-scientist-advertiser-growth-amazon-sponsored-products--brands?cmpid=DA_INAD200785B")</f>
        <v/>
      </c>
      <c r="G54" t="inlineStr">
        <is>
          <t>Seattle, WA, US</t>
        </is>
      </c>
      <c r="H54" s="2" t="n">
        <v>45942</v>
      </c>
      <c r="I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in-7e7a8d1656d98aba</t>
        </is>
      </c>
      <c r="B55" t="inlineStr">
        <is>
          <t>Principal Applied Scientist, Advertiser Growth, Amazon Sponsored Products &amp; Brands</t>
        </is>
      </c>
      <c r="C55" t="inlineStr">
        <is>
          <t>Amazon.com</t>
        </is>
      </c>
      <c r="D55" t="inlineStr">
        <is>
          <t>indeed</t>
        </is>
      </c>
      <c r="E55">
        <f>HYPERLINK("https://www.indeed.com/viewjob?jk=7e7a8d1656d98aba", "https://www.indeed.com/viewjob?jk=7e7a8d1656d98aba")</f>
        <v/>
      </c>
      <c r="F55">
        <f>HYPERLINK("https://www.amazon.jobs/jobs/3115279/principal-applied-scientist-advertiser-growth-amazon-sponsored-products--brands?cmpid=DA_INAD200785B", "https://www.amazon.jobs/jobs/3115279/principal-applied-scientist-advertiser-growth-amazon-sponsored-products--brands?cmpid=DA_INAD200785B")</f>
        <v/>
      </c>
      <c r="G55" t="inlineStr">
        <is>
          <t>New York, NY, US</t>
        </is>
      </c>
      <c r="H55" s="2" t="n">
        <v>45942</v>
      </c>
      <c r="I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in-23fafde606498224</t>
        </is>
      </c>
      <c r="B56" t="inlineStr">
        <is>
          <t>Principal Applied Scientist, Advertiser Growth, Amazon Sponsored Products &amp; Brands</t>
        </is>
      </c>
      <c r="C56" t="inlineStr">
        <is>
          <t>Amazon.com</t>
        </is>
      </c>
      <c r="D56" t="inlineStr">
        <is>
          <t>indeed</t>
        </is>
      </c>
      <c r="E56">
        <f>HYPERLINK("https://www.indeed.com/viewjob?jk=23fafde606498224", "https://www.indeed.com/viewjob?jk=23fafde606498224")</f>
        <v/>
      </c>
      <c r="F56">
        <f>HYPERLINK("https://www.amazon.jobs/jobs/3115279/principal-applied-scientist-advertiser-growth-amazon-sponsored-products--brands?cmpid=DA_INAD200785B", "https://www.amazon.jobs/jobs/3115279/principal-applied-scientist-advertiser-growth-amazon-sponsored-products--brands?cmpid=DA_INAD200785B")</f>
        <v/>
      </c>
      <c r="G56" t="inlineStr">
        <is>
          <t>Palo Alto, CA, US</t>
        </is>
      </c>
      <c r="H56" s="2" t="n">
        <v>45942</v>
      </c>
      <c r="I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in-55dd9949ba0726a5</t>
        </is>
      </c>
      <c r="B57" t="inlineStr">
        <is>
          <t>Principal Applied Scientist, Artificial General Intelligence</t>
        </is>
      </c>
      <c r="C57" t="inlineStr">
        <is>
          <t>Amazon.com</t>
        </is>
      </c>
      <c r="D57" t="inlineStr">
        <is>
          <t>indeed</t>
        </is>
      </c>
      <c r="E57">
        <f>HYPERLINK("https://www.indeed.com/viewjob?jk=55dd9949ba0726a5", "https://www.indeed.com/viewjob?jk=55dd9949ba0726a5")</f>
        <v/>
      </c>
      <c r="F57">
        <f>HYPERLINK("https://www.amazon.jobs/jobs/3092462/principal-applied-scientist-artificial-general-intelligence?cmpid=DA_INAD200785B", "https://www.amazon.jobs/jobs/3092462/principal-applied-scientist-artificial-general-intelligence?cmpid=DA_INAD200785B")</f>
        <v/>
      </c>
      <c r="G57" t="inlineStr">
        <is>
          <t>Sunnyvale, CA, US</t>
        </is>
      </c>
      <c r="H57" s="2" t="n">
        <v>45923</v>
      </c>
      <c r="I5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in-fd47f326cb5bff66</t>
        </is>
      </c>
      <c r="B58" t="inlineStr">
        <is>
          <t>Principal Applied Scientist, Artificial General Intelligence</t>
        </is>
      </c>
      <c r="C58" t="inlineStr">
        <is>
          <t>Amazon.com</t>
        </is>
      </c>
      <c r="D58" t="inlineStr">
        <is>
          <t>indeed</t>
        </is>
      </c>
      <c r="E58">
        <f>HYPERLINK("https://www.indeed.com/viewjob?jk=fd47f326cb5bff66", "https://www.indeed.com/viewjob?jk=fd47f326cb5bff66")</f>
        <v/>
      </c>
      <c r="F58">
        <f>HYPERLINK("https://www.amazon.jobs/jobs/3092462/principal-applied-scientist-artificial-general-intelligence?cmpid=DA_INAD200785B", "https://www.amazon.jobs/jobs/3092462/principal-applied-scientist-artificial-general-intelligence?cmpid=DA_INAD200785B")</f>
        <v/>
      </c>
      <c r="G58" t="inlineStr">
        <is>
          <t>Bellevue, WA, US</t>
        </is>
      </c>
      <c r="H58" s="2" t="n">
        <v>45923</v>
      </c>
      <c r="I5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in-18be53ad5b91b7b7</t>
        </is>
      </c>
      <c r="B59" t="inlineStr">
        <is>
          <t>Principal Applied Scientist, Artificial General Intelligence</t>
        </is>
      </c>
      <c r="C59" t="inlineStr">
        <is>
          <t>Amazon.com</t>
        </is>
      </c>
      <c r="D59" t="inlineStr">
        <is>
          <t>indeed</t>
        </is>
      </c>
      <c r="E59">
        <f>HYPERLINK("https://www.indeed.com/viewjob?jk=18be53ad5b91b7b7", "https://www.indeed.com/viewjob?jk=18be53ad5b91b7b7")</f>
        <v/>
      </c>
      <c r="F59">
        <f>HYPERLINK("https://www.amazon.jobs/jobs/3092462/principal-applied-scientist-artificial-general-intelligence?cmpid=DA_INAD200785B", "https://www.amazon.jobs/jobs/3092462/principal-applied-scientist-artificial-general-intelligence?cmpid=DA_INAD200785B")</f>
        <v/>
      </c>
      <c r="G59" t="inlineStr">
        <is>
          <t>New York, NY, US</t>
        </is>
      </c>
      <c r="H59" s="2" t="n">
        <v>45923</v>
      </c>
      <c r="I5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in-2f4afa8a46d1e629</t>
        </is>
      </c>
      <c r="B60" t="inlineStr">
        <is>
          <t>Principal Applied Scientist, Artificial General Intelligence</t>
        </is>
      </c>
      <c r="C60" t="inlineStr">
        <is>
          <t>Amazon.com</t>
        </is>
      </c>
      <c r="D60" t="inlineStr">
        <is>
          <t>indeed</t>
        </is>
      </c>
      <c r="E60">
        <f>HYPERLINK("https://www.indeed.com/viewjob?jk=2f4afa8a46d1e629", "https://www.indeed.com/viewjob?jk=2f4afa8a46d1e629")</f>
        <v/>
      </c>
      <c r="F60">
        <f>HYPERLINK("https://www.amazon.jobs/jobs/3092462/principal-applied-scientist-artificial-general-intelligence?cmpid=DA_INAD200785B", "https://www.amazon.jobs/jobs/3092462/principal-applied-scientist-artificial-general-intelligence?cmpid=DA_INAD200785B")</f>
        <v/>
      </c>
      <c r="G60" t="inlineStr">
        <is>
          <t>Boston, MA, US</t>
        </is>
      </c>
      <c r="H60" s="2" t="n">
        <v>45923</v>
      </c>
      <c r="I6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in-ed3c5cac31e89149</t>
        </is>
      </c>
      <c r="B61" t="inlineStr">
        <is>
          <t>Senior Applied Scientist, Model Customization, Generative AI Innovation Center</t>
        </is>
      </c>
      <c r="C61" t="inlineStr">
        <is>
          <t>Amazon Web Services</t>
        </is>
      </c>
      <c r="D61" t="inlineStr">
        <is>
          <t>indeed</t>
        </is>
      </c>
      <c r="E61">
        <f>HYPERLINK("https://www.indeed.com/viewjob?jk=ed3c5cac31e89149", "https://www.indeed.com/viewjob?jk=ed3c5cac31e89149")</f>
        <v/>
      </c>
      <c r="F61">
        <f>HYPERLINK("https://www.amazon.jobs/jobs/3088254/senior-applied-scientist-model-customization-generative-ai-innovation-center?cmpid=DA_INAD200785B", "https://www.amazon.jobs/jobs/3088254/senior-applied-scientist-model-customization-generative-ai-innovation-center?cmpid=DA_INAD200785B")</f>
        <v/>
      </c>
      <c r="G61" t="inlineStr">
        <is>
          <t>Seattle, WA, US</t>
        </is>
      </c>
      <c r="H61" s="2" t="n">
        <v>45908</v>
      </c>
      <c r="I6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in-01e7a6a900e8340a</t>
        </is>
      </c>
      <c r="B62" t="inlineStr">
        <is>
          <t>Senior Applied Scientist, Model Customization, Generative AI Innovation Center</t>
        </is>
      </c>
      <c r="C62" t="inlineStr">
        <is>
          <t>Amazon Web Services</t>
        </is>
      </c>
      <c r="D62" t="inlineStr">
        <is>
          <t>indeed</t>
        </is>
      </c>
      <c r="E62">
        <f>HYPERLINK("https://www.indeed.com/viewjob?jk=01e7a6a900e8340a", "https://www.indeed.com/viewjob?jk=01e7a6a900e8340a")</f>
        <v/>
      </c>
      <c r="F62">
        <f>HYPERLINK("https://www.amazon.jobs/jobs/3088254/senior-applied-scientist-model-customization-generative-ai-innovation-center?cmpid=DA_INAD200785B", "https://www.amazon.jobs/jobs/3088254/senior-applied-scientist-model-customization-generative-ai-innovation-center?cmpid=DA_INAD200785B")</f>
        <v/>
      </c>
      <c r="G62" t="inlineStr">
        <is>
          <t>New York, NY, US</t>
        </is>
      </c>
      <c r="H62" s="2" t="n">
        <v>45908</v>
      </c>
      <c r="I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in-40ff69228f13d1cb</t>
        </is>
      </c>
      <c r="B63" t="inlineStr">
        <is>
          <t>Senior Applied Scientist, Model Customization, Generative AI Innovation Center</t>
        </is>
      </c>
      <c r="C63" t="inlineStr">
        <is>
          <t>Amazon Web Services</t>
        </is>
      </c>
      <c r="D63" t="inlineStr">
        <is>
          <t>indeed</t>
        </is>
      </c>
      <c r="E63">
        <f>HYPERLINK("https://www.indeed.com/viewjob?jk=40ff69228f13d1cb", "https://www.indeed.com/viewjob?jk=40ff69228f13d1cb")</f>
        <v/>
      </c>
      <c r="F63">
        <f>HYPERLINK("https://www.amazon.jobs/jobs/3088254/senior-applied-scientist-model-customization-generative-ai-innovation-center?cmpid=DA_INAD200785B", "https://www.amazon.jobs/jobs/3088254/senior-applied-scientist-model-customization-generative-ai-innovation-center?cmpid=DA_INAD200785B")</f>
        <v/>
      </c>
      <c r="G63" t="inlineStr">
        <is>
          <t>Arlington, VA, US</t>
        </is>
      </c>
      <c r="H63" s="2" t="n">
        <v>45908</v>
      </c>
      <c r="I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in-ff2601568d54e746</t>
        </is>
      </c>
      <c r="B64" t="inlineStr">
        <is>
          <t>Senior Applied Scientist, Model Customization, Generative AI Innovation Center</t>
        </is>
      </c>
      <c r="C64" t="inlineStr">
        <is>
          <t>Amazon Web Services</t>
        </is>
      </c>
      <c r="D64" t="inlineStr">
        <is>
          <t>indeed</t>
        </is>
      </c>
      <c r="E64">
        <f>HYPERLINK("https://www.indeed.com/viewjob?jk=ff2601568d54e746", "https://www.indeed.com/viewjob?jk=ff2601568d54e746")</f>
        <v/>
      </c>
      <c r="F64">
        <f>HYPERLINK("https://www.amazon.jobs/jobs/3088254/senior-applied-scientist-model-customization-generative-ai-innovation-center?cmpid=DA_INAD200785B", "https://www.amazon.jobs/jobs/3088254/senior-applied-scientist-model-customization-generative-ai-innovation-center?cmpid=DA_INAD200785B")</f>
        <v/>
      </c>
      <c r="G64" t="inlineStr">
        <is>
          <t>Bellevue, WA, US</t>
        </is>
      </c>
      <c r="H64" s="2" t="n">
        <v>45908</v>
      </c>
      <c r="I6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in-26194453beffc0bb</t>
        </is>
      </c>
      <c r="B65" t="inlineStr">
        <is>
          <t>Applied Scientist II, Creative X - RAPID</t>
        </is>
      </c>
      <c r="C65" t="inlineStr">
        <is>
          <t>Amazon.com</t>
        </is>
      </c>
      <c r="D65" t="inlineStr">
        <is>
          <t>indeed</t>
        </is>
      </c>
      <c r="E65">
        <f>HYPERLINK("https://www.indeed.com/viewjob?jk=26194453beffc0bb", "https://www.indeed.com/viewjob?jk=26194453beffc0bb")</f>
        <v/>
      </c>
      <c r="F65">
        <f>HYPERLINK("https://www.amazon.jobs/jobs/3083576/applied-scientist-ii-creative-x--rapid?cmpid=DA_INAD200785B", "https://www.amazon.jobs/jobs/3083576/applied-scientist-ii-creative-x--rapid?cmpid=DA_INAD200785B")</f>
        <v/>
      </c>
      <c r="G65" t="inlineStr">
        <is>
          <t>New York, NY, US</t>
        </is>
      </c>
      <c r="H65" s="2" t="n">
        <v>45908</v>
      </c>
      <c r="I65"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in-bc720b5de95815f3</t>
        </is>
      </c>
      <c r="B66" t="inlineStr">
        <is>
          <t>Applied Scientist II, Creative X - RAPID</t>
        </is>
      </c>
      <c r="C66" t="inlineStr">
        <is>
          <t>Amazon.com</t>
        </is>
      </c>
      <c r="D66" t="inlineStr">
        <is>
          <t>indeed</t>
        </is>
      </c>
      <c r="E66">
        <f>HYPERLINK("https://www.indeed.com/viewjob?jk=bc720b5de95815f3", "https://www.indeed.com/viewjob?jk=bc720b5de95815f3")</f>
        <v/>
      </c>
      <c r="F66">
        <f>HYPERLINK("https://www.amazon.jobs/jobs/3083576/applied-scientist-ii-creative-x--rapid?cmpid=DA_INAD200785B", "https://www.amazon.jobs/jobs/3083576/applied-scientist-ii-creative-x--rapid?cmpid=DA_INAD200785B")</f>
        <v/>
      </c>
      <c r="G66" t="inlineStr">
        <is>
          <t>Seattle, WA, US</t>
        </is>
      </c>
      <c r="H66" s="2" t="n">
        <v>45908</v>
      </c>
      <c r="I66" t="inlineStr">
        <is>
          <t>**DESCRIPTION**
---------------
About Amazon Advertising: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About our team:  
Our team, CreativeX optimizations, is responsible for tailoring the visual experience of ads to each context in real time. To accomplish this, we are investing in latent\-diffusion models, large language models (LLM), reinforced learning (RL), Computer Vision, and related methods.  
Key job responsibilities  
We are looking for talented Applied Scientists who are adept at a variety of skills, especially with reinforcement learning and recommendations, and familiarity with LLMs, latent diffusion, or related foundational models that will accelerate our plans to dynamically optimize ad creatives on behalf of advertisers. Every member of the team is expected to build customer (advertiser) facing features, contribute to the collaborative spirit within the team, publish, patent, and bring state\-of\-the\-art research to raise the bar within the team.
**BASIC QUALIFICATIONS**
------------------------
* PhD, or Master's degree and 3\+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in-eece7ddde20b9878</t>
        </is>
      </c>
      <c r="B67" t="inlineStr">
        <is>
          <t>Senior Applied Scientist, Artificial General Intelligence</t>
        </is>
      </c>
      <c r="C67" t="inlineStr">
        <is>
          <t>Amazon.com</t>
        </is>
      </c>
      <c r="D67" t="inlineStr">
        <is>
          <t>indeed</t>
        </is>
      </c>
      <c r="E67">
        <f>HYPERLINK("https://www.indeed.com/viewjob?jk=eece7ddde20b9878", "https://www.indeed.com/viewjob?jk=eece7ddde20b9878")</f>
        <v/>
      </c>
      <c r="F67">
        <f>HYPERLINK("https://www.amazon.jobs/jobs/3078137/senior-applied-scientist-artificial-general-intelligence?cmpid=DA_INAD200785B", "https://www.amazon.jobs/jobs/3078137/senior-applied-scientist-artificial-general-intelligence?cmpid=DA_INAD200785B")</f>
        <v/>
      </c>
      <c r="G67" t="inlineStr">
        <is>
          <t>Cambridge, MA, US</t>
        </is>
      </c>
      <c r="H67" s="2" t="n">
        <v>45907</v>
      </c>
      <c r="I6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in-934c8f563996e771</t>
        </is>
      </c>
      <c r="B68" t="inlineStr">
        <is>
          <t>Senior Applied Scientist, Artificial General Intelligence</t>
        </is>
      </c>
      <c r="C68" t="inlineStr">
        <is>
          <t>Amazon.com</t>
        </is>
      </c>
      <c r="D68" t="inlineStr">
        <is>
          <t>indeed</t>
        </is>
      </c>
      <c r="E68">
        <f>HYPERLINK("https://www.indeed.com/viewjob?jk=934c8f563996e771", "https://www.indeed.com/viewjob?jk=934c8f563996e771")</f>
        <v/>
      </c>
      <c r="F68">
        <f>HYPERLINK("https://www.amazon.jobs/jobs/3078137/senior-applied-scientist-artificial-general-intelligence?cmpid=DA_INAD200785B", "https://www.amazon.jobs/jobs/3078137/senior-applied-scientist-artificial-general-intelligence?cmpid=DA_INAD200785B")</f>
        <v/>
      </c>
      <c r="G68" t="inlineStr">
        <is>
          <t>New York, NY, US</t>
        </is>
      </c>
      <c r="H68" s="2" t="n">
        <v>45907</v>
      </c>
      <c r="I6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in-33119bb5d84ed5ac</t>
        </is>
      </c>
      <c r="B69" t="inlineStr">
        <is>
          <t>Senior Applied Scientist, Artificial General Intelligence</t>
        </is>
      </c>
      <c r="C69" t="inlineStr">
        <is>
          <t>Amazon.com</t>
        </is>
      </c>
      <c r="D69" t="inlineStr">
        <is>
          <t>indeed</t>
        </is>
      </c>
      <c r="E69">
        <f>HYPERLINK("https://www.indeed.com/viewjob?jk=33119bb5d84ed5ac", "https://www.indeed.com/viewjob?jk=33119bb5d84ed5ac")</f>
        <v/>
      </c>
      <c r="F69">
        <f>HYPERLINK("https://www.amazon.jobs/jobs/3078137/senior-applied-scientist-artificial-general-intelligence?cmpid=DA_INAD200785B", "https://www.amazon.jobs/jobs/3078137/senior-applied-scientist-artificial-general-intelligence?cmpid=DA_INAD200785B")</f>
        <v/>
      </c>
      <c r="G69" t="inlineStr">
        <is>
          <t>Bellevue, WA, US</t>
        </is>
      </c>
      <c r="H69" s="2" t="n">
        <v>45907</v>
      </c>
      <c r="I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in-bed8c5386ba476e6</t>
        </is>
      </c>
      <c r="B70" t="inlineStr">
        <is>
          <t>Senior Applied Scientist, Artificial General Intelligence</t>
        </is>
      </c>
      <c r="C70" t="inlineStr">
        <is>
          <t>Amazon.com</t>
        </is>
      </c>
      <c r="D70" t="inlineStr">
        <is>
          <t>indeed</t>
        </is>
      </c>
      <c r="E70">
        <f>HYPERLINK("https://www.indeed.com/viewjob?jk=bed8c5386ba476e6", "https://www.indeed.com/viewjob?jk=bed8c5386ba476e6")</f>
        <v/>
      </c>
      <c r="F70">
        <f>HYPERLINK("https://www.amazon.jobs/jobs/3078137/senior-applied-scientist-artificial-general-intelligence?cmpid=DA_INAD200785B", "https://www.amazon.jobs/jobs/3078137/senior-applied-scientist-artificial-general-intelligence?cmpid=DA_INAD200785B")</f>
        <v/>
      </c>
      <c r="G70" t="inlineStr">
        <is>
          <t>Sunnyvale, CA, US</t>
        </is>
      </c>
      <c r="H70" s="2" t="n">
        <v>45907</v>
      </c>
      <c r="I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in-bf713925f4e88ad5</t>
        </is>
      </c>
      <c r="B71" t="inlineStr">
        <is>
          <t>Principal Applied Scientist, AGI Foundations, AGI Foundations</t>
        </is>
      </c>
      <c r="C71" t="inlineStr">
        <is>
          <t>Amazon.com</t>
        </is>
      </c>
      <c r="D71" t="inlineStr">
        <is>
          <t>indeed</t>
        </is>
      </c>
      <c r="E71">
        <f>HYPERLINK("https://www.indeed.com/viewjob?jk=bf713925f4e88ad5", "https://www.indeed.com/viewjob?jk=bf713925f4e88ad5")</f>
        <v/>
      </c>
      <c r="F71">
        <f>HYPERLINK("https://www.amazon.jobs/jobs/3047563/principal-applied-scientist-agi-foundations-agi-foundations?cmpid=DA_INAD200785B", "https://www.amazon.jobs/jobs/3047563/principal-applied-scientist-agi-foundations-agi-foundations?cmpid=DA_INAD200785B")</f>
        <v/>
      </c>
      <c r="G71" t="inlineStr">
        <is>
          <t>Sunnyvale, CA, US</t>
        </is>
      </c>
      <c r="H71" s="2" t="n">
        <v>45856</v>
      </c>
      <c r="I7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in-22f77be6e0563e78</t>
        </is>
      </c>
      <c r="B72" t="inlineStr">
        <is>
          <t>Principal Applied Scientist, AGI Foundations, AGI Foundations</t>
        </is>
      </c>
      <c r="C72" t="inlineStr">
        <is>
          <t>Amazon.com</t>
        </is>
      </c>
      <c r="D72" t="inlineStr">
        <is>
          <t>indeed</t>
        </is>
      </c>
      <c r="E72">
        <f>HYPERLINK("https://www.indeed.com/viewjob?jk=22f77be6e0563e78", "https://www.indeed.com/viewjob?jk=22f77be6e0563e78")</f>
        <v/>
      </c>
      <c r="F72">
        <f>HYPERLINK("https://www.amazon.jobs/jobs/3047563/principal-applied-scientist-agi-foundations-agi-foundations?cmpid=DA_INAD200785B", "https://www.amazon.jobs/jobs/3047563/principal-applied-scientist-agi-foundations-agi-foundations?cmpid=DA_INAD200785B")</f>
        <v/>
      </c>
      <c r="G72" t="inlineStr">
        <is>
          <t>Bellevue, WA, US</t>
        </is>
      </c>
      <c r="H72" s="2" t="n">
        <v>45856</v>
      </c>
      <c r="I7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in-88ee1d1fbd9d132c</t>
        </is>
      </c>
      <c r="B73" t="inlineStr">
        <is>
          <t>Principal Applied Scientist, AGI Foundations, AGI Foundations</t>
        </is>
      </c>
      <c r="C73" t="inlineStr">
        <is>
          <t>Amazon.com</t>
        </is>
      </c>
      <c r="D73" t="inlineStr">
        <is>
          <t>indeed</t>
        </is>
      </c>
      <c r="E73">
        <f>HYPERLINK("https://www.indeed.com/viewjob?jk=88ee1d1fbd9d132c", "https://www.indeed.com/viewjob?jk=88ee1d1fbd9d132c")</f>
        <v/>
      </c>
      <c r="F73">
        <f>HYPERLINK("https://www.amazon.jobs/jobs/3047563/principal-applied-scientist-agi-foundations-agi-foundations?cmpid=DA_INAD200785B", "https://www.amazon.jobs/jobs/3047563/principal-applied-scientist-agi-foundations-agi-foundations?cmpid=DA_INAD200785B")</f>
        <v/>
      </c>
      <c r="G73" t="inlineStr">
        <is>
          <t>Boston, MA, US</t>
        </is>
      </c>
      <c r="H73" s="2" t="n">
        <v>45856</v>
      </c>
      <c r="I7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in-e491f34b5dbd44ca</t>
        </is>
      </c>
      <c r="B74" t="inlineStr">
        <is>
          <t>Principal Applied Scientist, AGI Foundations, AGI Foundations</t>
        </is>
      </c>
      <c r="C74" t="inlineStr">
        <is>
          <t>Amazon.com</t>
        </is>
      </c>
      <c r="D74" t="inlineStr">
        <is>
          <t>indeed</t>
        </is>
      </c>
      <c r="E74">
        <f>HYPERLINK("https://www.indeed.com/viewjob?jk=e491f34b5dbd44ca", "https://www.indeed.com/viewjob?jk=e491f34b5dbd44ca")</f>
        <v/>
      </c>
      <c r="F74">
        <f>HYPERLINK("https://www.amazon.jobs/jobs/3047563/principal-applied-scientist-agi-foundations-agi-foundations?cmpid=DA_INAD200785B", "https://www.amazon.jobs/jobs/3047563/principal-applied-scientist-agi-foundations-agi-foundations?cmpid=DA_INAD200785B")</f>
        <v/>
      </c>
      <c r="G74" t="inlineStr">
        <is>
          <t>New York, NY, US</t>
        </is>
      </c>
      <c r="H74" s="2" t="n">
        <v>45856</v>
      </c>
      <c r="I7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in-6a42f8ff5c4634bf</t>
        </is>
      </c>
      <c r="B75" t="inlineStr">
        <is>
          <t>Sr. Applied Scientist, Amazon Advertising</t>
        </is>
      </c>
      <c r="C75" t="inlineStr">
        <is>
          <t>Amazon.com</t>
        </is>
      </c>
      <c r="D75" t="inlineStr">
        <is>
          <t>indeed</t>
        </is>
      </c>
      <c r="E75">
        <f>HYPERLINK("https://www.indeed.com/viewjob?jk=6a42f8ff5c4634bf", "https://www.indeed.com/viewjob?jk=6a42f8ff5c4634bf")</f>
        <v/>
      </c>
      <c r="F75">
        <f>HYPERLINK("https://www.amazon.jobs/jobs/3035686/sr-applied-scientist-amazon-advertising?cmpid=DA_INAD200785B", "https://www.amazon.jobs/jobs/3035686/sr-applied-scientist-amazon-advertising?cmpid=DA_INAD200785B")</f>
        <v/>
      </c>
      <c r="G75" t="inlineStr">
        <is>
          <t>Seattle, WA, US</t>
        </is>
      </c>
      <c r="H75" s="2" t="n">
        <v>45851</v>
      </c>
      <c r="I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in-6c2b11a4848b92de</t>
        </is>
      </c>
      <c r="B76" t="inlineStr">
        <is>
          <t>Sr. Applied Scientist, Amazon Advertising</t>
        </is>
      </c>
      <c r="C76" t="inlineStr">
        <is>
          <t>Amazon.com</t>
        </is>
      </c>
      <c r="D76" t="inlineStr">
        <is>
          <t>indeed</t>
        </is>
      </c>
      <c r="E76">
        <f>HYPERLINK("https://www.indeed.com/viewjob?jk=6c2b11a4848b92de", "https://www.indeed.com/viewjob?jk=6c2b11a4848b92de")</f>
        <v/>
      </c>
      <c r="F76">
        <f>HYPERLINK("https://www.amazon.jobs/jobs/3035686/sr-applied-scientist-amazon-advertising?cmpid=DA_INAD200785B", "https://www.amazon.jobs/jobs/3035686/sr-applied-scientist-amazon-advertising?cmpid=DA_INAD200785B")</f>
        <v/>
      </c>
      <c r="G76" t="inlineStr">
        <is>
          <t>Los Angeles, CA, US</t>
        </is>
      </c>
      <c r="H76" s="2" t="n">
        <v>45851</v>
      </c>
      <c r="I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in-9fa59e6c21a55799</t>
        </is>
      </c>
      <c r="B77" t="inlineStr">
        <is>
          <t>Sr. Applied Scientist, Amazon Advertising</t>
        </is>
      </c>
      <c r="C77" t="inlineStr">
        <is>
          <t>Amazon.com</t>
        </is>
      </c>
      <c r="D77" t="inlineStr">
        <is>
          <t>indeed</t>
        </is>
      </c>
      <c r="E77">
        <f>HYPERLINK("https://www.indeed.com/viewjob?jk=9fa59e6c21a55799", "https://www.indeed.com/viewjob?jk=9fa59e6c21a55799")</f>
        <v/>
      </c>
      <c r="F77">
        <f>HYPERLINK("https://www.amazon.jobs/jobs/3035686/sr-applied-scientist-amazon-advertising?cmpid=DA_INAD200785B", "https://www.amazon.jobs/jobs/3035686/sr-applied-scientist-amazon-advertising?cmpid=DA_INAD200785B")</f>
        <v/>
      </c>
      <c r="G77" t="inlineStr">
        <is>
          <t>West Hollywood, CA,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in-3f77eb24ea8a15e7</t>
        </is>
      </c>
      <c r="B78" t="inlineStr">
        <is>
          <t>Sr. Applied Scientist, Amazon Advertising</t>
        </is>
      </c>
      <c r="C78" t="inlineStr">
        <is>
          <t>Amazon.com</t>
        </is>
      </c>
      <c r="D78" t="inlineStr">
        <is>
          <t>indeed</t>
        </is>
      </c>
      <c r="E78">
        <f>HYPERLINK("https://www.indeed.com/viewjob?jk=3f77eb24ea8a15e7", "https://www.indeed.com/viewjob?jk=3f77eb24ea8a15e7")</f>
        <v/>
      </c>
      <c r="F78">
        <f>HYPERLINK("https://www.amazon.jobs/jobs/3035686/sr-applied-scientist-amazon-advertising?cmpid=DA_INAD200785B", "https://www.amazon.jobs/jobs/3035686/sr-applied-scientist-amazon-advertising?cmpid=DA_INAD200785B")</f>
        <v/>
      </c>
      <c r="G78" t="inlineStr">
        <is>
          <t>Palo Alto, CA,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in-9682df91719c0c9b</t>
        </is>
      </c>
      <c r="B79" t="inlineStr">
        <is>
          <t>Sr. Applied Scientist, Amazon Advertising</t>
        </is>
      </c>
      <c r="C79" t="inlineStr">
        <is>
          <t>Amazon.com</t>
        </is>
      </c>
      <c r="D79" t="inlineStr">
        <is>
          <t>indeed</t>
        </is>
      </c>
      <c r="E79">
        <f>HYPERLINK("https://www.indeed.com/viewjob?jk=9682df91719c0c9b", "https://www.indeed.com/viewjob?jk=9682df91719c0c9b")</f>
        <v/>
      </c>
      <c r="F79">
        <f>HYPERLINK("https://www.amazon.jobs/jobs/3035686/sr-applied-scientist-amazon-advertising?cmpid=DA_INAD200785B", "https://www.amazon.jobs/jobs/3035686/sr-applied-scientist-amazon-advertising?cmpid=DA_INAD200785B")</f>
        <v/>
      </c>
      <c r="G79" t="inlineStr">
        <is>
          <t>Simi Valley, CA,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in-f45a1af431a3b887</t>
        </is>
      </c>
      <c r="B80" t="inlineStr">
        <is>
          <t>Sr. Applied Scientist, Amazon Advertising</t>
        </is>
      </c>
      <c r="C80" t="inlineStr">
        <is>
          <t>Amazon.com</t>
        </is>
      </c>
      <c r="D80" t="inlineStr">
        <is>
          <t>indeed</t>
        </is>
      </c>
      <c r="E80">
        <f>HYPERLINK("https://www.indeed.com/viewjob?jk=f45a1af431a3b887", "https://www.indeed.com/viewjob?jk=f45a1af431a3b887")</f>
        <v/>
      </c>
      <c r="F80">
        <f>HYPERLINK("https://www.amazon.jobs/jobs/3035686/sr-applied-scientist-amazon-advertising?cmpid=DA_INAD200785B", "https://www.amazon.jobs/jobs/3035686/sr-applied-scientist-amazon-advertising?cmpid=DA_INAD200785B")</f>
        <v/>
      </c>
      <c r="G80" t="inlineStr">
        <is>
          <t>New York, NY,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in-8bba254bed77a9d1</t>
        </is>
      </c>
      <c r="B81" t="inlineStr">
        <is>
          <t>Sr. Applied Scientist, Amazon Advertising</t>
        </is>
      </c>
      <c r="C81" t="inlineStr">
        <is>
          <t>Amazon.com</t>
        </is>
      </c>
      <c r="D81" t="inlineStr">
        <is>
          <t>indeed</t>
        </is>
      </c>
      <c r="E81">
        <f>HYPERLINK("https://www.indeed.com/viewjob?jk=8bba254bed77a9d1", "https://www.indeed.com/viewjob?jk=8bba254bed77a9d1")</f>
        <v/>
      </c>
      <c r="F81">
        <f>HYPERLINK("https://www.amazon.jobs/jobs/3035686/sr-applied-scientist-amazon-advertising?cmpid=DA_INAD200785B", "https://www.amazon.jobs/jobs/3035686/sr-applied-scientist-amazon-advertising?cmpid=DA_INAD200785B")</f>
        <v/>
      </c>
      <c r="G81" t="inlineStr">
        <is>
          <t>Austin, TX,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in-c75f094d5fd4ce80</t>
        </is>
      </c>
      <c r="B82" t="inlineStr">
        <is>
          <t>Sr. Applied Scientist, Amazon Advertising</t>
        </is>
      </c>
      <c r="C82" t="inlineStr">
        <is>
          <t>Amazon.com</t>
        </is>
      </c>
      <c r="D82" t="inlineStr">
        <is>
          <t>indeed</t>
        </is>
      </c>
      <c r="E82">
        <f>HYPERLINK("https://www.indeed.com/viewjob?jk=c75f094d5fd4ce80", "https://www.indeed.com/viewjob?jk=c75f094d5fd4ce80")</f>
        <v/>
      </c>
      <c r="F82">
        <f>HYPERLINK("https://www.amazon.jobs/jobs/3035686/sr-applied-scientist-amazon-advertising?cmpid=DA_INAD200785B", "https://www.amazon.jobs/jobs/3035686/sr-applied-scientist-amazon-advertising?cmpid=DA_INAD200785B")</f>
        <v/>
      </c>
      <c r="G82" t="inlineStr">
        <is>
          <t>Arlington, VA,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in-52fd3a134996984d</t>
        </is>
      </c>
      <c r="B83" t="inlineStr">
        <is>
          <t>Sr. Applied Scientist, Sales AI</t>
        </is>
      </c>
      <c r="C83" t="inlineStr">
        <is>
          <t>Amazon.com</t>
        </is>
      </c>
      <c r="D83" t="inlineStr">
        <is>
          <t>indeed</t>
        </is>
      </c>
      <c r="E83">
        <f>HYPERLINK("https://www.indeed.com/viewjob?jk=52fd3a134996984d", "https://www.indeed.com/viewjob?jk=52fd3a134996984d")</f>
        <v/>
      </c>
      <c r="F83">
        <f>HYPERLINK("https://www.amazon.jobs/jobs/3020528/sr-applied-scientist-sales-ai?cmpid=DA_INAD200785B", "https://www.amazon.jobs/jobs/3020528/sr-applied-scientist-sales-ai?cmpid=DA_INAD200785B")</f>
        <v/>
      </c>
      <c r="G83" t="inlineStr">
        <is>
          <t>Seattle, WA, US</t>
        </is>
      </c>
      <c r="H83" s="2" t="n">
        <v>45830</v>
      </c>
      <c r="I8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in-542352becfd61d4c</t>
        </is>
      </c>
      <c r="B84" t="inlineStr">
        <is>
          <t>Sr. Applied Scientist, Sales AI</t>
        </is>
      </c>
      <c r="C84" t="inlineStr">
        <is>
          <t>Amazon.com</t>
        </is>
      </c>
      <c r="D84" t="inlineStr">
        <is>
          <t>indeed</t>
        </is>
      </c>
      <c r="E84">
        <f>HYPERLINK("https://www.indeed.com/viewjob?jk=542352becfd61d4c", "https://www.indeed.com/viewjob?jk=542352becfd61d4c")</f>
        <v/>
      </c>
      <c r="F84">
        <f>HYPERLINK("https://www.amazon.jobs/jobs/3020528/sr-applied-scientist-sales-ai?cmpid=DA_INAD200785B", "https://www.amazon.jobs/jobs/3020528/sr-applied-scientist-sales-ai?cmpid=DA_INAD200785B")</f>
        <v/>
      </c>
      <c r="G84" t="inlineStr">
        <is>
          <t>New York, NY,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in-cb9d5805bc5280b5</t>
        </is>
      </c>
      <c r="B85" t="inlineStr">
        <is>
          <t>Sr. Applied Scientist, Sales AI</t>
        </is>
      </c>
      <c r="C85" t="inlineStr">
        <is>
          <t>Amazon.com</t>
        </is>
      </c>
      <c r="D85" t="inlineStr">
        <is>
          <t>indeed</t>
        </is>
      </c>
      <c r="E85">
        <f>HYPERLINK("https://www.indeed.com/viewjob?jk=cb9d5805bc5280b5", "https://www.indeed.com/viewjob?jk=cb9d5805bc5280b5")</f>
        <v/>
      </c>
      <c r="F85">
        <f>HYPERLINK("https://www.amazon.jobs/jobs/3020528/sr-applied-scientist-sales-ai?cmpid=DA_INAD200785B", "https://www.amazon.jobs/jobs/3020528/sr-applied-scientist-sales-ai?cmpid=DA_INAD200785B")</f>
        <v/>
      </c>
      <c r="G85" t="inlineStr">
        <is>
          <t>Sunnyvale, CA, US</t>
        </is>
      </c>
      <c r="H85" s="2" t="n">
        <v>45830</v>
      </c>
      <c r="I8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in-2ec318cf9e1d34c1</t>
        </is>
      </c>
      <c r="B86" t="inlineStr">
        <is>
          <t>Sr. Applied Scientist, Prime Video - Personalization and Discovery Science</t>
        </is>
      </c>
      <c r="C86" t="inlineStr">
        <is>
          <t>Amazon.com</t>
        </is>
      </c>
      <c r="D86" t="inlineStr">
        <is>
          <t>indeed</t>
        </is>
      </c>
      <c r="E86">
        <f>HYPERLINK("https://www.indeed.com/viewjob?jk=2ec318cf9e1d34c1", "https://www.indeed.com/viewjob?jk=2ec318cf9e1d34c1")</f>
        <v/>
      </c>
      <c r="F86">
        <f>HYPERLINK("https://www.amazon.jobs/jobs/3011754/sr-applied-scientist-prime-video--personalization-and-discovery-science?cmpid=DA_INAD200785B", "https://www.amazon.jobs/jobs/3011754/sr-applied-scientist-prime-video--personalization-and-discovery-science?cmpid=DA_INAD200785B")</f>
        <v/>
      </c>
      <c r="G86" t="inlineStr">
        <is>
          <t>Sunnyvale, CA, US</t>
        </is>
      </c>
      <c r="H86" s="2" t="n">
        <v>45819</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in-1c00c43fe1a60802</t>
        </is>
      </c>
      <c r="B87" t="inlineStr">
        <is>
          <t>Sr. Applied Scientist, Prime Video - Personalization and Discovery Science</t>
        </is>
      </c>
      <c r="C87" t="inlineStr">
        <is>
          <t>Amazon.com</t>
        </is>
      </c>
      <c r="D87" t="inlineStr">
        <is>
          <t>indeed</t>
        </is>
      </c>
      <c r="E87">
        <f>HYPERLINK("https://www.indeed.com/viewjob?jk=1c00c43fe1a60802", "https://www.indeed.com/viewjob?jk=1c00c43fe1a60802")</f>
        <v/>
      </c>
      <c r="F87">
        <f>HYPERLINK("https://www.amazon.jobs/jobs/3011754/sr-applied-scientist-prime-video--personalization-and-discovery-science?cmpid=DA_INAD200785B", "https://www.amazon.jobs/jobs/3011754/sr-applied-scientist-prime-video--personalization-and-discovery-science?cmpid=DA_INAD200785B")</f>
        <v/>
      </c>
      <c r="G87" t="inlineStr">
        <is>
          <t>Seattle, WA, US</t>
        </is>
      </c>
      <c r="H87" s="2" t="n">
        <v>45819</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in-01b3966c60186d79</t>
        </is>
      </c>
      <c r="B88" t="inlineStr">
        <is>
          <t>Sr. Applied Scientist, AGI Info</t>
        </is>
      </c>
      <c r="C88" t="inlineStr">
        <is>
          <t>Amazon.com</t>
        </is>
      </c>
      <c r="D88" t="inlineStr">
        <is>
          <t>indeed</t>
        </is>
      </c>
      <c r="E88">
        <f>HYPERLINK("https://www.indeed.com/viewjob?jk=01b3966c60186d79", "https://www.indeed.com/viewjob?jk=01b3966c60186d79")</f>
        <v/>
      </c>
      <c r="F88">
        <f>HYPERLINK("https://www.amazon.jobs/jobs/2999351/sr-applied-scientist-agi-info?cmpid=DA_INAD200785B", "https://www.amazon.jobs/jobs/2999351/sr-applied-scientist-agi-info?cmpid=DA_INAD200785B")</f>
        <v/>
      </c>
      <c r="G88" t="inlineStr">
        <is>
          <t>Bellevue, WA, US</t>
        </is>
      </c>
      <c r="H88" s="2" t="n">
        <v>45811</v>
      </c>
      <c r="I88"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in-64e39fd898e325c7</t>
        </is>
      </c>
      <c r="B89" t="inlineStr">
        <is>
          <t>Sr. Applied Scientist, AGI Info</t>
        </is>
      </c>
      <c r="C89" t="inlineStr">
        <is>
          <t>Amazon.com</t>
        </is>
      </c>
      <c r="D89" t="inlineStr">
        <is>
          <t>indeed</t>
        </is>
      </c>
      <c r="E89">
        <f>HYPERLINK("https://www.indeed.com/viewjob?jk=64e39fd898e325c7", "https://www.indeed.com/viewjob?jk=64e39fd898e325c7")</f>
        <v/>
      </c>
      <c r="F89">
        <f>HYPERLINK("https://www.amazon.jobs/jobs/2999351/sr-applied-scientist-agi-info?cmpid=DA_INAD200785B", "https://www.amazon.jobs/jobs/2999351/sr-applied-scientist-agi-info?cmpid=DA_INAD200785B")</f>
        <v/>
      </c>
      <c r="G89" t="inlineStr">
        <is>
          <t>Sunnyvale, CA, US</t>
        </is>
      </c>
      <c r="H89" s="2" t="n">
        <v>45811</v>
      </c>
      <c r="I8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in-7a9f06800792f565</t>
        </is>
      </c>
      <c r="B90" t="inlineStr">
        <is>
          <t>Principal Applied Scientist, FAR (Frontier AI &amp; Robotics)</t>
        </is>
      </c>
      <c r="C90" t="inlineStr">
        <is>
          <t>Amazon.com</t>
        </is>
      </c>
      <c r="D90" t="inlineStr">
        <is>
          <t>indeed</t>
        </is>
      </c>
      <c r="E90">
        <f>HYPERLINK("https://www.indeed.com/viewjob?jk=7a9f06800792f565", "https://www.indeed.com/viewjob?jk=7a9f06800792f565")</f>
        <v/>
      </c>
      <c r="F90">
        <f>HYPERLINK("https://www.amazon.jobs/jobs/2938625/principal-applied-scientist-far-frontier-ai--robotics?cmpid=DA_INAD200785B", "https://www.amazon.jobs/jobs/2938625/principal-applied-scientist-far-frontier-ai--robotics?cmpid=DA_INAD200785B")</f>
        <v/>
      </c>
      <c r="G90" t="inlineStr">
        <is>
          <t>San Francisco, CA, US</t>
        </is>
      </c>
      <c r="H90" s="2" t="n">
        <v>45740</v>
      </c>
      <c r="I9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in-7747684588e556fc</t>
        </is>
      </c>
      <c r="B91" t="inlineStr">
        <is>
          <t>Principal Applied Scientist, FAR (Frontier AI &amp; Robotics)</t>
        </is>
      </c>
      <c r="C91" t="inlineStr">
        <is>
          <t>Amazon.com</t>
        </is>
      </c>
      <c r="D91" t="inlineStr">
        <is>
          <t>indeed</t>
        </is>
      </c>
      <c r="E91">
        <f>HYPERLINK("https://www.indeed.com/viewjob?jk=7747684588e556fc", "https://www.indeed.com/viewjob?jk=7747684588e556fc")</f>
        <v/>
      </c>
      <c r="F91">
        <f>HYPERLINK("https://www.amazon.jobs/jobs/2938625/principal-applied-scientist-far-frontier-ai--robotics?cmpid=DA_INAD200785B", "https://www.amazon.jobs/jobs/2938625/principal-applied-scientist-far-frontier-ai--robotics?cmpid=DA_INAD200785B")</f>
        <v/>
      </c>
      <c r="G91" t="inlineStr">
        <is>
          <t>Seattle, WA, US</t>
        </is>
      </c>
      <c r="H91" s="2" t="n">
        <v>45740</v>
      </c>
      <c r="I9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in-b7cd77dfe64bc5dd</t>
        </is>
      </c>
      <c r="B92" t="inlineStr">
        <is>
          <t>Lead Machine Learning Engineer (Gen AI, Python, Go, AWS)</t>
        </is>
      </c>
      <c r="C92" t="inlineStr">
        <is>
          <t>Capital One</t>
        </is>
      </c>
      <c r="D92" t="inlineStr">
        <is>
          <t>indeed</t>
        </is>
      </c>
      <c r="E92">
        <f>HYPERLINK("https://www.indeed.com/viewjob?jk=b7cd77dfe64bc5dd", "https://www.indeed.com/viewjob?jk=b7cd77dfe64bc5dd")</f>
        <v/>
      </c>
      <c r="F92">
        <f>HYPERLINK("https://www.capitalonecareers.com/job/-/-/1732/90565463968", "https://www.capitalonecareers.com/job/-/-/1732/90565463968")</f>
        <v/>
      </c>
      <c r="G92" t="inlineStr">
        <is>
          <t>New York, NY, US</t>
        </is>
      </c>
      <c r="H92" s="2" t="n">
        <v>46035</v>
      </c>
      <c r="I92" t="inlineStr">
        <is>
          <t>Lead Machine Learning Engineer (Gen AI, Python, Go, AWS)
As a Capital One Machine Learning Engineer (MLE) on the GenAI Workflows Serving team, you'll be part of an Agile team dedicated to designing, building, and productionizing Generative AI applications and Agentic Workflow systems at massive scale. You’ll participate in the detailed technical design, development, and implementation of complex machine learning applications leveraging cloud\-native platforms. You’ll focus on building robust ML serving architecture, developing high\-performance application code, and ensuring the high availability, security, and low latency of our Generative AI solutions. You will collaborate closely with multiple other AI/ML teams to drive innovation and continuously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 deliver GenAI models and componentsthat solve complex business problems, while working in collaboration with the Product and Data Science teams.
* Design and implement cloud\-native ML Serving Platforms leveraging technologies like Docker, Kubernetes, KNative, and KServe to ensure optimized and scalable deployment of models.
* Solve complex scaling and high\-availability problems by writing and testing performant application code in Python and Go\-lang, developing and validating ML models, and automating tests and deployment.
* Implement advanced MLOps and GitOps practices for continuous integration and continuous deployment (CI/CD) using tools like ArgoCD to manage the entire lifecycle of models and applications.
* Leverage service mesh architectures like Istio to manage traffic, enhance security, and ensure resilience for high\-volume serving endpoints.
* Retrain, maintain, and monitor models in production.
* Construct optimized, scalable data pipelines to feed ML models.
* Ensure all code is well\-managed to reduce vulnerabilities, models are well\-governed from a risk perspective, and the ML follows best practices in Responsible and Explainable AI.
* Use programming languages like Python, Go, Scala or Java
**Basic Qualifications:**
* Bachelor’s Degree
* At least 6 years of experience designing and building data\-intensive solutions using distributed computing (Internship experience does not apply)
* At least 4 years of experience programming with Python, Scala, Go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in-2a486e5d3a568f44</t>
        </is>
      </c>
      <c r="B93" t="inlineStr">
        <is>
          <t>ML Engineer</t>
        </is>
      </c>
      <c r="C93" t="inlineStr">
        <is>
          <t>Intone Networks</t>
        </is>
      </c>
      <c r="D93" t="inlineStr">
        <is>
          <t>indeed</t>
        </is>
      </c>
      <c r="E93">
        <f>HYPERLINK("https://www.indeed.com/viewjob?jk=2a486e5d3a568f44", "https://www.indeed.com/viewjob?jk=2a486e5d3a568f44")</f>
        <v/>
      </c>
      <c r="F93">
        <f>HYPERLINK("https://intonenetworks.com/careers-at-intone", "https://intonenetworks.com/careers-at-intone")</f>
        <v/>
      </c>
      <c r="G93" t="inlineStr">
        <is>
          <t>Remote, US</t>
        </is>
      </c>
      <c r="H93" s="2" t="n">
        <v>46034</v>
      </c>
      <c r="I93" t="inlineStr">
        <is>
          <t>• 5\-10\+ years as a software/data/ML engineer. • Strong Python expertise and familiarity with modern data/ML tooling.</t>
        </is>
      </c>
    </row>
    <row r="94">
      <c r="A94" t="inlineStr">
        <is>
          <t>in-11717770c92850d3</t>
        </is>
      </c>
      <c r="B94" t="inlineStr">
        <is>
          <t>Associate Machine Learning Engineer</t>
        </is>
      </c>
      <c r="C94" t="inlineStr">
        <is>
          <t>Amgen</t>
        </is>
      </c>
      <c r="D94" t="inlineStr">
        <is>
          <t>indeed</t>
        </is>
      </c>
      <c r="E94">
        <f>HYPERLINK("https://www.indeed.com/viewjob?jk=11717770c92850d3", "https://www.indeed.com/viewjob?jk=11717770c92850d3")</f>
        <v/>
      </c>
      <c r="F94">
        <f>HYPERLINK("https://careers.amgen.com/job/-/-/87/90561356880", "https://careers.amgen.com/job/-/-/87/90561356880")</f>
        <v/>
      </c>
      <c r="G94" t="inlineStr">
        <is>
          <t>Washington, DC, US</t>
        </is>
      </c>
      <c r="H94" s="2" t="n">
        <v>46034</v>
      </c>
      <c r="I94"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**Associate Machine Learning Engineer**
**What you will do**
Let’s do this. Let’s change the world. We are seeking a motivated Machine Learning Engineer with exposure to MLOps practices to join our team. In this role, you will support the development, deployment, and maintenance of machine learning solutions under the guidance of senior engineers and data scientists. You will contribute to building reliable ML pipelines and help operationalize models in production environments.
**Roles \&amp; Responsibilities:**
* Collaborate with data scientists and senior ML engineers to develop, train, and evaluate machine learning models.
* Assist in building and maintaining ML pipelines for data ingestion, feature engineering, model training, deployment, and monitoring.
* Support the use of cloud platforms (AWS, Azure, or GCP) for ML model development and deployment.
* Implement basic MLOps and DevOps practices to automate and streamline ML workflows.
* Help monitor deployed models for performance, data drift, and operational issues, escalating concerns as needed.
* Participate in experimentation and A/B testing efforts to improve model performance.
* Work closely with data scientists, engineers, and product teams to deliver ML solutions aligned with business needs.
* Stay current with emerging machine learning and MLOps tools and best practices.
**What we expect of you**
We are all different, yet we all use our unique contributions to serve patients. The professional we seek is an individual with these qualifications.
**Basic Qualifications:**
Bachelor’s degree
OR
Associate’s degree and 4 years of computer science, IT, or a related field
OR
High school diploma / GED and 6 years of computer science, IT, or a related field
**Preferred Qualifications:**
**Must\-Have Skills**
* Solid understanding of machine learning fundamentals (regression, classification, clustering).
* Hands\-on experience or exposure to MLOps tools and practices (e.g., MLflow, Airflow, Kubeflow) and DevOps tools (Docker, basic Kubernetes, CI/CD).
* Proficiency in Python and common ML libraries (Scikit\-learn, TensorFlow, or PyTorch).
* Strong analytical and problem\-solving skills.
* Good communication skills and ability to collaborate effectively in a team environment.
* Ability to learn quickly and adapt to new tools and technologies.
**Good\-to\-Have Skills**
* Exposure to big data technologies such as Spark or Hadoop.
* Experience supporting data pipelines or working with data engineering teams.
* Basic understanding of statistical concepts and hypothesis testing.
* Familiarity with NLP or time\-series analysis concepts.
**Soft Skills**
* Good analytical and troubleshooting abilities.
* Clear verbal and written communication skills.
* Ability to work effectively with global and virtual teams.
* Demonstrates initiative and willingness to learn.
* Able to manage assigned tasks and priorities with guidance.
* Team\-oriented mindset with a focus on shared goals.
* Organized and detail oriented.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95">
      <c r="A95" t="inlineStr">
        <is>
          <t>in-3e4054b31c7a184b</t>
        </is>
      </c>
      <c r="B95" t="inlineStr">
        <is>
          <t>Sr. Radiomics and AI Engineer (Radiology)</t>
        </is>
      </c>
      <c r="C95" t="inlineStr">
        <is>
          <t>Johns Hopkins University</t>
        </is>
      </c>
      <c r="D95" t="inlineStr">
        <is>
          <t>indeed</t>
        </is>
      </c>
      <c r="E95">
        <f>HYPERLINK("https://www.indeed.com/viewjob?jk=3e4054b31c7a184b", "https://www.indeed.com/viewjob?jk=3e4054b31c7a184b")</f>
        <v/>
      </c>
      <c r="F95">
        <f>HYPERLINK("https://hiring.jhu.edu/careers/job/1133910625231?hl=en_US&amp;domain=jhu.edu", "https://hiring.jhu.edu/careers/job/1133910625231?hl=en_US&amp;domain=jhu.edu")</f>
        <v/>
      </c>
      <c r="G95" t="inlineStr">
        <is>
          <t>Baltimore, MD, US</t>
        </is>
      </c>
      <c r="H95" s="2" t="n">
        <v>46000</v>
      </c>
      <c r="I95" t="inlineStr">
        <is>
          <t>We are seeking a ***Sr. Radiomics and AI Engineer*** who will be responsible for developing and implementing algorithms and software that can analyze medical images and extract clinically relevant features using machine learning and deep learning techniques for the Department of Radiology\-Diagnostic Imaging Division.
 **Specific Duties \&amp; Responsibilities**
* Develop and implement machine learning and deep learning algorithms to analyze medical images.
* Collaborate with radiologists, oncologists, and other healthcare professionals to identify clinically relevant features that can be extracted from medical images.
* Design and implement data preprocessing pipelines to ensure high\-quality input data for the algorithms.
* Develop and maintain software tools for data analysis, visualization, and reporting.
* Test and validate the algorithms and software using clinical data sets and real\-world scenarios.
* Continuously monitor and improve the performance of the algorithms and software.
* Stay up to date with the latest research and developments in radiomics, medical imaging, and artificial intelligence.
* Maintain the cluster, computational, and storage resources in the Felix lab, which are used for training and deploying AI models.
**Minimum Qualifications**  
* Master's in Computer Science, Biomedical Engineering, or a related field.
* Two years of experience with machine learning, deep learning, and data analysis.
* Additional education may substitute for required experience, and additional related experience may substitute for required education beyond a high school diploma/graduation equivalent, to the extent permitted by the JHU equivalency formula.
**Preferred Qualifications**  
* Proficiency in programming languages such as Python, C\+\+, and MATLAB.
* Familiarity with software development best practices, including version control, testing, and documentation.
* Experience in healthcare or medical research.
* Experience working in a multidisciplinary team environment.
Classified Title: Sr. Radiomics \&amp; AI Research Engineer  
Job Posting Title (Working Title): Sr. Radiomics and AI Engineer (Radiology)
Role/Level/Range: ACRP/04/MH
Starting Salary Range: $101,500 \- $177,800 Annually ($127,500 targeted; Commensurate w/exp.)  
Employee group: Full Time  
Schedule: M\-F 8:30\-5  
FLSA Status: Exempt  
Location: School of Medicine Campus  
Department name: SOM Rad Diagnostic Imaging
Personnel area: School of Medicine</t>
        </is>
      </c>
    </row>
    <row r="96">
      <c r="A96" t="inlineStr">
        <is>
          <t>in-fc25f75dd7c5fd7c</t>
        </is>
      </c>
      <c r="B96" t="inlineStr">
        <is>
          <t>Sr. Machine Learning Engineer, AGIF | Finetuning</t>
        </is>
      </c>
      <c r="C96" t="inlineStr">
        <is>
          <t>Amazon.com</t>
        </is>
      </c>
      <c r="D96" t="inlineStr">
        <is>
          <t>indeed</t>
        </is>
      </c>
      <c r="E96">
        <f>HYPERLINK("https://www.indeed.com/viewjob?jk=fc25f75dd7c5fd7c", "https://www.indeed.com/viewjob?jk=fc25f75dd7c5fd7c")</f>
        <v/>
      </c>
      <c r="F96">
        <f>HYPERLINK("https://www.amazon.jobs/jobs/3145989/sr-machine-learning-engineer-agif--finetuning?cmpid=DA_INAD200785B", "https://www.amazon.jobs/jobs/3145989/sr-machine-learning-engineer-agif--finetuning?cmpid=DA_INAD200785B")</f>
        <v/>
      </c>
      <c r="G96" t="inlineStr">
        <is>
          <t>Bellevue, WA, US</t>
        </is>
      </c>
      <c r="H96" s="2" t="n">
        <v>45984</v>
      </c>
      <c r="I9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in-1cc1b6c5fc89bdbf</t>
        </is>
      </c>
      <c r="B97" t="inlineStr">
        <is>
          <t>Sr. Machine Learning Engineer, AGIF | Finetuning</t>
        </is>
      </c>
      <c r="C97" t="inlineStr">
        <is>
          <t>Amazon.com</t>
        </is>
      </c>
      <c r="D97" t="inlineStr">
        <is>
          <t>indeed</t>
        </is>
      </c>
      <c r="E97">
        <f>HYPERLINK("https://www.indeed.com/viewjob?jk=1cc1b6c5fc89bdbf", "https://www.indeed.com/viewjob?jk=1cc1b6c5fc89bdbf")</f>
        <v/>
      </c>
      <c r="F97">
        <f>HYPERLINK("https://www.amazon.jobs/jobs/3145989/sr-machine-learning-engineer-agif--finetuning?cmpid=DA_INAD200785B", "https://www.amazon.jobs/jobs/3145989/sr-machine-learning-engineer-agif--finetuning?cmpid=DA_INAD200785B")</f>
        <v/>
      </c>
      <c r="G97" t="inlineStr">
        <is>
          <t>New York, NY, US</t>
        </is>
      </c>
      <c r="H97" s="2" t="n">
        <v>45984</v>
      </c>
      <c r="I9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in-ea848495d484ad5e</t>
        </is>
      </c>
      <c r="B98" t="inlineStr">
        <is>
          <t>Sr. Machine Learning Engineer, AGIF | Finetuning</t>
        </is>
      </c>
      <c r="C98" t="inlineStr">
        <is>
          <t>Amazon.com</t>
        </is>
      </c>
      <c r="D98" t="inlineStr">
        <is>
          <t>indeed</t>
        </is>
      </c>
      <c r="E98">
        <f>HYPERLINK("https://www.indeed.com/viewjob?jk=ea848495d484ad5e", "https://www.indeed.com/viewjob?jk=ea848495d484ad5e")</f>
        <v/>
      </c>
      <c r="F98">
        <f>HYPERLINK("https://www.amazon.jobs/jobs/3145989/sr-machine-learning-engineer-agif--finetuning?cmpid=DA_INAD200785B", "https://www.amazon.jobs/jobs/3145989/sr-machine-learning-engineer-agif--finetuning?cmpid=DA_INAD200785B")</f>
        <v/>
      </c>
      <c r="G98" t="inlineStr">
        <is>
          <t>Sunnyvale, CA, US</t>
        </is>
      </c>
      <c r="H98" s="2" t="n">
        <v>45984</v>
      </c>
      <c r="I9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in-c8c8818fe807f8ff</t>
        </is>
      </c>
      <c r="B99" t="inlineStr">
        <is>
          <t>Machine Learning Engineer, AWS Neuron Inference, AWS Neuron</t>
        </is>
      </c>
      <c r="C99" t="inlineStr">
        <is>
          <t>Amazon Web Services</t>
        </is>
      </c>
      <c r="D99" t="inlineStr">
        <is>
          <t>indeed</t>
        </is>
      </c>
      <c r="E99">
        <f>HYPERLINK("https://www.indeed.com/viewjob?jk=c8c8818fe807f8ff", "https://www.indeed.com/viewjob?jk=c8c8818fe807f8ff")</f>
        <v/>
      </c>
      <c r="F99">
        <f>HYPERLINK("https://www.amazon.jobs/jobs/3008876/machine-learning-engineer-aws-neuron-inference-aws-neuron-?cmpid=DA_INAD200785B", "https://www.amazon.jobs/jobs/3008876/machine-learning-engineer-aws-neuron-inference-aws-neuron-?cmpid=DA_INAD200785B")</f>
        <v/>
      </c>
      <c r="G99" t="inlineStr">
        <is>
          <t>Seattle, WA, US</t>
        </is>
      </c>
      <c r="H99" s="2" t="n">
        <v>45797</v>
      </c>
      <c r="I99"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row r="100">
      <c r="A100" t="inlineStr">
        <is>
          <t>in-7a71c63517230039</t>
        </is>
      </c>
      <c r="B100" t="inlineStr">
        <is>
          <t>Machine Learning Engineer, AWS Neuron Inference, AWS Neuron</t>
        </is>
      </c>
      <c r="C100" t="inlineStr">
        <is>
          <t>Amazon Web Services</t>
        </is>
      </c>
      <c r="D100" t="inlineStr">
        <is>
          <t>indeed</t>
        </is>
      </c>
      <c r="E100">
        <f>HYPERLINK("https://www.indeed.com/viewjob?jk=7a71c63517230039", "https://www.indeed.com/viewjob?jk=7a71c63517230039")</f>
        <v/>
      </c>
      <c r="F100">
        <f>HYPERLINK("https://www.amazon.jobs/jobs/3008876/machine-learning-engineer-aws-neuron-inference-aws-neuron-?cmpid=DA_INAD200785B", "https://www.amazon.jobs/jobs/3008876/machine-learning-engineer-aws-neuron-inference-aws-neuron-?cmpid=DA_INAD200785B")</f>
        <v/>
      </c>
      <c r="G100" t="inlineStr">
        <is>
          <t>Cupertino, CA, US</t>
        </is>
      </c>
      <c r="H100" s="2" t="n">
        <v>45797</v>
      </c>
      <c r="I100" t="inlineStr">
        <is>
          <t>**DESCRIPTION**
---------------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Trn2 servers. Strong software development using Python/C\+\+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\- 143,700\.00 \- 194,400\.00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li-4359050403</t>
        </is>
      </c>
      <c r="B2" t="inlineStr">
        <is>
          <t>Data Scientist/AI Engineer</t>
        </is>
      </c>
      <c r="C2" t="inlineStr">
        <is>
          <t>LucyRx</t>
        </is>
      </c>
      <c r="D2" t="inlineStr">
        <is>
          <t>linkedin</t>
        </is>
      </c>
      <c r="E2">
        <f>HYPERLINK("https://www.linkedin.com/jobs/view/4359050403", "https://www.linkedin.com/jobs/view/4359050403")</f>
        <v/>
      </c>
      <c r="F2" t="inlineStr"/>
      <c r="G2" t="inlineStr">
        <is>
          <t>Maryland, United States</t>
        </is>
      </c>
      <c r="H2" t="inlineStr"/>
      <c r="I2" t="inlineStr">
        <is>
          <t>**Summary** 
 We are seeking a Data Scientist/AI Engineer to develop predictive analytics, machine learning models, and AI\-driven solutions that support clinical, operational, and financial initiatives across the pharmacy benefits ecosystem. This role works cross\-functionally to identify opportunities, build data products, and translate insights into business impact.
 In addition to traditional data science responsibilities, this position plays a key role in designing agentic workflows, integrating LLM\-powered tools, and building automation that operationalizes AI throughout the organization. The role collaborates closely with the AI team to design, maintain, and continuously improve intelligent systems and AI\-enabled processes.
**Roles and Responsibilities** 
* Build, validate, and deploy predictive and machine learning models supporting PBM operations.
* Work with enterprise data sources including Snowflake, Azure, and Oracle Fusion.
* Develop data pipelines, transformations, and analytical workflows to support real\-time and batch processing.
* Create dashboards, reports, and analytical artifacts using Power BI or Tableau.
* Collaborate with internal business units to identify opportunities for data science and AI integration.
* Translate analytics and model outputs into actionable recommendations that support strategic decision\-making.
* Design, build, and refine agentic workflows and LLM\-based applications, leveraging frameworks such as LangChain, Semantic Kernel, or Azure AI Studio.
* Implement AI agents capable of task automation, retrieval\-augmented generation (RAG), and enterprise workflow orchestration.
* Evaluate emerging AI technologies and prototype new capabilities for future deployment.
* Work with the AI team to build scalable, reliable, and secure AI systems.</t>
        </is>
      </c>
    </row>
    <row r="3">
      <c r="A3" t="inlineStr">
        <is>
          <t>li-4353210679</t>
        </is>
      </c>
      <c r="B3" t="inlineStr">
        <is>
          <t>Data Scientist / ML Engineer</t>
        </is>
      </c>
      <c r="C3" t="inlineStr">
        <is>
          <t>US Tech Solutions</t>
        </is>
      </c>
      <c r="D3" t="inlineStr">
        <is>
          <t>linkedin</t>
        </is>
      </c>
      <c r="E3">
        <f>HYPERLINK("https://www.linkedin.com/jobs/view/4353210679", "https://www.linkedin.com/jobs/view/4353210679")</f>
        <v/>
      </c>
      <c r="F3" t="inlineStr"/>
      <c r="G3" t="inlineStr">
        <is>
          <t>Sunnyvale, CA</t>
        </is>
      </c>
      <c r="H3" t="inlineStr"/>
      <c r="I3" t="inlineStr">
        <is>
          <t>**Duration: Full Time Opportunity** 
**Job Description:** 
* We are seeking a Principal Data Scientist to lead the design, development, and deployment of advanced machine learning and statistical solutions that support strategic business decisions.
* This role requires strong expertise in time series forecasting, predictive modeling, and scalable ML systems. You will work closely with cross\-functional stakeholders to translate complex business challenges into high\-impact, production\-ready data science solutions while mentoring and guiding team members.
* This position combines hands\-on technical leadership with strategic influence, owning initiatives end\-to\-end—from problem framing and exploratory analysis to deployment and performance monitoring.
**Responsibilities:** 
**Technical Leadership \&amp; Modeling** 
* Design, develop, and deploy advanced machine learning and statistical models.
* Lead time series forecasting initiatives, including demand forecasting, trend analysis, anomaly detection, and scenario modeling.
* Conduct exploratory data analysis, feature engineering, and data validation.
* Build scalable, maintainable, and production\-grade pipelines.
**Model Lifecycle Management** 
* Own the full model lifecycle: development, validation, tuning, deployment, monitoring, and retraining.
* Ensure robustness, accuracy, explainability, and long\-term sustainability of models.
* Implement drift detection, automated retraining, and performance monitoring.
**Experience:** 
* Strong proficiency in Python and ML frameworks (e.g., scikit\-learn, TensorFlow, PyTorch).
* Extensive experience with statistical modeling, predictive analytics, and time series forecasting.
* Strong understanding of feature engineering, model validation, and evaluation techniques.
* Experience deploying models into production environments.
* Experience with large\-scale or global forecasting systems.
* Expertise in probabilistic forecasting and uncertainty quantification.
* Familiarity with cloud platforms (AWS, GCP, Azure).
* Experience with big data tools (e.g., Spark, distributed systems).
* Publications or peer\-review experience.
* Knowledge of accessibility and inclusive design standards (e.g., WCAG).
**Skills:** 
* **Modeling \&amp; Analytics:**
* Machine Learning, Time Series Forecasting, Statistical Analysis, Feature Engineering, Probabilistic Modeling
* **Engineering \&amp; MLOps:**
* Python, SQL, Model Deployment, Monitoring, Automated Retraining, Drift Detection, Cloud ML Systems
* **Leadership \&amp; Collaboration:**
* Mentorship, Cross\-functional Communication, Stakeholder Management, Strategic Problem Solving
**Education:** 
* Bachelor’s degree with 5\+ years of experience, or Master’s degree with 3\+ years of experience, or 7\+ years of relevant industry experience.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colour, religion, sex, sexual orientation, gender identity, national origin, disability, or status as a protected veteran.
 Recruiter Details:
 Karan Madan
 karanm@ustechsolutionsinc.com
 Internal ID: 25\-47502</t>
        </is>
      </c>
    </row>
    <row r="4">
      <c r="A4" t="inlineStr">
        <is>
          <t>li-4208903177</t>
        </is>
      </c>
      <c r="B4" t="inlineStr">
        <is>
          <t>Data Scientist / AI Engineer</t>
        </is>
      </c>
      <c r="C4" t="inlineStr">
        <is>
          <t>Innovative Defense Technologies (IDT)</t>
        </is>
      </c>
      <c r="D4" t="inlineStr">
        <is>
          <t>linkedin</t>
        </is>
      </c>
      <c r="E4">
        <f>HYPERLINK("https://www.linkedin.com/jobs/view/4208903177", "https://www.linkedin.com/jobs/view/4208903177")</f>
        <v/>
      </c>
      <c r="F4" t="inlineStr"/>
      <c r="G4" t="inlineStr">
        <is>
          <t>Mount Laurel, NJ</t>
        </is>
      </c>
      <c r="H4" t="inlineStr"/>
      <c r="I4"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5">
      <c r="A5" t="inlineStr">
        <is>
          <t>li-4335581698</t>
        </is>
      </c>
      <c r="B5" t="inlineStr">
        <is>
          <t>Senior Machine Learning Engineer - Credit</t>
        </is>
      </c>
      <c r="C5" t="inlineStr">
        <is>
          <t>Plaid</t>
        </is>
      </c>
      <c r="D5" t="inlineStr">
        <is>
          <t>linkedin</t>
        </is>
      </c>
      <c r="E5">
        <f>HYPERLINK("https://www.linkedin.com/jobs/view/4335581698", "https://www.linkedin.com/jobs/view/4335581698")</f>
        <v/>
      </c>
      <c r="F5" t="inlineStr"/>
      <c r="G5" t="inlineStr">
        <is>
          <t>San Francisco, CA</t>
        </is>
      </c>
      <c r="H5" t="inlineStr"/>
      <c r="I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models that improve how millions of users understand and grow their financial lives. We're looking for data scientists with experience applying state\-of\-the\-art machine learning and modeling techniques \-\- including natural language processing, anomaly detection, optimization, and time series forecasting \-\- toward different product areas. We value not only technical know\-how, but also creativity, user empathy, and teamwork
 You’ll be a machine learning engineer as a part of the Data org,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If you’re excited about building state\-of\-the\-art data and machine learning solutions that help unlock financial freedom for everyone, we’d love to hear from you!
**Responsibilities**
* Applying your expertise in quantitative analysis, data mining, and data visualization to build models and insights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5\-10 years years of industry experience in a financial services machine learning engineer or data scientist role
* Deep familiarity with SQL and python
* Experiencing constructing models in a regulated industry
* Familiarity with the AWS stack
* Understanding of modern machine learning techniques, such as classification, clustering, optimization, and natural language processing
* Proven ability to tailor your solutions to business problems in a cross\-functional team
* Ability to code and iterate independently in Python to conduct exploratory data analysis
* Bachelor's degree or equivalent work experience in Computer Science, Statistics, Engineering, Economics, or a closely related field
 $225,602 \- $337,197 a year
 The target base salary for this position ranges from $225,602/year to $337,197/year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
      <c r="A6" t="inlineStr">
        <is>
          <t>li-4335411816</t>
        </is>
      </c>
      <c r="B6" t="inlineStr">
        <is>
          <t>Senior Machine Learning Engineer - Credit</t>
        </is>
      </c>
      <c r="C6" t="inlineStr">
        <is>
          <t>Plaid</t>
        </is>
      </c>
      <c r="D6" t="inlineStr">
        <is>
          <t>linkedin</t>
        </is>
      </c>
      <c r="E6">
        <f>HYPERLINK("https://www.linkedin.com/jobs/view/4335411816", "https://www.linkedin.com/jobs/view/4335411816")</f>
        <v/>
      </c>
      <c r="F6">
        <f>HYPERLINK("https://jobs.lever.co/plaid/298ff030-632a-488d-90a2-5541c86cd804/apply?lever-origin=applied&amp;lever-source=LinkedInPaid&amp;urlHash=Ur2O", "https://jobs.lever.co/plaid/298ff030-632a-488d-90a2-5541c86cd804/apply?lever-origin=applied&amp;lever-source=LinkedInPaid&amp;urlHash=Ur2O")</f>
        <v/>
      </c>
      <c r="G6" t="inlineStr">
        <is>
          <t>New York, NY</t>
        </is>
      </c>
      <c r="H6" t="inlineStr"/>
      <c r="I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models that improve how millions of users understand and grow their financial lives. We're looking for data scientists with experience applying state\-of\-the\-art machine learning and modeling techniques \-\- including natural language processing, anomaly detection, optimization, and time series forecasting \-\- toward different product areas. We value not only technical know\-how, but also creativity, user empathy, and teamwork
 You’ll be a machine learning engineer as a part of the Data org,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If you’re excited about building state\-of\-the\-art data and machine learning solutions that help unlock financial freedom for everyone, we’d love to hear from you!
**Responsibilities**
* Applying your expertise in quantitative analysis, data mining, and data visualization to build models and insights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5\-10 years years of industry experience in a financial services machine learning engineer or data scientist role
* Deep familiarity with SQL and python
* Experiencing constructing models in a regulated industry
* Familiarity with the AWS stack
* Understanding of modern machine learning techniques, such as classification, clustering, optimization, and natural language processing
* Proven ability to tailor your solutions to business problems in a cross\-functional team
* Ability to code and iterate independently in Python to conduct exploratory data analysis
* Bachelor's degree or equivalent work experience in Computer Science, Statistics, Engineering, Economics, or a closely related field
 $225,602 \- $337,197 a year
 The target base salary for this position ranges from $225,602/year to $337,197/year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7">
      <c r="A7" t="inlineStr">
        <is>
          <t>li-4334243512</t>
        </is>
      </c>
      <c r="B7" t="inlineStr">
        <is>
          <t>Applied Scientist, Artificial General Intelligence</t>
        </is>
      </c>
      <c r="C7" t="inlineStr">
        <is>
          <t>Amazon</t>
        </is>
      </c>
      <c r="D7" t="inlineStr">
        <is>
          <t>linkedin</t>
        </is>
      </c>
      <c r="E7">
        <f>HYPERLINK("https://www.linkedin.com/jobs/view/4334243512", "https://www.linkedin.com/jobs/view/4334243512")</f>
        <v/>
      </c>
      <c r="F7" t="inlineStr"/>
      <c r="G7" t="inlineStr">
        <is>
          <t>Boston, MA</t>
        </is>
      </c>
      <c r="H7" t="inlineStr"/>
      <c r="I7" t="inlineStr">
        <is>
          <t>**Description**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A3120585</t>
        </is>
      </c>
    </row>
    <row r="8">
      <c r="A8" t="inlineStr">
        <is>
          <t>li-4335411815</t>
        </is>
      </c>
      <c r="B8" t="inlineStr">
        <is>
          <t>Senior Machine Learning Engineer - Credit</t>
        </is>
      </c>
      <c r="C8" t="inlineStr">
        <is>
          <t>Plaid</t>
        </is>
      </c>
      <c r="D8" t="inlineStr">
        <is>
          <t>linkedin</t>
        </is>
      </c>
      <c r="E8">
        <f>HYPERLINK("https://www.linkedin.com/jobs/view/4335411815", "https://www.linkedin.com/jobs/view/4335411815")</f>
        <v/>
      </c>
      <c r="F8">
        <f>HYPERLINK("https://jobs.lever.co/plaid/298ff030-632a-488d-90a2-5541c86cd804/apply?lever-origin=applied&amp;lever-source=LinkedInPaid&amp;urlHash=Ur2O", "https://jobs.lever.co/plaid/298ff030-632a-488d-90a2-5541c86cd804/apply?lever-origin=applied&amp;lever-source=LinkedInPaid&amp;urlHash=Ur2O")</f>
        <v/>
      </c>
      <c r="G8" t="inlineStr"/>
      <c r="H8" t="inlineStr"/>
      <c r="I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models that improve how millions of users understand and grow their financial lives. We're looking for data scientists with experience applying state\-of\-the\-art machine learning and modeling techniques \-\- including natural language processing, anomaly detection, optimization, and time series forecasting \-\- toward different product areas. We value not only technical know\-how, but also creativity, user empathy, and teamwork
 You’ll be a machine learning engineer as a part of the Data org,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If you’re excited about building state\-of\-the\-art data and machine learning solutions that help unlock financial freedom for everyone, we’d love to hear from you!
**Responsibilities**
* Applying your expertise in quantitative analysis, data mining, and data visualization to build models and insights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5\-10 years years of industry experience in a financial services machine learning engineer or data scientist role
* Deep familiarity with SQL and python
* Experiencing constructing models in a regulated industry
* Familiarity with the AWS stack
* Understanding of modern machine learning techniques, such as classification, clustering, optimization, and natural language processing
* Proven ability to tailor your solutions to business problems in a cross\-functional team
* Ability to code and iterate independently in Python to conduct exploratory data analysis
* Bachelor's degree or equivalent work experience in Computer Science, Statistics, Engineering, Economics, or a closely related field
 $225,602 \- $337,197 a year
 The target base salary for this position ranges from $225,602/year to $337,197/year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9">
      <c r="A9" t="inlineStr">
        <is>
          <t>li-4334635601</t>
        </is>
      </c>
      <c r="B9" t="inlineStr">
        <is>
          <t>Senior Applied Scientist, Sponsored Products and Brands</t>
        </is>
      </c>
      <c r="C9" t="inlineStr">
        <is>
          <t>Amazon</t>
        </is>
      </c>
      <c r="D9" t="inlineStr">
        <is>
          <t>linkedin</t>
        </is>
      </c>
      <c r="E9">
        <f>HYPERLINK("https://www.linkedin.com/jobs/view/4334635601", "https://www.linkedin.com/jobs/view/4334635601")</f>
        <v/>
      </c>
      <c r="F9">
        <f>HYPERLINK("https://www.amazon.jobs/jobs/3122587/senior-applied-scientist-sponsored-products-and-brands?cmpid=SPLICX0248M&amp;utm_source=linkedin.com&amp;utm_campaign=cxro&amp;utm_medium=social_media&amp;utm_content=job_posting&amp;ss=paid&amp;urlHash=v4Nf", "https://www.amazon.jobs/jobs/3122587/senior-applied-scientist-sponsored-products-and-brands?cmpid=SPLICX0248M&amp;utm_source=linkedin.com&amp;utm_campaign=cxro&amp;utm_medium=social_media&amp;utm_content=job_posting&amp;ss=paid&amp;urlHash=v4Nf")</f>
        <v/>
      </c>
      <c r="G9" t="inlineStr">
        <is>
          <t>Seattle, WA</t>
        </is>
      </c>
      <c r="H9" t="inlineStr"/>
      <c r="I9"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Amazon Brand Store team (such as www.amazon.com/lego) within Sponsored Products and Brands is a core product offering in the Amazon Advertising portfolio. The brand’s store are their dedicated place on Amazon to differentiate, grow sales, and build loyalty with millions of shoppers. Our mission is to empower brands of all sizes to tell their story in their own unique voice to consumers. We help brands create engaging shopping experiences that assist shoppers in discovering and evaluating them as part of their purchase decisions. We succeed when we are both useful to shoppers and when brands can attract and retain shopper’s attention using our products. A cool case study on brand stores can be found here: https://advertising.amazon.com/library/case\-studies/nespresso\-brand\-store\-increases\-shopper\-engagement.
 We are looking for a Senior Applied Scientist to lead the generation of data\-driven insights that bring long\-term value to brands, as well as the ideation and creation of personalized shopping experiences for brand stores through industry\-leading generative AI technologies. In this role, you will influence our team's science and business strategy with your expertise and deep business understanding. You will be expected to identify and solve ambiguous problems and science deficiencies, and to provide informed solutions based on state\-of\-the\-art machine learning research.
 Impact and Career Growth
 You will invent new experiences and influence customer\-facing shopping experiences to help brands grow their retail businesses. This is your opportunity to work within the fastest\-growing businesses across all of Amazon! You'll define a long\-term science vision for AI\-driven brand shopping experiences, working backwards from our customers' needs and translating that direction into specific plans for research and applied scientists, as well as engineering and product teams. This role combines science leadership, organizational ability, technical strength, product focus, and business understanding.
 Key job responsibilities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large scale machine learning systems such as profiling and debugging and understanding of system performance and scalability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A3122587</t>
        </is>
      </c>
    </row>
    <row r="10">
      <c r="A10" t="inlineStr">
        <is>
          <t>li-4267540621</t>
        </is>
      </c>
      <c r="B10" t="inlineStr">
        <is>
          <t>Sr. Applied Scientist, Amazon Advertising</t>
        </is>
      </c>
      <c r="C10" t="inlineStr">
        <is>
          <t>Amazon</t>
        </is>
      </c>
      <c r="D10" t="inlineStr">
        <is>
          <t>linkedin</t>
        </is>
      </c>
      <c r="E10">
        <f>HYPERLINK("https://www.linkedin.com/jobs/view/4267540621", "https://www.linkedin.com/jobs/view/4267540621")</f>
        <v/>
      </c>
      <c r="F10" t="inlineStr"/>
      <c r="G10" t="inlineStr"/>
      <c r="H10" t="inlineStr"/>
      <c r="I10"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11">
      <c r="A11" t="inlineStr">
        <is>
          <t>li-4229829457</t>
        </is>
      </c>
      <c r="B11" t="inlineStr">
        <is>
          <t>Senior Applied Scientist, Alexa Smart Home</t>
        </is>
      </c>
      <c r="C11" t="inlineStr">
        <is>
          <t>Amazon</t>
        </is>
      </c>
      <c r="D11" t="inlineStr">
        <is>
          <t>linkedin</t>
        </is>
      </c>
      <c r="E11">
        <f>HYPERLINK("https://www.linkedin.com/jobs/view/4229829457", "https://www.linkedin.com/jobs/view/4229829457")</f>
        <v/>
      </c>
      <c r="F11">
        <f>HYPERLINK("https://www.amazon.jobs/jobs/2981595/senior-applied-scientist-alexa-smart-home?cmpid=SPLICX0248M&amp;utm_source=linkedin.com&amp;utm_campaign=cxro&amp;utm_medium=social_media&amp;utm_content=job_posting&amp;ss=paid&amp;urlHash=wQn6", "https://www.amazon.jobs/jobs/2981595/senior-applied-scientist-alexa-smart-home?cmpid=SPLICX0248M&amp;utm_source=linkedin.com&amp;utm_campaign=cxro&amp;utm_medium=social_media&amp;utm_content=job_posting&amp;ss=paid&amp;urlHash=wQn6")</f>
        <v/>
      </c>
      <c r="G11" t="inlineStr">
        <is>
          <t>Seattle, WA</t>
        </is>
      </c>
      <c r="H11" t="inlineStr"/>
      <c r="I11" t="inlineStr">
        <is>
          <t>**Description**
 The Smart Home team is focused on making Alexa the user interface for the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As a Senior Applied Scientist, you will work with other scientists and software developers to design and build the next generation of Smart Home voice control using the latest Large Language Models. And, you will have the satisfaction of working on a product your friends and family can relate to, and want to use every day.
 Key job responsibilities
* Developing new inference and training techniques to improve the performance of Large Language Models for Smart Home control and Automation
* Developing robust techniques for synthetic data generation for training large models and maintaining model generalization
* Mentoring junior scientists to improve their skills, knowledge, and their ability to get things done
**About The Team**
 We are a team of Scientists, Machine Learning Engineers, and Software Developers that work together to make Alexa more insightful and proactive through ambient intelligence \- with features like Alexa Hunches that automatically control Smart Home devices.
 We are interdisciplinary and we act like it \- we ask each other questions and value our different perspectives.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
**Company** 
 \- Amazon.com Services LLC
 Job ID: A2981595</t>
        </is>
      </c>
    </row>
    <row r="12">
      <c r="A12" t="inlineStr">
        <is>
          <t>li-4334164322</t>
        </is>
      </c>
      <c r="B12" t="inlineStr">
        <is>
          <t>Sr. Applied Scientist, Sponsored Product Off-Search</t>
        </is>
      </c>
      <c r="C12" t="inlineStr">
        <is>
          <t>Amazon</t>
        </is>
      </c>
      <c r="D12" t="inlineStr">
        <is>
          <t>linkedin</t>
        </is>
      </c>
      <c r="E12">
        <f>HYPERLINK("https://www.linkedin.com/jobs/view/4334164322", "https://www.linkedin.com/jobs/view/4334164322")</f>
        <v/>
      </c>
      <c r="F12">
        <f>HYPERLINK("https://www.amazon.jobs/jobs/3120815/sr-applied-scientist-sponsored-product-offsearch-?cmpid=SPLICX0248M&amp;utm_source=linkedin.com&amp;utm_campaign=cxro&amp;utm_medium=social_media&amp;utm_content=job_posting&amp;ss=paid&amp;urlHash=xx2t", "https://www.amazon.jobs/jobs/3120815/sr-applied-scientist-sponsored-product-offsearch-?cmpid=SPLICX0248M&amp;utm_source=linkedin.com&amp;utm_campaign=cxro&amp;utm_medium=social_media&amp;utm_content=job_posting&amp;ss=paid&amp;urlHash=xx2t")</f>
        <v/>
      </c>
      <c r="G12" t="inlineStr">
        <is>
          <t>Seattle, WA</t>
        </is>
      </c>
      <c r="H12" t="inlineStr"/>
      <c r="I12" t="inlineStr">
        <is>
          <t>**Description**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**Basic Qualifications**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A3120815</t>
        </is>
      </c>
    </row>
    <row r="13">
      <c r="A13" t="inlineStr">
        <is>
          <t>li-4258560882</t>
        </is>
      </c>
      <c r="B13" t="inlineStr">
        <is>
          <t>Sr. Applied Scientist, Sales AI</t>
        </is>
      </c>
      <c r="C13" t="inlineStr">
        <is>
          <t>Amazon</t>
        </is>
      </c>
      <c r="D13" t="inlineStr">
        <is>
          <t>linkedin</t>
        </is>
      </c>
      <c r="E13">
        <f>HYPERLINK("https://www.linkedin.com/jobs/view/4258560882", "https://www.linkedin.com/jobs/view/4258560882")</f>
        <v/>
      </c>
      <c r="F13" t="inlineStr"/>
      <c r="G13" t="inlineStr">
        <is>
          <t>New York, United States</t>
        </is>
      </c>
      <c r="H13" t="inlineStr"/>
      <c r="I13" t="inlineStr">
        <is>
          <t>**Description**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A3020528</t>
        </is>
      </c>
    </row>
    <row r="14">
      <c r="A14" t="inlineStr">
        <is>
          <t>li-4341035758</t>
        </is>
      </c>
      <c r="B14" t="inlineStr">
        <is>
          <t>Principal Applied Scientist (Multiple Positions) - MSAI Office of CTO</t>
        </is>
      </c>
      <c r="C14" t="inlineStr">
        <is>
          <t>Microsoft</t>
        </is>
      </c>
      <c r="D14" t="inlineStr">
        <is>
          <t>linkedin</t>
        </is>
      </c>
      <c r="E14">
        <f>HYPERLINK("https://www.linkedin.com/jobs/view/4341035758", "https://www.linkedin.com/jobs/view/4341035758")</f>
        <v/>
      </c>
      <c r="F14" t="inlineStr"/>
      <c r="G14" t="inlineStr"/>
      <c r="H14" t="inlineStr"/>
      <c r="I14" t="inlineStr">
        <is>
          <t>**Overview**
 As Microsoft continues to push the boundaries of AI, we are looking for passionate individuals to work with us on new strategic efforts. Microsoft 365 Copilot is a groundbreaking productivity tool that leverages the power of large language models, the Microsoft Graph, and the web to drive unparalleled creativity and transform productivity in the enterprise.
 As a
 **Principal Applied Scientist (Multiple Positions)** 
 \- MSAI Office of CTO you will design and develop LLMs (Large Language Model) and underlying subsystems to tailor to various product scenarios. We are looking for an individual who has the proven capability of working with research and engineering teams and partnering with them to deliver the best of joint class solutions. This can range from alignments with senior stakeholders, working together to building models, to coming up, with ways to build custom LLMs and architecture for specific product needs (especially GenAI).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 broad area or research and understand any applicable research techniques. You’ll also serve as a team expert on changes in industry trends, products, and other advances, and apply this knowledge to influence product needs.
* You will review business and product requirement, incorporate research, and provide strategic direction for problem solving. You’ll also ensure scientific rigor, support the development of methods, and apply your expertise to support business impact.
* Collaborate with stakeholders to gather and understand user requirements and expectations. Seek and incorporate continuous feedback from users and stakeholders to iteratively improve designs and solutions.
* You will document work and experimentation results and share findings to promote innovation. You’ll provide guidance when capturing processes and contribute to ethics and privacy policies related to research processes and data collection.
* Facilitate design meetings, creates design documents, and ensures alignment with project goals. Design system architecture that meets security, compliance, and scalability requirements.
* Lead implementation and deployment of solutions, ensuring they meet quality standards. Translate project vision into actionable milestones and guide the team in project estimation and planning. Mentor and guide team members to produce extensible and maintainable code through code reviews and pair programming.
* You will identify and inspire peers and new research talent to join Microsoft, build relationships, and advocate for research initiatives. You’ll share research findings through industry outreach, collaborate with the academic community, and help develop the recruiting pipeline.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 3\+ years’ experience developing and deploying AI/ML products or systems at multiple points in the product cycle from ideation to shipping.
* 3\+ years experience presenting at conferences or other events in the outside research/industry community as an invited speaker.
* 5\+ years experience conducting research as part of a research program (in academic or industry settings).
* 5\+ years experience creating publications (e.g., patents, libraries, peer\-reviewed academic papers).
* 5\+ years experience developing and deploying GenAI products or systems at multiple points in the product cycle from ideation to shipping.
 \#agentic \#llm \#M365Core \#MSAI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
      <c r="A15" t="inlineStr">
        <is>
          <t>li-4278061877</t>
        </is>
      </c>
      <c r="B15" t="inlineStr">
        <is>
          <t>Principal Applied Scientist, AGI Foundations, AGI Foundations</t>
        </is>
      </c>
      <c r="C15" t="inlineStr">
        <is>
          <t>Amazon</t>
        </is>
      </c>
      <c r="D15" t="inlineStr">
        <is>
          <t>linkedin</t>
        </is>
      </c>
      <c r="E15">
        <f>HYPERLINK("https://www.linkedin.com/jobs/view/4278061877", "https://www.linkedin.com/jobs/view/4278061877")</f>
        <v/>
      </c>
      <c r="F15">
        <f>HYPERLINK("https://www.amazon.jobs/jobs/3047563/principal-applied-scientist-agi-foundations-agi-foundations?cmpid=SPLICX0248M&amp;utm_source=linkedin.com&amp;utm_campaign=cxro&amp;utm_medium=social_media&amp;utm_content=job_posting&amp;ss=paid&amp;urlHash=eD-6", "https://www.amazon.jobs/jobs/3047563/principal-applied-scientist-agi-foundations-agi-foundations?cmpid=SPLICX0248M&amp;utm_source=linkedin.com&amp;utm_campaign=cxro&amp;utm_medium=social_media&amp;utm_content=job_posting&amp;ss=paid&amp;urlHash=eD-6")</f>
        <v/>
      </c>
      <c r="G15" t="inlineStr">
        <is>
          <t>New York, United States</t>
        </is>
      </c>
      <c r="H15" t="inlineStr"/>
      <c r="I15"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16">
      <c r="A16" t="inlineStr">
        <is>
          <t>li-4278065275</t>
        </is>
      </c>
      <c r="B16" t="inlineStr">
        <is>
          <t>Principal Applied Scientist, AGI Foundations, AGI Foundations</t>
        </is>
      </c>
      <c r="C16" t="inlineStr">
        <is>
          <t>Amazon</t>
        </is>
      </c>
      <c r="D16" t="inlineStr">
        <is>
          <t>linkedin</t>
        </is>
      </c>
      <c r="E16">
        <f>HYPERLINK("https://www.linkedin.com/jobs/view/4278065275", "https://www.linkedin.com/jobs/view/4278065275")</f>
        <v/>
      </c>
      <c r="F16" t="inlineStr"/>
      <c r="G16" t="inlineStr">
        <is>
          <t>Boston, MA</t>
        </is>
      </c>
      <c r="H16" t="inlineStr"/>
      <c r="I16"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17">
      <c r="A17" t="inlineStr">
        <is>
          <t>li-4278063579</t>
        </is>
      </c>
      <c r="B17" t="inlineStr">
        <is>
          <t>Principal Applied Scientist, AGI Foundations, AGI Foundations</t>
        </is>
      </c>
      <c r="C17" t="inlineStr">
        <is>
          <t>Amazon</t>
        </is>
      </c>
      <c r="D17" t="inlineStr">
        <is>
          <t>linkedin</t>
        </is>
      </c>
      <c r="E17">
        <f>HYPERLINK("https://www.linkedin.com/jobs/view/4278063579", "https://www.linkedin.com/jobs/view/4278063579")</f>
        <v/>
      </c>
      <c r="F17" t="inlineStr"/>
      <c r="G17" t="inlineStr">
        <is>
          <t>Bellevue, WA</t>
        </is>
      </c>
      <c r="H17" t="inlineStr"/>
      <c r="I17"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18">
      <c r="A18" t="inlineStr">
        <is>
          <t>li-4316648708</t>
        </is>
      </c>
      <c r="B18" t="inlineStr">
        <is>
          <t>Machine Learning Engineer</t>
        </is>
      </c>
      <c r="C18" t="inlineStr">
        <is>
          <t>National Basketball Association (NBA)</t>
        </is>
      </c>
      <c r="D18" t="inlineStr">
        <is>
          <t>linkedin</t>
        </is>
      </c>
      <c r="E18">
        <f>HYPERLINK("https://www.linkedin.com/jobs/view/4316648708", "https://www.linkedin.com/jobs/view/4316648708")</f>
        <v/>
      </c>
      <c r="F18" t="inlineStr"/>
      <c r="G18" t="inlineStr">
        <is>
          <t>New York, NY</t>
        </is>
      </c>
      <c r="H18" t="inlineStr"/>
      <c r="I18" t="inlineStr">
        <is>
          <t>WORK OPTION: The NBA currently provides eligible employees the option of working remotely one day per week.
 \_\_\_\_\_\_\_\_\_\_\_\_\_\_\_\_\_
**Position Description**
 The NBA is seeking an experienced machine learning software engineer to be a key contributor to the Automated Officiating team. This team sits within Basketball Strategy \&amp; Growth, and its primary goal is to develop advanced, multi\-modal officiating capabilities to enhance call accuracy, streamline game flow, and provide decision\-making consistency and transparency. This is a small team that works like a startup within the NBA and provides significant opportunities for ownership and accelerated learning and growth.
 Ideal candidates will bring considerable expertise building and owning modern vision models and ML pipelines in production and are able to contribute to all aspects of a real\-world perception system, from sensor processing pipelines to scalable ML data, training, modeling and evaluation pipelines. This role will report to the Engineering Lead and play a critical role in taking our product from 0 to 1, leveraging expertise typically found in autonomous vehicles, robotics, AR/VR or other real\-time ML\-driven systems.
**Group Summary**
 The Basketball Strategy \&amp; Growth department is responsible for data collection, analysis and technology pertaining to all on\-court activities. The group, in partnership with Referee Operations, oversees the Game Review Program to help drive improvements in referee performance and rules clarification initiatives. Basketball Strategy \&amp; Growth also leads pivotal initiatives focused on innovating and improving the NBA game, such as rules changes, improvements to the competition format and implementation of technologies to improve player health, game integrity and fan engagement.
 The Automated Officiating team is a new function within the Basketball Strategy \&amp; Growth department. This team is focused on innovating the on\-court product through internally developed and deployed technologies. They spearhead key officiating technology initiatives from concept to launch, leveraging their cross\-discipline expertise in real\-time perception and sensing, computer vision, machine learning, and data analytics. The primary near\-term focus of this team is deploying a system that can automatically detect and determine objective calls (e.g., out\-of\-bounds) in real\-time during live NBA games.
**Major Responsibilities**
* Make technical contributions across the automated officiating system, e.g. sensor pipelines, ML data pipelines, training, model development and evaluation pipelines etc.
* Designing, implementing, and deploying state\-of\-the\-art tracking, 3D reconstruction and geometry estimation, scene understanding and visual recognition systems.
* Build and maintain efficient, scalable end\-to\-end pipelines to manage petabyte\-scale multi\-modal datasets and model training throughout the entire ML lifecycle.
* Profile, debug and implement tooling to understand bottlenecks and optimize system performance.
* Collaborate with the broader Basketball R\&amp;D team on various initiatives, such as sensing research and development, KPI development and measurement, product road mapping, etc.
* Provide technical guidance and mentorship to other engineers on the team.
* Have a strong sense of ownership and be excited to wear many hats.
* Be a guardian of the codebase and push for clean, well\-tested and highly extensible code.
**Qualifications**
* Bachelor’s degree in Computer Science, Electrical Engineering, Math or related field (or equivalent experience).
* Experience working with ML data pipelines and large datasets (TB or PB scale) in a production environment.
* Demonstrated proficiency building and deploying machine learning solutions to production.
* Familiarity with containerization and orchestration frameworks like Kubernetes, Docker.
* Proficiency in Python and prior experience building machine learning data pipelines.
* Proficiency with at least one deep learning framework (Pytorch, TensorFlow, JAX etc).
* Exposure to the entire ML stack, from data pipelines to model inference.
* Excellent problem\-solving skills and adaptability in a fast\-paced environment.
* Excellent communication and interpersonal skills.
**Bonus Qualifications**
* Proven experience delivering solutions for real\-world perception challenges (e.g., AR/VR, autonomous vehicles, robotics, drones).
* Strong C\+\+ programming skills (or another equivalent compiled on\-board language), with a history of optimizing and deploying performance\-critical systems.
* Familiar with ML training frameworks and prior experience building ML training and evaluation pipelines.
* Experience with production ML systems, including scalable data pipelines, training infrastructure, model evaluation or deployment.
* Familiarity with computer vision libraries, model deployment (TensorRT, ONNX) and GPU acceleration frameworks.
* Strong grasp of low\-latency, high\-throughput system design, distributed task management systems and scalable model serving \&amp; deployment architectures.
* Exposure to CUDA, parallel computing, or high\-performance programming on GPUs.
* Passion for basketball and familiarity with officiating rules.
**Salary Range**
 $210,000 \- $300,000
**Job Posting Title**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19">
      <c r="A19" t="inlineStr">
        <is>
          <t>li-4353054150</t>
        </is>
      </c>
      <c r="B19" t="inlineStr">
        <is>
          <t>AI/ML Engineer</t>
        </is>
      </c>
      <c r="C19" t="inlineStr">
        <is>
          <t>TALENT Software Services</t>
        </is>
      </c>
      <c r="D19" t="inlineStr">
        <is>
          <t>linkedin</t>
        </is>
      </c>
      <c r="E19">
        <f>HYPERLINK("https://www.linkedin.com/jobs/view/4353054150", "https://www.linkedin.com/jobs/view/4353054150")</f>
        <v/>
      </c>
      <c r="F19" t="inlineStr"/>
      <c r="G19" t="inlineStr">
        <is>
          <t>California, United States</t>
        </is>
      </c>
      <c r="H19" t="inlineStr"/>
      <c r="I19" t="inlineStr">
        <is>
          <t>"Possible 3 Month CTH \| No Fees \| Do Not Re\-Post\| Confidential
 TMR ID: XJT26M
 Role: AI/ML Engineer – Conversational AI, NLP \&amp; Data Platforms (Contract)
 Work location: Hybrid, CA
 Background and Meet and Greet: MANDATORY
 Job Description:
 "Title: AI/ML Engineer – Conversational AI, NLP \&amp; Data Platforms (Contract)
 Location: Hybrid, CA
 Duration: 6–12 months
 Role Summary:
 We are seeking a hands\-on Senior AI/ML Engineer (Contract) to build, train, test, deploy, and support production\-grade Conversational AI systems. These systems will leverage Hive tables and enterprise data to generate KPIs, metrics, and analytical reporting. The role requires strong expertise in AI/ML, NLP, deep learning, data engineering, and software development.
 Responsibilities:
* Design, build, and operate Conversational AI agents with multi\-turn dialog, intent recognition, and context management.
* Develop NLP pipelines for intent classification, entity extraction (NER), slot filling, and dialog state tracking.
* Train, fine\-tune, and evaluate deep learning models, including transformers, for domain\-specific tasks.
* Build and maintain ETL/ELT pipelines, Hive\-based data pipelines, and big data workflows using Spark, Hadoop, and Kafka.
* Implement RAG pipelines, prompt engineering, and agentic AI workflows for task\-oriented systems.
* Deploy AI/ML systems on cloud platforms (AWS, GCP, Azure) with Docker/Kubernetes.
* Monitor model and data pipeline performance, manage model retraining, and ensure reliability in production.
* Generate KPIs, metrics, dashboards, and reporting from AI\-driven outputs.
* Ensure data quality, compliance, and governance throughout the ML lifecycle.
 Required Skills:
* Expert in Python for AI/ML, NLP, and backend services.
* Strong SQL skills, including working with Hive tables.
* Object\-oriented programming experience in Java or Scala for data pipelines.
* Hands\-on experience with machine learning and deep learning frameworks (PyTorch, TensorFlow, Scikit\-learn).
* Strong NLP knowledge: tokenization, embeddings, intent detection, NER, sequence modeling, and transformers.
* Experience with ETL/ELT pipelines, data modeling, schema evolution, and large\-scale data processing (Spark, Hadoop, Kafka).
* Experience with cloud deployment and MLOps: Docker, Kubernetes, CI/CD, monitoring, and model versioning.
* Strong understanding of model training, testing, validation, and error analysis.
 Preferred Skills:
* Experience with enterprise Conversational AI platforms.
* Familiarity with multi\-agent orchestration frameworks.
* Experience generating business KPIs and analytics dashboards using tools like Tableau or Superset.
* Exposure to Finance, FP\&amp;A, workforce planning, or supply chain domains.
 Soft Skills:
* Strong analytical and problem\-solving abilities.
* Clear communication skills to explain technical concepts to stakeholders.
* Attention to detail and commitment to high\-quality, reliable AI systems.
* Ability to learn and adapt quickly in a fast\-paced environment.
 Education:
 Bachelor’s or Master’s degree in Computer Science, Data Science, Engineering, or related field.
 "
 Key Responsibilities:
 "Responsibilities:
* Design, build, and operate Conversational AI agents with multi\-turn dialog, intent recognition, and context management.
* Develop NLP pipelines for intent classification, entity extraction (NER), slot filling, and dialog state tracking.
* Train, fine\-tune, and evaluate deep learning models, including transformers, for domain\-specific tasks.
* Build and maintain ETL/ELT pipelines, Hive\-based data pipelines, and big data workflows using Spark, Hadoop, and Kafka.
* Implement RAG pipelines, prompt engineering, and agentic AI workflows for task\-oriented systems.
* Deploy AI/ML systems on cloud platforms (AWS, GCP, Azure) with Docker/Kubernetes.
* Monitor model and data pipeline performance, manage model retraining, and ensure reliability in production.
* Generate KPIs, metrics, dashboards, and reporting from AI\-driven outputs.
* Ensure data quality, compliance, and governance throughout the ML lifecycle.
 "
 What are the Mandatory skills and skill proficiencies required for this position?
 "Required Skills:
* Expert in Python for AI/ML, NLP, and backend services.
* Strong SQL skills, including working with Hive tables.
* Object\-oriented programming experience in Java or Scala for data pipelines.
* Hands\-on experience with machine learning and deep learning frameworks (PyTorch, TensorFlow, Scikit\-learn).
* Strong NLP knowledge: tokenization, embeddings, intent detection, NER, sequence modeling, and transformers.
* Experience with ETL/ELT pipelines, data modeling, schema evolution, and large\-scale data processing (Spark, Hadoop, Kafka).
* Experience with cloud deployment and MLOps: Docker, Kubernetes, CI/CD, monitoring, and model versioning.
* Strong understanding of model training, testing, validation, and error analysis.
 Preferred Skills:
* Experience with enterprise Conversational AI platforms.
* Familiarity with multi\-agent orchestration frameworks.
* Experience generating business KPIs and analytics dashboards using tools like Tableau or Superset.
* Exposure to Finance, FP\&amp;A, workforce planning, or supply chain domains.
 "
 What are the Optional skills and skill proficiencies for this position?
 Stretch Attitude
 The following details must accompany your submission:
 First Name, Middle name, and Last Name:
 City and State:
 Open to Relocate?
 Rate:
 Availability:
 Phone \#:
 Mobile \#:
 Email address:
 Visa type:
 Visa Expiration Date:
 Hiring Status:
 Soemia Pineda \- ERM
* North America
 Tel.: \+\*\*\*"</t>
        </is>
      </c>
    </row>
    <row r="20">
      <c r="A20" t="inlineStr">
        <is>
          <t>li-4361656602</t>
        </is>
      </c>
      <c r="B20" t="inlineStr">
        <is>
          <t>Machine Learning Engineer</t>
        </is>
      </c>
      <c r="C20" t="inlineStr">
        <is>
          <t>Plaid</t>
        </is>
      </c>
      <c r="D20" t="inlineStr">
        <is>
          <t>linkedin</t>
        </is>
      </c>
      <c r="E20">
        <f>HYPERLINK("https://www.linkedin.com/jobs/view/4361656602", "https://www.linkedin.com/jobs/view/4361656602")</f>
        <v/>
      </c>
      <c r="F20" t="inlineStr"/>
      <c r="G20" t="inlineStr"/>
      <c r="H20" t="inlineStr"/>
      <c r="I20"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be instrumental in designing and developing scalable machine learning infrastructure that powers our industry\-leading fraud detection products. Your role involves leading the evolution of our model deployment, monitoring, and observability frameworks to ensure high reliability and performance at scale. You will collaborate closely with cross\-functional teams including ML Infrastructure, Product, and Engineering to deliver robust, scalable systems that safeguard users and customers from fraudulent activities. Additionally, you will mentor other engineers, contribute to shaping the long\-term technical vision, and drive strategic initiatives within the Fraud Data team. This position offers flexibility for remote work and is ideal for candidates who are passionate about leveraging data and machine learning to create impactful security solutions in the financial technology space.
**Qualifications** 
* 8\+ years of total professional experience in software engineering or data science
* At least 5 years of experience building and deploying production machine learning systems
* Proven expertise in machine learning infrastructure and operations
* Strong technical leadership and architectural vision, with a track record of driving systems from conception to production
* Proficiency in Python, PyTorch, Spark, SageMaker, Airflow, or equivalent technologies
* Experience working in fast\-paced, high\-growth environments
* Nice to have: experience in fraud detection, risk modeling, or financial security domains
* Nice to have: background in graph machine learning or related advanced techniques
**Responsibilities** 
* Design and develop scalable machine learning infrastructure to support Plaid’s fraud detection systems
* Build and optimize ML pipelines, feature engineering processes, and deployment workflows
* Implement robust model monitoring, logging, and observability frameworks to ensure system reliability and performance
* Collaborate with data scientists, engineers, and product teams to translate requirements into technical solutions
* Address complex challenges at the intersection of ML systems, data management, and reliability engineering
* Lead initiatives to improve scalability, efficiency, and security of fraud detection models
* Mentor junior engineers, fostering a culture of technical excellence and continuous learning
* Contribute to the long\-term technical strategy and vision for the Fraud Data team
**Benefits** 
* Competitive salary range of $253,200 \- $400,000 annually
* Comprehensive health, dental, and vision insurance plans
* Flexible remote work arrangements
* Generous paid time off and holidays
* Professional development opportunities and continuous learning support
* Inclusive and diverse work environment
* Equity options and performance\-based bonuses
* Wellness programs and employee assistance services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21">
      <c r="A21" t="inlineStr">
        <is>
          <t>li-4346131622</t>
        </is>
      </c>
      <c r="B21" t="inlineStr">
        <is>
          <t>AI/ML Engineer</t>
        </is>
      </c>
      <c r="C21" t="inlineStr">
        <is>
          <t>Synechron</t>
        </is>
      </c>
      <c r="D21" t="inlineStr">
        <is>
          <t>linkedin</t>
        </is>
      </c>
      <c r="E21">
        <f>HYPERLINK("https://www.linkedin.com/jobs/view/4346131622", "https://www.linkedin.com/jobs/view/4346131622")</f>
        <v/>
      </c>
      <c r="F21" t="inlineStr"/>
      <c r="G21" t="inlineStr">
        <is>
          <t>Alpharetta, GA</t>
        </is>
      </c>
      <c r="H21" t="inlineStr"/>
      <c r="I21"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5 to 12 years of industry expertise to lead the development of scalable machine learning systems. In this pivotal role, Candidate will architect and implement advanced AI solutions, guide strategic AI initiatives, and collaborate with cross\-functional teams to drive innovation. Candidate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Alpharetta, GA is $110k \- $120k/year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Bachelor’s, Master’s, or PhD in Computer Science, Data Science, or related fields.
* 5–12 years of relevant experience in AI/ML engineering and system architecture.
* Proven track record of deploying high\-impact AI solutions at scale.
* Strong analytical, strategic thinking, and problem\-solving skills.
* Excellent communication abilities and leadership qualities.
* In\-depth experience with Natural Language Processing (NLP), deep learning, and transformer\-based models.
* Hands\-on experience with cloud ML platforms, such as AWS SageMaker or Azure AI.
* Demonstrated leadership in formulating and executing AI strategies within organizations.
* Knowledge of the latest AI frameworks, including Transformers and Large Language Models (LLMs).
* Proven experience designing scalable ML systems and architectures.
* Strong expertise in advanced statistical modeling techniques.
* Deep experience in model development and deployment pipelines.
* Proficiency in integrating ML models with REST APIs.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is>
      </c>
    </row>
    <row r="22">
      <c r="A22" t="inlineStr">
        <is>
          <t>li-4345957589</t>
        </is>
      </c>
      <c r="B22" t="inlineStr">
        <is>
          <t>Machine Learning Engineer</t>
        </is>
      </c>
      <c r="C22" t="inlineStr">
        <is>
          <t>Cook Medical</t>
        </is>
      </c>
      <c r="D22" t="inlineStr">
        <is>
          <t>linkedin</t>
        </is>
      </c>
      <c r="E22">
        <f>HYPERLINK("https://www.linkedin.com/jobs/view/4345957589", "https://www.linkedin.com/jobs/view/4345957589")</f>
        <v/>
      </c>
      <c r="F22">
        <f>HYPERLINK("https://americas-cookmedical.icims.com/jobs/16330/machine-learning-engineer/job?mode=apply&amp;iis=LinkedIn&amp;urlHash=IfdH", "https://americas-cookmedical.icims.com/jobs/16330/machine-learning-engineer/job?mode=apply&amp;iis=LinkedIn&amp;urlHash=IfdH")</f>
        <v/>
      </c>
      <c r="G22" t="inlineStr">
        <is>
          <t>Bloomington, IN</t>
        </is>
      </c>
      <c r="H22" t="inlineStr"/>
      <c r="I22" t="inlineStr">
        <is>
          <t>**Overview**
 At Cook Medical,
 **artificial intelligence (AI)** 
 is more than a technology—it’s a strategic enabler of innovation and patient\-focused solutions. We integrate AI responsibly across our operations to
 **enhance efficiency, personalize experiences, and unlock insights** 
 that improve healthcare outcomes. Our approach is guided by Cook’s core values of
 **integrity, transparency, and respect** 
 , ensuring every AI initiative aligns with ethical standards and regulatory compliance.
 The primary function of the
 **Machine Learning (ML) Engineer** 
 is to develop and deploy machine learning models using Python or other industry programming languages.
**Responsibilities**
* Develop and Implement ML Models: Design and deploy machine learning algorithms and models to analyze and interpret complex medical data, contributing to the advancement of our medical devices.
* Collaborate with Cross\-Functional Teams: Work closely with data scientists, software engineers, and clinical experts to integrate machine learning solutions into existing and new medical device platforms.
* Data Preprocessing and Analysis: Collect, clean, and preprocess large datasets from various sources to ensure the accuracy and quality required for training robust machine learning models.
* Performance Optimization: Enhance the performance of machine learning models by tuning hyperparameters, selecting appropriate algorithms, and employing techniques to prevent overfitting.
* Stay Updated with Industry Trends: Keep abreast of the latest developments in machine learning, artificial intelligence, and the medical device industry to ensure our solutions remain at the forefront of technological innovation.
* Compliance and Documentation: Ensure all machine learning models and processes comply with relevant medical regulations and standards. Maintain thorough documentation for model development, validation, and deployment processes.
**Qualifications**
 Education and/or Work Experience Requirements
* Bachelor’s Degree in Computer Science, Electrical Engineering, Biomedical Engineering or related Engineering field required
* Master’s in computer science preferred
* Minimum 2\+ year’ experience
 Qualification Requirements
* Proficiency in programming languages such as Python or R.
* Experience with machine learning frameworks like TensorFlow or PyTorch.
* Familiarity with data preprocessing techniques and tools.
* Excellent verbal and written communication skills
* Strong analytical and problem\-solving skills
* Ability to manage competing priorities in a fast\-paced environment
* Comfort navigating ambiguity, and an ability to create in an undefined, unestablished environment
* Proven experience in developing and deploying machine learning models, preferably in the medical device or healthcare industry.
* Must be highly collaborative and comfortable working with people in a matrixed environment.
* Exceptional verbal and written communication skills.
 Physical Requirements
* Requires occasional early morning or evening teleconference
* Remote with Ability to travel (domestic and international) (25%) required
* Works under general office environmental conditions
* Sits for extended periods, utilizes close visual acuity working with computers, etc.</t>
        </is>
      </c>
    </row>
    <row r="23">
      <c r="A23" t="inlineStr">
        <is>
          <t>li-4362353833</t>
        </is>
      </c>
      <c r="B23" t="inlineStr">
        <is>
          <t>AI Engineer - Agentic Automation</t>
        </is>
      </c>
      <c r="C23" t="inlineStr">
        <is>
          <t>Freshworks</t>
        </is>
      </c>
      <c r="D23" t="inlineStr">
        <is>
          <t>linkedin</t>
        </is>
      </c>
      <c r="E23">
        <f>HYPERLINK("https://www.linkedin.com/jobs/view/4362353833", "https://www.linkedin.com/jobs/view/4362353833")</f>
        <v/>
      </c>
      <c r="F23" t="inlineStr"/>
      <c r="G23" t="inlineStr">
        <is>
          <t>San Mateo, CA</t>
        </is>
      </c>
      <c r="H23" t="inlineStr"/>
      <c r="I23"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4">
      <c r="A24" t="inlineStr">
        <is>
          <t>li-4361666756</t>
        </is>
      </c>
      <c r="B24" t="inlineStr">
        <is>
          <t>AI Engineer - Agentic Automation</t>
        </is>
      </c>
      <c r="C24" t="inlineStr">
        <is>
          <t>Freshworks</t>
        </is>
      </c>
      <c r="D24" t="inlineStr">
        <is>
          <t>linkedin</t>
        </is>
      </c>
      <c r="E24">
        <f>HYPERLINK("https://www.linkedin.com/jobs/view/4361666756", "https://www.linkedin.com/jobs/view/4361666756")</f>
        <v/>
      </c>
      <c r="F24" t="inlineStr"/>
      <c r="G24" t="inlineStr">
        <is>
          <t>San Mateo, CA</t>
        </is>
      </c>
      <c r="H24" t="inlineStr"/>
      <c r="I24"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5">
      <c r="A25" t="inlineStr">
        <is>
          <t>li-4341008321</t>
        </is>
      </c>
      <c r="B25" t="inlineStr">
        <is>
          <t>Machine Learning Engineer, Zillow Shopping AI</t>
        </is>
      </c>
      <c r="C25" t="inlineStr">
        <is>
          <t>Zillow</t>
        </is>
      </c>
      <c r="D25" t="inlineStr">
        <is>
          <t>linkedin</t>
        </is>
      </c>
      <c r="E25">
        <f>HYPERLINK("https://www.linkedin.com/jobs/view/4341008321", "https://www.linkedin.com/jobs/view/4341008321")</f>
        <v/>
      </c>
      <c r="F25">
        <f>HYPERLINK("https://zillow.wd5.myworkdayjobs.com/Zillow_Group_External/job/Remote-USA/Machine-Learning-Engineer\u002d\u002dZillow-Shopping-AI_P747947-1?source=LinkedIn&amp;urlHash=0dP4", "https://zillow.wd5.myworkdayjobs.com/Zillow_Group_External/job/Remote-USA/Machine-Learning-Engineer\u002d\u002dZillow-Shopping-AI_P747947-1?source=LinkedIn&amp;urlHash=0dP4")</f>
        <v/>
      </c>
      <c r="G25" t="inlineStr"/>
      <c r="H25" t="inlineStr"/>
      <c r="I25" t="inlineStr">
        <is>
          <t>**About The Team**
 As the engine behind Zillow Group's mission to build a seamless digital real estate marketplace, the Shopping AI team is fundamentally redefining how millions of people discover and shop for homes. Our team of engineers and scientists builds and owns the production machine learning systems that power Zillow's core user experience, including personalized ranking \&amp; recommendations, semantic search, autocomplete, and display optimization. Working closely with product and design, we apply the latest advancements in AI to solve unique, large\-scale challenges. As we look forward, we are tackling the next generation of questions, including how generative AI can unlock intuitive, personalized experiences for every home shopper.
**About The Role**
**You Will Get To:**
* Design, build, and ship production new machine learning models that power core product features on the Zillow app, website, and email/push notifications.
* Help re\-architect our core home ranking and recommendation systems to support advanced neural networks and dramatically accelerate the pace of experimentation across surfaces.
* Own the full lifecycle of your models, from offline experimentation and prototyping with massive datasets to online deployment, A/B testing, and performance monitoring.
* Pioneer the application of cutting\-edge deep learning and large language models (LLMs) to improve our home shopping experience.
* Develop new AI components that optimize how we display and when we recommend homes, ensuring we connect shoppers with the right content on the right properties at the right time.
* Collaborate in a cross\-functional group of engineers, applied scientists, product managers, and designers to define, execute, and iterate on the team's strategic roadmap.
* Contribute to the team's engineering excellence by improving our machine learning infrastructure, development standards, and shared tooling.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**Must Have:**
* 1\-3 years of experience in developing applications in search, personalized ranking, or recommender systems
* Experience developing and deploying ML models that scale to high\-traffic, latency sensitive customer\-facing services (100s of millions of requests per day)
* Strong programming skills in a high\-level language such as Python or Java
* Familiarity with common machine learning libraries like PyTorch, TensorFlow, Catboost, scikit\-learn and huggingface (repository)
* Expertise with large scale distributed data processing systems such as Hive, Spark, Airflow, or Databricks
* Experience owning the full lifecycle of customer facing machine learning models, from offline experimentation and prototyping to online deployment, A/B testing, and performance monitoring
* Here at Zillow \- we value the experience and perspective of candidates with non\-traditional backgrounds. We encourage you to apply if you have transferable skills or related experiences
**Preferred:**
* A Master's degree \+ 2 yrs or BS with a minimum of 4 yrs of experience (preferably in large consumer tech companies)
* Prior experience or high level of curiosity with generative AI and excitement to collaborate on what they’ve learned!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26">
      <c r="A26" t="inlineStr">
        <is>
          <t>li-4353201239</t>
        </is>
      </c>
      <c r="B26" t="inlineStr">
        <is>
          <t>AI Engineer</t>
        </is>
      </c>
      <c r="C26" t="inlineStr">
        <is>
          <t>PicnicHealth</t>
        </is>
      </c>
      <c r="D26" t="inlineStr">
        <is>
          <t>linkedin</t>
        </is>
      </c>
      <c r="E26">
        <f>HYPERLINK("https://www.linkedin.com/jobs/view/4353201239", "https://www.linkedin.com/jobs/view/4353201239")</f>
        <v/>
      </c>
      <c r="F26">
        <f>HYPERLINK("https://picnichealth.com/company/career-details?gh_jid=8372762002&amp;urlHash=F-iQ", "https://picnichealth.com/company/career-details?gh_jid=8372762002&amp;urlHash=F-iQ")</f>
        <v/>
      </c>
      <c r="G26" t="inlineStr">
        <is>
          <t>San Francisco, CA</t>
        </is>
      </c>
      <c r="H26" t="inlineStr"/>
      <c r="I26" t="inlineStr">
        <is>
          <t>PicnicHealth is simplifying clinical research with AI, making it faster and cheaper to get new treatments to patients. We’re bringing a patient\-centered, AI\-first approach to a $100b market otherwise dominated by old\-school, services\-driven incumbents. We’re creating a streamlined operating system for clinical research, built on top of our AI for medical record data in trials and a personal health assistant that keeps patients engaged.
**The Opportunity**
 Clinical research is ripe for reinvention. Running a study today involves countless labor\-intensive workflows—work that's slow, expensive, and often frustrating for everyone involved. We believe AI can change that.
 Our AI team builds real systems with critical business impact. We process millions of pages of medical records, turning messy real\-world data into structured patient timelines. We automate complex study workflows—from protocol setup to ongoing operations. The goal isn't incremental efficiency—it's drastically reducing the human labor required to run a study.
 This is a high\-leverage role. You'll work closely with product managers and our study delivery team to identify high\-impact opportunities—and own the AI solutions that address them. If you're excited about applying the latest AI capabilities to problems that genuinely matter, this is the place to do it.
**As an AI Engineer you will:**
* Build AI agents that automate labor\-intensive clinical study workflows—like drafting clinical trial documentation
* Extend and improve our agent framework (built on pydantic\-ai) and the infrastructure that supports it
* Build data pipelines that give our agents access to the research and context they need
* Collaborate directly with study project managers, clinicians, and other stakeholders to understand problems and deliver solutions
* Do whatever it takes to ship—including scrappy UI work when that's what's blocking progress
**What you’ll birng:**
* 5\+ years of experience writing production code in Python
* Deep experience with LLMs—not just API calls, but defining tools, understanding failure modes, and developing intuition for how to get reliable results
* Experience building agents that actually work in production
* Comfort navigating complex dev environments (Docker, Kubernetes, cloud\-based development) well enough to unblock yourself
* Openness to occasional frontend work, especially with AI coding tools in your toolbelt
* Ability to explain technical tradeoffs to PMs and clinicians and incorporate their feedback quickly
* Self\-direction and drive to move projects forward without detailed specs
 We expect all team members to be motivated to be amazing in their roles and, ultimately, to move the PicnicHealth mission forward.
**What is clinical research and why will PicnicHealth win?**
 Clinical research is the industry responsible for conducting studies to evaluate the effectiveness of drugs and treatments. Better trials lead to faster, more cost\-effective drug development, ultimately resulting in more and improved treatments for patients. However, the process remains highly inefficient. Trials are a major bottleneck in drug development, and the promising advancements in biotech cannot translate to real patient impact unless clinical research becomes faster and more efficient
 The industry runs on outdated technology and manual processes. Research sites (hospitals, academic centers, doctors' offices) are overburdened and under\-resourced. Contract research organizations (CROs), the organizations that traditionally run clinical trials for life sciences companies, typically throw hundreds\-of\-thousands of man\-hours wrangling sites and cobbling together vendor software.
 PicnicHealth has built technology that uniquely positions us to run faster, cheaper, and more flexible studies while removing burden from sites:
* PicnicAI (trained on 350M\+ clinician annotations over 100k\+ patient records) is the only system that can effectively access and structure all participant EMR data trials need
* Our AI health assistant (NPS of 76 in 2024\) guides participants through study activities and enables most to be done at home
* We're an integrated solution — virtual site, CRO, and software platform — with AI built in from the ground up, initially focusing on non\-interventional research.
**Perks \&amp; Benefits @PicnicHealth**
 At PicnicHealth you get to solve real problems with real solutions, great tech, and great people. We look to attract and retain exceptional performers through a mission that matters, a culture that allows team members to do their best work and be their real selves, and through competitive compensation and benefits packages aligned to the market and our Core Values.
 We’re a remote first company, with teammates spread across the US. We support in\-person gatherings, including co\-working spaces and multi\-day onsites, to build connections and move forward strategic initiatives. Expect to travel 2\-4 times a year. For our team members in the Bay Area, who prefer to work in person we can offer a hybrid set up to work from the SF office on a flexible schedule.
 Target Base Salary Range: $180K\-$220K
 The base salary PicnicHealth offers may vary depending upon the ultimate scope and responsibilities of the position and on the candidate’s job\-related knowledge, skills, and experience. The total package will include equity, in addition to a full range of medical and/or other benefits, depending on the position offered. Pay and benefits are subject to change at any time, consistent with the terms of any applicable compensation or benefit plans.
 You also get:
* Comprehensive benefits including above market Health, Dental, Vision
* Family friendly environment
* Flexible time off
* 401k plan
* Free PicnicHealth account
* Equipment and internet funds for home office set up
* Wellness Stipend
**Equal Opportunity Statement**
 PicnicHealth is committed to promoting an inclusive work environment free of discrimination and harassment. We value a diverse and balanced team where everyone can belong.</t>
        </is>
      </c>
    </row>
    <row r="27">
      <c r="A27" t="inlineStr">
        <is>
          <t>li-4235568776</t>
        </is>
      </c>
      <c r="B27" t="inlineStr">
        <is>
          <t>AI/ML Engineer</t>
        </is>
      </c>
      <c r="C27" t="inlineStr">
        <is>
          <t>Starr</t>
        </is>
      </c>
      <c r="D27" t="inlineStr">
        <is>
          <t>linkedin</t>
        </is>
      </c>
      <c r="E27">
        <f>HYPERLINK("https://www.linkedin.com/jobs/view/4235568776", "https://www.linkedin.com/jobs/view/4235568776")</f>
        <v/>
      </c>
      <c r="F27" t="inlineStr"/>
      <c r="G27" t="inlineStr">
        <is>
          <t>New York, NY</t>
        </is>
      </c>
      <c r="H27" t="inlineStr"/>
      <c r="I27"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28">
      <c r="A28" t="inlineStr">
        <is>
          <t>li-4361647806</t>
        </is>
      </c>
      <c r="B28" t="inlineStr">
        <is>
          <t>Associate Machine Learning Engineer</t>
        </is>
      </c>
      <c r="C28" t="inlineStr">
        <is>
          <t>Amgen</t>
        </is>
      </c>
      <c r="D28" t="inlineStr">
        <is>
          <t>linkedin</t>
        </is>
      </c>
      <c r="E28">
        <f>HYPERLINK("https://www.linkedin.com/jobs/view/4361647806", "https://www.linkedin.com/jobs/view/4361647806")</f>
        <v/>
      </c>
      <c r="F28" t="inlineStr"/>
      <c r="G28" t="inlineStr"/>
      <c r="H28" t="inlineStr"/>
      <c r="I28" t="inlineStr">
        <is>
          <t>Join Amgen’s Mission of Serving Patients
 At Amgen, if you feel like you’re part of something bigger, it’s because you are. Our shared mission—to serve patients living with serious illnesses—drives all that we do.
 Since 1980, we’ve helped pioneer the world of biotech in our fight against the world’s toughest diseases. With our focus on four therapeutic areas –Oncology, Inflammation, General Medicine, and Rare Disease– we reach millions of patients each year. As a member of the Amgen team, you’ll help make a lasting impact on the lives of patients as we research, manufacture, and deliver innovative medicines to help people live longer, fuller happier lives.
 Our award\-winning culture is collaborative, innovative, and science based. If you have a passion for challenges and the opportunities that lay within them, you’ll thrive as part of the Amgen team. Join us and transform the lives of patients while transforming your career.
**Associate Machine Learning Engineer**
**What You Will Do**
 Let’s do this. Let’s change the world. We are seeking a motivated Machine Learning Engineer with exposure to MLOps practices to join our team. In this role, you will support the development, deployment, and maintenance of machine learning solutions under the guidance of senior engineers and data scientists. You will contribute to building reliable ML pipelines and help operationalize models in production environments.
**Roles \&amp; Responsibilities:**
* Collaborate with data scientists and senior ML engineers to develop, train, and evaluate machine learning models.
* Assist in building and maintaining ML pipelines for data ingestion, feature engineering, model training, deployment, and monitoring.
* Support the use of cloud platforms (AWS, Azure, or GCP) for ML model development and deployment.
* Implement basic MLOps and DevOps practices to automate and streamline ML workflows.
* Help monitor deployed models for performance, data drift, and operational issues, escalating concerns as needed.
* Participate in experimentation and A/B testing efforts to improve model performance.
* Work closely with data scientists, engineers, and product teams to deliver ML solutions aligned with business needs.
* Stay current with emerging machine learning and MLOps tools and best practices.
**What We Expect Of You**
 We are all different, yet we all use our unique contributions to serve patients. The professional we seek is an individual with these qualifications.
**Basic Qualifications:**
 Bachelor’s degree
 OR
 Associate’s degree and 4 years of computer science, IT, or a related field
 OR
 High school diploma / GED and 6 years of computer science, IT, or a related field
**Preferred Qualifications:**
**Must\-Have Skills**
* Solid understanding of machine learning fundamentals (regression, classification, clustering).
* Hands\-on experience or exposure to MLOps tools and practices (e.g., MLflow, Airflow, Kubeflow) and DevOps tools (Docker, basic Kubernetes, CI/CD).
* Proficiency in Python and common ML libraries (Scikit\-learn, TensorFlow, or PyTorch).
* Strong analytical and problem\-solving skills.
* Good communication skills and ability to collaborate effectively in a team environment.
* Ability to learn quickly and adapt to new tools and technologies.
**Good\-to\-Have Skills**
* Exposure to big data technologies such as Spark or Hadoop.
* Experience supporting data pipelines or working with data engineering teams.
* Basic understanding of statistical concepts and hypothesis testing.
* Familiarity with NLP or time\-series analysis concepts.
**Soft Skills**
* Good analytical and troubleshooting abilities.
* Clear verbal and written communication skills.
* Ability to work effectively with global and virtual teams.
* Demonstrates initiative and willingness to learn.
* Able to manage assigned tasks and priorities with guidance.
* Team\-oriented mindset with a focus on shared goals.
* Organized and detail oriented.
**What You Can Expect From Us**
 As we work to develop treatments that take care of others, we also work to care for your professional and personal growth and well\-being. From our competitive benefits to our collaborative culture, we’ll support your journey every step of the way.
 The expected annual salary range for this role in the U.S. (excluding Puerto Rico) is posted. Actual salary will vary based on several factors including but not limited to, relevant skills, experience, and qualifications.
 In addition to the base salary, Amgen offers a Total Rewards Plan, based on eligibility, comprising of health and welfare plans for staff and eligible dependents, financial plans with opportunities to save towards retirement or other goals, work/life balance, and career development opportunities that may include:
* A comprehensive employee benefits package, including a Retirement and Savings Plan with generous company contributions, group medical, dental and vision coverage, life and disability insurance, and flexible spending accounts
* A discretionary annual bonus program, or for field sales representatives, a sales\-based incentive plan
* Stock\-based long\-term incentives
* Award\-winning time\-off plans
* Flexible work models where possible. Refer to the Work Location Type in the job posting to see if this applies
 Apply now and make a lasting impact with the Amgen team.
**careers.amgen.com**
 In any materials you submit, you may redact or remove age\-identifying information such as age, date of birth, or dates of school attendance or graduation. You will not be penalized for redacting or removing this information.
**Application deadline**
 Amgen does not have an application deadline for this position; we will continue accepting applications until we receive a sufficient number or select a candidate for the position.
**Sponsorship**
 Sponsorship for this role is not guaranteed.
 As an organization dedicated to improving the quality of life for people around the world, Amgen fosters an inclusive environment of diverse, ethical, committed and highly accomplished people who respect each other and live the Amgen values to continue advancing science to serve patients. Together, we compete in the fight against serious disease.
 Amgen is an Equal Opportunity employer and will consider all qualified applicants for employment without regard to race, color, religion, sex, sexual orientation, gender identity, national origin, protected veteran status, disability status, or any other basis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Amgen is an Equal Opportunity employer and will consider you without regard to your race, color, religion, sex, sexual orientation, gender identity, national origin, protected veteran status, or disability status.</t>
        </is>
      </c>
    </row>
    <row r="29">
      <c r="A29" t="inlineStr">
        <is>
          <t>li-4361666784</t>
        </is>
      </c>
      <c r="B29" t="inlineStr">
        <is>
          <t>AI Engineer - Agentic Automation</t>
        </is>
      </c>
      <c r="C29" t="inlineStr">
        <is>
          <t>Freshworks</t>
        </is>
      </c>
      <c r="D29" t="inlineStr">
        <is>
          <t>linkedin</t>
        </is>
      </c>
      <c r="E29">
        <f>HYPERLINK("https://www.linkedin.com/jobs/view/4361666784", "https://www.linkedin.com/jobs/view/4361666784")</f>
        <v/>
      </c>
      <c r="F29" t="inlineStr"/>
      <c r="G29" t="inlineStr">
        <is>
          <t>San Mateo, CA</t>
        </is>
      </c>
      <c r="H29" t="inlineStr"/>
      <c r="I29"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30">
      <c r="A30" t="inlineStr">
        <is>
          <t>li-4361609503</t>
        </is>
      </c>
      <c r="B30" t="inlineStr">
        <is>
          <t>Machine Learning Engineer</t>
        </is>
      </c>
      <c r="C30" t="inlineStr">
        <is>
          <t>Parallel</t>
        </is>
      </c>
      <c r="D30" t="inlineStr">
        <is>
          <t>linkedin</t>
        </is>
      </c>
      <c r="E30">
        <f>HYPERLINK("https://www.linkedin.com/jobs/view/4361609503", "https://www.linkedin.com/jobs/view/4361609503")</f>
        <v/>
      </c>
      <c r="F30" t="inlineStr"/>
      <c r="G30" t="inlineStr"/>
      <c r="H30" t="inlineStr"/>
      <c r="I30" t="inlineStr">
        <is>
          <t>**This job is posted for Tie via Parallel** 
**About Tie** 
 Tie is building the next generation of identity resolution and marketing intelligence. Our platform connects hundreds of millions of consumers across devices, browsers, and channels—without relying on cookies—to power higher deliverability, smarter targeting, and measurable revenue lift for modern marketing teams. At Tie, AI is not a feature—it is a core execution advantage. We operate large\-scale identity graphs, real\-time scoring systems, and production ML pipelines that directly impact revenue, deliverability, and customer growth.
**The Role** 
 We are looking for a Senior AI / Machine Learning Engineer to design, build, and deploy production ML systems that sit at the heart of our identity graph and scoring platform. You will work at the intersection of machine learning, graph data, and real\-time systems, owning models end to end—from feature engineering and training through deployment, monitoring, and iteration. This role is highly hands\-on and impact\-driven. You will help define Tie’s ML architecture, ship models that operate at sub\-second latency, and partner closely with platform engineering to ensure our AI systems scale reliably.
**What You’ll Do** 
* Design and deploy production\-grade ML models for identity resolution, propensity scoring, deliverability, and personalization
* Build and maintain feature pipelines across batch and real\-time systems (BigQuery, streaming events, graph\-derived features)
* Develop and optimize classification models (e.g., XGBoost, logistic regression) with strong handling of class imbalance and noisy labels
* Integrate ML models directly with graph databases to support real\-time inference and identity scoring
* Own model lifecycle concerns: evaluation, monitoring, drift detection, retraining, and performance reporting
* Partner with engineering to expose models via low\-latency APIs and scalable services
* Contribute to GPU\-accelerated and large\-scale data processing efforts as we push graph computation from hours to minutes
* Help shape ML best practices, tooling, and standards across the team
**What You’ll Bring** 
**Required Qualifications** 
* 5\+ years of experience building and deploying machine learning systems in production
* Strong proficiency in Python for ML, data processing, and model serving
* Hands\-on experience with feature engineering, model training, and evaluation for real\-world datasets
* Experience deploying ML models via APIs or services (e.g., FastAPI, containers, Kubernetes)
* Solid understanding of data modeling, SQL, and analytical workflows
* Experience working in a cloud environment (GCP, AWS, or equivalent)
**Preferred / Bonus Experience** 
* Experience with graph data, graph databases, or graph\-based ML
* Familiarity with Neo4j, Cypher, or graph algorithms (community detection, entity resolution)
* Experience with XGBoost, tree\-based models, or similar classical ML approaches
* Exposure to real\-time or streaming systems (Kafka, Pub/Sub, event\-driven architectures)
* Experience with MLOps tooling and practices (CI/CD for ML, monitoring, retraining pipelines)
* GPU or large\-scale data processing experience (e.g., RAPIDS, CUDA, Spark, or similar)
* Domain experience in identity resolution, marketing technology, or email deliverability
**Our Technology Stack** 
* ML \&amp; Data: Python, Pandas, Scikit\-learn, XGBoost
* Graphs: Neo4j (Enterprise, GDS)
* Cloud: Google Cloud Platform (BigQuery, Vertex AI, Cloud Run, Pub/Sub)
* Infrastructure: Docker, Kubernetes, GitHub Actions
* APIs: FastAPI, REST\-based inference services
**What We Offer** 
* Competitive compensation, including salary, equity, and performance incentives
* Opportunity to work on core AI systems that directly impact revenue and product</t>
        </is>
      </c>
    </row>
    <row r="31">
      <c r="A31" t="inlineStr">
        <is>
          <t>li-4355053308</t>
        </is>
      </c>
      <c r="B31" t="inlineStr">
        <is>
          <t>AI Engineer</t>
        </is>
      </c>
      <c r="C31" t="inlineStr">
        <is>
          <t>Space Executive</t>
        </is>
      </c>
      <c r="D31" t="inlineStr">
        <is>
          <t>linkedin</t>
        </is>
      </c>
      <c r="E31">
        <f>HYPERLINK("https://www.linkedin.com/jobs/view/4355053308", "https://www.linkedin.com/jobs/view/4355053308")</f>
        <v/>
      </c>
      <c r="F31" t="inlineStr"/>
      <c r="G31" t="inlineStr">
        <is>
          <t>New York, United States</t>
        </is>
      </c>
      <c r="H31" t="inlineStr"/>
      <c r="I31" t="inlineStr">
        <is>
          <t>**Founding / Applied AI Engineer** 
 A well\-funded early\-stage technology company is seeking a
 **Founding Applied AI Engineer** 
 to lead the development of production\-grade AI agents. This is a high\-impact role combining hands\-on technical execution with strategic ownership, ideal for someone excited about building cutting\-edge agent systems from the ground up.
 The engineer in this role will own core agent development, infrastructure and orchestration, evaluation frameworks, and data pipelines. You’ll join a small, highly capable engineering team and play a foundational role in shaping both the product and the technical culture.
**What You’ll Do** 
* Build, maintain, and scale infrastructure capable of handling high volumes of LLM\-powered queries with strong accuracy and performance
* Develop and fine\-tune AI agents using a combination of code, prompt engineering, and model selection
* Design and integrate backend systems that connect to complex, large\-scale data sources
* Experiment with and evaluate new models, tools, and techniques to continuously improve agent quality and capabilities
* Own major product and engineering initiatives end to end, with clear accountability for outcomes
* Collaborate closely with engineers and cross\-functional partners to help shape the team and company culture
* Tech stack: Python, Typescript, NodeJS, AWS, React
**The Ideal Candidate** 
* Strong experience building with LLMs and deploying AI agents into production environments
* Deep interest in the evolving AI landscape, including prompt engineering and model evaluation
* A high\-ownership, founder\-minded approach to work with comfort operating in ambiguity
* Ability to independently solve complex technical problems through prototyping, debugging, and experimentation
* Experience building scalable software systems in fast\-moving environments
* Early stage start up experience
**What’s Offered** 
* $200,000\-250,000 \+ equity
* Early team member \- significant ownership
 Apply below if you're interested!</t>
        </is>
      </c>
    </row>
    <row r="32">
      <c r="A32" t="inlineStr">
        <is>
          <t>li-4362480981</t>
        </is>
      </c>
      <c r="B32" t="inlineStr">
        <is>
          <t>AI Engineer - Agentic Automation</t>
        </is>
      </c>
      <c r="C32" t="inlineStr">
        <is>
          <t>Freshworks</t>
        </is>
      </c>
      <c r="D32" t="inlineStr">
        <is>
          <t>linkedin</t>
        </is>
      </c>
      <c r="E32">
        <f>HYPERLINK("https://www.linkedin.com/jobs/view/4362480981", "https://www.linkedin.com/jobs/view/4362480981")</f>
        <v/>
      </c>
      <c r="F32" t="inlineStr"/>
      <c r="G32" t="inlineStr">
        <is>
          <t>San Mateo, CA</t>
        </is>
      </c>
      <c r="H32" t="inlineStr"/>
      <c r="I32"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33">
      <c r="A33" t="inlineStr">
        <is>
          <t>li-4362383527</t>
        </is>
      </c>
      <c r="B33" t="inlineStr">
        <is>
          <t>AI Engineer - Agentic Automation</t>
        </is>
      </c>
      <c r="C33" t="inlineStr">
        <is>
          <t>Freshworks</t>
        </is>
      </c>
      <c r="D33" t="inlineStr">
        <is>
          <t>linkedin</t>
        </is>
      </c>
      <c r="E33">
        <f>HYPERLINK("https://www.linkedin.com/jobs/view/4362383527", "https://www.linkedin.com/jobs/view/4362383527")</f>
        <v/>
      </c>
      <c r="F33" t="inlineStr"/>
      <c r="G33" t="inlineStr">
        <is>
          <t>Bellevue, WA</t>
        </is>
      </c>
      <c r="H33" t="inlineStr"/>
      <c r="I33"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Bellevue, WA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Bellevue, WA and requires an in\-office presence three days per week (Tuesday \- Thursday).**
 This role is based in the Seattle Metro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34">
      <c r="A34" t="inlineStr">
        <is>
          <t>li-4345958853</t>
        </is>
      </c>
      <c r="B34" t="inlineStr">
        <is>
          <t>AI Engineer</t>
        </is>
      </c>
      <c r="C34" t="inlineStr">
        <is>
          <t>Stifel Financial Corp.</t>
        </is>
      </c>
      <c r="D34" t="inlineStr">
        <is>
          <t>linkedin</t>
        </is>
      </c>
      <c r="E34">
        <f>HYPERLINK("https://www.linkedin.com/jobs/view/4345958853", "https://www.linkedin.com/jobs/view/4345958853")</f>
        <v/>
      </c>
      <c r="F34" t="inlineStr"/>
      <c r="G34" t="inlineStr">
        <is>
          <t>St Louis, MO</t>
        </is>
      </c>
      <c r="H34" t="inlineStr"/>
      <c r="I34"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35">
      <c r="A35" t="inlineStr">
        <is>
          <t>li-4330071785</t>
        </is>
      </c>
      <c r="B35" t="inlineStr">
        <is>
          <t>Founding Machine Learning Engineer</t>
        </is>
      </c>
      <c r="C35" t="inlineStr">
        <is>
          <t>Shields Group Search</t>
        </is>
      </c>
      <c r="D35" t="inlineStr">
        <is>
          <t>linkedin</t>
        </is>
      </c>
      <c r="E35">
        <f>HYPERLINK("https://www.linkedin.com/jobs/view/4330071785", "https://www.linkedin.com/jobs/view/4330071785")</f>
        <v/>
      </c>
      <c r="F35" t="inlineStr"/>
      <c r="G35" t="inlineStr">
        <is>
          <t>San Francisco, CA</t>
        </is>
      </c>
      <c r="H35" t="inlineStr"/>
      <c r="I35"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36">
      <c r="A36" t="inlineStr">
        <is>
          <t>li-4348049175</t>
        </is>
      </c>
      <c r="B36" t="inlineStr">
        <is>
          <t>Principal AI Engineer</t>
        </is>
      </c>
      <c r="C36" t="inlineStr">
        <is>
          <t>ALO</t>
        </is>
      </c>
      <c r="D36" t="inlineStr">
        <is>
          <t>linkedin</t>
        </is>
      </c>
      <c r="E36">
        <f>HYPERLINK("https://www.linkedin.com/jobs/view/4348049175", "https://www.linkedin.com/jobs/view/4348049175")</f>
        <v/>
      </c>
      <c r="F36" t="inlineStr"/>
      <c r="G36" t="inlineStr">
        <is>
          <t>Beverly Hills, CA</t>
        </is>
      </c>
      <c r="H36" t="inlineStr"/>
      <c r="I36"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Join ALO’s Artificial Intelligence and Data Science team to explore the frontiers of applied AI in wellness, fashion, and retail. You’ll build intelligent systems that power personalization, content generation, computer vision, and decision automation.
 We’re looking for a hands\-on AI Engineer who loves to build. You’ll design and deploy bespoke, high\-impact AI solutions that stretch across product design, marketing, supply chain, customer experience, and engineering. Some projects will be fast\-turnaround proofs of concept; others will grow into scalable internal platforms. You’ll balance the art of creative experimentation with the discipline of technical rigor—knowing when to build from scratch and when to leverage what already exists.
**RESPONSIBILITIES**
* Build bespoke AI solutions to accelerate business outcomes—anything from product image generation to conversational assistants or process automation.
* Prototype rapidly using APIs, open models, and cloud\-native services to validate ideas and demonstrate value.
* Design for scale—transition ad hoc experiments into maintainable, production\-grade systems or reusable components.
* Evaluate external AI platforms and tools for integration potential, cost, and business fit.
* Collaborate cross\-functionally with marketing, design, supply chain, retail operations, and engineering teams to translate real problems into AI\-enabled solutions.
* Implement responsible AI practices that ensure transparency, fairness, and explainability across applications.
* Mentor and coach peers in practical AI adoption and experimentation.
**QUALIFICATIONS**
* 10\+ years of experience in a data or software engineering field.
* MS or PhD in Artificial Intelligence, Machine Learning, or Data Science.
* Equal parts builder, hacker, and architect—you can ship a working demo in a day but think in systems that can scale for years.
* Comfortable working without a map—you thrive in ambiguity and see constraints as creative opportunities.
* Skilled in Python, SQL, and cloud AI platforms (AWS, GCP, Azure) and fluent in modern AI frameworks (LangChain, Hugging Face, OpenAI, etc.).
* Strong grasp of ML fundamentals (classification, NLP, computer vision, embeddings) and practical data engineering.
* Experience in integrating AI into business workflows—e.g., automating content generation, demand forecasting, or intelligent search.
* Naturally curious about the intersection of human creativity and artificial intelligence, and driven by impact, not novelty.
* Experience in implementing / developing model evaluation frameworks.
**Why ALO**
 Join a team shaping the intersection of wellness, fashion, and technology. At ALO, data isn’t just numbers—it’s the heartbeat behind immersive experiences, purposeful products, and global community connection.
 The base salary range for this position is $180,000\-$235,000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benefits.
 For CA residents, Job Applicant Privacy Policy HERE.</t>
        </is>
      </c>
    </row>
    <row r="37">
      <c r="A37" t="inlineStr">
        <is>
          <t>li-4361692682</t>
        </is>
      </c>
      <c r="B37" t="inlineStr">
        <is>
          <t>Senior AI Engineer</t>
        </is>
      </c>
      <c r="C37" t="inlineStr">
        <is>
          <t>Franklin Fitch</t>
        </is>
      </c>
      <c r="D37" t="inlineStr">
        <is>
          <t>linkedin</t>
        </is>
      </c>
      <c r="E37">
        <f>HYPERLINK("https://www.linkedin.com/jobs/view/4361692682", "https://www.linkedin.com/jobs/view/4361692682")</f>
        <v/>
      </c>
      <c r="F37" t="inlineStr"/>
      <c r="G37" t="inlineStr">
        <is>
          <t>Boston, MA</t>
        </is>
      </c>
      <c r="H37" t="inlineStr"/>
      <c r="I37" t="inlineStr">
        <is>
          <t>We are looking for a
 **Senior AI Engineer** 
 to design, integrate, and operate an AI platform built on leading third\-party LLM providers.
 This role focuses on delivering
 **secure, reliable, and compliant AI services** 
 that integrate with core enterprise systems and drive measurable productivity gains for technical and non\-technical users.
 What You’ll Do
* Design and maintain scalable APIs and SDKs enabling agentic and RAG\-based AI solutions
* Integrate AI capabilities with enterprise tools (e.g. ITSM, CRM, document management, Microsoft 365\)
* Build and govern custom GPT\-style applications, connectors, and enterprise integrations
* Maintain vector databases and retrieval pipelines to ensure high\-accuracy, domain\-grade outputs
* Support adoption through reference implementations, templates, and enablement sessions
 What We’re Looking For
* Strong experience in software or AI engineering, including 3\+ years building LLM\-powered applications
* Strong cloud and DevOps experience (containers, CI/CD, IaC); Azure experience preferred
* Hands\-on expertise with RAG, embeddings, vector databases, and agent frameworks
* Proven experience designing secure AI integrations and custom GPT\-style tools
* Background in regulated environments (legal, financial, or similar) is a strong plus
* Strong Python and R. experience
 This role offers the opportunity to
 **shape and scale enterprise AI capabilities** 
 in a highly regulated environment, working closely with technical teams and business stakeholders to move AI from pilot to production.</t>
        </is>
      </c>
    </row>
    <row r="38">
      <c r="A38" t="inlineStr">
        <is>
          <t>li-4359120071</t>
        </is>
      </c>
      <c r="B38" t="inlineStr">
        <is>
          <t>Applied AI Engineer</t>
        </is>
      </c>
      <c r="C38" t="inlineStr">
        <is>
          <t>Propy Inc.</t>
        </is>
      </c>
      <c r="D38" t="inlineStr">
        <is>
          <t>linkedin</t>
        </is>
      </c>
      <c r="E38">
        <f>HYPERLINK("https://www.linkedin.com/jobs/view/4359120071", "https://www.linkedin.com/jobs/view/4359120071")</f>
        <v/>
      </c>
      <c r="F38" t="inlineStr"/>
      <c r="G38" t="inlineStr">
        <is>
          <t>New York, NY</t>
        </is>
      </c>
      <c r="H38" t="inlineStr"/>
      <c r="I38" t="inlineStr">
        <is>
          <t>**Who We Are** 
 Propy is revolutionizing the real estate industry by building the world's first AI\-powered Title and Escrow platform onchain. We have processed over $5B in transactions, and we are on a mission to make closing on a home as easy as buying a stock.
 We combine blockchain for security with advanced AI to automate the heavy lifting of closing documents. We aren't just "using" AI; we are building the infrastructure that allows AI agents to securely manage escrow, eliminate fraud, and run 24/7\.
**The Role** 
 We are looking for a pragmatic
**Applied AI Engineer** 
 to join our engineering team.
 The role is not about training models and does not involve academic Machine Learning research. It is about
**building the rails** 
 that make AI usable in a high\-stakes financial environment. You will bridge the gap between our robust C\#/.NET architecture and the probabilistic world of LLMs.
**The Challenge** 
 Title and Escrow is a document\-heavy industry with zero room for error. Your mission is to use AI to clean up the messiness of real\-world real estate data.
**You will solve problems like:** 
* **Structured Data Extraction:** 
 Converting messy, unstructured data (like emails, PDFs, documents)  from various sources into strictly validated JSON schemas with as close to 100% accuracy as possible.
* **Escrow Automation:** 
 Designing workflows that reduce human intervention by 50% by intelligently routing tasks based on AI analysis.
* **Fraud Detection:** 
 Implementing deterministic logic checks on bank and financial documents to detect fraud patterns before they happen.
**What You’ll Do** 
* **Engineer the Integration:** 
 Writing production\-grade code that interacts with external AI APIs
* **"Prompt Engineering" as Code:** 
 You won't just write prompts; you will version, test, and optimize them. You will define strict schemas to ensure the AI speaks the language of our internal tools.
* **Orchestrate \&amp; Validate:** 
 Help in building the logic that parses AI responses, validates them against our database (MongoDB), and flags inconsistencies before they reach the user.
* **Full\-Stack Implementation:** 
 Work to visualize AI\-aided services and data for user review and approval.
* **Collaborate:** 
 Work closely with the other senior engineers and product owners to translate complex "Title \&amp; Escrow" schemas into technical constraints that an AI can understand.
**What You’ll Bring** 
* **Developer DNA:** 
 You are a software engineer first. You have strong experience in
**Python** 
 (
**C\# / .NET is an advantage)** 
 and understand programming in depth.
* **Applied AI Experience:** 
 You have integrated LLMs into applications via API. Have experience with not only models but also AI frameworks. Experience with workflows, AI agent building and orchestration. You understand context windows, token limits, temperature, and guardrails.
* **Data Handling:** 
 Experience with handling complex data structures.
* **The "Glue" Mindset:** 
 You enjoy writing the code that connects different services ( like the AWS, AI APIs, and Database) to make a seamless features.
* **Collaborative Autonomy:** 
 You will own the AI domain, but you won't be on an island. You will be embedded in a senior engineering team that supports you with architecture, code reviews, and best practices.
**Nice to Have** 
* Experience with
**AWS** 
 infrastructure.
* Familiarity with the US Real Estate, Title, or Escrow process.
**What We Offer** 
* Working in a transparent environment which focuses on solving problems and getting things done.
* The opportunity to work with very smart and driven people.
* The ability to grow your talents and career in a high\-growth sector.
* A remuneration package that is based on the candidate's motivation, skills, and experience.
**How to Apply** 
 Please submit your resume to this job ad along with a portfolio of your AI\-related experience, GitHub account and anything else you find applicable.</t>
        </is>
      </c>
    </row>
    <row r="39">
      <c r="A39" t="inlineStr">
        <is>
          <t>li-4340338093</t>
        </is>
      </c>
      <c r="B39" t="inlineStr">
        <is>
          <t>AI Engineer (Time-Series)</t>
        </is>
      </c>
      <c r="C39" t="inlineStr">
        <is>
          <t>Bioscope AI</t>
        </is>
      </c>
      <c r="D39" t="inlineStr">
        <is>
          <t>linkedin</t>
        </is>
      </c>
      <c r="E39">
        <f>HYPERLINK("https://www.linkedin.com/jobs/view/4340338093", "https://www.linkedin.com/jobs/view/4340338093")</f>
        <v/>
      </c>
      <c r="F39" t="inlineStr"/>
      <c r="G39" t="inlineStr">
        <is>
          <t>Boston, MA</t>
        </is>
      </c>
      <c r="H39" t="inlineStr"/>
      <c r="I39" t="inlineStr">
        <is>
          <t>**What You'll Do**
* Develop Novel Multimodal AI Systems: Design and implement state\-of\-the\-art models that integrate time series data from wearables, CGM, etc. with LLM\-based reasoning and analysis
* Longitudinal Patient Analysis: Build systems to analyze and interpret patient health trajectories over time, identifying patterns, anomalies, and clinically relevant insights from continuous monitoring data
* Bridge Temporal and Linguistic Modalities: Create architectures that effectively combine sequential sensor data with natural language medical records, clinical notes, and knowledge bases
* Model Development \&amp; Research: Stay at the forefront of multimodal AI research, implementing and adapting the latest techniques in time series forecasting, representation learning, and transformer\-based models
* Clinical Collaboration: Work closely with healthcare professionals to understand clinical needs and translate them into technical solutions
* Production Systems: Deploy robust, scalable AI systems that handle real\-world patient data with appropriate attention to privacy, security, and regulatory requirements
**Technical Focus Areas**
* Time series analysis and forecasting from wearable devices (heart rate, activity, sleep patterns, etc.)
* Integration of LLMs with temporal biomedical data
* Multimodal representation learning and fusion techniques
* Anomaly detection and pattern recognition in longitudinal health data
* Temporal reasoning and causal inference from observational data
* Signal processing and feature extraction from continuous monitoring devices
**Qualifications**
**Required**
* Master's degree in Computer Science, Machine Learning, Biomedical Engineering, Statistics, or related quantitative field (PhD preferred)
* Strong foundation in deep learning frameworks (PyTorch)
* Experience with foundation models and Large Language Models (transformers, pre\-training, fine\-tuning)
* Demonstrated experience with time series analysis and forecasting methods
* Experience putting deep learning models into production environments
* Proficiency in Python and modern ML development tools
* Strong understanding of machine learning fundamentals and statistics
* Ability to read and implement research papers
* Excellent communication skills and ability to work collaboratively
**Preferred**
* Publications in top\-tier ML/AI conferences: NeurIPS, ICML, ICLR, KDD, etc.
* Experience with healthcare data: EHR, wearables
* Background in signal processing or biosignal analysis</t>
        </is>
      </c>
    </row>
    <row r="40">
      <c r="A40" t="inlineStr">
        <is>
          <t>li-4362363473</t>
        </is>
      </c>
      <c r="B40" t="inlineStr">
        <is>
          <t>Machine Learning Engineer, Sr.</t>
        </is>
      </c>
      <c r="C40" t="inlineStr">
        <is>
          <t>Wiraa</t>
        </is>
      </c>
      <c r="D40" t="inlineStr">
        <is>
          <t>linkedin</t>
        </is>
      </c>
      <c r="E40">
        <f>HYPERLINK("https://www.linkedin.com/jobs/view/4362363473", "https://www.linkedin.com/jobs/view/4362363473")</f>
        <v/>
      </c>
      <c r="F40">
        <f>HYPERLINK("https://www.wiraa.com/job-description/us5571824D56352A1FD4690157234950F6?source=Linkedin&amp;urlHash=GsIZ", "https://www.wiraa.com/job-description/us5571824D56352A1FD4690157234950F6?source=Linkedin&amp;urlHash=GsIZ")</f>
        <v/>
      </c>
      <c r="G40" t="inlineStr"/>
      <c r="H40" t="inlineStr"/>
      <c r="I40" t="inlineStr">
        <is>
          <t>**About The Company**
 Airbnb was founded in 2007 when two hosts welcomed three guests to their San Francisco home. Since then, the company has experienced remarkable growth, now boasting over 5 million hosts worldwide who have welcomed more than 2 billion guest arrivals across nearly every country. Airbnb offers a platform where hosts can provide unique stays and experiences, enabling guests to connect with local communities in an authentic and meaningful way. The company's mission is to create a world where anyone can belong anywhere, fostering cultural exchange and community building through innovative hospitality solutions.
**About The Role**
 We are seeking a highly skilled Machine Learning Engineer to join our dynamic team supporting the Users, Listings, and Marketplaces product area. In this role, you will be instrumental in advancing Airbnb's AI capabilities by developing and deploying cutting\-edge machine learning models that enhance the experience for both guests and hosts. You will work closely with cross\-functional teams—including product managers, engineers, data scientists, and designers—to identify opportunities for AI\-driven features and improvements. Your expertise will help shape the future of how users book and manage listings, ensuring that Airbnb remains at the forefront of technological innovation in the hospitality industry.
**Qualifications**
* Industry experience building and shipping end\-to\-end machine learning features
* 12\+ years of industry experience in applied Machine Learning, with a focus on Natural Language Processing and Computer Vision
* Bachelor’s, Master’s, or PhD in Computer Science, Machine Learning, or a related field
* Strong programming skills in Python, Java, C\+\+, or equivalent
* Data and backend engineering expertise
* Deep understanding of machine learning best practices, including training/serving skew minimization, A/B testing, feature engineering, and model selection
* Proficiency with machine learning frameworks such as TensorFlow and PyTorch
* Experience with orchestration and deployment tools like Kubernetes, Airflow, and Kafka
* Architectural expertise in designing scalable, high\-performance software applications and data pipelines
**Responsibilities**
* Leverage structured and unstructured data to develop and enhance state\-of\-the\-art machine learning models for Airbnb's products, business, and operational needs
* Collaborate with cross\-functional teams to identify problems and deploy machine learning capabilities effectively
* Stay current with the latest advancements in machine learning models and prototype new features in collaboration with product and design teams
* Establish best practices, develop playbooks, and create repeatable processes for deploying high\-quality machine learning features
* Hands\-on development, productionization, and maintenance of machine learning models and data pipelines at scale
* Evaluate model performance, optimize algorithms, and ensure robustness and scalability of ML solutions
* Communicate findings and technical insights to stakeholders to influence product development and strategic decisions
**Benefits**
* Competitive salary and performance\-based bonuses
* Equity options and stock grants
* Comprehensive health, dental, and vision insurance plans
* Flexible work arrangements including remote work options
* Generous paid time off and holiday policies
* Professional development opportunities and continuous learning support
* Employee travel credits and discounts
 Equal Opportunity
 Airbnb is committed to fostering an inclusive environment where all individuals are valued and respected. We are an equal opportunity employer and do not discriminate based on race, color, religion, gender, gender identity or expression, sexual orientation, national origin, genetics, disability, age, or veteran status. We believe diverse ideas and perspectives drive innovation and excellence. All qualified applicants are encouraged to apply, and we strive to provide accessible application and interview processes for candidates with disabilities.</t>
        </is>
      </c>
    </row>
    <row r="41">
      <c r="A41" t="inlineStr">
        <is>
          <t>li-4352463129</t>
        </is>
      </c>
      <c r="B41" t="inlineStr">
        <is>
          <t>AI/ML Engineer / Defence / $500k+ / NYC</t>
        </is>
      </c>
      <c r="C41" t="inlineStr">
        <is>
          <t>Open Talent</t>
        </is>
      </c>
      <c r="D41" t="inlineStr">
        <is>
          <t>linkedin</t>
        </is>
      </c>
      <c r="E41">
        <f>HYPERLINK("https://www.linkedin.com/jobs/view/4352463129", "https://www.linkedin.com/jobs/view/4352463129")</f>
        <v/>
      </c>
      <c r="F41" t="inlineStr"/>
      <c r="G41" t="inlineStr">
        <is>
          <t>New York, United States</t>
        </is>
      </c>
      <c r="H41" t="inlineStr"/>
      <c r="I41"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42">
      <c r="A42" t="inlineStr">
        <is>
          <t>li-4233821944</t>
        </is>
      </c>
      <c r="B42" t="inlineStr">
        <is>
          <t>Staff Machine Learning Engineer, AI</t>
        </is>
      </c>
      <c r="C42" t="inlineStr">
        <is>
          <t>Sentry</t>
        </is>
      </c>
      <c r="D42" t="inlineStr">
        <is>
          <t>linkedin</t>
        </is>
      </c>
      <c r="E42">
        <f>HYPERLINK("https://www.linkedin.com/jobs/view/4233821944", "https://www.linkedin.com/jobs/view/4233821944")</f>
        <v/>
      </c>
      <c r="F42" t="inlineStr"/>
      <c r="G42" t="inlineStr">
        <is>
          <t>San Francisco, CA</t>
        </is>
      </c>
      <c r="H42" t="inlineStr"/>
      <c r="I42" t="inlineStr">
        <is>
          <t>**About Sentry**
 Bad software is everywhere, and we’re tired of it. Sentry is on a mission to help developers write better software faster so we can get back to enjoying technology.
 With more than $217 million in funding and 100,000\+ organizations that believe we’re on to something, we're building performance and error monitoring tools that help companies like Disney, Microsoft, and Atlassian spend less time fixing bugs and more time building products.
 Sentry embraces a hybrid work model across our global hubs, with Mondays, Tuesdays, and Thursdays set as in\-office anchor days to encourage meaningful collaboration. If you like to selfishly build things that make your digital life better, come help us build the next generation of software monitoring tools.
**About The Role**
 As a Staff Machine Learning Engineer on Sentry’s AI/ML team, you’ll be directly responsible for developing the models and agents used to make our product smarter and more capable. This role is crucial; you will be at the forefront of integrating AI and machine learning into our core products, from issue triage and resolution to predictive analytics for application performance monitoring. Your work will help companies around the globe gain actionable insights into their software, enabling them to build better products, faster.
**In this role you will**
* Build state\-of\-the\-art agentic AI systems to triage, debug, and solve real production issues
* Leverage Sentry’s novel (and massive) dataset of errors, spans, and profiles
* Own the development of major initiatives in the AI/ML space
**You'll love this job if you**
* Are driven by impact and enjoy working on high\-stakes, high\-visibility projects
* Enjoy building things. You will have the opportunity to join the AI/ML team as one of its foundational members
* Thrive in cross\-functional teams and enjoy building features alongside developers and product teams
**Qualifications**
* Minimum 4\+ years of professional experience with a MS/PhD degree in computer science, machine learning, or a related field
* Minimum 6\+ years of professional experience with Bachelor’s degree in computer science, machine learning, or a related field
* Demonstrated expertise building production\-grade agentic systems and tools
* You are comfortable writing production quality code (we use Python)
* Expertise with deep learning frameworks (we use PyTorch)
* Familiarity in deploying machine learning models at scale in production environments
* Experience in writing technical documentation, mentoring, and presenting to technical audiences
* Proven track record of owning a system, feature, or component, leading or collaborating with multiple engineers and teams
 The base salary range (or hourly wage range, if applicable) that Sentry reasonably expects to pay for this position is $210,000 to $280,000\.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
**Equal Opportunity at Sentry**
 Sentry is committed to providing equal employment opportunities to its employees and candidates for employment regardless of race, color, ancestry, religion, sex, national origin, sexual orientation, age, citizenship, marital status, disability, gender identity, veteran status, or other legally\-protected characteristic. This commitment includes the provision of reasonable accommodations to employees and candidates for employment with physical or mental disabilities who require such accommodations in order to (a) perform the essential functions of their jobs, or (b) seek employment with Sentry. We strive to build a diverse team, with an inclusive culture where every teammate can thrive. Sentry is an open\-source company because we believe that everyone, everywhere, should have the ability and tools to make great software. Software should be accessible. That starts with making our industry accessible.
 If you need assistance or an accommodation due to a disability, you may contact us at accommodations@sentry.io.
 Want to learn more about how Sentry handles applicant data? Get the details in our Applicant Privacy Policy.</t>
        </is>
      </c>
    </row>
    <row r="43">
      <c r="A43" t="inlineStr">
        <is>
          <t>li-4341024947</t>
        </is>
      </c>
      <c r="B43" t="inlineStr">
        <is>
          <t>Staff Machine Learning Engineer, Communication &amp; Connectivity</t>
        </is>
      </c>
      <c r="C43" t="inlineStr">
        <is>
          <t>Airbnb</t>
        </is>
      </c>
      <c r="D43" t="inlineStr">
        <is>
          <t>linkedin</t>
        </is>
      </c>
      <c r="E43">
        <f>HYPERLINK("https://www.linkedin.com/jobs/view/4341024947", "https://www.linkedin.com/jobs/view/4341024947")</f>
        <v/>
      </c>
      <c r="F43" t="inlineStr"/>
      <c r="G43" t="inlineStr"/>
      <c r="H43" t="inlineStr"/>
      <c r="I4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connect Airbnb’s community with the right information, in the right place, at the right time. We tailor Messaging \&amp; Notifications so hosts on Airbnb can streamline their operations, and travelers get just the information they need to enjoy their stay worry\-free.
 Additionally, we are building new connections within our community to help enrich the experience of hosting \&amp; traveling on Airbnb: easing the process of hosting, and adding meaning to our guest’s trips.
**The Difference You Will Make**
 We believe our current customer experiences in these domains are only scratching the surface of the innovations that are possible, and that science is at the heart of delivering a step\-function change for our Guest and and Host on Airbnb.
 You will architect and implement advanced machine learning solutions—including recommendation engines, ranking systems, intent detection models, and the integration of intelligence into existing platforms. Additionally, you’ll lead efforts to harness the power of Large Language Models (LLMs) to create transformative AI experiences.
 Many of the initiatives you’ll tackle are in their early conceptual stages. You will have the opportunity to shape these ideas from inception to production, turning visionary concepts into impactful realities. You will be leading ML, Data and Product engineers to drive ML applications.
 A core focus of your work will be spearheading Machine Learning applications in Messaging and Notification—a high\-impact area with significant potential to enhance guest and host experiences at Airbnb.
**A Typical Day**
* Envision, champion, and support the development of novel ML systems, product integrations, and performance optimizations to solve real\-world problems
* Lead, mentor, challenge and grow enthusiastic, collaborative software engineers and applied scientists across the organization
* Raise the AI/ML skillset within the organization. A passion for teaching/mentoring is important.
**Your Expertise**
* 9\+ years of software engineering experience, with 2\+ years of experience in Staff Engineer role having ownership responsibility over large\-scale software systems
* Background in the design and development of scalable AI and ML systems and services, and a deep passion for building ML\-powered products
* You’re an inspiring colleague, a coach and mentor with experience owning and fostering engineering maturity in multiple organizations.
* You’re a builder, and implementer, who seeks out high impact work, and who is: proactive, curious, and an excellent communicator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44">
      <c r="A44" t="inlineStr">
        <is>
          <t>li-4354923278</t>
        </is>
      </c>
      <c r="B44" t="inlineStr">
        <is>
          <t>AI Engineer</t>
        </is>
      </c>
      <c r="C44" t="inlineStr">
        <is>
          <t>Haystack</t>
        </is>
      </c>
      <c r="D44" t="inlineStr">
        <is>
          <t>linkedin</t>
        </is>
      </c>
      <c r="E44">
        <f>HYPERLINK("https://www.linkedin.com/jobs/view/4354923278", "https://www.linkedin.com/jobs/view/4354923278")</f>
        <v/>
      </c>
      <c r="F44" t="inlineStr"/>
      <c r="G44" t="inlineStr"/>
      <c r="H44" t="inlineStr"/>
      <c r="I44" t="inlineStr">
        <is>
          <t>**Software Development Manager, ML Accelerators, AWS Neuron, Annapurna Labs \| Seattle, Washington \| Hybrid \| $166,400 \- $287,700** 
 We're working with Annapurna Labs (part of Amazon) on this exciting opportunity.
 Lead the charge in ML acceleration at AWS! Shape the future of cloud ML by driving the design and implementation of cutting\-edge ML compiler solutions for AWS Neuron, leveraging technologies like PyTorch, JAX, and TensorFlow.
**The Role** 
 • Lead and mentor a team of talented compiler engineers in deep\-learning backend compiler development.
 • Drive the design and implementation of innovative ML compiler solutions and advanced optimization techniques.
 • Spearhead hardware bring\-up for next\-generation chips, influencing pre\-silicon design decisions.
 • Directly impact AWS's machine learning infrastructure and accelerate product innovation.
**What You'll Need** 
 • Bachelor's degree in Computer Science, Engineering, Mathematics, or a related field.
 • 5\+ years of experience in Software Engineering or related occupational experience.
 • 3\+ years of engineering team management experience.
 • Proven track record in new hardware bring\-up and solid knowledge of chip architecture and code generation.
 • Experience with AI/ML technologies, compiler design (LLVM, MLIR), and architecture is a significant plus.
**What's On Offer** 
 • Opportunity to work at the forefront of AWS innovation with Trainium chip technology.
 • Collaborate with world\-class engineering talent in a fast\-paced, agile environment.
 • Culture of inclusion, continuous learning, and significant career growth potential.
 • Competitive salary and comprehensive benefits package.
**Apply via Haystack today!**</t>
        </is>
      </c>
    </row>
    <row r="45">
      <c r="A45" t="inlineStr">
        <is>
          <t>li-4362351412</t>
        </is>
      </c>
      <c r="B45" t="inlineStr">
        <is>
          <t>Senior ML/Gen AI Engineer</t>
        </is>
      </c>
      <c r="C45" t="inlineStr">
        <is>
          <t>Expedia Group</t>
        </is>
      </c>
      <c r="D45" t="inlineStr">
        <is>
          <t>linkedin</t>
        </is>
      </c>
      <c r="E45">
        <f>HYPERLINK("https://www.linkedin.com/jobs/view/4362351412", "https://www.linkedin.com/jobs/view/4362351412")</f>
        <v/>
      </c>
      <c r="F45">
        <f>HYPERLINK("https://click.appcast.io/t/WSy3clEFo51ySzlHI24v36I4XlCcjkGIsR3JP9krLpg_wtMACyK2sFSGb5PYsnxF&amp;urlHash=OP6q", "https://click.appcast.io/t/WSy3clEFo51ySzlHI24v36I4XlCcjkGIsR3JP9krLpg_wtMACyK2sFSGb5PYsnxF&amp;urlHash=OP6q")</f>
        <v/>
      </c>
      <c r="G45" t="inlineStr">
        <is>
          <t>San Jose, CA</t>
        </is>
      </c>
      <c r="H45" t="inlineStr"/>
      <c r="I4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Senior ML/Gen AI Engineer
**Introduction To The Team**
 Expedia Technology teams partner with our Product teams to create innovative products, services, and tools to deliver high\-quality experiences for travelers, partners, and our employees. A singular technology platform powered by data and machine learning provides secure, differentiated, and personalized experiences that drive loyalty and traveler satisfaction.
 We are the Strategic Partnerships \&amp; Affiliates team in the Expedia Product \&amp; Technology division of Expedia Group. We are building the next\-generation, scalable B2B partnership platform that will power hundreds of thousands of demand partners across the industry ranging from big businesses and Enterprises to small bloggers, micro influencers and creators in helping them recommend Expedia Group brands to their audiences and in the process grow their businesses. We aim to redefine the travel partnerships sector by building innovative partner tools and solutions that incorporates the new ways in which today’s travelers discover and shop travel products. To do this, we need technically passionate engineers with an entrepreneurial approach who love challenges, enjoy problem solving and take pride in delivering best\-in\-class products. You will work with a geo\-distributed, cross functional team of 50\+ engineers designing and developing solutions for complex problems with a wide\-reaching business impact.
**In This Role, You Will**
* Collaborate closely with ML Scientists to productize and scale ML models, from experimentation to robust production systems
* Design, build, and own large\-scale, distributed machine learning systems for training, deployment, inference, and monitoring
* Lead design discussions and architecture reviews; drive high\-impact engineering decisions for ML platforms and applications
* Mentor and coach junior engineers and peers on best practices in ML engineering, system design, and code quality
* Develop and maintain reusable components, libraries, and tools to accelerate ML development lifecycle
* Proactively identify areas for improvement in model performance, pipeline efficiency, data quality, or platform capabilities
* Ensure scalability, observability, and fault\-tolerance across all components of the ML stack
* Promote engineering excellence by advocating for best practices in testing, CI/CD, infrastructure\-as\-code, and monitoring
* Partner with stakeholders across Data Engineering, Product, Marketing, and Platform teams to align solutions with business goals
* Stay up to date on advancements in MLOps, ML frameworks, distributed systems, and apply learnings to improve systems and processes
**Minimum Qualifications**
* Bachelor’s or Master’s degree in Computer Science, Engineering, or related field
* 8\+ years of experience in software/ML engineering with a proven track record of delivering ML solutions at scale
* Strong programming skills in modern languages such as Python, Scala, or Java
* Deep experience in building and maintaining production\-grade ML pipelines and infrastructure
* Expertise in MLOps practices, including model lifecycle management, versioning, monitoring, and CI/CD for ML
* Experience with big data ecosystems (e.g., Spark, Hive, Databricks, Delta Lake) and streaming technologies
* Proficient in working with ML frameworks like TensorFlow, PyTorch, XGBoost, or similar
* Experience working in cloud\-based environments (AWS, GCP, or Azure) and with infrastructure\-as\-code tools
* Hands\-on experience with orchestration tools like Flyte, Airflow, Kubeflow, etc.
* Proficient in containerization and orchestration technologies like Docker and Kubernetes
**Preferred Qualifications**
* Familiarity with advanced ML techniques, including deep learning, NLP, recommendation systems, and generative AI
* Experience designing or implementing multi\-agent architectures for autonomous collaboration and decision\-making
* Understanding of agent planning, memory, tool use, and self\-reflection mechanisms
* Experience building basic ML models
* Experience with automated testing across different layers (unit, integration, functional)
 The total cash range for this position in Seattle is $184,500\.00 to $258,000\.00\. Employees in this role have the potential to increase their pay up to $295,000\.00, which is the top of the range, based on ongoing, demonstrated, and sustained performance in the role.
 The total cash range for this position in San Jose is $199,000\.00 to $278,500\.00\. Employees in this role have the potential to increase their pay up to $318,500\.00,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46">
      <c r="A46" t="inlineStr">
        <is>
          <t>li-4354923177</t>
        </is>
      </c>
      <c r="B46" t="inlineStr">
        <is>
          <t>AI Engineer</t>
        </is>
      </c>
      <c r="C46" t="inlineStr">
        <is>
          <t>Haystack</t>
        </is>
      </c>
      <c r="D46" t="inlineStr">
        <is>
          <t>linkedin</t>
        </is>
      </c>
      <c r="E46">
        <f>HYPERLINK("https://www.linkedin.com/jobs/view/4354923177", "https://www.linkedin.com/jobs/view/4354923177")</f>
        <v/>
      </c>
      <c r="F46" t="inlineStr"/>
      <c r="G46" t="inlineStr"/>
      <c r="H46" t="inlineStr"/>
      <c r="I46" t="inlineStr">
        <is>
          <t>**Software Development Manager, LLM Inference Model Enablement, Neuron SDK \| Cupertino, California \| Remote\-Friendly \| $166,400 \- $287,700** 
 We're working with Annapurna Labs (part of Amazon) on this exciting opportunity.
 Join Annapurna Labs, an Amazon company, and lead a cutting\-edge team optimizing Large Language Models (LLMs) like Llama and GPT\-OSS for lightning\-fast inference on AWS Trainium accelerators. This is your chance to drive innovation in AI/ML performance, shaping the future of cloud computing with your expertise in distributed inference and advanced model architectures.
**The Role** 
 • Lead a team of expert AI/ML engineers in onboarding and optimizing state\-of\-the\-art open\-source and customer LLMs (dense and MoE) for inference on Neuron and Trainium/Inferentia accelerators.
 • Drive significant improvements in model enablement speed and overall user experience.
 • Advance inference usability and quality through innovative features, infrastructure optimization, and automation.
 • Manage changing priorities as new LLM models and technologies emerge, adapting team efforts to maintain cutting\-edge performance.
 • Contribute to a vertically integrated system stack including PyTorch inference library, Neuron compiler, runtime, and collectives.
**What You'll Need** 
 • 3\+ years of engineering team management experience.
 • 7\+ years of hands\-on experience within engineering teams.
 • 3\+ years in designing or architecting robust, scalable systems using design patterns.
 • Strong background in LLM model architectures, performance optimizations, and distributed inference techniques.
 • Experience partnering effectively with product or program management teams.
**What's On Offer** 
 • Opportunity to work on foundational AI/ML technologies for AWS, impacting global customers.
 • Collaborative and innovative environment with continuous learning and career growth opportunities.
 • Flexible work\-life harmony, promoting a supportive balance between professional and personal life.
 • Be part of a diverse team that values unique experiences and unconventional career paths.
**Apply via Haystack today!**</t>
        </is>
      </c>
    </row>
    <row r="47">
      <c r="A47" t="inlineStr">
        <is>
          <t>li-4341273697</t>
        </is>
      </c>
      <c r="B47" t="inlineStr">
        <is>
          <t>Senior AI/ML Engineer</t>
        </is>
      </c>
      <c r="C47" t="inlineStr">
        <is>
          <t>Riverside Research</t>
        </is>
      </c>
      <c r="D47" t="inlineStr">
        <is>
          <t>linkedin</t>
        </is>
      </c>
      <c r="E47">
        <f>HYPERLINK("https://www.linkedin.com/jobs/view/4341273697", "https://www.linkedin.com/jobs/view/4341273697")</f>
        <v/>
      </c>
      <c r="F47">
        <f>HYPERLINK("https://careers-riversideresearch.icims.com/jobs/4067/senior-ai-ml-engineer/job&amp;urlHash=TUqi", "https://careers-riversideresearch.icims.com/jobs/4067/senior-ai-ml-engineer/job&amp;urlHash=TUqi")</f>
        <v/>
      </c>
      <c r="G47" t="inlineStr">
        <is>
          <t>Fairborn, OH</t>
        </is>
      </c>
      <c r="H47" t="inlineStr"/>
      <c r="I47"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TS/SCI clearance.
* Bachelor’s Degree in either Electrical Engineering, Mathematics, Statistics, Physics, Computer Science, or related field of study
* Eight years' experience with AI/ML, sfotware R\&amp;D, or related experience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is strongly desired
* Eight years' experience with AI/ML, sfotware R\&amp;D, or related experience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$155,000 \- $170,000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48">
      <c r="A48" t="inlineStr">
        <is>
          <t>li-4329082138</t>
        </is>
      </c>
      <c r="B48" t="inlineStr">
        <is>
          <t>Senior Machine Learning Engineer</t>
        </is>
      </c>
      <c r="C48" t="inlineStr">
        <is>
          <t>adMarketplace</t>
        </is>
      </c>
      <c r="D48" t="inlineStr">
        <is>
          <t>linkedin</t>
        </is>
      </c>
      <c r="E48">
        <f>HYPERLINK("https://www.linkedin.com/jobs/view/4329082138", "https://www.linkedin.com/jobs/view/4329082138")</f>
        <v/>
      </c>
      <c r="F48" t="inlineStr"/>
      <c r="G48" t="inlineStr"/>
      <c r="H48" t="inlineStr"/>
      <c r="I48" t="inlineStr">
        <is>
          <t>**Who We Are**
 At adMarketplace, our mission is to deliver the most engaging consumer search experiences while empowering advertisers to measure media performance accurately. Today, millions of people worldwide engage with our exclusive, transparent media placements across the internet’s leading browsers, shopping apps, and review sites.
 Our award\-winning culture is built around five core values (known as our 5C’s): Curiosity, Collaboration, Creative Conflict, Commitment, and Competitiveness. With these guiding values, adMarketplace seeks to empower our team to reach their full potential through continued learning, and the opportunity to do their best work.
**The Role**
 We are seeking an experienced Senior Machine Learning Engineer passionate about building impactful products in the search and advertising technology ecosystem. As part of our established AI/ML and Search organization, you will be instrumental in developing and optimizing advanced models and applications to enhance our ultra\-low\-latency ad\-serving platform and consumer\-facing search solutions.
 You will collaborate closely with product, business, and other engineering teams, making significant contributions to strategic initiatives such as relevancy \&amp; yield optimization, predictive modeling, and improved bidding performance. You will have a clear career progression path and numerous opportunities for both personal and professional growth in an intellectually stimulating and dynamic work environment.
**Responsibilities**
* Drive end\-to\-end lifecycle management of AI/ML projects from concept and data acquisition to prototyping, model development, deployment, optimization and ongoing maintenance.
* Implement and champion best practices in MLOps, including data collection, model training pipelines, model deployments, monitoring, alerting, and QA to ensure model reliability and performance.
* Contribute significantly to model architecture decisions, leveraging state\-of\-the\-art machine learning, deep learning, and reinforcement learning techniques.
* Develop and deploy robust feature engineering pipelines and ML services optimized for low latency and high throughput.
* Establish and utilize robust A/B testing and experimentation frameworks to evaluate and iteratively improve model performance.
* Translate research papers into high\-quality, production\-ready code.
* Communicate effectively, collaborate, and build long\-term relationships across the organization.
**Basic Qualifications**
* PhD with 3\+ years of experience or MS with 3\-5\+ years of industry experience in AI/ML, developing and deploying production\-grade ML systems.
* 2\+ years of experience in building AI/ML models in at least one of the following domains: Ads, relevance, ranking, recommendation systems, and search.
* 3\+ years of experience in building distributed, low\-latency, high\-throughput batch and online ML services.
* 3\+ years of experience in deploying and maintaining ML pipelines in production, including feature engineering and model monitoring frameworks.
* 2\+ years of experience in Python and proficiency with distributed frameworks (Spark, Hadoop), SQL, and cloud infrastructure.
* 2\+ years of experience with ML packages such as Tensorflow or PyTorch, scikit\-learn, and Spark ML.
* Ability to operate efficiently in a high\-paced, multi\-functional, and rapidly evolving environment.
**Preferred Qualifications**
* 5\+ years of experience in building ML models for ads, search and/or recommender systems including CTR/CVR prediction, ad selection, keyword bidding, and Learning to Rank models.
* 2\+ years of experience in building and deploying online experimentation frameworks to identify right models and features at scale.
* 2\+ years of experience in building ad selection frameworks using reinforcement learning or contextual bandits.
* Experience in fine tuning LLMs.
* 1\+ years of experience in building products using Generative AI powered autonomous agents.
* Compensation Range: $170,000 \- $240,000
**Join Us**
 adMarketplace has been named as one of the best places to work in New York City by Built In and Crain’s\- the latter of which have recognized us the past three years straight! AMP is currently experiencing triple digit growth, and it’s never been a better time to join our team!
 We offer a robust continuing education program, management training, regular company\-wide lunch and learns, and well\-defined career paths to ensure all our employees have an opportunity to grow.
 At adMarketplace, we play to win, but we learn from our setbacks. Our commitment to a collaborative environment means no one succeeds alone, and no one fails alone either.
 We know you’ve come to expect comprehensive healthcare, wellness programs, paid time off, commuter benefits, and 401k matching from any company, so it’s a good thing we offer all of that and so much more. adMarketplace offers Summer Fridays, catered lunches, a fully stocked kitchen, ZogSports teams, happy hours and corporate retreats to encourage a strong work/life balance.
 No Third Party Recruiters. We do not accept unsolicited agency resumes and we are not responsible for any fees related to unsolicited resumes.
* This range represents the low and high end of the base salary someone in this role may earn as an employee of adMarketplace in the New York office.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t>
        </is>
      </c>
    </row>
    <row r="49">
      <c r="A49" t="inlineStr">
        <is>
          <t>li-4260671651</t>
        </is>
      </c>
      <c r="B49" t="inlineStr">
        <is>
          <t>Google Cloud Data &amp; AI Engineer</t>
        </is>
      </c>
      <c r="C49" t="inlineStr">
        <is>
          <t>Slalom</t>
        </is>
      </c>
      <c r="D49" t="inlineStr">
        <is>
          <t>linkedin</t>
        </is>
      </c>
      <c r="E49">
        <f>HYPERLINK("https://www.linkedin.com/jobs/view/4260671651", "https://www.linkedin.com/jobs/view/4260671651")</f>
        <v/>
      </c>
      <c r="F49" t="inlineStr"/>
      <c r="G49" t="inlineStr">
        <is>
          <t>Dallas, TX</t>
        </is>
      </c>
      <c r="H49" t="inlineStr"/>
      <c r="I49"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50">
      <c r="A50" t="inlineStr">
        <is>
          <t>li-4176144981</t>
        </is>
      </c>
      <c r="B50" t="inlineStr">
        <is>
          <t>Member of Technical Staff - Machine Learning Engineer, AGI Autonomy</t>
        </is>
      </c>
      <c r="C50" t="inlineStr">
        <is>
          <t>Amazon</t>
        </is>
      </c>
      <c r="D50" t="inlineStr">
        <is>
          <t>linkedin</t>
        </is>
      </c>
      <c r="E50">
        <f>HYPERLINK("https://www.linkedin.com/jobs/view/4176144981", "https://www.linkedin.com/jobs/view/4176144981")</f>
        <v/>
      </c>
      <c r="F50" t="inlineStr"/>
      <c r="G50" t="inlineStr">
        <is>
          <t>San Francisco, CA</t>
        </is>
      </c>
      <c r="H50" t="inlineStr"/>
      <c r="I50" t="inlineStr">
        <is>
          <t>**Description**
 Amazon has launched a new research lab in San Francisco to develop foundational capabilities for useful AI agents. We’re enabling practical AI to make our customers more productive, empowered, and fulfilled. In particular, our work combines large language models (LLMs) with reinforcement learning (RL) to solve reasoning, planning, and world modeling in both virtual and physical environments. Our research builds on that of Amazon’s broader AGI organization, which recently introduced Amazon Nova, a new generation of state\-of\-the\-art foundation models (FMs).
 Our lab is a small, talent\-dense team with the resources and scale of Amazon. Each team in the lab has the autonomy to move fast and the long\-term commitment to pursue high\-risk, high\-payoff research. We’re entering an exciting new era where agents can redefine what AI makes possible. We’d love for you to join our lab and build it from the ground up!
 Key job responsibilities
 You will contribute directly to AI agent development in a research engineering role: running experiments, building tools to accelerate scientific workflows, and scaling up AI systems. You will be hired as a Member of Technical Staff.
**Basic Qualifications**
* 3\+ years of industry experience on a machine learning team
* Proficiency in Python, Java, C\+\+, or related language
* Experience with deep learning methods and tools, e.g., PyTorch, JAX
**Preferred Qualifications**
* Experience building and optimizing production\-grade AI systems, e.g., for self\-driving, simulation, or LLM applications
* Willingness to step outside typical role boundaries to get things done — every member of technical staff is expected to write code, design experiments, and interpret results
* Capacity to work autonomously and with a small team to drive research progress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$120,000/year in our lowest geographic market up to $350,000/year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Applicants should apply via our internal or external career site.
**Company** 
 \- Amazon.com Services LLC
 Job ID: A2916912</t>
        </is>
      </c>
    </row>
    <row r="51">
      <c r="A51" t="inlineStr">
        <is>
          <t>li-4354953743</t>
        </is>
      </c>
      <c r="B51" t="inlineStr">
        <is>
          <t>Principal Machine Learning Engineer</t>
        </is>
      </c>
      <c r="C51" t="inlineStr">
        <is>
          <t>Jobs via Dice</t>
        </is>
      </c>
      <c r="D51" t="inlineStr">
        <is>
          <t>linkedin</t>
        </is>
      </c>
      <c r="E51">
        <f>HYPERLINK("https://www.linkedin.com/jobs/view/4354953743", "https://www.linkedin.com/jobs/view/4354953743")</f>
        <v/>
      </c>
      <c r="F51">
        <f>HYPERLINK("https://click.appcast.io/t/MFPfrkGVgvmfffsD58FgwxsTVOkrWqFrl2pZcwj7-7s=&amp;urlHash=0OPn", "https://click.appcast.io/t/MFPfrkGVgvmfffsD58FgwxsTVOkrWqFrl2pZcwj7-7s=&amp;urlHash=0OPn")</f>
        <v/>
      </c>
      <c r="G51" t="inlineStr"/>
      <c r="H51" t="inlineStr"/>
      <c r="I51" t="inlineStr">
        <is>
          <t>Job ID: 2600277
**Location:** 
 REMOTE WORK, AZ, US
**Date Posted:** 
 2026\-01\-13
**Category:** 
 Engineering and Sciences
**Subcategory:** 
 Machine Learning Engineer
**Schedule:** 
 Full\-time
**Shift:** 
 Day Job
**Travel:** 
 No
**Minimum Clearance Required:** 
 Secret
**Clearance Level Must Be Able to Obtain:** 
 None
**Potential for Remote Work:** 
 Yes
**Description**
 SAIC is seeking a highly motivated
 **Principal Machine Learning Engineer** 
 to join our team of professionals providing technical and program support for the V\-22 aircraft.
 The Principal Machine Learning Engineer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large amounts of structured and unstructured data, build predictive models, and develop data\-driven solutions. The ideal candidate will utilize their data expertise and apply leadership and analytical skills to the mission, contributing to its success.
**JOB DUTIES:**
* Design and implement models and algorithms to support program objectives in detecting maintenance and readiness trends and issues.
* Analyze and integrate data from various sensor modalities and enterprise data sources in logistics, maintenance, and supply
* Develop scalable data pipelines and orchestrate workflows using
* Write efficient code, typically in Python, and shell scripts for deployment and automation tasks.
* Work in a Linux development environment, emphasizing scripting, debugging, and system\-level operations.
* Collaborate with cross\-functional teams including ML engineers, software developers, and systems integrators.
**Qualifications**
**REQUIREMENTS** 
 :
* Bachelors in in Computer Science, Data Science, Engineering, Mathematics, Statistics, or a related STEM field and nine (9\) years or more of experience in of AI/ML experience in defense or intelligence environments; Master's degree and seven (7\) years or more of experience.
* U.S. Citizenship required.
* No dual citizenship.
* Must have an Active Secret clearance to start
* Six (6\) or more years of experience and a strong background in Machine Learning and Computer Vision, including classical techniques and deep learning\-based approaches.
* Practical experience working with defense programs and an understanding of program requirements and milestones
* Hands\-on experience with computer vision libraries such as OpenCV, PyTorch, TensorFlow, etc.
* Comfortable operating in Linux environments for development and deployment tasks.
**DESIRED SKILLS:**
* Proficiency in containerization and orchestration tools (e.g., Docker, Kubernetes) for scalable deployment.
* Understanding ML Ops practices including CI/CD pipelines, model versioning, and automated retraining.
* Experience with real\-time systems and latency\-sensitive applications
* Prior work with defense, maritime, or aerospace systems
 Target salary range: $160,001 \- $200,000\.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52">
      <c r="A52" t="inlineStr">
        <is>
          <t>li-4340787376</t>
        </is>
      </c>
      <c r="B52" t="inlineStr">
        <is>
          <t>AI Engineer (Graphs and LLMs)</t>
        </is>
      </c>
      <c r="C52" t="inlineStr">
        <is>
          <t>Bioscope AI</t>
        </is>
      </c>
      <c r="D52" t="inlineStr">
        <is>
          <t>linkedin</t>
        </is>
      </c>
      <c r="E52">
        <f>HYPERLINK("https://www.linkedin.com/jobs/view/4340787376", "https://www.linkedin.com/jobs/view/4340787376")</f>
        <v/>
      </c>
      <c r="F52" t="inlineStr"/>
      <c r="G52" t="inlineStr">
        <is>
          <t>Boston, MA</t>
        </is>
      </c>
      <c r="H52" t="inlineStr"/>
      <c r="I52" t="inlineStr">
        <is>
          <t>**What You'll Do**
* Develop Graph\-Enhanced LLM Systems: Design and implement state\-of\-the\-art architectures that combine Graph Neural Networks with Large Language Models to reason over complex networks of biomedical knowledge, literature, and clinical evidence
* Build Clinical Knowledge Discovery Tools: Create AI\-powered systems that enable physicians to rapidly synthesize insights from scientific literature, clinical trials, guidelines, and emerging research—transforming weeks of literature review into minutes of intelligent querying
* Scientific Knowledge Graph Construction: Build and maintain dynamic knowledge graphs that capture relationships between medical concepts, research findings, clinical guidelines, drug interactions, and treatment protocols from millions of publications
* Science of Science Applications: Apply bibliometric analysis, citation networks, and knowledge evolution modeling to identify emerging research trends, contradictory findings, and knowledge gaps in medical literature
* Multi\-Document Reasoning: Develop systems that perform sophisticated reasoning across thousands of research papers, synthesizing evidence, resolving contradictions, and providing confidence\-weighted clinical insights
* Production Systems: Deploy robust, scalable AI systems that handle real\-time queries over massive biomedical knowledge bases with appropriate attention to accuracy, citation traceability, and clinical safety
**Technical Focus Areas**
* Graph LLM architectures and graph\-augmented language models
* Knowledge graph construction, embedding, and reasoning
* Citation networks and bibliographic analysis
* Multi\-hop reasoning over document graphs
* Retrieval\-Augmented Generation (RAG) over scientific literature
* Named Entity Recognition and relation extraction from biomedical text
* Evidence synthesis and contradiction detection
* Semantic search and question\-answering over medical knowledge bases
**Qualifications**
**Required**
* Master's degree in Computer Science, Machine Learning, Computational Biology, Information Science, or related quantitative field (PhD preferred)
* 2\+ years of hands\-on experience with LLMs and Knowledge Graphs (e.g., Graph\-RAG, LLM\-based knowledge graph reasoning, or similar architectures)
* Strong foundation in deep learning frameworks (PyTorch)
* Experience with Large Language Models (transformers, fine\-tuning, RAG systems)
* Proficiency in Python and modern ML development tools
* Experience putting AI systems into production environments
* Strong understanding of NLP, information retrieval, and knowledge representation
* Ability to read and implement research papers
* Excellent communication skills and ability to work collaboratively
**Preferred**
* Experience with graph databases.
* Demonstrated experience in Science of Science or Knowledge Discovery (bibliometrics, citation analysis, research trend detection, or scholarly knowledge mining).
* Publications in top\-tier ML/AI/IR conferences (NeurIPS, ICML, ACL, EMNLP, WWW, KDD, etc.)
* Experience with biomedical literature databases (PubMed, MEDLINE, clinical trial registries)
* Background in biomedical NLP or clinical informatics
* Experience with vector databases and semantic search systems
* Familiarity with clinical decision support tools or medical information retrieval</t>
        </is>
      </c>
    </row>
    <row r="53">
      <c r="A53" t="inlineStr">
        <is>
          <t>li-4329021182</t>
        </is>
      </c>
      <c r="B53" t="inlineStr">
        <is>
          <t>Ontology/Knowledge Graph AI Engineer</t>
        </is>
      </c>
      <c r="C53" t="inlineStr">
        <is>
          <t>Anblicks</t>
        </is>
      </c>
      <c r="D53" t="inlineStr">
        <is>
          <t>linkedin</t>
        </is>
      </c>
      <c r="E53">
        <f>HYPERLINK("https://www.linkedin.com/jobs/view/4329021182", "https://www.linkedin.com/jobs/view/4329021182")</f>
        <v/>
      </c>
      <c r="F53" t="inlineStr"/>
      <c r="G53" t="inlineStr">
        <is>
          <t>Dallas, TX</t>
        </is>
      </c>
      <c r="H53" t="inlineStr"/>
      <c r="I53" t="inlineStr">
        <is>
          <t>**Overview**
 We are seeking a highly analytical and hands\-on
 **Senior Engineer** 
 specializing in Ontology and Knowledge Graph (KG) implementation. This pivotal role focuses on designing and operationalizing a Customer \&amp; Client Knowledge Graph to map complex business relationships, identify hidden connections across our customer base, and surface actionable insights that drive revenue growth and customer engagement. The ideal candidate will be an expert in graph data modeling, relationship analytics, and scalable graph database solutions.
 Key Responsibilities
**Ontology \&amp; Knowledge Graph Engineering**
* Design and Modeling: Lead the design and implementation of formal ontologies and semantic models to accurately represent complex business entities and their relationships.
* KG Implementation: Execute the build\-out and continuous enrichment of the Customer Knowledge Graph, integrating data from from Different Data systems, transaction databases, marketing platforms, and other customer touchpoints.
* Relationship Discovery: Implement algorithms and analytical processes to detect hidden relationships such as corporate family structures, shared personnel, common addresses, buying groups, and influence networks.
* Graph Query Development: Write optimized queries against the graph database to support relationship analysis, pattern detection, and feature extraction for downstream applications.
* Platform Operations: Monitor, maintain, and tune the performance and scalability of the graph database to ensure high availability and efficient data access.
**Experience**
 Required Qualifications and Skills
* 8\+ years of hands\-on technical experience in Data Engineering, Software Development, or Analytics.
* 2\+ years dedicated hands\-on experience in Knowledge Graph development and relationship mapping, preferably with customer or client data.
**Technical Skills**
* Knowledge Graph/Ontology: Deep practical expertise in graph data modeling, ontology development, and semantic modeling principles (RDF, RDFS, OWL, SHACL).
* Graph Databases: Proven hands\-on experience with at least one major Graph Database technology such as Neo4j, AWS Neptune, TigerGraph, or JanusGraph, and expertise in native query languages (Cypher, SPARQL, or Gremlin).
* Graph Analytics: Strong experience with graph algorithms including community detection, centrality measures, path finding, pattern matching, and relationship scoring.
* Programming: Strong proficiency in Python for data manipulation, graph algorithm implementation, and data transformations.
* Data Engineering: Solid experience building scalable data pipelines using modern tools such as Apache Spark, Kafka, Airflow, or dbt.
* Customer Data: Understanding of customer master data management, and entity resolution techniques.
* Cloud \&amp; DevOps: Experience with version control (Git) and familiarity with CI/CD processes and major cloud platforms (AWS, Azure).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2026-01-14T17:07:42Z</dcterms:created>
  <dcterms:modified xsi:type="dcterms:W3CDTF">2026-01-14T17:07:42Z</dcterms:modified>
</cp:coreProperties>
</file>