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in-f9aa2d576430a120</t>
        </is>
      </c>
      <c r="B2" t="inlineStr">
        <is>
          <t>Senior Data Engineer (Risk Tech, Intelligent Foundations and Experiences)</t>
        </is>
      </c>
      <c r="C2" t="inlineStr">
        <is>
          <t>Capital One</t>
        </is>
      </c>
      <c r="D2" t="inlineStr">
        <is>
          <t>indeed</t>
        </is>
      </c>
      <c r="E2" t="inlineStr"/>
      <c r="F2" t="inlineStr"/>
      <c r="G2" t="inlineStr">
        <is>
          <t>McLean, VA, US</t>
        </is>
      </c>
      <c r="H2" s="2" t="n">
        <v>46027</v>
      </c>
      <c r="I2" t="inlineStr">
        <is>
          <t>Senior Data Engineer (Risk Tech, Intelligent Foundations and Experiences)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in-7d602fefc2aee6b0</t>
        </is>
      </c>
      <c r="B3" t="inlineStr">
        <is>
          <t>Senior Manager, Data Engineering (Bank Tech)</t>
        </is>
      </c>
      <c r="C3" t="inlineStr">
        <is>
          <t>Capital One</t>
        </is>
      </c>
      <c r="D3" t="inlineStr">
        <is>
          <t>indeed</t>
        </is>
      </c>
      <c r="E3" t="inlineStr"/>
      <c r="F3" t="inlineStr"/>
      <c r="G3" t="inlineStr">
        <is>
          <t>McLean, VA, US</t>
        </is>
      </c>
      <c r="H3" s="2" t="n">
        <v>46027</v>
      </c>
      <c r="I3" t="inlineStr">
        <is>
          <t>Senior Manager, Data Engineering (Bank Tech)**Do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in-dabc006037469e63</t>
        </is>
      </c>
      <c r="B4" t="inlineStr">
        <is>
          <t>Engineering Program Manager, Analytics Data Engineering, Commerce Subscriptions</t>
        </is>
      </c>
      <c r="C4" t="inlineStr">
        <is>
          <t>Apple</t>
        </is>
      </c>
      <c r="D4" t="inlineStr">
        <is>
          <t>indeed</t>
        </is>
      </c>
      <c r="E4" t="inlineStr"/>
      <c r="F4" t="inlineStr"/>
      <c r="G4" t="inlineStr">
        <is>
          <t>Cupertino, CA, US</t>
        </is>
      </c>
      <c r="H4" s="2" t="n">
        <v>46027</v>
      </c>
      <c r="I4" t="inlineStr">
        <is>
          <t>Do you have a passion for harnessing vast amounts of data in innovative ways to make products better? The Apple Services Engineering’s Analytics Data Engineering team is an exciting area involving Apple’s long\-held passion for combining analytical insight and customer privacy. We are the people who power the Wallet, Apple Gift Card, Apple Card, App Store, Apple TV, Apple Music, Apple Fitness\+, and other major Apple software products \- and we do it on a massive scale! Thanks to Apple’s outstanding integration of hardware, software, and services, we collaborate on data across multiple areas yet with a deep dedication to strengthening Apple’s commitment to user privacy. Although services are a bigger part of Apple’s business than ever before, our teams remain small, nimble, and cross\-functional, offering greater exposure to an array of ideas and opportunities.  
**Description**  
This Commerce Subscriptions Engineering Program Manager will operate in a multi\-functional role within a fast\-paced, data\-focused environment. You’ll collaborate with small, highly skilled data engineering teams and partner groups to develop large\-scale data capabilities and solutions to support Apple Services Engineering feature initiatives and deliver high\-quality datasets and analytical outcomes. In this role, you’ll often juggle multiple complex projects at once, balancing shifting priorities while keeping teams aligned and moving forward. Because our work touches sensitive customer and business data, a deep respect for privacy and a commitment to Apple’s industry\-leading privacy standards are essential. Successful candidates should bring strong program and project management skills, exceptional communication abilities, and a belief in the power of data\-driven results.","responsibilities":"Project manage and partner with other EPMs to coordinate the data engineering track for creating and enhancing data pipelines that support the Analytics Engineering space for Subscriptions within Apple’s Commerce business area  
Track multiple concurrent projects involving scope, requirements, timelines, roadmaps, project plans, resource allocation, stakeholder management, communications, engineering sprint coordination, and risk assessments  
Collaborate with Engineering, Analytics, Production Support, QA, Information Security, Privacy, and other teams to build and manage products to support Apple Services Engineering data pipelines  
Drive complex, cross\-functional, and comprehensive project plans independently  
Deliver high\-quality results while working in a dynamic and fast\-paced environment  
Demonstrate exceptional verbal and written communication, including presentation skills to all levels of the organization  
**Preferred Qualifications**  
Degree in Information Systems, Data Science, Computer Science, Business or Engineering  
Experience with hands\-on SQL querying and Tableau dashboards is a plus  
Proven success driving projects across engineering, data science, product, privacy and business teams  
**Minimum Qualifications**  
6\+ years of project management experience, specifically within a large\-scale data engineering or analytics environment  
Familiarity with big data technologies and modern data engineering concepts  
Experience with commerce, subscriptions, and/or customer lifecycle data ecosystems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in-bb1fad543065bfa5</t>
        </is>
      </c>
      <c r="B5" t="inlineStr">
        <is>
          <t>Sr. Data Engineer</t>
        </is>
      </c>
      <c r="C5" t="inlineStr">
        <is>
          <t>Apple</t>
        </is>
      </c>
      <c r="D5" t="inlineStr">
        <is>
          <t>indeed</t>
        </is>
      </c>
      <c r="E5" t="inlineStr"/>
      <c r="F5" t="inlineStr"/>
      <c r="G5" t="inlineStr">
        <is>
          <t>Seattle, WA, US</t>
        </is>
      </c>
      <c r="H5" s="2" t="n">
        <v>46027</v>
      </c>
      <c r="I5" t="inlineStr">
        <is>
          <t>As a Data Engineer on the Capacity Engineering team, you will help design, build, and operate the data foundation that drives capacity, cost, and power\-related decisions across Apple’s infrastructure footprint.  
In this role, you will:  
Architect, implement, and maintain large\-scale batch and streaming pipelines that ingest, process, and model infrastructure telemetry, cost, metering, utilization, forecasting, and power metrics from multiple clouds and bare metal environments.  
Design and evolve robust data models (with a strong focus on dimensional modeling) and storage patterns that support analytics, internal billing, and efficiency use\-cases.  
Treat data as a product: define quality checks, SLAs, and observability to ensure data is accurate, timely, and trusted by stakeholders across Apple.  
Integrate and enrich raw signals with metadata and attribution to power use cases such as internal billing/showback, usage understanding, efficiency and optimization, clawbacks, planning, and procurement.  
Collaborate closely with data scientists, software engineers, platform teams, finance partners, program managers, and leadership to translate requirements into scalable, reliable data solutions and services.  
Implement standard methodologies for data governance, lineage, metadata management, and security, in alignment with Apple’s standards for data protection and privacy.  
Build end\-to\-end data solutions that include logging, anomaly detection, data validation, cleaning, and transformation, with strong emphasis on monitoring, debuggability, and continuous improvement.  
Contribute to the evolution of our data and platform stack, including tooling, frameworks, and standards for development, testing, deployment, and operations (CI/CD, infrastructure as code, etc.).  
**Description**  
Apple’s Capacity data engineering team, within the Apple Services Engineering organization, is building the centralized data backbone that powers how Apple understands, plans, and optimizes its cloud and data center infrastructure.  
We engineer a unified, trusted data lake that consolidates cost, metering, utilization, forecasting, and power metrics produced by Apple platforms and systems (including bare metal) across both third\-party and Apple internal clouds. Enriched with metadata and attribution, this becomes the single source of truth for internal billing, understanding usage and utilization, clawbacks, planning, procurement, and efficiency initiatives.  
We collaborate with platform engineering, finance, capacity engineering, and leadership teams to build large\-scale data pipelines, enable descriptive and predictive analytics, and power dashboards and products that support critical business decisions. This is your opportunity to help design and operate highly visible, global\-scale systems processing petabytes of data and supporting hundreds of users across Apple.  
Come join us to help deliver the next generation of infrastructure insights at Apple.  
**Preferred Qualifications**  
Advanced degree in a related field a plus.  
Experience with data visualization / BI tools, such as Superset or Tableau (other tools like QuickSight, QlikView, Cognos, or Business Objects are a plus)  
Experience with containerization and orchestration, such as Docker and Kubernetes/EKS is a plus  
Understanding of authentication and authorization (AuthN/AuthZ) patterns  
Knowledge of data governance principles, data security best practices, and data privacy regulations  
**Minimum Qualifications**  
Bachelors degree or equivalent experience in Computer Science, Information systems, Software Engineering, Data Science or related field.  
5\+ years of experience in data engineering (or equivalent practical experience), including:  
Building and maintaining large\-scale ETL/ELT data pipelines  
Distributed computing (e.g., Spark / PySpark) for data processing and automation  
Query performance optimization and tuning at scale  
Hands\-on experience with:  
Apache Spark and Airflow (or similar workflow/orchestration tools) for efficient large\-scale data pipelines  
Data modeling, especially dimensional modeling, and designing schemas optimized for analytics and reporting  
Big data platforms and/or data lake architectures  
Experience with CI/CD tooling such as Jenkins (or similar tools)  
Experience with cloud technologies, AWS/GCP (e.g., S3, EMR, Lambda, Glue, RDS/Redshift, Big\-query, Kinesis or similar services)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
      <c r="A6" t="inlineStr">
        <is>
          <t>in-0137eca52b3e76f6</t>
        </is>
      </c>
      <c r="B6" t="inlineStr">
        <is>
          <t>Data Analytics Engineer - Apple Services Engineering</t>
        </is>
      </c>
      <c r="C6" t="inlineStr">
        <is>
          <t>Apple</t>
        </is>
      </c>
      <c r="D6" t="inlineStr">
        <is>
          <t>indeed</t>
        </is>
      </c>
      <c r="E6" t="inlineStr"/>
      <c r="F6" t="inlineStr"/>
      <c r="G6" t="inlineStr">
        <is>
          <t>Cupertino, CA, US</t>
        </is>
      </c>
      <c r="H6" s="2" t="n">
        <v>46027</v>
      </c>
      <c r="I6" t="inlineStr">
        <is>
          <t>The Apple Services Engineering team is one of the most exciting examples of Apple’s long\-held passion for combining art and technology! These are the people who power the App Store, Apple Music, Apple TV, Apple Games, and many others. And they do it on a massive scale, meeting Apple’s high expectations with high performance to deliver a huge variety of entertainment in over 35 languages to more than 150 countries. These engineers build secure, end\-to\-end solutions. They develop the custom software used to process all the creative work, the tools that providers use to deliver that media, all the server\-side systems, and the APIs for many Apple services. Thanks to Apple’s unique integration of hardware, software, and services, engineers here partner to get behind a single unified vision. That vision always includes a deep commitment to strengthening Apple’s privacy policy, one of Apple’s core values. Although services are a bigger part of Apple’s business than ever before, these teams remain small, forward\-thinking, and cross\-functional, offering greater exposure to the array of opportunities here.  
**Description**  
As a team member of the ASE Data Engineering team, you will have significant responsibility and influence in shaping its future direction. This role is inherently cross\-functional and the ideal candidate will work across disciplines. We are looking for someone with a love for data and ability to iterate quickly on all stages of data pipeline. This position involves working on a small team to develop large scale data pipelines and analytical solutions using Big Data technologies. Successful candidates will have strong engineering skills and communication, as well as, a belief that data driven processes lead to phenomenal products. You will need to have a passion for quality and an ability to understand sophisticated systems.  
**Preferred Qualifications**  
MS in Computer Science or a related field with 7\+ years experience.  
Experience leading complex engineering projects from inception to production across organizational boundaries.  
Exceptional analytical skills combined with a deep knowledge of data structures and algorithms.  
Can see the big picture, set a vision, and grow the team and platform in accordance to that vision.  
Excellent communication skills. Can effectively communicate complex ideas and make compelling arguments \- guiding the team, partners and leadership.  
Deep experience in designing and implementing scalable big data solutions that span multi\-functional teams.  
**Minimum Qualifications**  
BS in Computer Science or a related field with 5\+ years experience.  
Strong technical knowledge in Java, Scala, SQL.  
Multi year experience with Big Data technologies like Spark batch, Spark streaming, Flink and Hadoop ecosystem.  
Experience integrating messaging technologies like Kafka.  
Effectively collaborate with engineers, product managers, designers, collaborators, partners, etc.  
Enjoys deep technical and product discussions. Has attention to detail and can context switch across multiple projects.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
      <c r="A7" t="inlineStr">
        <is>
          <t>in-6d2d0eb8e3c3b6c1</t>
        </is>
      </c>
      <c r="B7" t="inlineStr">
        <is>
          <t>Data Engineer (Informatica) DOD Secret Clearance</t>
        </is>
      </c>
      <c r="C7" t="inlineStr">
        <is>
          <t>Ai Vantage</t>
        </is>
      </c>
      <c r="D7" t="inlineStr">
        <is>
          <t>indeed</t>
        </is>
      </c>
      <c r="E7" t="inlineStr"/>
      <c r="F7" t="inlineStr"/>
      <c r="G7" t="inlineStr">
        <is>
          <t>Vienna, VA, US</t>
        </is>
      </c>
      <c r="H7" s="2" t="n">
        <v>46029</v>
      </c>
      <c r="I7" t="inlineStr">
        <is>
          <t>**ETL/Data Engineer**
**Overview:**  
We are seeking an **ETL/Data Engineer** with expertise in **Informatica** and **Microsoft technologies**, particularly **Microsoft Synapse****,\* and** AzurePurview, Azure AI etc**. The ideal candidate will possess strong skills in** data lake architecture, data catalog, data quality, and data integration\* as well as proficiency in **Python** **and SQL** **programming**. This role offers the opportunity to work with cutting\-edge technologies and contribute to the development of robust data solutions for a **Federal Agency**.
**Responsibilities:**
* Design, develop, and maintain data integration solutions using **Informatica** **PowerCenter**.
* Implement and optimize **data pipelines** within **Microsoft Synapse Analytics**, **Azure environment**, **Erwin**, and other **ETL technologies**.
* Architect and manage **data lake infrastructure** to support **data ingestion,** **integration,** **storage, and processing**.
* Design and develop **data mappings** and **data catalogs**.
* Implement and manage **Informatica Data Quality (IDQ)** for data validation and standardization.
* Utilize **Informatica Power Exchange** for efficient data extraction and loading from various sources.
* Manage **Master Data Management (MDM)** solutions to ensure consistent and high\-quality data across systems.
* Collaborate with **cross\-functional teams** to gather requirements and define **data integration strategies**.
* Develop custom scripts and applications using **Python** for **data transformation** and **manipulation tasks**.
* Ability to create **reports and dashboards** using tools like **Tableau, Power BI, Python**, etc.
* Ensure **data quality and integrity** throughout the **data integration process**.
* Troubleshoot and resolve **issues related to data processing** and **integration workflows**.
* Stay updated with the latest **trends and best practices** in **data integration** and **cloud technologies**.
* Provide **technical guidance** and **mentorship** to **junior team members**.
* Participate in **code reviews, documentation, and knowledge\-sharing sessions**.
**Qualifications:**
* Bachelor’s degree in computer science**, Information Technology, or a related field**.
* Minimum **6\+ years of relevant experience**.
* **Informatica certification(s)** and **Microsoft certification(s)** in **Synapse Analytics and Azure (preferred)**.
* Proven experience in designing and implementing **data integration solutions** using **Informatica PowerCenter**.
* Strong understanding of **cloud\-based data platforms**, particularly **Microsoft Azure**.
* Hands\-on experience with **Microsoft Synapse Analytics** for **data warehousing and analytics**.
Job Type: Full\-time
Pay: $150,000\.00 \- $160,000\.00 per year
Benefits:
* 401(k)
* Dental insurance
* Health insurance
* Paid time off
* Parental leave
Experience:
* Informatica: 4 years (Required)
* SQL: 4 years (Required)
* Python: 6 years (Required)
* ETL: 6 years (Required)
* AWS: 6 years (Required)
Security clearance:
* Secret (Preferred)
Work Location: In person</t>
        </is>
      </c>
    </row>
    <row r="8">
      <c r="A8" t="inlineStr">
        <is>
          <t>in-1af7484626d76dec</t>
        </is>
      </c>
      <c r="B8" t="inlineStr">
        <is>
          <t>Data engineer</t>
        </is>
      </c>
      <c r="C8" t="inlineStr">
        <is>
          <t>Stacklogy</t>
        </is>
      </c>
      <c r="D8" t="inlineStr">
        <is>
          <t>indeed</t>
        </is>
      </c>
      <c r="E8" t="inlineStr"/>
      <c r="F8" t="inlineStr"/>
      <c r="G8" t="inlineStr">
        <is>
          <t>US</t>
        </is>
      </c>
      <c r="H8" s="2" t="n">
        <v>46028</v>
      </c>
      <c r="I8"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9">
      <c r="A9" t="inlineStr">
        <is>
          <t>in-b101728367e2aa9b</t>
        </is>
      </c>
      <c r="B9" t="inlineStr">
        <is>
          <t>Senior Data Systems &amp; Analytics Engineer</t>
        </is>
      </c>
      <c r="C9" t="inlineStr">
        <is>
          <t>Zoll Medical Corporation</t>
        </is>
      </c>
      <c r="D9" t="inlineStr">
        <is>
          <t>indeed</t>
        </is>
      </c>
      <c r="E9" t="inlineStr"/>
      <c r="F9" t="inlineStr"/>
      <c r="G9" t="inlineStr">
        <is>
          <t>Chelmsford, MA, US</t>
        </is>
      </c>
      <c r="H9" s="2" t="n">
        <v>46028</v>
      </c>
      <c r="I9" t="inlineStr">
        <is>
          <t>Acute Care TechnologyThe Senior Data Systems \&amp; Analytics Engineer is responsible for developing advanced analytics, dashboards, machine\-learning driven models, and generative AI\-enabled tools that support ZOLL’s Global Technical Services function. This role enables data\-driven decision making by transforming datasets into actionable insights, predictive models, and intelligent workflows. This role will serve as a technical expert in applied analytics, machine learning, and AI tool development, with a strong focus on delivering insights, optimizing processes, and accelerating innovation across ZOLL.At ZOLL, we're passionate about improving patient outcomes and helping save lives. We provide innovative technologies that make a meaningful difference in people's lives. Our medical devices, software and related services are used worldwide to diagnose and treat patients suffering from serious cardiopulmonary and respiratory conditions.  
The Acute Care Technology division of ZOLL Medical Corporation develops and delivers innovative lifesaving products and software solutions to EMS, hospital, public safety, and military customers globally. Products include AEDs, trauma kits, ventilators, temperature management solutions, and more. Our dedicated employees take pride in their commitment to improving patient outcomes while delivering world\-class customer service.  
At ZOLL, you won't just have a job. You'll have a career—and a purpose.  
Join our team. It's a great time to be a part of ZOLL!  
**Job Type**  
Hybrid  
**Job Summary**  
The Senior Data Systems \&amp; Analytics Engineer is responsible for developing advanced analytics, dashboards, machine\-learning driven models, and generative AI\-enabled tools that support ZOLL's Global Technical Services function. This role enables data\-driven decision making by transforming datasets into actionable insights, predictive models, and intelligent workflows. This role will serve as a technical expert in applied analytics, machine learning, and AI tool development, with a strong focus on delivering insights, optimizing processes, and accelerating innovation across ZOLL.  
**Essential Functions*** DATA PREPARATION, ANALYTICS, AND DECISION SUPPORT
* Work with IT to prepare well\-structured datasets and maintainable data transformations to support dashboards, analytics and AI models.
* Develop dashboards, visualizations, and analytics models to monitor product failures, service efficiency, operational trends, and customer feedback.
* Perform statistical analysis, predictive modeling, and anomaly detection to support engineering and product support decisions.
* Translate complex data into actionable recommendations through clear data storytelling.
* Develop clear, well\-documented definitions of KPIs, metrics, and analytical logic.
* Adhere to data privacy, cybersecurity, and internal governance standards when handling service, customer, or field data.
* MACHINE LEARNING AND GENERATIVE AI DEVELOPMENT
* Apply machine learning techniques (regression, clustering, anomaly detection, forecasting) to derive insights from service and product datasets.
* Prepare and structure data for LLM workflows including embeddings, semantic search, summarization, and retrieval\-augmented generation (RAG).
* Experiment with emerging AI and GenAI tools, prototyping new techniques that enhance automation, documentation, and storytelling for decision support.
* Support AI model evaluation, accuracy assessment, and guardrail development for use in regulated environments.
* Partner with software developers to integrate ML/AI components into internal tools, assistants, and automation solutions.
* Ensure analytic methods and models follow traceability, reproducibility, and documentation expectations suitable for regulated environments.
* CONTINUOUS IMPROVEMENT AND INNOVATION
* Identify and recommend opportunities for automation, advanced analytics, and AI\-driven enhancements to business processes.
* Research and meet with 3rd party technology vendors to assess applicability to ZOLL processes.
* Stay current with emerging AI, ML, and analytics technologies, and evaluate their applicability to current operational challenges.
**Required/Preferred Education and Experience*** Bachelor's Degree Data Science, Engineering, Computer Science, Applied Mathematics, Statistics, or a related discipline required
* 5\+ years of experience in analytics engineering, data analysis, machine learning application development, or similar roles required
* Experience developing dashboards, predictive analytics, or AI\-driven tools in an engineering, industrial, or operations environment preferred
* Experience working with datasets from enterprise systems (Oracle Cloud, Camstar, Salesforce, ServiceMax, etc.) preferred
* Familiarity with Cloud data platforms (AWS, Azure, etc.) is a plus preferred
* Medical device or regulated industry experience is a plus preferred
**Knowledge, Skills and Abilities*** Strong proficiency in Python for analytics and ML (pandas, numpy, scikit\-learn).
* Skilled in dashboarding and visualization tools (Power BI, Tableau, or equivalent).
* Experience building predictive models and applying ML techniques to real\-world operational data.
* Familiarity with LLM concepts (embeddings, RAG, prompting, semantic search) and demonstrated interest in GenAI experimentation.
* Ability to clean, transform, and prepare datasets for analytics and AI workflows.
* Comfort with complex and ambiguous datasets.
* Strong communication and data storytelling abilities.
* Experience working with engineering, product support, or industrial data environments.
* Experience with APIs, basic scripting, or cloud\-based data tools.
**Physical Demands**  
The physical demands described here are representative of those that must be met by an employee to successfully perform the essential functions of this job.* Standing \- Occasionally
* Walking \- Occasionally
* Sitting \- Constantly
* Talking \- Occasionally
* Hearing \- Occasionally
* Repetitive Motions \- Frequently
ZOLL is a fast\-growing company that operates in more than 140 countries around the world. Our employees are inspired by a commitment to make a difference in patients' lives, and our culture values innovation, self\-motivation and an entrepreneurial spirit. Join us in our efforts to improve outcomes for underserved patients suffering from critical cardiopulmonary conditions and help save more lives.
The annual salary for this position is:
$135,000\.00 to $170,000\.00
This position is eligible for an annual bonus in accordance with the company's bonus plan. Factors which may affect starting salary include geography, skills, education, experience, and other qualifications of the successful candidate. Details of ZOLL's comprehensive benefits plans can be found at www.zollbenefits.com.
Applications will be accepted on an ongoing basis until this position is filled. For fully remote positions, compensation will comply with all applicable federal, state, and local wage laws, including minimum wage requirements, based on the employee’s primary work location.
**All qualified applicants will receive consideration for employment without regard to race, color, religion, sex, sexual orientation, gender identity, disability, or status as a protected veteran.**
**ADA: The employer will make reasonable accommodations in compliance with the Americans with Disabilities Act of 1990\.**</t>
        </is>
      </c>
    </row>
    <row r="10">
      <c r="A10" t="inlineStr">
        <is>
          <t>in-2af8f1c8c7740cc7</t>
        </is>
      </c>
      <c r="B10" t="inlineStr">
        <is>
          <t>Lead Data Engineer</t>
        </is>
      </c>
      <c r="C10" t="inlineStr">
        <is>
          <t>JPMorganChase</t>
        </is>
      </c>
      <c r="D10" t="inlineStr">
        <is>
          <t>indeed</t>
        </is>
      </c>
      <c r="E10" t="inlineStr"/>
      <c r="F10" t="inlineStr"/>
      <c r="G10" t="inlineStr">
        <is>
          <t>Columbus, OH, US</t>
        </is>
      </c>
      <c r="H10" s="2" t="n">
        <v>46028</v>
      </c>
      <c r="I10" t="inlineStr">
        <is>
          <t>**JOB DESCRIPTION**  
Join us as we embark on a journey of collaboration and innovation, where your unique skills and talents will be valued and celebrated. Together we will create a brighter future and make a meaningful difference.
As a Lead Data Engineer at JPMorgan Chase within the Global Technology Enterprise Software Asset Management team, you are an integral part of an agile team that works to enhance, build, and deliver data collection, storage, access, and analytics solutions in a secure, stable, and scalable way. As a core technical contributor, you are responsible for maintaining critical data pipelines and architectures across multiple technical areas within various business functions in support of the firm’s business objectives.
**Job Responsibilities**
* Lead data management strategies in collaboration with business stakeholders, transforming data into insights that drive strategic decisions and organizational actions.
* Design, develop, and optimize ETL/ELT pipelines using SQL, Python, and PySpark for large\-scale, complex data environments.
* Implement scalable data processing workflows in data lake platforms such as Databricks or Spark, ensuring efficient and reliable data operations.
* Ensure data quality, consistency, security, and lineage throughout all stages of data processing and transformation.
* Support data migration and modernization initiatives, transitioning legacy systems to cloud\-based data warehouses.
* Document data flows, logic, and transformation rules to maintain transparency and facilitate knowledge sharing across teams.
* Troubleshoot and resolve performance and quality issues in both batch and real\-time data pipelines.
* Review existing data challenges and deliver comprehensive solutions by applying appropriate data strategies and tools.
**Required Qualifications, capabilities and skills**
* Proven experience in data management, ETL/ELT pipeline development, and large\-scale data processing.
* Proficiency in SQL, Python, and PySpark.
* Hands\-on experience with data lake platforms (Databricks, Spark, or similar).
* Strong understanding of data quality, security, and lineage best practices.
* Experience with cloud\-based data warehouse migration and modernization.
* Excellent problem\-solving and troubleshooting skills.
* Strong communication and documentation abilities.
* Ability to collaborate effectively with business and technical stakeholders.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1">
      <c r="A11" t="inlineStr">
        <is>
          <t>in-55267a22bc112168</t>
        </is>
      </c>
      <c r="B11" t="inlineStr">
        <is>
          <t>Sr. Distinguished, Data Engineer - Enterprise Data Storage and Consumption Platforms Data Engineer</t>
        </is>
      </c>
      <c r="C11" t="inlineStr">
        <is>
          <t>Capital One</t>
        </is>
      </c>
      <c r="D11" t="inlineStr">
        <is>
          <t>indeed</t>
        </is>
      </c>
      <c r="E11" t="inlineStr"/>
      <c r="F11" t="inlineStr"/>
      <c r="G11" t="inlineStr">
        <is>
          <t>San Francisco, CA, US</t>
        </is>
      </c>
      <c r="H11" s="2" t="n">
        <v>46027</v>
      </c>
      <c r="I11" t="inlineStr">
        <is>
          <t>Sr. Distinguished, Data Engineer \- Enterprise Data Storage and Consumption Platforms Data Engineer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Storage \&amp; Consumption Platform team within Enterprise Data, serving as a Senior Director\-level Individual Contributor (IC). This role demands a visionary and hands\-on leader to drive the technical strategy for consumption platforms leveraged by all lines of business. Your focus is on maturing platform scalability, Operational Excellence, Performance, and Resiliency. We require deep expertise in AWS infrastructure ,Lakehouse architecture, Snowflake, Databricks platform and BI tools to mature these enterprise\-scale systems and execute technical strategy.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Identify, benchmark and contribute towards opportunities to improve system availability, security, reliability, cost optimization and performance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software engineering or data engineering
* At least 5 years of people management experience
* At least 3 years of experience with Big Data and data streaming
* At least 3 years of experience with cloud\-based data platforms (Amazon Web Services, Microsoft Azure, Google Cloud Platform)
* At least 9 years of experience in data engineering writing production quality code with a focus on distributed systems
**Preferred Qualifications:**
* Masters’ Degree
* 10\+ years of experience in data engineering
* 3\+ years of experience implementing big data frameworks and processing solutions
* 3\+ years of data modeling experience
* 2\+ years of experience with ontology standards for defining a domain
* 2\+ years of experience using Python, SQL or Scala
* 1\+ year of experience deploying machine learning models
***Capital One will consider sponsoring a new qualified applicant for employment authorization for this position***
Preferred Qualifications:
* Master's Degree
* 5\+ years of experience with Agile engineering practices
* 8\+ years in\-depth experience with the Hadoop stack (MapReduce, Pig, Hive, Hbase)
* 8\+ years experience with NoSQL implementation (Mongo, Cassandra)
* 8\+ years experience developing Java based software solutions
* 8\+ years experience in at least one scripting language
* 8\+ years experience developing software solutions to solve complex business problems
* 8\+ years experience with Relational Database Systems and SQL
* 8\+ years experience designing, developing, and implementing ETL
* 8\+ years experience with UNIX/Linux including basic commands and shell scripting
* 8\+ years of experience providing technical leadership
* 8\+ years of experience leading the full life\-cycle of IT development and platform support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$286,200 \- $326,700 for Sr. Dir, Data Engineering  
McLean, VA: $314,800 \- $359,300 for Sr. Dir, Data Engineering  
New York, NY: $343,400 \- $392,000 for Sr. Dir, Data Engineering  
Richmond, VA: $286,200 \- $326,700 for Sr. Dir, Data Engineering  
San Francisco, CA: $343,400 \- $392,000 for Sr. Dir,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in-9c3cb1c5cc907d52</t>
        </is>
      </c>
      <c r="B12" t="inlineStr">
        <is>
          <t>Analytics Data Engineer, Siri AI Quality Engineering</t>
        </is>
      </c>
      <c r="C12" t="inlineStr">
        <is>
          <t>Apple</t>
        </is>
      </c>
      <c r="D12" t="inlineStr">
        <is>
          <t>indeed</t>
        </is>
      </c>
      <c r="E12" t="inlineStr"/>
      <c r="F12" t="inlineStr"/>
      <c r="G12" t="inlineStr">
        <is>
          <t>Cupertino, CA, US</t>
        </is>
      </c>
      <c r="H12" s="2" t="n">
        <v>46027</v>
      </c>
      <c r="I12" t="inlineStr">
        <is>
          <t>Apple is where individual creativities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The Siri Quality Engineering team is seeking an Analytics Data Engineer to build a Curated, Accurate, Reliable data lake \- a governed lakehouse with point\-in\-time and near\-real\-time pipelines, and a clear semantic layer \- so teams trust and use data to help drive operational and business decisions.  
You will ultimately be part of a collaborative team that's responsible for understanding how well our products work, advocating for critical changes, and representing how they'll be experienced by our customers. We deliver descriptive, diagnostic, prescriptive, and predictive analytics that show what’s happening, explain why, recommend what to do, and empower decision making automation. We publish certified metrics and models used in executive\-facing reports, raising product quality, accelerating releases, and reducing risk across all Apple platforms and locales. As a member of our passionate group in Siri, you will have the unique and rewarding opportunity to shape and improve our products to delight and inspire millions of Apple's customers every day.","responsibilities":"Build curated, accurate, and reliable data that powers Siri AI  
Design and run our lakehouse so analysts and data scientists can move fast with confidence  
Design and evolve the lakehouse (i.e. Apache Iceberg): schemas, partitioning, compaction, and schema evolution  
Build batch and streaming pipelines with Python/Spark/PySpark; orchestration with Apache Airflow (or similar)  
Ingest from diverse sources; manage metadata, lineage, and the data catalog  
Enforce data quality (tests, SLAs, monitors) and reliability (idempotency, replay, backfills)  
Optimize cost and performance across storage and compute  
Partner with analysts to deliver semantic layers, certified metrics, and feature tables  
Document, review, and automate scripts, runbooks, CI/CD, and infra\-as\-code  
**Preferred Qualifications**  
Spark Streaming, Kafka, Flink or similar streaming; near\-real\-time analytics  
Data\-quality frameworks and observability  
Experience with feature stores and ML data pipelines  
BS/MS in an engineering or a related field (or equivalent)  
**Minimum Qualifications**  
5\+ years in data engineering; expert SQL and Python knowledge  
Deep Spark experience (batch \+ structured streaming)  
Hands\-on experience with a modern data lake technology: Iceberg or equivalent of object storage  
Proven pipeline orchestration (Airflow or equivalent) and Git\-based delivery  
Strong data modeling, governance, lineage, and reliability practices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
      <c r="A13" t="inlineStr">
        <is>
          <t>in-85b11a305f9e624b</t>
        </is>
      </c>
      <c r="B13" t="inlineStr">
        <is>
          <t>Senior Backend Data Platform Engineer, Enterprise Technology Services</t>
        </is>
      </c>
      <c r="C13" t="inlineStr">
        <is>
          <t>Apple</t>
        </is>
      </c>
      <c r="D13" t="inlineStr">
        <is>
          <t>indeed</t>
        </is>
      </c>
      <c r="E13" t="inlineStr"/>
      <c r="F13" t="inlineStr"/>
      <c r="G13" t="inlineStr">
        <is>
          <t>Sunnyvale, CA, US</t>
        </is>
      </c>
      <c r="H13" s="2" t="n">
        <v>46027</v>
      </c>
      <c r="I13" t="inlineStr">
        <is>
          <t>Get ready to do something great when you join the Apple Identity and Access Management team that’s responsible for providing enterprise class solution for both corporate and external business users. The people who work here have re\-invented and defined the security standards for protecting customer data with innovative software solutions. The same dedication to innovation is also applied to our business practices \- leaving the world a more secure place than we found it. Do you want to help deliver the next innovation in security and user experience for Apple ?  
Our teams foster a collaborative environment with creative, smart \&amp; fun people using state of the art technologies. Engineering excellence is expected. Come and join us in building solutions that have a worldwide impact.  
We are seeking an experienced Senior Backend Data Platform Engineer with 7 plus years of experience to design, implement, and optimize our data infrastructure. In this role, you will lead efforts to build scalable data architectures that power business insights while maintaining high performance and reliability standards.  
**Description**  
Identity Management Services (IdMS) provides mission critical authentication, authorization, customer profile, device identity, and trust services for Apple customers across macOS, iOS, watchOS, and tvOS. IdMS is integrated with hundreds of Apple services including iCloud, iTunes, Retail, Online stores, and processes transactions at internet\-scale. IdMS is also the centralized enterprise identity and access management platform for all applications serving Apple.  
We are seeking a skilled computer engineer with passion for security engineering. We desire a self\-motivated individual who can thrive in an Agile environment, while interacting and communicating effectively with other team members. This position requires extensive experience implementing advanced Computer Science paradigms and sound analytical ability.  
You should have the ability to handle conflicting project demands and thrive in a fast\-paced environment.  
You should enjoy challenging and innovative projects and thrive in a fast\-paced environment where accountability is paramount.  
Maintain and improve existing applications in response to business needs.  
Strong curiosity and a willingness to learn and talk about emerging technologies along with a positive and enthusiastic engagement style.  
Demonstrate innovative and creative thinking capabilities and also have sharp troubleshooting skills.  
","responsibilities":"Design, develop, and optimize data models across diverse database technologies including OLTP and big data systems  
Architect end\-to\-end data solutions that align with business requirements and technical constraints  
Implement and optimize data queries for performance, scalability, and reliability  
Build and maintain data platforms on cloud infrastructure (AWS/Google Cloud)  
Lead the design and development of data insights frameworks and tools  
Establish data engineering best practices and mentor junior team members  
Collaborate with cross\-functional teams to deliver data\-driven solutions  
Evaluate and integrate emerging technologies into our data ecosystem  
**Preferred Qualifications**  
Experience with AI\-assisted development tools (Claude, Gemini AI, GitHub Copilot)  
Knowledge of real\-time data processing systems (Kafka, Kinesis)  
Experience with containerization and orchestration (Docker, Kubernetes)  
Familiarity with data governance and compliance requirements  
Experience with NoSQL databases (MongoDB, Cassandra, etc.)  
Understanding of data visualization tools and techniques  
Experience with CI/CD pipelines for data infrastructure  
Education  
BS / MS in Computer Science or a related technical field or equivalent practical experience.  
**Minimum Qualifications**  
6 years of experience in software engineering with a focus on data platforms  
Deep expertise in relational database systems (Oracle, PostgreSQL) including schema design, query optimization, and performance tuning  
Strong experience with big data technologies (Hadoop, Spark, etc.)  
Proficiency in Python and data processing frameworks  
Experience deploying and managing data platforms on AWS and/or Google Cloud  
Strong understanding of data architecture principles and design patterns  
Experience with data pipeline orchestration tools  
Excellent problem\-solving skills with a focus on system optimization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4">
      <c r="A14" t="inlineStr">
        <is>
          <t>in-4cd546860affd5ff</t>
        </is>
      </c>
      <c r="B14" t="inlineStr">
        <is>
          <t>Simulation Synthetic Data Engineer - Special Projects</t>
        </is>
      </c>
      <c r="C14" t="inlineStr">
        <is>
          <t>Apple</t>
        </is>
      </c>
      <c r="D14" t="inlineStr">
        <is>
          <t>indeed</t>
        </is>
      </c>
      <c r="E14" t="inlineStr"/>
      <c r="F14" t="inlineStr"/>
      <c r="G14" t="inlineStr">
        <is>
          <t>Cupertino, CA, US</t>
        </is>
      </c>
      <c r="H14" s="2" t="n">
        <v>46027</v>
      </c>
      <c r="I14" t="inlineStr">
        <is>
          <t>Play a role in bringing Apple technology to the world. We are looking for a hardworking, dedicated, and results\-oriented Synthetic Data Engineer. You would join a team using simulation to generate synthetic data. Apple is where individual imaginations gather together, committing to the values that lead to great work. Every new product we build, service we create, or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**Description**  
As a Simulation Synthetic Data Engineer, you will help develop next\-generation simulation technology powering a broad range of AI/ML efforts at Apple. You will work on highly ambitious projects that transform ideas into production tools and datasets used across the organization to develop new Apple products.  
We’re looking for an engineer who is both practical and inventive\-comfortable extending existing simulation frameworks, experimenting with new approaches, and iterating quickly from prototype to high\-quality implementation. You will collaborate closely with engineers, technical artists, animators, and research teams to deliver scalable pipelines and compelling synthetic data. Your work will directly influence dataset quality and model performance across multiple product areas.","responsibilities":"Build, enhance, and operate tools and pipelines for scenario creation, simulation execution, and generation of annotated 3D and multi\-modal synthetic datasets.  
Design and implement prototypes, proofs\-of\-concept, and production systems that expand the capabilities of our simulation stack.  
Deliver high\-quality, validated datasets to internal customers\-leveraging procedural systems, generative models, scene variation tools, and diverse data sources.  
Partner with engineers, animators, and technical artists to transform creative intent into efficient, scalable pipelines for generating, varying, organizing, and validating scenarios.  
Develop tools, APIs, and reusable components that allow other teams to easily generate, manage, and automate simulation workflows.  
Stay current with advances in simulation, rendering, generative models, VLMs, and synthetic data in academia, industry, and at Apple; introduce new approaches where valuable.  
**Preferred Qualifications**  
Experience with real\-time simulation engines (Unreal, Unity, Godot, Omniverse, custom engines).  
Familiarity with USD, MaterialX, or other modern 3D content standards.  
Experience with real\-time and offline rendering, ray tracing, lighting, or shading.  
Knowledge of physics simulation, sensor simulation, or physically\-based modeling.  
Experience with industrial/commercial simulation tools or large\-scale data pipelines.  
**Minimum Qualifications**  
Master’s degree in Computer Science or related field, or equivalent practical experience.  
Strong programming skills in C\+\+ and Python, with solid software engineering fundamentals.  
Experience with 3D graphics or game engines, including topics such as rendering, animation, scene graphs, or content pipelines.  
Familiarity with machine learning workflows, especially perception tasks, generative models, or VLMs.  
Ability to work collaboratively with cross\-functional partners including engineers, artists, and researchers; strong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
      <c r="A15" t="inlineStr">
        <is>
          <t>in-086b099a7bbe1143</t>
        </is>
      </c>
      <c r="B15" t="inlineStr">
        <is>
          <t>AIML - Sr Data Engineer, Evaluation</t>
        </is>
      </c>
      <c r="C15" t="inlineStr">
        <is>
          <t>Apple</t>
        </is>
      </c>
      <c r="D15" t="inlineStr">
        <is>
          <t>indeed</t>
        </is>
      </c>
      <c r="E15" t="inlineStr"/>
      <c r="F15" t="inlineStr"/>
      <c r="G15" t="inlineStr">
        <is>
          <t>Seattle, WA, US</t>
        </is>
      </c>
      <c r="H15" s="2" t="n">
        <v>46027</v>
      </c>
      <c r="I15" t="inlineStr">
        <is>
          <t>The SWE Data organization seeks to improve products by using data as the voice of our customers. Within this organization, the Search Data Engineering team builds systems that process data reliably at scale to generate high\-quality datasets that support confident, data informed decision\-making for improving understanding capabilities of Search capabilities.  
We’re looking for exceptional data engineers who are passionate about our product and values; who love working with data at scale, and who are committed to continuously improve. As a part of this group, you will work with petabytes of data daily using diverse technologies. You will be expected to effectively partner with upstream engineering \&amp; privacy teams and downstream consumers, including data scientists and ML engineers.  
**Description**  
In this role, you will be building ultra large scale batch \&amp; streaming datasets to support analytics, experimentation and machine learning and helping to drive our self\-serve strategy for reporting on\-behalf of data scientists and product engineers as we collectively make product better.  
You will help design instrumentation required to log data from device and server side upholding Apple’s privacy promise and validate data is flowing in the correct shape, frequency, and quality into the Data Warehouse. Curate a high performance and easy to understand data model that meets the needs of the many. Identify common patterns and build self\-serve tools to scale data engineering, and automate lifecycle of datasets with the highest standards of data quality. Educate your consumers on how to access your products, assuring transparency and understanding in logic definitions and enabling self\-service.  
","responsibilities":"  
**Preferred Qualifications**  
Proficiency in at least one high\-level programming language (Python, Java, Scala, Go or equivalent).  
Experience with large, complex, highly dimensional data sets; hands\-on experience with SQL.  
Experience working with cross\-functional teams to collect business requirements, build consensus, and manage expectations  
You are self\-directed and capable of operating amidst ambiguity.  
You are humble, continually growing in self\-awareness, and possessing a growth mindset.  
You are curious and have excellent written and verbal communication as well as problem\-solving skills.  
You are excited about digging into massive petabyte\-scale semi\-structured datasets.  
MS or BS in CS, Engineering, Math, Statistics, or a related field or equivalent practical experience in data engineering.  
**Minimum Qualifications**  
5\+ years of technical experience designing, building, and maintaining distributed data processing platforms.  
3\+ years of industry experience working with batch or streaming distributed data processing technologies (e.g. Spark, Flink, Kafka, Presto, Hadoop, MapReduce, etc.) for building efficient \&amp; large\-scale data pipelines.  
3\+ years of data modeling experience designing data warehouse table schemas and logging schemas.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
      <c r="A16" t="inlineStr">
        <is>
          <t>in-183dbeaa652b25dd</t>
        </is>
      </c>
      <c r="B16" t="inlineStr">
        <is>
          <t>Machine Learning Engineer - Backend/Data Engineer: Agentic Workflows, Siri Core Modeling</t>
        </is>
      </c>
      <c r="C16" t="inlineStr">
        <is>
          <t>Apple</t>
        </is>
      </c>
      <c r="D16" t="inlineStr">
        <is>
          <t>indeed</t>
        </is>
      </c>
      <c r="E16" t="inlineStr"/>
      <c r="F16" t="inlineStr"/>
      <c r="G16" t="inlineStr">
        <is>
          <t>CA, US</t>
        </is>
      </c>
      <c r="H16" s="2" t="n">
        <v>46027</v>
      </c>
      <c r="I16" t="inlineStr">
        <is>
          <t>Imagine what you could do here. At Apple, great ideas have a way of becoming great products, services, and customer experiences very quickly. Bring passion and dedication to your job and there’s no telling what you could accomplish.  
Do you want to make Siri and Apple products more intelligent for our users? The Siri \&amp; Information Intelligence team is building groundbreaking technology to revolutionize how users interact with Apple devices.  
As part of this group, you will contribute to build the infrastructure to power the development of multi\-modal agentic workflows.  
**Description**  
We design, build and maintain infrastructure to support agentic workflows for Siri. Our team is in charge of data generation, introspection and evaluation frameworks that are key to efficiently developing foundation models and agentic workflows for Siri applications. In this team you will have the opportunity to work at the intersection of with cutting edge foundation models and products.  
**Preferred Qualifications**  
Experience with large scale distributed system design, operation and optimization  
Experience with Vector Databases  
**Minimum Qualifications**  
Strong background in computer science: algorithms, data structures and system design  
Strong Python skills  
Experience with SQL/NoSQL database technologies, data warehouse frameworks like BigQuery/Snowflake/RedShift/Iceberg and data pipeline frameworks like GCP Dataflow/Apache Beam/Spark/Kafka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
      <c r="A17" t="inlineStr">
        <is>
          <t>in-e85b30c65cb14b27</t>
        </is>
      </c>
      <c r="B17" t="inlineStr">
        <is>
          <t>Data Engineer, Apple Services Engineering</t>
        </is>
      </c>
      <c r="C17" t="inlineStr">
        <is>
          <t>Apple</t>
        </is>
      </c>
      <c r="D17" t="inlineStr">
        <is>
          <t>indeed</t>
        </is>
      </c>
      <c r="E17" t="inlineStr"/>
      <c r="F17" t="inlineStr"/>
      <c r="G17" t="inlineStr">
        <is>
          <t>Cupertino, CA, US</t>
        </is>
      </c>
      <c r="H17" s="2" t="n">
        <v>46027</v>
      </c>
      <c r="I17" t="inlineStr">
        <is>
          <t>The Apple Services Engineering team (ASE) is one of the most exciting examples of Apple’s long\-held passion for combining art and technology. We are the people who power the App Store, AppleTV, Apple Music, iCloud, and many more. We’re idealists. Inventors. Forever tinkering with products and processes, always on the lookout for better. Does an exciting, dynamic, and fast\-paced environment catch your attention? Consider joining our team!  
We are seeking a Data Engineer to join our team who brings deep passion for designing and building data platforms that power visualizations and insights that enable us to track and ship our projects to billions of customers worldwide. If you love data and creating beautiful, compelling, and intuitive visualizations, we want to hear from you.  
**Description**  
As a Data Engineer in ASE, you will be responsible for designing, developing, and maintaining robust data pipelines to support data science initiatives. Our team's task is to build a comprehensive aggregate data layer that enables efficient and flexible executive reporting, highly customized data applications, and powerful ML inference and analysis.  
In this role, you will work closely with data scientists, engineers, and Quality teams to build scalable data pipelines and solutions. As a data engineer, you must effectively collaborate to bridge the gap between business needs, analytical solutions, and engineering requirements.  
","responsibilities":"Design, implement, and maintain data pipelines using Python and SQL  
Manage data stores containing millions of records and insure availability, security, and scalability  
Collaborate with data scientists, business partners, and engineering groups to identify performance indicators from complex data sets, then create visualizations for these indicators, metrics, and trends  
**Preferred Qualifications**  
Experience with JavaScript/TypeScript, Swift, R, or Scala is a big plus  
Experience with NoSQL datastores (such as HBase, Cassandra, MongoDB)  
Experience integrating messaging technologies like Kafka or Flink  
Experience with Big Data Tech such as Apache Spark or Hadoop  
Observability and telemetry tools such as CloudWatch, Splunk, Prometheus, OpenTelemetry  
Ability to build CI pipelines and automation tools using tools such as Jenkins, GitHub Actions, CircleCI, etc.  
Experience with mentoring, guiding, and motivating other team members  
Excellent presentation and communication skills, with strong attention to detail  
**Minimum Qualifications**  
3\-5 years of experience in Data Engineering or similar role  
3\-5 years of experience in Python and SQL  
3\-5 years of experience with data schema design and data modeling  
Bachelors degree in Computer Science, Data Science, Mathematics, or related field, or equivalent experience  
Experience creating data visualizations that tell compelling stories using tools such as Tableau, D3, Plotly, or Observable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8">
      <c r="A18" t="inlineStr">
        <is>
          <t>in-198da5cfeb72780f</t>
        </is>
      </c>
      <c r="B18" t="inlineStr">
        <is>
          <t>SWE - Machine Learning Technical Lead, Data Engineering</t>
        </is>
      </c>
      <c r="C18" t="inlineStr">
        <is>
          <t>Apple</t>
        </is>
      </c>
      <c r="D18" t="inlineStr">
        <is>
          <t>indeed</t>
        </is>
      </c>
      <c r="E18" t="inlineStr"/>
      <c r="F18" t="inlineStr"/>
      <c r="G18" t="inlineStr">
        <is>
          <t>CA, US</t>
        </is>
      </c>
      <c r="H18" s="2" t="n">
        <v>46027</v>
      </c>
      <c r="I18" t="inlineStr">
        <is>
          <t>Do you believe Machine Learning and AI can change the world? We truly believe it can! We are the ML Data Ops team at Apple. We build high quality ML datasets, from very small targeted sets to petabyte scale, to train and evaluate ML models that power AI\-centric features for many Apple products. Our datasets help power intelligent algorithms on Camera and the Photos app, improve text input experiences (autocorrect, autocompletion, OCR) and more recently feed generative technologies in Apple Intelligence (Image Playground, Genmoji, Writing Tools, Math Notes...)  
We’re looking for an exceptional engineering lead who is passionate about Apple products and values; who loves working with data ops at scale; and who is committed to the hard work vital to continuously improve complex ML data pipelines and data infrastructure. AI\-centric products are the future of software; at their core, data is the source code of AI, a key component of innovation and inclusive and fair ML products. We invite you to join us at this exciting time; grow fast and positively impact multiple critical features on your first day at Apple!  
**Description**  
Our Data team focuses on acquiring, synthesizing, annotating, and ensuring the quality of ML data, driving numerous features in collaboration with R\&amp;D teams in Apple’s SWE organization. As a data engineering tech lead, you will be responsible for establishing and executing the strategy for our organization’s ML data engine.","responsibilities":"Collaborate with a variety of partners, from infrastructure, ML research teams to our data functions, including data engineers, to assess the needs  
Identify state of the art data components used to store, expose and track ML data  
Identify opportunities for improvement of internal infrastructure offerings, and influence roadmaps of partner teams to build or improve key components we rely on  
Design and execute the roadmap for adoption of new components, build the pipelines necessary to connect data systems and teams  
Improve automation workflows, data visualization tools, ML enrichment, asset lineage tracking, including data coming from sophisticated synthetic workflows, data governance and compliance components, storage and tracking of synthetic data  
Be hands on, actively participate to the stack and implement high quality code  
**Preferred Qualifications**  
Proven experience designing, automating and scaling large data pipelines (petabyte scale desired) using state of the art technologies  
Expertise in Python or another modern programming language  
Strong ability to design and lead a technical roadmap, work with cross functional teams and a diversity of profiles, proven capacity to influence and build alignment  
Demonstrated prior experience in foundation models such as building data infrastructure supporting generative technologies  
Self\-starter, able to handle ambiguity, identify risks, mitigate, and autonomously find the right people and tools to get the job done  
Proven track record of mentoring and growing engineers, lift the level of software engineering excellence in a ML data ops team typically focused on short term deliveries  
**Minimum Qualifications**  
Bachelors, Masters or PhD in Computer Science, Mathematics, Physics, or a related field; or equivalent practical experience.  
7\+ years of industry experience as a software engineer, including 2\+ years as a tech lead/architect specialized in data infrastructure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9">
      <c r="A19" t="inlineStr">
        <is>
          <t>in-7ee37c0bd0f80c93</t>
        </is>
      </c>
      <c r="B19" t="inlineStr">
        <is>
          <t>Senior ML Data Engineer, ISE</t>
        </is>
      </c>
      <c r="C19" t="inlineStr">
        <is>
          <t>Apple</t>
        </is>
      </c>
      <c r="D19" t="inlineStr">
        <is>
          <t>indeed</t>
        </is>
      </c>
      <c r="E19" t="inlineStr"/>
      <c r="F19" t="inlineStr"/>
      <c r="G19" t="inlineStr">
        <is>
          <t>CA, US</t>
        </is>
      </c>
      <c r="H19" s="2" t="n">
        <v>46027</v>
      </c>
      <c r="I19" t="inlineStr">
        <is>
          <t>Do you believe Machine Learning and AI can change the world? We truly believe it can! We are the ML Data Team of the Intelligent System Experience (ISE) group at Apple. We are responsible for building high quality datasets at scale. Every year, our team produces datasets used in the training of ML and AI\-centric features for many Apple products, including iPhone, iPad, Mac, Apple Watch and even AirPods. Our work is used in very visible and critical features, from the wallpaper on your iPhone Lock Screen, to your personalized stickers on iMessage, to Apple Intelligence features such as on\-device Genmoji and other visual generative models, to the models that highlight the faces and memories of your loved ones in your Photos app.  
We’re looking for an exceptional software \&amp; data engineer who is passionate about Apple products and values, who has a passion for data operations at scale, is comfortable in a fast paced environment and who is committed to the hard work necessary to continuously improve our ML data pipelines.  
We invite you to join us at this exciting time. Grow fast and positively impact multiple critical features from your first day at Apple!  
**Description**  
Our team focuses on acquiring, synthesizing, annotating, and ensuring the quality of ML data, driving numerous features in collaboration with R\&amp;D teams in Apple’s SWE organization.","responsibilities":"Operate and maintain data pipelines to effectively process up to billion\-scale multimodal data  
Find creative ways to automate workflows or build self service tools, implement a variety of data tools for visualization, compliance and ML enrichment  
Help bring frontier generative model and agentic capabilities in our pipelines to further optimize our data operations ; and production\-ize synthetic data workflows including orchestration and lineage  
Identify opportunities for improvement of internal infrastructure offerings, and influence roadmaps of partner teams to build or improve key components we rely on  
**Preferred Qualifications**  
Proven experience designing, automating and scaling large data pipelines (petabyte scale desired) using state of the art processing technologies (eg familiarity with Iceberg, BigQuery, Airflow, Spark, etc.)  
Expertise in Python, Go or another modern programming language; you are expected to produce high quality, efficient code and participate in code reviews  
Strong ability to design and lead a technical roadmap, work with cross functional teams and a diversity of profiles, proven capacity to influence and build alignment  
Demonstrated prior experience in delivering large scale multimodal datasets for foundation models  
Self\-starter, able to handle ambiguity, comfortable in a fast\-pace environment, identify risks, mitigate, and autonomously find the right people and tools to get the job done  
Proven track record of mentoring and growing engineers, lift the level of software engineering excellence in a ML data ops team typically focused on short term deliveries  
**Minimum Qualifications**  
7\+ years of industry experience as a data engineer serving various ML applications (vision domain preferred)  
Bachelor's degree in Computer Science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0">
      <c r="A20" t="inlineStr">
        <is>
          <t>in-bdfd2c415e0c2ce9</t>
        </is>
      </c>
      <c r="B20" t="inlineStr">
        <is>
          <t>AppleCare Data Engineer</t>
        </is>
      </c>
      <c r="C20" t="inlineStr">
        <is>
          <t>Apple</t>
        </is>
      </c>
      <c r="D20" t="inlineStr">
        <is>
          <t>indeed</t>
        </is>
      </c>
      <c r="E20" t="inlineStr"/>
      <c r="F20" t="inlineStr"/>
      <c r="G20" t="inlineStr">
        <is>
          <t>Austin, TX, US</t>
        </is>
      </c>
      <c r="H20" s="2" t="n">
        <v>46027</v>
      </c>
      <c r="I20" t="inlineStr">
        <is>
          <t>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**Preferred Qualifications**  
Hands\-on experience with Snowpark, PySpark, and streaming/interactive visualization tools such as Streamlit or Plotly.  
Background in SMB, product, or service analytics, including service performance, warranty trends, and support operations.  
Applied experience with software engineering workflows, including Git, CI/CD, and producing maintainable, well\-documented code.  
Experience developing custom Tableau extensions or deploying LLM\-powered analytics systems.  
Strong experience in storytelling with data, translating complex analyses into actionable recommendations for leadership.  
Familiarity with large\-scale data platforms and scalable analytical pipelines.  
Master's degree in a quantitative or technical discipline.  
**Minimum Qualifications**  
7\+ years of applied experience in data science, business analytics, or business intelligence roles.  
Strong proficiency in SQL and R/Python (pandas, NumPy, scikit\-learn).  
Experience with data modeling, transformation, and analytics frameworks such as Snowflake.  
Skilled in building data visualizations using Tableau, and presenting insights to diverse audiences.  
Strong foundation in statistical analysis, including hypothesis testing and confidence intervals.  
Experience delivering end\-to\-end analytical projects, from scoping to presentation.  
Excellent communication and collaboration skills, including translating data insights for business stakeholders.  
Bachelor’s degree in a quantitative or technical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1">
      <c r="A21" t="inlineStr">
        <is>
          <t>in-44c57808e52e2e76</t>
        </is>
      </c>
      <c r="B21" t="inlineStr">
        <is>
          <t>AppleCare Data Engineer</t>
        </is>
      </c>
      <c r="C21" t="inlineStr">
        <is>
          <t>Apple</t>
        </is>
      </c>
      <c r="D21" t="inlineStr">
        <is>
          <t>indeed</t>
        </is>
      </c>
      <c r="E21" t="inlineStr"/>
      <c r="F21" t="inlineStr"/>
      <c r="G21" t="inlineStr">
        <is>
          <t>Austin, TX, US</t>
        </is>
      </c>
      <c r="H21" s="2" t="n">
        <v>46027</v>
      </c>
      <c r="I21" t="inlineStr">
        <is>
          <t>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**Preferred Qualifications**  
Hands\-on experience with Snowpark, PySpark, and streaming/interactive visualization tools such as Streamlit or Plotly.  
Background in SMB, product, or service analytics, including service performance, warranty trends, and support operations.  
Applied experience with software engineering workflows, including Git, CI/CD, and producing maintainable, well\-documented code.  
Experience developing custom Tableau extensions or deploying LLM\-powered analytics systems.  
Strong experience in storytelling with data, translating complex analyses into actionable recommendations for leadership.  
Familiarity with large\-scale data platforms and scalable analytical pipelines.  
Master's degree in a quantitative or technical discipline.  
**Minimum Qualifications**  
7\+ years of applied experience in data science, business analytics, or business intelligence roles.  
Strong proficiency in SQL and R/Python (pandas, NumPy, scikit\-learn).  
Experience with data modeling, transformation, and analytics frameworks such as Snowflake.  
Skilled in building data visualizations using Tableau, and presenting insights to diverse audiences.  
Strong foundation in statistical analysis, including hypothesis testing and confidence intervals.  
Experience delivering end\-to\-end analytical projects, from scoping to presentation.  
Excellent communication and collaboration skills, including translating data insights for business stakeholders.  
Bachelor’s degree in a quantitative or technical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2">
      <c r="A22" t="inlineStr">
        <is>
          <t>in-7fd2007ccd2dc27f</t>
        </is>
      </c>
      <c r="B22" t="inlineStr">
        <is>
          <t>Software Developer/Data Engineer - Apple Music</t>
        </is>
      </c>
      <c r="C22" t="inlineStr">
        <is>
          <t>Apple</t>
        </is>
      </c>
      <c r="D22" t="inlineStr">
        <is>
          <t>indeed</t>
        </is>
      </c>
      <c r="E22" t="inlineStr"/>
      <c r="F22" t="inlineStr"/>
      <c r="G22" t="inlineStr">
        <is>
          <t>Cupertino, CA, US</t>
        </is>
      </c>
      <c r="H22" s="2" t="n">
        <v>46027</v>
      </c>
      <c r="I22" t="inlineStr">
        <is>
          <t>This team is more than a group of engineers \- it’s a group of music lovers. That passion has made Apple Music the world’s most complete music experience, with over 60 million songs, thousands of playlists, and daily selections from music experts for 115 countries. The team’s data\-driven engineers focus relentlessly on the customer experience by running worldwide experiments and analyzing usage and latency, while collaborating with Apple’s product groups. As a result, someone can use the Shazam app to identify an intriguing song in a café in the morning, add it to their playlist from Apple Watch, listen to it through their AirPods on their commute, and share it with their family on HomePod at dinnertime. And there’s more where that came from, because personalization powered by machine learning and music science helps listeners discover more of what they love. Apple Music is a huge part of Apple’s business because it’s a big part of people’s lives.  
**Description**  
We are seeking a hardworking, performance\-savvy, engineer to build out the big data platform and services, which power many of these customer features \- existing and new. As a core member of the Data Engineering team you will be responsible for designing and implementing features that rely on processing and serving very large datasets with an awareness of scalability. This will include crafting systems to model, ingest, process and compute large\-scale, mission\-critical data across Apple Music. High\-throughput and reliability are essential. The computed datasets are produced for internal reporting used by executives and they are also shared across many teams within the ASE organization, such as the Search team, Recommendation team, AB team, Marketing team. You will also enjoy the benefits of working in a fast growing business where you are encouraged to “Think Different” to solve very interesting technical challenges and where your efforts play a key role in the success of Apple’s business. This is your opportunity to help engineer highly visible global\-scale systems with petabytes of data, supporting hundreds of millions of users. Come join us to help deliver the next amazing Apple product!","responsibilities":"Lead technical discussions with engineering teams, data scientists, and business stakeholders to define data requirements and drive the execution of complex projects.  
Take ownership of the full software development lifecycle: architecting, designing, implementing, and testing highly scalable and efficient data processing pipelines.  
Create technical design documents and drive consensus across stakeholders.  
Work with our QA and SRE teams to establish and meet quality and reliability goals.  
Design, implement and support highly scalable data systems and services  
Build large\-scale data pipelines, including data ingest from various sources to feed batch and near\-realtime or streaming compute components  
Drive innovation and explore new technologies to improve our data infrastructure.  
Represent our team in meetings and drive consensus across participants.  
Create reusability across our features and our engineering stack e.g. utilising standard libraries and contributing to their development.  
Mentor junior engineers on the team, fostering a culture of technical excellence, and elevating the team’s capabilities through code reviews and design guidance.  
**Preferred Qualifications**  
Experience with Apache Iceberg tables  
Experience with Apache Beam  
Familiarity with Docker and Kubernetes  
Familiarity with Apache Airflow  
**Minimum Qualifications**  
Bachelor’s degree in Engineering, Computer Science, Business Information Systems, or related field  
At least 5\+ years relevant industry experience  
Proficiency and hands\-on experience in at least one of Java or Scala.  
Experience with Apache Flink or Spark  
Skilled at writing clean, performant and well\-tested code, as well as reviewing and debugging existing code.  
Solid Computer Science fundamentals, including algorithms and data structures.  
A strong command of distributed data processing fundamentals and patterns (e.g., partitioning, data locality, distributed consensus).  
Excellent communication skills, with the ability to articulate complex technical designs and concepts to both technical and non\-technical stakeholders.  
Good critical thinking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3">
      <c r="A23" t="inlineStr">
        <is>
          <t>in-12b3580058881b5a</t>
        </is>
      </c>
      <c r="B23" t="inlineStr">
        <is>
          <t>Sr. Data Engineer, iCloud</t>
        </is>
      </c>
      <c r="C23" t="inlineStr">
        <is>
          <t>Apple</t>
        </is>
      </c>
      <c r="D23" t="inlineStr">
        <is>
          <t>indeed</t>
        </is>
      </c>
      <c r="E23" t="inlineStr"/>
      <c r="F23" t="inlineStr"/>
      <c r="G23" t="inlineStr">
        <is>
          <t>Austin, TX, US</t>
        </is>
      </c>
      <c r="H23" s="2" t="n">
        <v>46027</v>
      </c>
      <c r="I23" t="inlineStr">
        <is>
          <t>Would you like to drive the future of Apple’s products, applications, and platform while having the unique opportunity to impact some of the most far\-reaching software applications in the world? iCloud Data organization enables Apple to ship better products for iCloud users to access all their content across apps (Photos, Mail, Messages, FaceTime, Calendar etc) from all of their devices all the time by providing consistent, scalable, timely, accurate, complete and fully integrated data infrastructure and capabilities to accurately surface relevant information. If this excites you and you are energized by solving hard, high\-leverage problems at scale, we'd love to hear from you! We’re looking for exceptional data engineers who have a strong background in distributed data processing, have great and demonstrable data intuition, and share our passion for continuously improving the ways we use data to make the Apple’s products, applications, and platform better.  
**Description**  
What you will do: Engineer efficient, adaptable and scalable data pipelines to process structured and unstructured data Own and evolve extremely rich datasets on iCloud products and platform interactions to power a wide variety of use cases Build forward\-looking data solutions that interface well with existing systems and use judgement to bring cutting edge technologies in the industry to suit iCloud needs Understand how key technical decisions will drive business outcomes and deliver/aid data frameworks and platforms that improve delivery with high\-quality to those outcomes by partnering with cross functional teams Join a stunning team of data experts with diverse skill set, and deliver excellent solutions that better enable our decision\-making process  
**Preferred Qualifications**  
Experience with Cloud Computing platforms like Amazon AWS, Google Cloud  
Experience with building stream\-processing applications using Apache Flink, Spark\-Streaming, Apache Storm, Kafka Streams or others  
Experience with Search systems (such as ElasticSearch, Solr), NoSQL datastores (such as HBase, Cassandra, MongoDB)  
Experience building distributed, high\-volume data services is a plus  
**Minimum Qualifications**  
8\+ years of experience working with Spark and other distributed data technologies (e.g. Hadoop, Presto, Flink, Druid) for building efficient \&amp; large scale data pipelines  
Highly proficient in at least one of Java, Python or Scala  
Deep expertise in Data Principles, Data Architecture \&amp; Data Modeling, Strong SQL skills  
Strong problem solver with meticulous attention to detail, capable of taking on loosely defined problems  
Experience working in a complex, matrixed organization involving cross\-functional, and/or cross\-business projects  
Strong communication and collaboration skills \&amp; ability to lead high\-level discussions on technology strategy and approach  
Conceptually familiar with AWS cloud resources (S3, EC2, RDS etc)  
MS or BS or equivalent experience in Computer Science, Engineering, Mathematics, Statistics or a related field OR equivalent practical experience in Software or Data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4">
      <c r="A24" t="inlineStr">
        <is>
          <t>in-25b82acf2e11d767</t>
        </is>
      </c>
      <c r="B24" t="inlineStr">
        <is>
          <t>Sr. Data Engineer, iCloud</t>
        </is>
      </c>
      <c r="C24" t="inlineStr">
        <is>
          <t>Apple</t>
        </is>
      </c>
      <c r="D24" t="inlineStr">
        <is>
          <t>indeed</t>
        </is>
      </c>
      <c r="E24" t="inlineStr"/>
      <c r="F24" t="inlineStr"/>
      <c r="G24" t="inlineStr">
        <is>
          <t>Austin, TX, US</t>
        </is>
      </c>
      <c r="H24" s="2" t="n">
        <v>46027</v>
      </c>
      <c r="I24" t="inlineStr">
        <is>
          <t>Would you like to drive the future of Apple’s products, applications, and platform while having the unique opportunity to impact some of the most far\-reaching software applications in the world? iCloud Data organization enables Apple to ship better products for iCloud users to access all their content across apps (Photos, Mail, Messages, FaceTime, Calendar etc) from all of their devices all the time by providing consistent, scalable, timely, accurate, complete and fully integrated data infrastructure and capabilities to accurately surface relevant information. If this excites you and you are energized by solving hard, high\-leverage problems at scale, we'd love to hear from you! We’re looking for exceptional data engineers who have a strong background in distributed data processing, have great and demonstrable data intuition, and share our passion for continuously improving the ways we use data to make the Apple’s products, applications, and platform better.  
**Description**  
What you will do: Engineer efficient, adaptable and scalable data pipelines to process structured and unstructured data Own and evolve extremely rich datasets on iCloud products and platform interactions to power a wide variety of use cases Build forward\-looking data solutions that interface well with existing systems and use judgement to bring cutting edge technologies in the industry to suit iCloud needs Understand how key technical decisions will drive business outcomes and deliver/aid data frameworks and platforms that improve delivery with high\-quality to those outcomes by partnering with cross functional teams Join a stunning team of data experts with diverse skill set, and deliver excellent solutions that better enable our decision\-making process  
**Preferred Qualifications**  
Experience with Cloud Computing platforms like Amazon AWS, Google Cloud  
Experience with building stream\-processing applications using Apache Flink, Spark\-Streaming, Apache Storm, Kafka Streams or others  
Experience with Search systems (such as ElasticSearch, Solr), NoSQL datastores (such as HBase, Cassandra, MongoDB)  
Experience building distributed, high\-volume data services is a plus  
**Minimum Qualifications**  
8\+ years of experience working with Spark and other distributed data technologies (e.g. Hadoop, Presto, Flink, Druid) for building efficient \&amp; large scale data pipelines  
Highly proficient in at least one of Java, Python or Scala  
Deep expertise in Data Principles, Data Architecture \&amp; Data Modeling, Strong SQL skills  
Strong problem solver with meticulous attention to detail, capable of taking on loosely defined problems  
Experience working in a complex, matrixed organization involving cross\-functional, and/or cross\-business projects  
Strong communication and collaboration skills \&amp; ability to lead high\-level discussions on technology strategy and approach  
Conceptually familiar with AWS cloud resources (S3, EC2, RDS etc)  
MS or BS or equivalent experience in Computer Science, Engineering, Mathematics, Statistics or a related field OR equivalent practical experience in Software or Data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5">
      <c r="A25" t="inlineStr">
        <is>
          <t>in-0ac825b2bb2d1bc3</t>
        </is>
      </c>
      <c r="B25" t="inlineStr">
        <is>
          <t>Data Engineer - Camera Intelligence</t>
        </is>
      </c>
      <c r="C25" t="inlineStr">
        <is>
          <t>Apple</t>
        </is>
      </c>
      <c r="D25" t="inlineStr">
        <is>
          <t>indeed</t>
        </is>
      </c>
      <c r="E25" t="inlineStr"/>
      <c r="F25" t="inlineStr"/>
      <c r="G25" t="inlineStr">
        <is>
          <t>Cupertino, CA, US</t>
        </is>
      </c>
      <c r="H25" s="2" t="n">
        <v>46027</v>
      </c>
      <c r="I25" t="inlineStr">
        <is>
          <t>Imagine the possibilities here. At Apple, new ideas swiftly transform into extraordinary products, services, and customer experiences. With passion and dedication, you can achieve remarkable things. Here, dynamic and hardworking individuals, coupled with inspiring and innovative technologies, are the norm.  
Our passion for innovation extends beyond our products to our practices, solidifying our commitment to leaving the world better than we found it. Join us in delivering the next groundbreaking Apple product.  
Are you passionate about tackling unsolved challenges? As a member of our dynamic group, you’ll have the unique and rewarding opportunity to design upcoming products that will delight and inspire millions of Apple’s customers daily.  
Are you passionate about building products that harness the power of artificial intelligence, machine learning, and computer vision? Do you have the expertise to apply cutting\-edge knowledge to create innovative AI camera features for Apple’s products, such as the iPhone or iPad? If you’re an exceptional data engineer, the Camera Intelligence team is seeking you to join us in building our next generation of camera features.  
**Description**  
We are seeking a Data Engineer to join our team to leverage the potential of artificial intelligence in Apple's cameras. In this highly collaborative role, you will partner with data collection/annotation teams, ML researchers, and camera feature teams to integrate models, design data pipelines, and shape the data requirements for next\-generation camera intelligence features. An ideal candidate should possess experience with modern machine learning workflows, a solid grasp of deep learning and the data requirements of modern network architectures.","responsibilities":"Work and communicate cross functionally with ML researcher and annotation teams.  
Drive our ML data efforts.  
Design and implement data pipelines.  
Support our model selection process.  
**Preferred Qualifications**  
Deep understanding of concurrency, parallelism, and working with S3\-like object storage systems  
Experience with efficient data storage formats for ML workflows (LMDB, HDF5, Parquet, or similar)  
Experience building ETL pipelines for image/video datasets and ML training workflows.  
**Minimum Qualifications**  
Excellent written and verbal communication skills.  
Proven ability to collaborate across multiple teams including data collection/annotation, ML researchers, and camera feature teams.  
Strong programming skills in Python with hands\-on experience with Dask for distributed data processing  
Familiarity with ML frameworks (TensorFlow, PyTorch) and modern deep learning architectures  
Understanding of imaging fundamentals: raw sensor data, ISP outputs, color spaces, and image quality metrics.  
Ability to work independently and resolve infrastructure challenges with minimal support.  
Bachelor's degree in Computer Science, Engineering, or related field with relevant experience in data engineering and computer vision/imaging domains.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6">
      <c r="A26" t="inlineStr">
        <is>
          <t>in-67c40a51401ca8ec</t>
        </is>
      </c>
      <c r="B26" t="inlineStr">
        <is>
          <t>Senior Data Engineering Manager, WW Channel Sales</t>
        </is>
      </c>
      <c r="C26" t="inlineStr">
        <is>
          <t>Apple</t>
        </is>
      </c>
      <c r="D26" t="inlineStr">
        <is>
          <t>indeed</t>
        </is>
      </c>
      <c r="E26" t="inlineStr"/>
      <c r="F26" t="inlineStr"/>
      <c r="G26" t="inlineStr">
        <is>
          <t>Austin, TX, US</t>
        </is>
      </c>
      <c r="H26" s="2" t="n">
        <v>46027</v>
      </c>
      <c r="I26" t="inlineStr">
        <is>
          <t>Imagine what you could do here. At Apple, new ideas have a way of becoming outstanding products, services, and customer experiences very quickly. Bring passion and dedication to your job, and there's no telling what you could accomplish!  
Apple’s Sales organization generates the revenue needed to fuel our ongoing development of products and services. This in turn, enriches the lives of hundreds of millions of people around the world.  
The WW Channel Sales organization at Apple is redefining how data, intelligence, and design come together to empower decision\-making at scale. This role is ideal for a data engineering leader who combines deep technical expertise with a passion for clarity, craftsmanship, and impact at scale.  
**Description**  
As a Senior Data Engineering Manager for the Expert Platform, you will lead the team that builds the data foundation behind Apple’s next\-generation decision support systems \- powering predictive coverage, experimentation, LLM based insights and intelligence. You’ll collaborate with world\-class engineers, data scientists, and business leaders to design AI\-native data architectures that turn millions of signals into meaningful, human\-centric decisions. ","responsibilities":"Own and evolve the data backbone for the decision intelligence platform with Expert Data Management system \- that ingests and curates sales programs data..ensuring scalability, quality, and usability across global channel datasets.  
Design and lead data models, pipelines, and APIs that power predictive, prescriptive, and experimental decision tools used by Apple’s sales programs decision makers  
Partner closely with tech infra and data teams to define data requirements, unify source systems, and accelerate data readiness for new features.  
Champion automation, observability, and performance \- ensuring the platform delivers reliable, real\-time insights with minimal latency.  
Enable cross\-functional integration of data across merchandising, staffing, and training programs, aligning architecture with Apple’s data privacy and security principles.  
Mentor and grow a high\-performing team of data engineers and analysts; foster a culture of technical excellence, creativity, and collaboration.  
Drive innovation in AI\-native data architecture \- including streaming, feature stores, model\-serving infrastructure, and feedback loops.  
Collaborate on capability security: ensuring data resilience, model reproducibility, and end\-to\-end lineage for trusted decisions.  
**Preferred Qualifications**  
Experience within a consumer tech, retail, or channel organization.  
Exposure to decision intelligence, causal inference, or applied machine learning.  
Familiarity with Apple’s data privacy and data sharing standards.  
Experience working in hybrid data\-product environments, supporting both operational and strategic decision layers.  
Advanced degrees or certifications in data architecture, AI systems, or cloud platforms are a plus.  
**Minimum Qualifications**  
15\+ years experience in data engineering or architecture roles, with 5\+ years experience managing engineering teams at scale.  
Proven experience building large\-scale distributed data systems (Spark, Databricks, Kafka, Airflow, Snowflake, etc.) in a production environment.  
Deep understanding of data modeling, ETL/ELT frameworks, and ML data pipelines.  
Strong fluency in SQL, Python, and cloud data ecosystems (GCP/AWS).  
Track record of translating complex data into decision\-ready structures that power business outcomes.  
Familiarity with AI/ML feature engineering, experiment tracking, and data versioning.  
Excellent cross\-functional communication skills; proven ability to partner with product, engineering, and business leaders to prioritize and deliver with clarity.  
A design\-minded approach \- valuing simplicity, trust, and user empathy as much as performance.  
BS/MS in Computer Science, Data Engineering, or related technical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7">
      <c r="A27" t="inlineStr">
        <is>
          <t>in-eb21646025561dd1</t>
        </is>
      </c>
      <c r="B27" t="inlineStr">
        <is>
          <t>Senior Data Engineering Manager, WW Channel Sales</t>
        </is>
      </c>
      <c r="C27" t="inlineStr">
        <is>
          <t>Apple</t>
        </is>
      </c>
      <c r="D27" t="inlineStr">
        <is>
          <t>indeed</t>
        </is>
      </c>
      <c r="E27" t="inlineStr"/>
      <c r="F27" t="inlineStr"/>
      <c r="G27" t="inlineStr">
        <is>
          <t>Austin, TX, US</t>
        </is>
      </c>
      <c r="H27" s="2" t="n">
        <v>46027</v>
      </c>
      <c r="I27" t="inlineStr">
        <is>
          <t>Imagine what you could do here. At Apple, new ideas have a way of becoming outstanding products, services, and customer experiences very quickly. Bring passion and dedication to your job, and there's no telling what you could accomplish!  
Apple’s Sales organization generates the revenue needed to fuel our ongoing development of products and services. This in turn, enriches the lives of hundreds of millions of people around the world.  
The WW Channel Sales organization at Apple is redefining how data, intelligence, and design come together to empower decision\-making at scale. This role is ideal for a data engineering leader who combines deep technical expertise with a passion for clarity, craftsmanship, and impact at scale.  
**Description**  
As a Senior Data Engineering Manager for the Expert Platform, you will lead the team that builds the data foundation behind Apple’s next\-generation decision support systems \- powering predictive coverage, experimentation, LLM based insights and intelligence. You’ll collaborate with world\-class engineers, data scientists, and business leaders to design AI\-native data architectures that turn millions of signals into meaningful, human\-centric decisions. ","responsibilities":"Own and evolve the data backbone for the decision intelligence platform with Expert Data Management system \- that ingests and curates sales programs data..ensuring scalability, quality, and usability across global channel datasets.  
Design and lead data models, pipelines, and APIs that power predictive, prescriptive, and experimental decision tools used by Apple’s sales programs decision makers  
Partner closely with tech infra and data teams to define data requirements, unify source systems, and accelerate data readiness for new features.  
Champion automation, observability, and performance \- ensuring the platform delivers reliable, real\-time insights with minimal latency.  
Enable cross\-functional integration of data across merchandising, staffing, and training programs, aligning architecture with Apple’s data privacy and security principles.  
Mentor and grow a high\-performing team of data engineers and analysts; foster a culture of technical excellence, creativity, and collaboration.  
Drive innovation in AI\-native data architecture \- including streaming, feature stores, model\-serving infrastructure, and feedback loops.  
Collaborate on capability security: ensuring data resilience, model reproducibility, and end\-to\-end lineage for trusted decisions.  
**Preferred Qualifications**  
Experience within a consumer tech, retail, or channel organization.  
Exposure to decision intelligence, causal inference, or applied machine learning.  
Familiarity with Apple’s data privacy and data sharing standards.  
Experience working in hybrid data\-product environments, supporting both operational and strategic decision layers.  
Advanced degrees or certifications in data architecture, AI systems, or cloud platforms are a plus.  
**Minimum Qualifications**  
15\+ years experience in data engineering or architecture roles, with 5\+ years experience managing engineering teams at scale.  
Proven experience building large\-scale distributed data systems (Spark, Databricks, Kafka, Airflow, Snowflake, etc.) in a production environment.  
Deep understanding of data modeling, ETL/ELT frameworks, and ML data pipelines.  
Strong fluency in SQL, Python, and cloud data ecosystems (GCP/AWS).  
Track record of translating complex data into decision\-ready structures that power business outcomes.  
Familiarity with AI/ML feature engineering, experiment tracking, and data versioning.  
Excellent cross\-functional communication skills; proven ability to partner with product, engineering, and business leaders to prioritize and deliver with clarity.  
A design\-minded approach \- valuing simplicity, trust, and user empathy as much as performance.  
BS/MS in Computer Science, Data Engineering, or related technical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8">
      <c r="A28" t="inlineStr">
        <is>
          <t>in-1a64f85b12d81e81</t>
        </is>
      </c>
      <c r="B28" t="inlineStr">
        <is>
          <t>Senior Data Engineer - BPR Insights, Enterprise Technology Services</t>
        </is>
      </c>
      <c r="C28" t="inlineStr">
        <is>
          <t>Apple</t>
        </is>
      </c>
      <c r="D28" t="inlineStr">
        <is>
          <t>indeed</t>
        </is>
      </c>
      <c r="E28" t="inlineStr"/>
      <c r="F28" t="inlineStr"/>
      <c r="G28" t="inlineStr">
        <is>
          <t>Elk Grove, CA, US</t>
        </is>
      </c>
      <c r="H28" s="2" t="n">
        <v>46027</v>
      </c>
      <c r="I28" t="inlineStr">
        <is>
          <t>Are you a Senior Data Engineer with a passion for very large data sets analytics and can provide solutions to real business problems? Or perhaps you thrive on performing data discovery and creating proof of concepts? Do you want to be part of an energetic team critical to the success of Apple? We are looking for a Senior Data Engineer that can quickly summarize complex problems, and soar in a dynamic, high\-energy environment. Your rock solid integrity, teamwork and ability to work independently are valued and encouraged. Having the ability to quantify your decisions, critical thinking and using your gut instinct are all key qualities that make our Analytics Team successful and fun!  
**Description**  
The Insight Analytics Engineering team serves as Apple's central data manufacturing analytics needs, designing and maintaining enterprise\-scale data pipelines and real\-time analytics platforms that process petabytes of data daily. We partner with all business functions\-from Hardware Engineering. Operations, AppleCare \-delivering custom data engineering solutions, self\-service analytics tools, and automated reporting systems that enable data\-driven decision making.","responsibilities":"Design, develop and maintain robust pipelines to support various LOBs analytics needs in multi\-petabyte cloud environment.  
Perform in\-depth analysis on our Analytics platform to help solve hard business questions.  
Developing maintain data models and architecture to support analytics reporting.  
Work side by side with exceptional people that run, optimize and scale our environment and help to tell relevant stories with data.  
Stay ahead of the latest trends and technologies in data analytics, and cloud computing  
Perform complex data analytics in new and innovative ways and demonstrating your creativity to go beyond current tools to deliver amazing solutions.  
Work with high degree of independence, but supported by a broad technical team  
**Preferred Qualifications**  
Ability to work with various multi\-functional teams to gather input and provide guidance  
Ability to present information to peers and senior management  
Ability to bring creative, simple and logical approaches to complex problems  
Technical minded with the ability to learn new technologies  
**Minimum Qualifications**  
Bachelors/Masters in technical field (math, statistics, engineering, computer science, analytics, or similar)  
8\+ years of hands\-on experience with data analytics in large scale volumes in Cloud environment AWS and GCP.  
Experience with Spark, SQL, Iceberg, Trino and Big Data systems and tools  
Programming skills in Scala, Java, Python, Jupyter Notebook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9">
      <c r="A29" t="inlineStr">
        <is>
          <t>in-fb8d98a960a19df6</t>
        </is>
      </c>
      <c r="B29" t="inlineStr">
        <is>
          <t>Analytics Engineer</t>
        </is>
      </c>
      <c r="C29" t="inlineStr">
        <is>
          <t>Apple</t>
        </is>
      </c>
      <c r="D29" t="inlineStr">
        <is>
          <t>indeed</t>
        </is>
      </c>
      <c r="E29" t="inlineStr"/>
      <c r="F29" t="inlineStr"/>
      <c r="G29" t="inlineStr">
        <is>
          <t>CA, US</t>
        </is>
      </c>
      <c r="H29" s="2" t="n">
        <v>46027</v>
      </c>
      <c r="I29"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Do you have a strong passion for using data to drive business decisions, generate ideas, and encourage collaborators? As an Analytics Engineer on the Retail Store Analytics team, you will help build and maintain the analytic data pipelines that empower the analytics and reporting key to decision making across Retail. Leverage large and sophisticated data sources from across Apple to deliver data products.  
**Description**  
You will partner with multi\-functional teams to identify, develop, and maintain metrics and data pipelines to support analytics, reporting, and key decisions on a wide variety of topics including product launches, customer experience, and operational performance. Other responsibilities include the following:  
* Design, create, refine, and maintain data pipelines and ingestion processes used for modeling, analysis, and reporting.
* Collaborate with other data scientists, analysts, and engineers to build full\-service data solutions.
* Work with multi\-functional business partners and vendors to acquire and transform raw data sources.
* Develop a deep understanding of our retail customer base and purchase choices and give to the development of tools to improve business efficiency and productivity.","responsibilities":"Work with large volumes of data; extract and manipulate large datasets using tools such as SQL, dbt, command line and scripting languages.
Analyze data covering a wide range of information from financial reporting to device purchase patterns such as export and trader activity and identify new patterns through data mining.  
Design, develop, validate and maintain big data\-driven predictive models, tools and pipelines to improve device export predictions using the newest technologies in machine learning.  
Use data observability tools to develop and manage and automate testing, alerting and improve data quality.  
Collaborate with data science, product, and engineering groups to translate business needs into data requirements, work with production teams to handoff reporting requirements for data products and communicate sophisticated concepts and the results of the analyses in a clear and effective manner to business partners.  
Strong interactive data engineering experience, including using version control, release management, requirements gathering, data testing and documentation.  
**Preferred Qualifications**  
6\+ years of experience building analytics pipelines in production development environment, ideally with Snowflake SQL or PySpark, and pipeline tools like Airflow and dbt.  
3\+ years of experience in data observability building unit tests, anomaly detection and alerting solutions.  
3\+ years of experience developing feature stores for machine learning applications, testing and evaluating machine learning models and scaling and deploying ML models.  
Experience translating business needs into logic and key performance indicators.  
Experience with BI processes and some experience with dashboard tools like Tableau.  
Master's Degree in Computer Science, Electrical Engineering, Information Systems, Data Science or other Analytics field, or a related subject area with specialization in Machine Learning.  
**Minimum Qualifications**  
4\+ years of industry experience building analytics pipelines in a production development environment.  
Bachelor’s degree in Computer Science, Electrical Engineering, Information Systems, Data Science or other Analytics fields, or a related subject area, or equivalent industry experience.  
4\+ years experience coding in SQL or PySpark and Python.  
4\+ years in data modeling and building robust and scalable data processes and pipelines for modeling, analysis, and reporting.  
Ability to initiate, refine, and complete projects with minimal guidance.  
Ability to think critically and collaborate multi\-functionally with other data engineering, data science and analytics partners distilling abstract requirements into clear data products.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0">
      <c r="A30" t="inlineStr">
        <is>
          <t>in-c050543d3ab1b8f5</t>
        </is>
      </c>
      <c r="B30" t="inlineStr">
        <is>
          <t>Software Readiness/Data Engineer, Enterpise Technology Services</t>
        </is>
      </c>
      <c r="C30" t="inlineStr">
        <is>
          <t>Apple</t>
        </is>
      </c>
      <c r="D30" t="inlineStr">
        <is>
          <t>indeed</t>
        </is>
      </c>
      <c r="E30" t="inlineStr"/>
      <c r="F30" t="inlineStr"/>
      <c r="G30" t="inlineStr">
        <is>
          <t>Elk Grove, CA, US</t>
        </is>
      </c>
      <c r="H30" s="2" t="n">
        <v>46027</v>
      </c>
      <c r="I30" t="inlineStr">
        <is>
          <t>Apple is a place where extraordinary people gather to do their best work. Just be ready to dream big! The people here at Apple don’t just build products \- they build the kind of wonder that’s revolutionized entire industries. It’s the diversity of those people and their ideas that encourages the innovation that runs through everything we do, from amazing technology to industry\-leading environmental efforts. Join Apple, and help us leave the world better than we found it. Imaging what you could do here! At Apple, creative ideas have a way of becoming wonderful products, services, and customer experiences very quickly. Bring passion and dedication to your job and there’s no telling what you could accomplish. Essential Fucntions Resolve technical and non\-technical issues through tickets, from understanding user problems to giving solutions and documenting root cause analysis. Effectively communicate to both technical and non\-technical customers the progress of the ticket. Identify and guide teams to understand users issue and help teams come up with solutions to address the concern. Collaborate with cross functional teams to fix issues like bugs and data quality. Ensure customer success through timely issue resolution, providing positive customer impact and experience. In this role you will be asked to lead through ambiguous tickets and issues on a big data system, working with cross functional teams on Apple’s manufacturing data platform. The expectation is that you will be able to independently drive ownership of the issue across all leadership levels of the business and provide guidance and direction when you may not have all the facts or data points. Teams across the organization are relying on the solutions we provide to make critical decisions with system availability being paramount to the success of many groups throughout the company, and with the ability to work weekends and holidays as required.  
**Description**  
Customer\-oriented mindset with a focus on delivering quality support and ensuring high customer satisfaction Interact with end\-users to understand, clarify, and document issues, as well as to provide updates on issue resolution progress. Excellent communication skills to convey technical information to both technical and non\-technical stakeholders. Conducts research to understand how the organization functions and where it can improve. Being able to analyze this information and form a hypothesis of organization weaknesses and how to fix them. Prepares reports with excel or Similar tools. L2/L3 support on large enterprise applications with advance troubleshooting and root cause analysis. Stays current with latest trends in manufacturing and operations in industries and applies them to existing business models Travels to different job locations as required to maximize business knowledge and user feedback. Analyze and interpret data to support business in decision\-making, ensuring data accuracy and integrity. Performs requirements gathering for overall improvement of platform. Creates documentation for SOPs and process flows. Collaborate with the testing team to ensure that testing efforts align with business requirements and participate in user acceptance testing (UAT) and facilitate user feedback. Works with members of own team to offer different ideas Clarifies strategic and operational problems / successes / failures with management Implement strategies for gathering, reviewing and analyzing data to see the trend and patterns.  
**Preferred Qualifications**  
Python Scripting experience.  
Working knowledge on Linux Operating System and Unix/Shell Scripting.  
Experience with Tableau (or other similar reporting tools) for data Visualisation and reporting.  
**Minimum Qualifications**  
5\+ years of experience working in L2/L3 support on large enterprise applications with advanced troubleshooting and root cause analysis across multiple technologies.  
Exposure to cloud technologies.  
Programming work experience in writing complex Sql to extract Data from a large Databases.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1">
      <c r="A31" t="inlineStr">
        <is>
          <t>in-b5996b09552011bf</t>
        </is>
      </c>
      <c r="B31" t="inlineStr">
        <is>
          <t>Machine Learning Infrastructure and Data Engineer</t>
        </is>
      </c>
      <c r="C31" t="inlineStr">
        <is>
          <t>Apple</t>
        </is>
      </c>
      <c r="D31" t="inlineStr">
        <is>
          <t>indeed</t>
        </is>
      </c>
      <c r="E31" t="inlineStr"/>
      <c r="F31" t="inlineStr"/>
      <c r="G31" t="inlineStr">
        <is>
          <t>Sunnyvale, CA, US</t>
        </is>
      </c>
      <c r="H31" s="2" t="n">
        <v>46027</v>
      </c>
      <c r="I31" t="inlineStr">
        <is>
          <t>The Video Computer Vision organization is working on exciting technologies for future Apple products. Our team delivers computer vision and machine learning algorithms that power many Apple technologies human understanding and human intelligence algorithms with applications for digital humans, health and AI. In this role, you will work closely with our team of experts in computer graphics, computer vision and machine learning to develop robust ML infrastructure for solving large\-scale data challenges to help deliver new algorithms for Apple products and bring high impact to millions of users.  
**Description**  
Join us as an ML Infrastructure Engineer and become the architect behind the data pipelines that power tomorrow's breakthrough AI/ML innovations. You'll be the critical link between ambitious algorithmic vision and real\-world implementation\-building the robust, scalable infrastructure that turns cutting\-edge research into production\-ready systems. We don't just use tools\-we build them. You'll have complete ownership of the infrastructure that fuels our ML algorithms from conception to deployment, designing and orchestrating distributed compute systems that process massive datasets at scales few engineers ever encounter. Working shoulder\-to\-shoulder with AIML researchers and engineers in a small, agile team, you'll drive the creation of scalable infrastructure for ground truth data delivery, orchestrate massive distributed compute tasks across petabyte\-scale datasets, develop novel validation frameworks, and help define strategic data collection approaches that push the boundaries of what's achievable. Your contributions won't just support algorithms\-they'll directly shape product direction, unlock entirely new AI/ML capabilities, and define what's possible at Apple.  
**Preferred Qualifications**  
MS or PhD computer science or related discipline, or 5\+ years of related industry experience.  
Excellent communication and experience working with multi\-functional teams.  
Passion for delivering high quality software to end\-users.  
Experience with machine learning model development lifecycle, including data preprocessing, model training, evaluation, and deployment.  
**Minimum Qualifications**  
BS and a minimum of 3 years relevant industry experience  
Experience processing large, complex, unstructured data.  
Software engineering skills with extensive experience in Python.  
Self\-motivated, with an ability to drive projects from concept to production, balancing requirements with technical quality and development timelines.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2">
      <c r="A32" t="inlineStr">
        <is>
          <t>in-d640b4bda6a782fc</t>
        </is>
      </c>
      <c r="B32" t="inlineStr">
        <is>
          <t>AIML - Senior Data Engineer, Machine Learning Platform Technologies</t>
        </is>
      </c>
      <c r="C32" t="inlineStr">
        <is>
          <t>Apple</t>
        </is>
      </c>
      <c r="D32" t="inlineStr">
        <is>
          <t>indeed</t>
        </is>
      </c>
      <c r="E32" t="inlineStr"/>
      <c r="F32" t="inlineStr"/>
      <c r="G32" t="inlineStr">
        <is>
          <t>Seattle, WA, US</t>
        </is>
      </c>
      <c r="H32" s="2" t="n">
        <v>46027</v>
      </c>
      <c r="I32" t="inlineStr">
        <is>
          <t>Join us in building the machine learning platform that enables teams at Apple to build Apple Intelligence and many other intelligent experiences across hardware, software and service products.  
As a Machine Learning Data Platform Engineer, you'll design and build the scalable dataset management platform that enables teams across Apple to discover, curate, version, share, process, and consume ML datasets with enterprise\-grade compliance and governance.  
We're looking for an engineer with deep expertise in big data infrastructure and a passion for building platforms that make ML practitioners more productive. You'll work at the intersection of large\-scale data systems, ML workflows, and data governance.  
**Description**  
In this role, you'll be architecting and building Apple's next\-generation ML dataset management platform. This platform enables ML teams across the company to efficiently manage the full lifecycle of datasets, from initial curation and annotation through versioning, model training and evaluation, sharing, and compliance.  
You'll design scalable infrastructure that supports dataset operations at massive scale while maintaining strong governance guarantees. Your work will include building data lineage tracking systems, implementing automated compliance workflows, creating intuitive APIs and SDKs for dataset access, and ensuring seamless integration with ML training and evaluation pipelines,  
You'll collaborate with teams building customer\-facing ML features across iOS, macOS, and other Apple platforms, as well as compute infrastructure teams and ML framework owners. Your platform work directly enables the ML innovations that millions of customers experience daily. This role offers the opportunity to have broad impact across Apple's ML initiatives and to shape how thousands of ML practitioners build the intelligent experiences our customers love.  
**Preferred Qualifications**  
Hands\-on experience curating or managing datasets for production ML models  
Experience with data cataloging systems, metadata platforms, MLOps tools, or ML training frameworks  
Knowledge of privacy\-preserving technologies and data quality/validation frameworks  
**Minimum Qualifications**  
Bachelor's degree in Computer Science, related field, or equivalent practical experience.  
10\+ years building and scaling data infrastructure for petabyte\-scale ML workloads with high reliability  
Deep expertise in modern data technologies (Apache Iceberg, Spark, S3, distributed systems), data modeling, schema evolution, and efficient storage formats (Parquet, Arrow, ORC)  
Experience building data pipelines that handle diverse ML data types: structured/tabular data, unstructured media (images, video, audio), embeddings, and multimodal datasets  
Proven track record building dataset management systems including versioning, metadata management, discovery, and integration with production ML training pipelines  
Experience designing data governance frameworks including lineage tracking, access control, retention policies, and compliance workflows  
Experience with cloud platforms (AWS, GCP, Azure) and container orchestration (Kubernetes)  
Strong cross\-functional collaboration skills to understand diverse stakeholder needs and articulate technical decisions across ML engineering, data science, legal, and product teams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3">
      <c r="A33" t="inlineStr">
        <is>
          <t>in-d73fcbd139a7d334</t>
        </is>
      </c>
      <c r="B33" t="inlineStr">
        <is>
          <t>Health Sensing Data Engineer</t>
        </is>
      </c>
      <c r="C33" t="inlineStr">
        <is>
          <t>Apple</t>
        </is>
      </c>
      <c r="D33" t="inlineStr">
        <is>
          <t>indeed</t>
        </is>
      </c>
      <c r="E33" t="inlineStr"/>
      <c r="F33" t="inlineStr"/>
      <c r="G33" t="inlineStr">
        <is>
          <t>San Diego, CA, US</t>
        </is>
      </c>
      <c r="H33" s="2" t="n">
        <v>46027</v>
      </c>
      <c r="I33" t="inlineStr">
        <is>
          <t>The Health Sensing HW team develops groundbreaking health sensors that are central to helping our customers live a healthier lifestyle.  
We are looking for a data engineer with a desire to innovate in the space of optical sensors and health sensing features, with a passion for data pipelines/infrastructure and software development. You will develop system models of one or more health sensors to assess the performance of the sensor and inform design decisions. You will create tools to consume data from cloud\-based databases, run data quality analyses, and root cause outliers. You will also be responsible for building tools to streamline the data analyses with existing DL/ML algorithms. You will work closely with internal and cross\-functional teams to tackle challenges involving sensors, algorithms, and user behavior, and you will play a key role in developing and quantifying the performance of hardware solutions to enable optical sensing features.  
**Description**  
The team you will join is responsible for designing and delivering health features for Apple's wearable devices. We are highly collaborative and partner with a variety of teams across Apple.","responsibilities":"Solicit and consolidate requirements from sensor engineers for algorithm evaluation, behavioral modeling, data quality analyses, outlier analyses, and factory data analysis tools. Develop and maintain these tools/codebases/pipelines and consolidate common blocks.  
Manage and analyze data from user studies to identify key behaviors and establish relevant dependencies.  
Produce / present meaningful data visualizations to the team.  
Evaluate the impact of design choices on engineering metrics; propose trade\-offs; and communicate the results and insights to cross\-functional teams.  
Maintain simulation code with best software engineering practices, optimize and refactor codebase when necessary for performance and readability.  
Use developed code to predict system/user performance across a range of operating conditions including HW/FW settings, user physiology, ambient conditions, etc.  
**Preferred Qualifications**  
Experience with unit test development.  
Collaborative and willing to work in cross\-functional fast\-paced technology development.  
Excellent written and verbal communications skills.  
MS, or PhD in Computer Science, Electrical Engineering, Physics, or related field with 2\+ years of relevant hands\-on experience.  
**Minimum Qualifications**  
Experience writing, debugging, and maintaining computer simulation code with strong software development skills, with proficiency in Python.  
Experience developing data analytics systems for early\-stage projects to help team learn about unknown dependencies.  
BS and a minimum of 3 years relevant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4">
      <c r="A34" t="inlineStr">
        <is>
          <t>in-ed1bfdd879c88f74</t>
        </is>
      </c>
      <c r="B34" t="inlineStr">
        <is>
          <t>Health Sensing Data Engineer</t>
        </is>
      </c>
      <c r="C34" t="inlineStr">
        <is>
          <t>Apple</t>
        </is>
      </c>
      <c r="D34" t="inlineStr">
        <is>
          <t>indeed</t>
        </is>
      </c>
      <c r="E34" t="inlineStr"/>
      <c r="F34" t="inlineStr"/>
      <c r="G34" t="inlineStr">
        <is>
          <t>San Diego, CA, US</t>
        </is>
      </c>
      <c r="H34" s="2" t="n">
        <v>46027</v>
      </c>
      <c r="I34" t="inlineStr">
        <is>
          <t>The Health Sensing HW team develops groundbreaking health sensors that are central to helping our customers live a healthier lifestyle.  
We are looking for a data engineer with a desire to innovate in the space of optical sensors and health sensing features, with a passion for data pipelines/infrastructure and software development. You will develop system models of one or more health sensors to assess the performance of the sensor and inform design decisions. You will create tools to consume data from cloud\-based databases, run data quality analyses, and root cause outliers. You will also be responsible for building tools to streamline the data analyses with existing DL/ML algorithms. You will work closely with internal and cross\-functional teams to tackle challenges involving sensors, algorithms, and user behavior, and you will play a key role in developing and quantifying the performance of hardware solutions to enable optical sensing features.  
**Description**  
The team you will join is responsible for designing and delivering health features for Apple's wearable devices. We are highly collaborative and partner with a variety of teams across Apple.","responsibilities":"Solicit and consolidate requirements from sensor engineers for algorithm evaluation, behavioral modeling, data quality analyses, outlier analyses, and factory data analysis tools. Develop and maintain these tools/codebases/pipelines and consolidate common blocks.  
Manage and analyze data from user studies to identify key behaviors and establish relevant dependencies.  
Produce / present meaningful data visualizations to the team.  
Evaluate the impact of design choices on engineering metrics; propose trade\-offs; and communicate the results and insights to cross\-functional teams.  
Maintain simulation code with best software engineering practices, optimize and refactor codebase when necessary for performance and readability.  
Use developed code to predict system/user performance across a range of operating conditions including HW/FW settings, user physiology, ambient conditions, etc.  
**Preferred Qualifications**  
Experience with unit test development.  
Collaborative and willing to work in cross\-functional fast\-paced technology development.  
Excellent written and verbal communications skills.  
MS, or PhD in Computer Science, Electrical Engineering, Physics, or related field with 2\+ years of relevant hands\-on experience.  
**Minimum Qualifications**  
Experience writing, debugging, and maintaining computer simulation code with strong software development skills, with proficiency in Python.  
Experience developing data analytics systems for early\-stage projects to help team learn about unknown dependencies.  
BS and a minimum of 3 years relevant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5">
      <c r="A35" t="inlineStr">
        <is>
          <t>in-f5d56d0172fcca24</t>
        </is>
      </c>
      <c r="B35" t="inlineStr">
        <is>
          <t>Lead Big Data Engineer - Wallet, Payments &amp; Commerce</t>
        </is>
      </c>
      <c r="C35" t="inlineStr">
        <is>
          <t>Apple</t>
        </is>
      </c>
      <c r="D35" t="inlineStr">
        <is>
          <t>indeed</t>
        </is>
      </c>
      <c r="E35" t="inlineStr"/>
      <c r="F35" t="inlineStr"/>
      <c r="G35" t="inlineStr">
        <is>
          <t>Austin, TX, US</t>
        </is>
      </c>
      <c r="H35" s="2" t="n">
        <v>46027</v>
      </c>
      <c r="I35"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Pay brought mobile payment to millions of customers, and it’s just the beginning! We are looking for engineers who enjoy both hands\-on technical work and designing thoughtful, scalable services for Wallet and Apple Pay. Our team’s vision is to be the engine of intelligent transformation, leveraging a unified, reliable data platform to build and deploy innovative and solutions that drive significant business impact and enable data\-driven decision\-making throughout the organization.  
**Description**  
We are seeking a pragmatic Senior Big Data Engineer to help build and optimize data, analytics, and ML enablement solutions. You will design and deliver privacy\-first, reliable, and quality\-focused data products and platforms that enable trusted, compliant data usage across the organization. You will collaborate with cross\-functional teams across time zones to ensure our data platforms meet the highest standards of trust, accuracy, and regulatory compliance.","responsibilities":"Instrument APIs, user journey, and interaction flows to systematically collect behavioral, transactional, and operational data, enabling robust analytics and insightful reporting.  
Design, develop, and maintain scalable data \&amp; ML pipelines and architectures for Wallet, Payments \&amp; Commerce products.  
Optimize data workflows and pipelines to enhance data processing efficiency and reliability.  
Design and implement automated data quality frameworks (data validation, continuous data quality, data profiling, anomaly detection, reconciliation, etc.).  
Develop and scale QA automation frameworks for data engineers, including reusable test suites for schema validation, pipeline regression, and performance benchmarking.  
Uphold the highest standards for user privacy, ensuring all data engineering practices and designs embed privacy by default and by design.  
Work closely with legal and compliance teams to anticipate and ensure continuous adherence to regulations and industry\-specific mandates  
Collaborate closely with a diverse set of partners to gather requirements, prioritize use cases, and ensure high\-quality data products delivery.  
**Preferred Qualifications**  
Experience authoring technical and instrumentation specs, and working with APIs and message schemas (MSDs).  
Proven ability to design reusable frameworks, tools, and automation to accelerate platform adoption.  
Hands\-on experience with distributed querying (Trino), real\-time analytics (OLAP), near\-real\-time processing (NRT), and data mesh architectures.  
Familiarity with Generative AI/LLM applications for test generation, anomaly detection, documentation automation, and privacy\-safe synthetic data creation.  
Demonstrated ability to mentor engineers in data quality, privacy, and compliance best practices.  
Experience in Fintech, Wallet, Payments, or Digital Commerce domains, including regulatory considerations.  
Track record of independent problem\-solving, sound technical judgment, and delivering impactful results at scale.  
**Minimum Qualifications**  
Bachelor’s degree in Computer Science or a related technical field or equivalent experience  
5\-10 years of experience in designing, developing, and deploying data engineering for analytics or ML \&amp; AI pipelines.  
Expertise with data governance, security protocols, and compliance in financial data systems.  
Strong proficiency in SQL, Scala, Python, or Java, with hands\-on experience in data pipeline tools (e.g., Apache Spark, Kafka, Airflow), CI/CD practices, and version control.  
Familiarity with cloud platforms (AWS, Azure, GCP) and data management and analytics tools like Snowflake, Databricks and Tableau.  
Strong understanding of data warehousing, data modeling (dimensional/star schemas), and metric standardization.  
Proven experience building data quality frameworks (validation, profiling, anomaly detection, synthetic data generation).  
In\-depth knowledge of privacy\-preserving techniques and compliance in financial systems.  
Excellent problem\-solving and analytical skills, with the ability to influence stakeholders and drive adoption of best practices.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6">
      <c r="A36" t="inlineStr">
        <is>
          <t>in-b883e6188af8aa9a</t>
        </is>
      </c>
      <c r="B36" t="inlineStr">
        <is>
          <t>Sr. Data Engineer, iCloud</t>
        </is>
      </c>
      <c r="C36" t="inlineStr">
        <is>
          <t>Apple</t>
        </is>
      </c>
      <c r="D36" t="inlineStr">
        <is>
          <t>indeed</t>
        </is>
      </c>
      <c r="E36" t="inlineStr"/>
      <c r="F36" t="inlineStr"/>
      <c r="G36" t="inlineStr">
        <is>
          <t>Austin, TX, US</t>
        </is>
      </c>
      <c r="H36" s="2" t="n">
        <v>46027</v>
      </c>
      <c r="I36" t="inlineStr">
        <is>
          <t>Would you like to drive the future of Apple’s products, applications, and platform while having the unique opportunity to impact some of the most far\-reaching software applications in the world? iCloud Data organization enables Apple to ship better products for iCloud users to access all their content across apps (Photos, Mail, Messages, FaceTime, Calendar etc) from all of their devices all the time by providing consistent, scalable, timely, accurate, complete and fully integrated data infrastructure and capabilities to accurately surface relevant information. If this excites you and you are energized by solving hard, high\-leverage problems at scale, we'd love to hear from you!  
**Description**  
We’re looking for exceptional data engineers who have a strong background in distributed data processing, have great and demonstrable data intuition, and share our passion for continuously improving the ways we use data to make the Apple’s products, applications, and platform better.  
Join a stunning team of data experts with diverse skill set, and deliver excellent solutions that better enable our decision\-making process","responsibilities":"What you will do:  
Engineer efficient, adaptable and scalable data pipelines to process structured and unstructured data  
Own and evolve extremely rich datasets on iCloud products and platform interactions to power a wide variety of use cases  
Build forward\-looking data solutions that interface well with existing systems and use judgement to bring cutting edge technologies in the industry to suit iCloud needs  
Understand how key technical decisions will drive business outcomes and deliver/aid data frameworks and platforms that improve delivery with high\-quality to those outcomes by partnering with cross functional teams  
**Preferred Qualifications**  
Experience with Cloud Computing platforms like Amazon AWS, Google Cloud  
Experience with building stream\-processing applications using Apache Flink, Spark\-Streaming, Apache Storm, Kafka Streams or others  
Experience with Search systems (such as ElasticSearch, Solr), NoSQL datastores (such as HBase, Cassandra, MongoDB)  
Experience building distributed, high\-volume data services is a plus  
**Minimum Qualifications**  
8\+ years of experience working with Spark and other distributed data technologies (e.g. Hadoop, Presto, Flink, Druid) for building efficient \&amp; large scale data pipelines  
Highly proficient in at least one of Java, Python or Scala  
Deep expertise in Data Principles, Data Architecture \&amp; Data Modeling, Strong SQL skills  
Strong problem solver with meticulous attention to detail, capable of taking on loosely defined problems  
Experience working in a complex, matrixed organization involving cross\-functional, and/or cross\-business projects  
Strong communication and collaboration skills \&amp; ability to lead high\-level discussions on technology strategy and approach  
Conceptually familiar with AWS cloud resources (S3, EC2, RDS etc)  
MS or BS or equivalent experience in Computer Science, Engineering, Mathematics, Statistics or a related field OR equivalent practical experience in Software or Data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7">
      <c r="A37" t="inlineStr">
        <is>
          <t>in-d8ffaac451ebc5e6</t>
        </is>
      </c>
      <c r="B37" t="inlineStr">
        <is>
          <t>Sr. Data Engineer, iCloud</t>
        </is>
      </c>
      <c r="C37" t="inlineStr">
        <is>
          <t>Apple</t>
        </is>
      </c>
      <c r="D37" t="inlineStr">
        <is>
          <t>indeed</t>
        </is>
      </c>
      <c r="E37" t="inlineStr"/>
      <c r="F37" t="inlineStr"/>
      <c r="G37" t="inlineStr">
        <is>
          <t>Austin, TX, US</t>
        </is>
      </c>
      <c r="H37" s="2" t="n">
        <v>46027</v>
      </c>
      <c r="I37" t="inlineStr">
        <is>
          <t>Would you like to drive the future of Apple’s products, applications, and platform while having the unique opportunity to impact some of the most far\-reaching software applications in the world? iCloud Data organization enables Apple to ship better products for iCloud users to access all their content across apps (Photos, Mail, Messages, FaceTime, Calendar etc) from all of their devices all the time by providing consistent, scalable, timely, accurate, complete and fully integrated data infrastructure and capabilities to accurately surface relevant information. If this excites you and you are energized by solving hard, high\-leverage problems at scale, we'd love to hear from you!  
**Description**  
We’re looking for exceptional data engineers who have a strong background in distributed data processing, have great and demonstrable data intuition, and share our passion for continuously improving the ways we use data to make the Apple’s products, applications, and platform better.  
Join a stunning team of data experts with diverse skill set, and deliver excellent solutions that better enable our decision\-making process","responsibilities":"What you will do:  
Engineer efficient, adaptable and scalable data pipelines to process structured and unstructured data  
Own and evolve extremely rich datasets on iCloud products and platform interactions to power a wide variety of use cases  
Build forward\-looking data solutions that interface well with existing systems and use judgement to bring cutting edge technologies in the industry to suit iCloud needs  
Understand how key technical decisions will drive business outcomes and deliver/aid data frameworks and platforms that improve delivery with high\-quality to those outcomes by partnering with cross functional teams  
**Preferred Qualifications**  
Experience with Cloud Computing platforms like Amazon AWS, Google Cloud  
Experience with building stream\-processing applications using Apache Flink, Spark\-Streaming, Apache Storm, Kafka Streams or others  
Experience with Search systems (such as ElasticSearch, Solr), NoSQL datastores (such as HBase, Cassandra, MongoDB)  
Experience building distributed, high\-volume data services is a plus  
**Minimum Qualifications**  
8\+ years of experience working with Spark and other distributed data technologies (e.g. Hadoop, Presto, Flink, Druid) for building efficient \&amp; large scale data pipelines  
Highly proficient in at least one of Java, Python or Scala  
Deep expertise in Data Principles, Data Architecture \&amp; Data Modeling, Strong SQL skills  
Strong problem solver with meticulous attention to detail, capable of taking on loosely defined problems  
Experience working in a complex, matrixed organization involving cross\-functional, and/or cross\-business projects  
Strong communication and collaboration skills \&amp; ability to lead high\-level discussions on technology strategy and approach  
Conceptually familiar with AWS cloud resources (S3, EC2, RDS etc)  
MS or BS or equivalent experience in Computer Science, Engineering, Mathematics, Statistics or a related field OR equivalent practical experience in Software or Data Engineering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8">
      <c r="A38" t="inlineStr">
        <is>
          <t>in-b7bc348fadefd449</t>
        </is>
      </c>
      <c r="B38" t="inlineStr">
        <is>
          <t>Senior Data Engineer</t>
        </is>
      </c>
      <c r="C38" t="inlineStr">
        <is>
          <t>Apple</t>
        </is>
      </c>
      <c r="D38" t="inlineStr">
        <is>
          <t>indeed</t>
        </is>
      </c>
      <c r="E38" t="inlineStr"/>
      <c r="F38" t="inlineStr"/>
      <c r="G38" t="inlineStr">
        <is>
          <t>CA, US</t>
        </is>
      </c>
      <c r="H38" s="2" t="n">
        <v>46027</v>
      </c>
      <c r="I38"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Data Products Engineering team is seeking an ambitious and versatile Data engineer to help lead the design and scale of key data systems, delivering data products that solve exciting business problems. Responsibilities range from designing and implementing core stream\-processing and batch\-processing capabilities, to supporting privacy preserving critical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be a leading voice in our technology strategy and its delivery, developing and mentoring team members. You will collaborate closely with the business to deliver relevant data and insight to inform our strategy and decisions. You should have 8\+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**Description**  
At Apple Ads, we are building the next generation of privacy\-focused advertising capabilities. As a part of the data organization, we work at the cutting edge of data engineering, machine learning, and privacy at Apple's scale. We are constantly developing data products to provide amazing user experiences and to drive value for developers and publishers. As a part of this team, as a Data Engineer, you will \* Engineer secure and scalable data processing systems across different execution contexts such as real\-time, near real\-time, and batch using Spark, Hadoop, Kafka, Cassandra and beyond \* Collaborate with a team of world\-class data engineers and product managers to apply leading\-edge techniques and technologies that process petabytes of realtime streaming and batch events \* Require a strong understanding of the intersection between business, analytics, and engineering resulting in a proactive approach, focusing on reusable solutions, to improve efficiency and time to insight \* Must be able to work in a rapidly changing environment and perform effectively in a sprint\-based, agile development environment \* Join and contribute to a culture that emphasizes reliability, resiliency, extensibility, scalability, and productivity. We are one team, nurturing each other’s growth and supporting each other in delivering for our customers and Apple  
**Preferred Qualifications**  
Ability to communicate effectively with cross\-functional technical and non\-technical teams  
Comfortable working in a rapidly changing environment with ambiguous requirements  
Comfortable with rotating on\-call for mission\-critical applications  
Prior experience in advertising industry is a huge plus!  
**Minimum Qualifications**  
8\+ years of industry experience building distributed, scalable data pipelines and data platforms  
Proven track record of successful and timely software product delivery with complex dependencies  
Demonstrated innovative, critical thinking and troubleshooting skills  
Excellent collaborative skills  
History of motivating teams to meet aggressive goals and innovate  
Proficiency with modern programming languages (e.g. Java/Scala/C\+\+) and ease with picking up new technologies independently  
Strong computer science and data engineering fundamentals  
Expertise in data modeling and Iceberg lake house implementation  
Proficiency in distributed systems and data processing technologies (e.g. Spark, Kafka, Flink)  
Experience building and scaling systems on premise and in the cloud  
Strong technical skills with proven experience developing, architecting, and supporting scalable data infrastructure  
Passion for data quality, code elegance, clear documentation, cost saving and operational excellence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9">
      <c r="A39" t="inlineStr">
        <is>
          <t>in-99e3d8dd89e93b7d</t>
        </is>
      </c>
      <c r="B39" t="inlineStr">
        <is>
          <t>Data Engineering - (Data Products, Apple Ads)</t>
        </is>
      </c>
      <c r="C39" t="inlineStr">
        <is>
          <t>Apple</t>
        </is>
      </c>
      <c r="D39" t="inlineStr">
        <is>
          <t>indeed</t>
        </is>
      </c>
      <c r="E39" t="inlineStr"/>
      <c r="F39" t="inlineStr"/>
      <c r="G39" t="inlineStr">
        <is>
          <t>Austin, TX, US</t>
        </is>
      </c>
      <c r="H39" s="2" t="n">
        <v>46027</v>
      </c>
      <c r="I39"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Data Products Engineering team is seeking an ambitious and versatile Data engineer to help lead the design and scale of key data systems, delivering data products that solve exciting business problems. Responsibilities range from designing and implementing core stream\-processing and batch\-processing capabilities, to supporting privacy preserving critical pipelines. You will have the opportunity to define, refine, and refactor approaches, designs, and architectures to meet the data engineering challenges we must solve. You will join a team of world\-class data engineers with an appetite for applying leading\-edge technologies to deliver extraordinary experiences to our customers. You will play a meaningful role building data products that deliver on Apple's privacy commitments and change the way advertising works with data. You will be a leading voice in our technology strategy and its delivery, developing and mentoring team members. You will collaborate closely with the business to deliver relevant data and insight to inform our strategy and decisions. You should have 8\+ years experience in data engineering roles, ideally within the ads or media space. You will have an excellent understanding of scalable approaches and thrive working in Agile environments. The ability to be a good standout colleague under tight deadline constraints is key to success!  
**Description**  
At Apple Ads, we are building the next generation of privacy\-focused advertising capabilities. As a part of the data organization, we work at the cutting edge of data engineering, machine learning, and privacy at Apple's scale. We are constantly developing data products to provide amazing user experiences and to drive value for developers and publishers. As a part of this team, as a Data Engineer, you will  
* Engineer secure and scalable data processing systems across different execution contexts such as real\-time, near real\-time, and batch using Spark, Hadoop, Kafka, Cassandra and beyond
* Collaborate with a team of world\-class data engineers and product managers to apply leading\-edge techniques and technologies that process petabytes of realtime streaming and batch events
* Require a strong understanding of the intersection between business, analytics, and engineering resulting in a proactive approach, focusing on reusable solutions, to improve efficiency and time to insight
* Must be able to work in a rapidly changing environment and perform effectively in a sprint\-based, agile development environment
* Join and contribute to a culture that emphasizes reliability, resiliency, extensibility, scalability, and productivity. We are one team, nurturing each other’s growth and supporting each other in delivering for our customers and Apple
**Preferred Qualifications**  
Ability to communicate effectively with cross\-functional technical and non\-technical teams  
Comfortable working in a rapidly changing environment with ambiguous requirements  
Comfortable with rotating on\-call for mission\-critical applications  
Prior experience in advertising industry is a huge plus!  
**Minimum Qualifications**  
8\+ years of industry experience building distributed, scalable data pipelines and data platforms  
Proven track record of successful and timely software product delivery with complex dependencies  
Demonstrated innovative, critical thinking and troubleshooting skills  
Excellent collaborative skills  
History of motivating teams to meet aggressive goals and innovate  
Proficiency with modern programming languages (e.g. Java/Scala/C\+\+) and ease with picking up new technologies independently  
Strong computer science and data engineering fundamentals  
Expertise in data modeling and Iceberg lake house implementation  
Proficiency in distributed systems and data processing technologies (e.g. Spark, Kafka, Flink)  
Experience building and scaling systems on premise and in the cloud  
Strong technical skills with proven experience developing, architecting, and supporting scalable data infrastructure  
Passion for data quality, code elegance, clear documentation, cost saving and operational excellence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0">
      <c r="A40" t="inlineStr">
        <is>
          <t>in-4867dff9d43924af</t>
        </is>
      </c>
      <c r="B40" t="inlineStr">
        <is>
          <t>Data Engineer - Health Sensing</t>
        </is>
      </c>
      <c r="C40" t="inlineStr">
        <is>
          <t>Apple</t>
        </is>
      </c>
      <c r="D40" t="inlineStr">
        <is>
          <t>indeed</t>
        </is>
      </c>
      <c r="E40" t="inlineStr"/>
      <c r="F40" t="inlineStr"/>
      <c r="G40" t="inlineStr">
        <is>
          <t>Sunnyvale, CA, US</t>
        </is>
      </c>
      <c r="H40" s="2" t="n">
        <v>46027</v>
      </c>
      <c r="I40" t="inlineStr">
        <is>
          <t>We are a team of strong data engineers that build the scalable data infrastructure that powers health research at Apple. We develop high\-performance data pipelines and processing systems to support large\-scale health studies, clinical validations, and advanced analytics. Working closely with researchers, clinicians, and product teams, we ensure health data is accurate, accessible, and actionable \- enabling science and product innovation that can improve lives.  
**Description**  
We are looking for a passionate and experienced Data Engineer to join our team focused on powering cutting\-edge health research through scalable and reliable data systems. In this role, you’ll design and build high\-throughput, distributed data pipelines that ingest, process, and transform large volumes of sensor data collected from health studies. Your work will directly contribute to the advancement of health research and product development at Apple.  
* Design and develop scalable, parallelized data systems to process complex, time\-series health data captured from consumer\-grade sensors.
* Implement robust ETL pipelines using distributed computing frameworks such as Apache Spark to ingest and transform binary and proprietary data formats.
* Collaborate with study stakeholders to gather requirements and contribute to the study design process, ensuring data architecture supports evolving research needs.
* Build tools and dashboards to visualize health data and support data exploration, analysis, and research insights.
* Work closely with cross\-functional teams including Software, Algorithms, and Quality Engineering to support design, integration, testing, and deployment of health data solutions.
* Own and evolve data architecture by driving standardization and reusability across studies, contributing to the development of a company\-wide health data platform.
**Preferred Qualifications**  
Experience working with sensor data, time\-series data, or healthcare datasets.  
Experience working in cloud\-based environments (e.g., AWS, GCP, or Azure) and with containerization tools like Docker and Kubernetes.  
Familiarity with job orchestration tools such as Apache Airflow or similar workflow schedulers.  
Comfort working in Linux\-based environments, including scripting, system navigation, and basic troubleshooting.  
Exposure to clinical studies, FDA validation processes, or working in regulated health environments.  
Strong communication and collaboration skills; ability to work cross\-functionally with technical and non\-technical partners.  
**Minimum Qualifications**  
BS degree in Computer Science, Engineering, Data Science, or a related technical field.  
Minimum of 3 years relevant industry experience building and maintaining data pipelines or distributed data systems.  
Proficiency in Python and strong programming skills with a focus on writing clean, maintainable, and high\-performance code.  
Familiarity in SQL for querying, transforming, and analyzing structured data.  
Hands\-on experience with distributed computing frameworks like Apache Spark.  
Experience with ETL development, data modeling, and data transformation workflows.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1">
      <c r="A41" t="inlineStr">
        <is>
          <t>in-7d45b026f963358f</t>
        </is>
      </c>
      <c r="B41" t="inlineStr">
        <is>
          <t>Data Engineer, Lion Holdings</t>
        </is>
      </c>
      <c r="C41" t="inlineStr">
        <is>
          <t>Valuetainment</t>
        </is>
      </c>
      <c r="D41" t="inlineStr">
        <is>
          <t>indeed</t>
        </is>
      </c>
      <c r="E41" t="inlineStr"/>
      <c r="F41" t="inlineStr"/>
      <c r="G41" t="inlineStr">
        <is>
          <t>Fort Lauderdale, FL, US</t>
        </is>
      </c>
      <c r="H41" s="2" t="n">
        <v>46027</v>
      </c>
      <c r="I41" t="inlineStr">
        <is>
          <t>You’re inquisitive. Statistics fascinate you. You enjoy digging into information to understand the real story. You have a knack for recognizing trends and you like translating data for a larger team. Hello **Data Engineer**! Join us.  
The **Data Engineer** supports operations and conducts data analytics projects to provide information and insights to stakeholders for decision\-making or solution development. He/She implements data standards and deploys automation tools to extract, synthesize, and validate data from different sources and transform data into usable metrics. The Data Engineer constructs data sets, monitors data quality, troubleshoots and resolves database issues to ensure data integrity. He/she utilizes scripting and querying tools like Python, R or SQL, data visualization/BI tools, statistical methods, and data modeling to produce reports, data files, and dashboards. The Data Engineer collaborates with stakeholders to understand their needs, objectives, and requirements.
**Job Responsibilities**  
* **Data Analysis**: Collect, analyze, and compile data from multiple sources to create comprehensive and informative reports
* **SQL Mastery**: Develop, optimize, and troubleshoot complex SQL queries for efficient data extraction and transformation
* **Report Creation**: Design and maintain visually compelling report templates and dashboards using Power BI, Tableau, or advanced Excel
* **Collaborative Engagement**: Partner with the CIO and department heads to understand reporting needs and translate them into actionable insights
* **Data Quality Assurance**: Ensure the accuracy, consistency, and reliability of all reports through thorough validation and documentation practices
* **Process Enhancement**: Continuously refine and streamline reporting processes for maximum efficiency and timely delivery
* **Leadership and Influence:** Coach, mentor, and develop team members directly and indirectly
**Job Qualifications**  
* 7\+ years as a Report Writer, Data Analyst, or in a similar role focused on report development is required
* Must possess advanced skills in writing, optimizing, and troubleshooting complex SQL queries
* Must have strong experience with data visualization tools (e.g., Power BI, Tableau, or equivalent software) with the ability to extrapolate and make recommendations or decisions
* Must have advanced knowledge of MS Excel, including pivot tables, VLOOKUPs, and data modeling
* A Bachelor’s degree in Computer Science, Data Science, Business Analytics, or a related field is ideal
* A strong analytical mindset, attention to detail, problem\-solving capabilities, and excellent written and verbal communication is ideal
* Familiarity with business intelligence best practices; knowledge of data governance is required
Compensation: Salary, Performance\-Based Bonus, Comprehensive Benefits Package. Final compensation will be determined based on experience and skills and may vary from the range listed above.  
https://www.youtube.com/c/valuetainment
*Valuetainment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3qRJdTJqCE</t>
        </is>
      </c>
    </row>
    <row r="42">
      <c r="A42" t="inlineStr">
        <is>
          <t>in-8856844a3bb96cff</t>
        </is>
      </c>
      <c r="B42" t="inlineStr">
        <is>
          <t>Data Engineer</t>
        </is>
      </c>
      <c r="C42" t="inlineStr"/>
      <c r="D42" t="inlineStr">
        <is>
          <t>indeed</t>
        </is>
      </c>
      <c r="E42" t="inlineStr"/>
      <c r="F42" t="inlineStr"/>
      <c r="G42" t="inlineStr">
        <is>
          <t>Los Angeles, CA, US</t>
        </is>
      </c>
      <c r="H42" s="2" t="n">
        <v>46027</v>
      </c>
      <c r="I42" t="inlineStr">
        <is>
          <t>Data Engineer — Everytable
Location: Remote / Los Angeles  
Type: Full\-time
Salary range : $115,000 \- $150,000  
Department: Data / Technology
**OUR STORY \+ WHAT MAKES US SPECIAL**
======================================
Everytable was founded on the belief that healthy food is a human right and shouldn’t be a luxury product. Everytable is a purpose\-driven public benefit company; working with us is a unique opportunity to be a part of making history by redefining and transforming the food system. We’re passionate about making a positive impact in the communities we serve through affordable food access, as well as economic empowerment and environmental wellbeing.
We’re looking for a Data Engineer to help build and maintain reliable, observable data pipelines and enable analytics and reporting across the business.
Role Overview
As a Data Engineer at Everytable, you will develop and maintain scalable pipelines that power business reporting, forecasting, and operational insights. You’ll work closely with finance, marketing, and operations teams to ensure data is accurate, timely, and easy to use. You’ll be responsible for building robust pipelines in Airflow, managing transformation logic in dbt, and ensuring that our data workflows are observable and dependable.
Key Responsibilities
Pipeline Development \&amp; Orchestration
* Build, maintain, and optimize data pipelines using Apache Airflow
* Ensure pipelines are observable, reliable, and easy to monitor (alerts, SLAs, runtime logging, dependency integrity)
* Implement best practices around scheduling, retries, backfills, and incremental processing
Transformation \&amp; Modeling
* Design and develop data models using dbt (or similar transformation tools)
* Own the SQL transformation layer: write maintainable, scalable SQL models and documentation
* Manage testing and data quality (dbt tests, constraints, anomaly monitoring)
Reliability \&amp; Maintainability
* Maintain high standards for correctness, traceability, and performance
* Improve data pipeline resilience through logging, alerts, documentation, and structured debugging workflows
* Support ingestion processes and integrations with external/internal systems as needed
Cross\-functional Collaboration
* Partner with stakeholders to understand business requirements and translate them into data models and pipeline solutions
* Provide guidance on data structure, definitions, and best practices for analysis consumption
Requirements
* 2–5 years of experience in Data Engineering, Analytics Engineering, Data Science or related roles
* Strong proficiency in Python (or another scripting language)
* Strong SQL, including advanced transformation patterns (joins, window functions, incremental logic)
* Experience building and managing observable pipelines in Airflow
* Experience with dbt (or similar transformation\-layer tools)
* Experience building pipelines that support analytics use cases (e.g., metrics, reporting, dashboards) and enterprise integrations (e.g., ecommerce and ERP integrations)
Nice\-to\-Haves
(Use these to broaden candidate pool while still attracting strong technical talent.)
* Experience with cloud data warehouses (Snowflake, BigQuery, Redshift, Postgres)
* Familiarity with CI/CD for data pipelines (GitHub Actions, dbt Cloud, etc.)
* Experience with data observability tools (Monte Carlo, Datadog, Great Expectations, etc.)
* Experience with event\-based pipelines or APIs (Fivetran, Singer, custom ingestion)
COMPENSATION AND BENEFITS
This incredible full\-time opportunity empowers a results\-driven development leader to advance access to healthy, affordable meals through an innovative social enterprise model that combines scalable retail and institutional partnerships with a nonprofit arm focused on community entrepreneurship. In addition to a competitive base salary, based on experience, this role offers a comprehensive benefits package that includes medical, dental, and vision insurance, unlimited paid time off, paid holidays, a 401(k) retirement plan, meal discounts, and other resources designed to support employee well\-being and professional growth.
Everytable is an Equal Employment Opportunity employer. We are committed to providing equal employment opportunities to all employees and applicants for employment without regard to race, color, religion, sex (including pregnancy, childbirth, breastfeeding, or related medical conditions), gender identity or expression, sexual orientation, national origin, ancestry, age, disability, genetic information, marital status, military or veteran status, or any other characteristic protected by applicable federal, state, or local laws.</t>
        </is>
      </c>
    </row>
    <row r="43">
      <c r="A43" t="inlineStr">
        <is>
          <t>in-0f414c032d375aed</t>
        </is>
      </c>
      <c r="B43" t="inlineStr">
        <is>
          <t>Data Engineer</t>
        </is>
      </c>
      <c r="C43" t="inlineStr"/>
      <c r="D43" t="inlineStr">
        <is>
          <t>indeed</t>
        </is>
      </c>
      <c r="E43" t="inlineStr"/>
      <c r="F43" t="inlineStr"/>
      <c r="G43" t="inlineStr">
        <is>
          <t>City of Industry, CA, US</t>
        </is>
      </c>
      <c r="H43" s="2" t="n">
        <v>46027</v>
      </c>
      <c r="I43" t="inlineStr">
        <is>
          <t>Data Engineer — Everytable
Location: Remote / Los Angeles  
Type: Full\-time
Salary range : $115,000 \- $150,000  
Department: Data / Technology
**OUR STORY \+ WHAT MAKES US SPECIAL**
======================================
Everytable was founded on the belief that healthy food is a human right and shouldn’t be a luxury product. Everytable is a purpose\-driven public benefit company; working with us is a unique opportunity to be a part of making history by redefining and transforming the food system. We’re passionate about making a positive impact in the communities we serve through affordable food access, as well as economic empowerment and environmental wellbeing.
We’re looking for a Data Engineer to help build and maintain reliable, observable data pipelines and enable analytics and reporting across the business.
Role Overview
As a Data Engineer at Everytable, you will develop and maintain scalable pipelines that power business reporting, forecasting, and operational insights. You’ll work closely with finance, marketing, and operations teams to ensure data is accurate, timely, and easy to use. You’ll be responsible for building robust pipelines in Airflow, managing transformation logic in dbt, and ensuring that our data workflows are observable and dependable.
Key Responsibilities
Pipeline Development \&amp; Orchestration
* Build, maintain, and optimize data pipelines using Apache Airflow
* Ensure pipelines are observable, reliable, and easy to monitor (alerts, SLAs, runtime logging, dependency integrity)
* Implement best practices around scheduling, retries, backfills, and incremental processing
Transformation \&amp; Modeling
* Design and develop data models using dbt (or similar transformation tools)
* Own the SQL transformation layer: write maintainable, scalable SQL models and documentation
* Manage testing and data quality (dbt tests, constraints, anomaly monitoring)
Reliability \&amp; Maintainability
* Maintain high standards for correctness, traceability, and performance
* Improve data pipeline resilience through logging, alerts, documentation, and structured debugging workflows
* Support ingestion processes and integrations with external/internal systems as needed
Cross\-functional Collaboration
* Partner with stakeholders to understand business requirements and translate them into data models and pipeline solutions
* Provide guidance on data structure, definitions, and best practices for analysis consumption
Requirements
* 2–5 years of experience in Data Engineering, Analytics Engineering, Data Science or related roles
* Strong proficiency in Python (or another scripting language)
* Strong SQL, including advanced transformation patterns (joins, window functions, incremental logic)
* Experience building and managing observable pipelines in Airflow
* Experience with dbt (or similar transformation\-layer tools)
* Experience building pipelines that support analytics use cases (e.g., metrics, reporting, dashboards) and enterprise integrations (e.g., ecommerce and ERP integrations)
Nice\-to\-Haves
(Use these to broaden candidate pool while still attracting strong technical talent.)
* Experience with cloud data warehouses (Snowflake, BigQuery, Redshift, Postgres)
* Familiarity with CI/CD for data pipelines (GitHub Actions, dbt Cloud, etc.)
* Experience with data observability tools (Monte Carlo, Datadog, Great Expectations, etc.)
* Experience with event\-based pipelines or APIs (Fivetran, Singer, custom ingestion)
COMPENSATION AND BENEFITS
This incredible full\-time opportunity empowers a results\-driven development leader to advance access to healthy, affordable meals through an innovative social enterprise model that combines scalable retail and institutional partnerships with a nonprofit arm focused on community entrepreneurship. In addition to a competitive base salary, based on experience, this role offers a comprehensive benefits package that includes medical, dental, and vision insurance, unlimited paid time off, paid holidays, a 401(k) retirement plan, meal discounts, and other resources designed to support employee well\-being and professional growth.
Everytable is an Equal Employment Opportunity employer. We are committed to providing equal employment opportunities to all employees and applicants for employment without regard to race, color, religion, sex (including pregnancy, childbirth, breastfeeding, or related medical conditions), gender identity or expression, sexual orientation, national origin, ancestry, age, disability, genetic information, marital status, military or veteran status, or any other characteristic protected by applicable federal, state, or local laws.</t>
        </is>
      </c>
    </row>
    <row r="44">
      <c r="A44" t="inlineStr">
        <is>
          <t>in-67373b505bd39b4a</t>
        </is>
      </c>
      <c r="B44" t="inlineStr">
        <is>
          <t>Technical Product Lead - Data Engineering</t>
        </is>
      </c>
      <c r="C44" t="inlineStr">
        <is>
          <t>Apple</t>
        </is>
      </c>
      <c r="D44" t="inlineStr">
        <is>
          <t>indeed</t>
        </is>
      </c>
      <c r="E44" t="inlineStr"/>
      <c r="F44" t="inlineStr"/>
      <c r="G44" t="inlineStr">
        <is>
          <t>Cupertino, CA, US</t>
        </is>
      </c>
      <c r="H44" s="2" t="n">
        <v>46027</v>
      </c>
      <c r="I44" t="inlineStr">
        <is>
          <t>Are you a Technical Product Leader passionate about building data products that empower Data Scientists and Engineers? Do you excel at bridging technical architecture with product strategy to unlock the full potential of data? At Apple, we turn innovative ideas into groundbreaking products and services at an incredible pace. Join us and play a critical role in shaping the future of data\-driven decision\-making!  
Our Data Science \&amp; Analytics team is dedicated to enhancing customer experiences, accelerating growth, and uncovering new business opportunities, all while upholding the highest standards of user privacy. We collaborate closely with product, design, engineering, marketing, and business teams to optimize our world\-class e\-commerce and media streaming services.  
As a Technical Product Lead focused on Data Engineering, you will be the strategic bridge between data scientists, engineers, and product teams. Your primary responsibility will be to define, design, and deliver data products that empower teams to perform cutting\-edge analysis, build machine learning models, and drive impactful business outcomes. You’ll combine technical product management expertise with hands\-on data engineering capabilities to prototype solutions and guide implementation.  
**Description**  
In this role, you will lead the product strategy for data engineering solutions while maintaining deep technical involvement. You’ll work closely with data scientists and engineers to understand their needs, prototype innovative solutions, and translate complex requirements into actionable data product roadmaps. Your unique combination of product management skills and technical depth will ensure data products are built to the highest standards of quality, scalability, and user experience.  
Product Leadership Responsibilities  
* Define and champion the data product vision, strategy, and roadmap for data engineering capabilities
* Develop detailed product requirements and specifications, ensuring alignment with stakeholder needs
* Manage product lifecycle from conception through delivery and iteration
* Collaborate with cross\-functional teams to prioritize features and manage product backlogs
Technical Architecture \&amp; Implementation Responsibilities :  
* Independently design and model datasets that enable advanced analytics and ML capabilities
* Build proof\-of\-concepts and technical prototypes to validate product concepts
* Manage evolving data schemas ensuring extensibility while maintaining backward compatibility
* Partner with engineering teams to translate product vision into technical implementation
Stakeholder Collaboration Responsibilities :  
* Collaborate with Business Intelligence and Data Science teams to design solutions used across multiple workflows
* Work closely with data scientists and engineers to identify opportunities and prioritize development efforts
* Translate complex technical concepts into clear product specifications and business value propositions","responsibilities":"
**Preferred Qualifications**  
Experience with data warehouses, data lakes, real\-time processing, ML platforms  
Experience working with Commerce, Subscription, or Pricing data systems  
Product management experience in data platform or analytics tools  
Track record of implementing innovative data products from concept to delivery  
Experience with data product management and customer\-facing data solutions  
Master’s degree in Computer Science, Statistics, Mathematics, Engineering, Information Systems, or a related field  
**Minimum Qualifications**  
7\+ years of experience in Technical Product Management, Data Engineering, or Data Architecture roles  
5\+ years of hands\-on data architecture design, including conceptual, logical, and physical data models  
3\+ years leading cross\-functional product initiatives in data engineering or analytics domains  
5\+ years of experience in Python, SQL, and modern data stack technologies with ability to build prototypes  
Proven experience defining product strategy and roadmaps aligned with technical and business objectives  
Strong product management fundamentals including requirements gathering, prioritization, and stakeholder management  
Excellent communication, collaboration, and presentation skills with ability to influence technical and business stakeholders  
Bachelor’s degree in Computer Science, Statistics, Mathematics, Engineering, Information Systems,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45">
      <c r="A45" t="inlineStr">
        <is>
          <t>in-0b277891d471ea99</t>
        </is>
      </c>
      <c r="B45" t="inlineStr">
        <is>
          <t>Early Career Talent - Data Engineer</t>
        </is>
      </c>
      <c r="C45" t="inlineStr">
        <is>
          <t>Western Digital</t>
        </is>
      </c>
      <c r="D45" t="inlineStr">
        <is>
          <t>indeed</t>
        </is>
      </c>
      <c r="E45" t="inlineStr"/>
      <c r="F45" t="inlineStr"/>
      <c r="G45" t="inlineStr">
        <is>
          <t>San Jose, CA, US</t>
        </is>
      </c>
      <c r="H45" s="2" t="n">
        <v>46029</v>
      </c>
      <c r="I45" t="inlineStr">
        <is>
          <t>**Company Description**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that—our technology helped people put a man on the moon and capture the first\-ever picture of a black hole.
We offer an expansive portfolio of technologies, HDDs, and platforms for business, creative professionals, and consumers alike under our Western Digital®, WD®, WD\_BLACK™, and SanDisk® Professional brands.
We are a key partner to some of the largest and highest\-growth organizations in the world. From enabling systems to make cities safer and more connected, to powering the data centers behind many of the world’s biggest companies and hyperscale cloud providers, to meeting the massive and ever\-growing data storage needs of the AI era, Western Digital is fueling a brighter, smarter future.
Today’s exceptional challenges require your unique skills. Together, we can build the future of data storage.
 **Job Description**  
We are seeking a Data Engineer with a strong background in data pipelines, automated testing, Data Analytics, and HDD systems. The ideal candidate will bridge the gap between software and hardware data environments—developing, validating, and maintaining data workflows that support HDD performance testing, analysis, and reporting.
**Essential Duties \&amp; Responsibilities:**
Design, build, and maintain scalable data pipelines to collect, process, and analyze data with HDD testing systems
Develop processes to ensure accurate and efficient data flow between tester, databases, and analytics tools
Collaborate with SMEs to analyze HDD performance, reliability, and failure data
Create automated test scripts and integrate testing results into data systems and dashboards
Support root cause analysis and predictive modeling of HDD test data
Integrate AI tools, such as chatbots or other interactive platforms, to facilitate access to summarized reports and knowledge bases
Work closely with cross\-functional teams to ensure reporting systems are aligned with overall business goals
 **Qualifications** **Role begins Summer 2026**
**Required:**
* **Master’s degree or higher** in **Computer Science, Data Science, Engineering**, or a related field (**Graduating Mar 2026 \- May 2026**).
* Proficiency in **R** and **Python**, developed through coursework, research projects, or internships.
* Proven **analytical skills** and a strong attention to detail, demonstrated in your academic work or applied projects.
* A demonstrated ability to communicate and collaborate with **SMEs** and diverse, cross\-functional teams.
* Knowledge or curiosity about the **data storage (HDD) industry**—even if your experience has been in academic projects or classes.
* Experience (even through academic projects) with **Generative AI**, **NLP**, or other AI tools.
* Exposure to **business intelligence platforms** and **cloud services** like **Google Cloud** or **AWS**.
* Familiarity with **CICD toolchains** like **Git, Jenkins, Docker** (academic, project\-based, or internship experience).
* Experience with other programming languages like **C\+\+, Java, JavaScript/Node.js**—even from side projects or research.
**Preferred:**
* Familiarity with large\-scale database concepts, with project or classroom experience
***What Sets You Apart***:
* You’re **forward\-thinking** and eager to apply the latest trends to real\-world problems.
* You’re not just looking for a job—you’re looking to **grow and innovate**, and you're driven by a desire to **make an impact**.
* Your ability to communicate complex ideas, both to peers and non\-technical stakeholders, is a major asset.
* You thrive in a **collaborative environment** where diverse perspectives are valued.
**Additional Information**  
Western Digital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jobs.accommodations@wdc.com to advise us of your accommodation request. In your email, please include a description of the specific accommodation you are requesting as well as the job title and requisition number of the position for which you are applying.
Based on our experience, we anticipate that the application deadline will be 4/7/26,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
\#LI\-MT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If your position is non\-exempt, you are eligible for overtime pay pursuant to company policy and applicable laws. You may also be eligible for shift differential pay, depending on the shift to which you are assigned.
* You will be eligible to be considered for bonuses under **either** Western Digital’s Short Term Incentive Plan (“STI Plan”) or the Sales Incentive Plan (“SIP”)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**Notice To Candidates:** Please be aware that Western Digital and its subsidiaries will never request payment as a condition for applying for a position or receiving an offer of employment. Should you encounter any such requests, please report it immediately to Western Digital Ethics Helpline or email compliance@wdc.com.</t>
        </is>
      </c>
    </row>
    <row r="46">
      <c r="A46" t="inlineStr">
        <is>
          <t>in-8ba849b0a6fc60b4</t>
        </is>
      </c>
      <c r="B46" t="inlineStr">
        <is>
          <t>Data Engineer - W2 Position - ETL &amp; SQL &amp; BLOBs experience</t>
        </is>
      </c>
      <c r="C46" t="inlineStr">
        <is>
          <t>ZIRLEN TECHNOLOGIES INCORPORATED</t>
        </is>
      </c>
      <c r="D46" t="inlineStr">
        <is>
          <t>indeed</t>
        </is>
      </c>
      <c r="E46" t="inlineStr"/>
      <c r="F46" t="inlineStr"/>
      <c r="G46" t="inlineStr">
        <is>
          <t>US</t>
        </is>
      </c>
      <c r="H46" s="2" t="n">
        <v>46029</v>
      </c>
      <c r="I46" t="inlineStr">
        <is>
          <t>**Data Engineer \- State Government Project**  
**W2 Position \- Contract \-Remote \- Vermont**  
**Required Skills:**
* Proven experience working as a Data Engineer
* Advanced SQL skills, including complex SELECT statements, joins, subqueries, and transformation logic
* Hands\-on experience with MySQL and Microsoft SQL Server database architecture
* Data modeling, normalization concepts, and reverse\-engineering undocumented schemas
* Experience with ETL methodology and preparing structured data for ingestion into third\-party systems
* Strong analytical and documentation skills with the ability to interpret incomplete or ambiguous legacy data
* Experience with ETL processing of binary large objects (BLOBs), PDFs, and other unstructured data
**Preferred Skills:**
* Experience with public safety RMS, case\-management, or similarly complex relational data structures
* Experience handling complex, highly relational legacy databases with limited or missing documentation
* Prior experience supporting government or public sector IT projects
* Strong ability to collaborate with technical teams, vendors, and subject\-matter experts
* Experience participating in test migrations and iterative data validation
* Ability to produce clear, well\-structured technical documentation suitable for long\-term maintenance
* Experience supporting data migration projects involving system replacements or modernization initiatives
**Specific Skills:**
* Advanced SQL (complex queries, joins, transformations)
* MySQL \&amp; Microsoft SQL Server (schema analysis, performance tuning)
* Data modeling \&amp; normalization (legacy and modern schemas)
* ETL pipelines (extraction, transformation, loading)
* Reverse\-engineering undocumented databases
* Unstructured data processing (BLOBs, PDFs)
* Data quality checks, validation \&amp; remediation
* Repeatable SQL scripts \&amp; automation
* Data migration \&amp; system replacement support
* Technical documentation \&amp; data mapping
If you are interested, please share your updated resume with your contact number to **sivarajan.s@zirlen.com**, and also feel free to reach out at **972\-433\-6033 Ext. 1005**
This is a remote position.</t>
        </is>
      </c>
    </row>
    <row r="47">
      <c r="A47" t="inlineStr">
        <is>
          <t>in-26e54d223bea888f</t>
        </is>
      </c>
      <c r="B47" t="inlineStr">
        <is>
          <t>Data Engineering Specialist</t>
        </is>
      </c>
      <c r="C47" t="inlineStr">
        <is>
          <t>AECOM</t>
        </is>
      </c>
      <c r="D47" t="inlineStr">
        <is>
          <t>indeed</t>
        </is>
      </c>
      <c r="E47" t="inlineStr"/>
      <c r="F47" t="inlineStr"/>
      <c r="G47" t="inlineStr">
        <is>
          <t>Phoenix, AZ, US</t>
        </is>
      </c>
      <c r="H47" s="2" t="n">
        <v>46029</v>
      </c>
      <c r="I47"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Hunt is looking to grow our Digital Engineering team with the addition of a Data Engineer. This position will work in our Phoenix, AZ office.
The Data Engineering Specialist will:
* Ensure data is accessible, reliable, and efficiently processed.
* Combine, optimize, and manage multiple big data sources.
* Create automated reporting systems.
* Provide software solutions that move data from its source to an internal database such as data warehouse/data lake.
* Implement data frameworks and/or architectures.
* Design, develop and maintain data pipelines to enable strong data analysis and reporting
* Utilize a myriad of solutions to ensure problem resolution with data warehousing and data sources.
* Escalate unsolvable problems beyond individual knowledge and scope to senior level employees
About Construction Management – **AECOM Hunt**
Founded in 1944 in Indianapolis, Indiana, AECOM Hunt has been building for over 70 years. AECOM Hunt’s storied history has encompassed many notable projects in the automotive industry; iconic sports stadiums; a broad portfolio in transportation; and many repeat clients in the hospitality industry. From iconic stadiums and arenas, next\-gen transportation hubs and sustainable healthcare and academic buildings, AECOM Hunt’s expertise, leadership and dedication are unparalleled.
 **Qualifications** **Minimum Requirements:**
* BA/BS Computer Science, Information Science, Data Engineering or related field and 4 years of relevant experience or demonstrated equivalency of experience and/or education.
**Preferred Qualifications:**
* Proficiency in data programming languages
* Knowledge of data optimization tools, data structures and architecting, data warehousing solutions
* Knowledge of API (application programming interface) support to allow for data access/gathering/distribution, data transformation and ELT (extract, load, transform)
* Utilization of algorithmic and statistical assessments, data processing tools and approaches (including AI) in support of data consumption.
* Strong experience in creating resourceful dashboards which effectively represent data from various data streams such as using Power BI, Tableau, Looker, or similar tools.
* Experience in data engineering, BI**,** or analytics development.
* Strong proficiency in SQL and experience with relational and analytical databases.
* Proficiency in Python (or similar scripting language).
* Familiarity with programs such as CMiC, Workday, Oracle, Bridgit Bench, SmartRecruiters, Blue Beam, Navisworks or other construction related software.
* Advanced Excel skills.
**Additional Information**  
* This position does not include sponsorship for United States work authorization now or in the future.
* Qualified applicants who are offered a position must pass a pre\-employment substance abuse test.
* This position is not hybrid nor remote.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48">
      <c r="A48" t="inlineStr">
        <is>
          <t>in-dc607adf2a8b4c3a</t>
        </is>
      </c>
      <c r="B48" t="inlineStr">
        <is>
          <t>Senior Zero Trust Data Analytics Engineer</t>
        </is>
      </c>
      <c r="C48" t="inlineStr">
        <is>
          <t>ETC Solutions</t>
        </is>
      </c>
      <c r="D48" t="inlineStr">
        <is>
          <t>indeed</t>
        </is>
      </c>
      <c r="E48" t="inlineStr"/>
      <c r="F48" t="inlineStr"/>
      <c r="G48" t="inlineStr">
        <is>
          <t>Alexandria, VA, US</t>
        </is>
      </c>
      <c r="H48" s="2" t="n">
        <v>46029</v>
      </c>
      <c r="I48" t="inlineStr">
        <is>
          <t>We are hiring a senior\-level **Zero Trust Data Analytics Engineer** to join our team, supporting a critical program with the U.S. Coast Guard. This position is located in Alexandria, VA and will be a hybrid remote position.
**Responsibilities**
The Zero Trust Data Analytics Engineer will lead the effort to engineer the systems required to define, collect, analyze, and report on key metrics related to the operational effectiveness and maturity of the Zero Trust architecture.
* Design and implement a comprehensive data and analytics infrastructure to measure the effectiveness of ZT enablement and track progress towards ZT maturity goals.
* Define Key Performance Indicators (KPIs) and Key Risk Indicators (KRIs) that align with the seven pillars of Zero Trust (Identity, Devices, Applications/Workloads, Data, Network/Environment, Automation/Orchestration, Analytics/Visibility).
* Develop, maintain, and automate executive\-level dashboards and reports to visualize ZT performance, compliance posture, and risk reduction using data visualization tools (e.g., Power BI, Tableau).
* Utilize advanced data engineering techniques to correlate security data from disparate sources (SIEM, EDR, IAM logs, network data) to identify trends, anomalies, and areas for improvement in ZT policy enforcement.
* Collaborate with ZT architects, security engineers, and compliance teams to ensure data requirements are met and that metrics accurately reflect the operational reality and effectiveness of implemented controls.
* Conduct in\-depth analysis and provide actionable recommendations to leadership for optimizing ZT investments, mitigating risks, and accelerating maturity progression.
* Architect and maintain data collection processes and pipelines, ensuring data integrity, accuracy, and adherence to data governance standards.
* Mentor and provide expert guidance to data analysts and security teams on data\-driven decision\-making and performance measurement methodologies.
* Maintain rigorous and detailed documentation of measurement frameworks, data methodologies, and reporting procedures, strictly adhering to industry standards (e.g., ITIL, NIST).
**Qualifications**
Bachelor’s degree in Data Science, Statistics, Information Systems, or a related quantitative field (or an equivalent combination of education and extensive, directly relevant experience) with 8\+ years (or commensurate experience).
Required Skills and Experience
* Minimum 8\+ years of progressive, hands\-on experience in data analysis, data engineering, business intelligence, or data science, with a minimum of 3 years spent specifically in a senior role measuring IT effectiveness, security posture, or enterprise performance.
* Current DoD 8570 IAT Level II or III certification (e.g., Security\+ CE, CySA\+, CASP\+, CISSP) is mandatory.
* Deep, hands\-on expertise in data visualization tools (Power BI required, Tableau, or similar) for creating complex, automated operational and executive dashboards.
* Proven mastery of data analysis languages/tools (SQL required; Python/R for data engineering and statistical analysis preferred) with a track record of developing complex data models and analytical reports.
* Extensive experience with data correlation and aggregation from disparate enterprise systems, including security tools (SIEM, EDR), IT service management platforms (ServiceNow), and identity systems (Azure AD, Active Directory).
* Strong understanding of cybersecurity principles, Zero Trust architecture models (NIST SP 800\-207\), and compliance frameworks (DoD, FISMA, RMF).
* Exceptional analytical and problem\-solving skills, with a demonstrable track record of translating complex technical data into clear, concise, and actionable business insights for senior leadership.
* Strong commitment to data governance, accuracy, and the practical application of IT service management and performance measurement best practices.
Clearance Required: Must be clearable up to an active Secret clearance.
Preferred Skills and Experience
* Prior experience supporting the U.S. Coast Guard, DoD, or other federal government agencies is highly preferred.
* Relevant industry certifications such as Certified Data Management Professional (CDMP), CISSP, CISM, or ITIL Foundation/Intermediate certifications.
* Experience with machine learning or advanced statistical modeling applied to cybersecurity data for predictive analytics.
* Familiarity with ITSM platform administration or configuration for data extraction and reporting (e.g., ServiceNow Performance Analytics module).
Pay: $85,000\.00 \- $115,000\.00 per year
Work Location: Hybrid remote in Alexandria, VA (City of Alexandria)</t>
        </is>
      </c>
    </row>
    <row r="49">
      <c r="A49" t="inlineStr">
        <is>
          <t>in-2640d8b4aa822306</t>
        </is>
      </c>
      <c r="B49" t="inlineStr">
        <is>
          <t>Data Engineering Specialist</t>
        </is>
      </c>
      <c r="C49" t="inlineStr">
        <is>
          <t>AECOM</t>
        </is>
      </c>
      <c r="D49" t="inlineStr">
        <is>
          <t>indeed</t>
        </is>
      </c>
      <c r="E49" t="inlineStr"/>
      <c r="F49" t="inlineStr"/>
      <c r="G49" t="inlineStr">
        <is>
          <t>Phoenix, AZ, US</t>
        </is>
      </c>
      <c r="H49" s="2" t="n">
        <v>46028</v>
      </c>
      <c r="I49" t="inlineStr">
        <is>
          <t>**Company Description**
-----------------------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AECOM Hunt is looking to grow our Digital Engineering team with the addition of a Data Engineer. This position will work in our Phoenix, AZ office.
The Data Engineering Specialist will:
* Ensure data is accessible, reliable, and efficiently processed.
* Combine, optimize, and manage multiple big data sources.
* Create automated reporting systems.
* Provide software solutions that move data from its source to an internal database such as data warehouse/data lake.
* Implement data frameworks and/or architectures.
* Design, develop and maintain data pipelines to enable strong data analysis and reporting
* Utilize a myriad of solutions to ensure problem resolution with data warehousing and data sources.
* Escalate unsolvable problems beyond individual knowledge and scope to senior level employees
About Construction Management – **AECOM Hunt**
Founded in 1944 in Indianapolis, Indiana, AECOM Hunt has been building for over 70 years. AECOM Hunt’s storied history has encompassed many notable projects in the automotive industry; iconic sports stadiums; a broad portfolio in transportation; and many repeat clients in the hospitality industry. From iconic stadiums and arenas, next\-gen transportation hubs and sustainable healthcare and academic buildings, AECOM Hunt’s expertise, leadership and dedication are unparalleled.
**Qualifications**
------------------
**Minimum Requirements:**
* BA/BS Computer Science, Information Science, Data Engineering or related field and 4 years of relevant experience or demonstrated equivalency of experience and/or education.
**Preferred Qualifications:**
* Proficiency in data programming languages
* Knowledge of data optimization tools, data structures and architecting, data warehousing solutions
* Knowledge of API (application programming interface) support to allow for data access/gathering/distribution, data transformation and ELT (extract, load, transform)
* Utilization of algorithmic and statistical assessments, data processing tools and approaches (including AI) in support of data consumption.
* Strong experience in creating resourceful dashboards which effectively represent data from various data streams such as using Power BI, Tableau, Looker, or similar tools.
* Experience in data engineering, BI**,** or analytics development.
* Strong proficiency in SQL and experience with relational and analytical databases.
* Proficiency in Python (or similar scripting language).
* Familiarity with programs such as CMiC, Workday, Oracle, Bridgit Bench, SmartRecruiters, Blue Beam, Navisworks or other construction related software.
* Advanced Excel skills.
**Additional Information**
--------------------------
* This position does not include sponsorship for United States work authorization now or in the future.
* Qualified applicants who are offered a position must pass a pre\-employment substance abuse test.
* This position is not hybrid nor remote.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50">
      <c r="A50" t="inlineStr">
        <is>
          <t>in-787de4190b970ca8</t>
        </is>
      </c>
      <c r="B50" t="inlineStr">
        <is>
          <t>Data Engineer, Supply Chain</t>
        </is>
      </c>
      <c r="C50" t="inlineStr">
        <is>
          <t>Colgate-Palmolive</t>
        </is>
      </c>
      <c r="D50" t="inlineStr">
        <is>
          <t>indeed</t>
        </is>
      </c>
      <c r="E50" t="inlineStr"/>
      <c r="F50" t="inlineStr"/>
      <c r="G50" t="inlineStr">
        <is>
          <t>Piscataway, NJ, US</t>
        </is>
      </c>
      <c r="H50" s="2" t="n">
        <v>46028</v>
      </c>
      <c r="I50" t="inlineStr">
        <is>
          <t>No Relocation Assistance Offered  
Job Number \#171064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As a **Data Engineer**, you will focus on developing data pipelines for multi\-functional teams, ultimately empowering the organization to make more data\-driven decisions. You will be responsible for building data pipelines from source to consumption layer, following the medallion architecture (Bronze, Silver, Gold). Leveraging a technology stack that includes Snowflake, dbt, Python, and SQL, you will assemble large, sophisticated data sets that meet functional and non\-functional business requirements. Working with various stakeholders, you will gather requirements and deliver compliant, efficient, sustainable, and well\-documented solutions.
**This position is based out of the Piscataway, NJ location. Work visa sponsorship is not available for this position.**
========================================================================================================================
**What you'll do**
==================
#### **1****. Pipeline Development and Architecture**
* **End\-to\-End Execution:** Build, support, and maintain data pipelines from source to consumption layers using **Snowflake, dbt, Python, and SQL**.
* **Architecture Strategy:** Implement the **medallion architecture** to ensure organized data progression and quality.
* **Data Assembly:** Assemble large, sophisticated data sets that meet functional and non\-functional business requirements.
* **Standard Stack:** Leverage the standard data engineering technology stack to deliver data pipelines that are compliant with enterprise standards and best practices.
#### **2\. Process Optimization and Innovation**
* **Continuous Improvement:** Identify, design, and implement internal process improvements, including automating manual processes and optimizing data delivery.
* **Emerging Tech:** Research and evaluate new and emerging technologies within the data engineering space.
#### **3\. Collaboration and Support**
* **Stakeholder Engagement:** Work with various stakeholders across the company to gather requirements.
* **Technical Assistance:** Assist with data\-related technical issues and support data infrastructure needs.
* **Advisory Role:** Advise or review proposed or ongoing data engineering pipelines and respective components within the organization.
* **Teamwork:** Collaborate with other business and technical teams and develop meaningful relationships to achieve common goals.
#### **4\. Governance and Standards**
* **Code Quality:** Perform code reviews and help enforce data engineering standards and best practices.
* **Compliance:** Ensure solutions are compliant with standards set by the Data Engineering team and comply with all policies.
* **Documentation:** Build, document, and maintain pipeline components.
**Required Qualifications**
===========================
* **Education:** Bachelor’s Degree in Computer Science, Information Technology, Engineering, or a related field.
* **Experience:** 2\+ years of professional experience as a Data Engineer or related role.
* **Technical Proficiency:**
	+ **Programming:** Experience developing in Python and SQL. Proficiency in **dbt** (optional)
	+ **Data Warehouses:** Experience working with Snowflake (preferred)
	+ **Databases:** Experience in interacting with and using databases \&amp; SQL.
	+ **Pipeline Engineering:** Experience building and optimizing large data pipelines, architectures, and data sets.
	+ **Version Control:** Experience using Git, GitHub, or other version\-controlled code management tools.
	+ **Cloud Services:** Experience with cloud infrastructure and services (GCP, AWS, etc.).
	+ **Infrastructure as Code:** Experience managing infrastructure deployments using Infrastructure as Code tools (Terraform).
	+ **Containerization:** Experience working with container\-based frameworks (Kubernetes \&amp; Docker preferred).
	+ **Orchestration:** Experience with workflow management tools such as Airflow.
**Preferred Qualifications**
============================
* **Cross\-Functional Experience:** Previous experience in a Data Engineering role working closely with other programmers (Software Engineers, Data Scientists, etc.).
* **Monitoring:** Experience in network, server, and application\-status monitoring.
* **Automation:** Familiarity with software\-automation production systems (GitHub Actions, Selenium, etc.).
* **Deployment:** Familiarity with code deployment tools.
 **Compensation and Benefits**  
Salary Range $74,400\.00 \- $117,500\.00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\#LI\-Hybrid</t>
        </is>
      </c>
    </row>
    <row r="51">
      <c r="A51" t="inlineStr">
        <is>
          <t>in-99fcd61a02b201aa</t>
        </is>
      </c>
      <c r="B51" t="inlineStr">
        <is>
          <t>Data Engineer</t>
        </is>
      </c>
      <c r="C51" t="inlineStr">
        <is>
          <t>Freudenberg Group</t>
        </is>
      </c>
      <c r="D51" t="inlineStr">
        <is>
          <t>indeed</t>
        </is>
      </c>
      <c r="E51" t="inlineStr"/>
      <c r="F51" t="inlineStr"/>
      <c r="G51" t="inlineStr">
        <is>
          <t>Plymouth, MI, US</t>
        </is>
      </c>
      <c r="H51" s="2" t="n">
        <v>46028</v>
      </c>
      <c r="I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Plymouth, MI
On\-Site
Freudenberg\-NOK General Partnership
DATA ENGINEER
Responsibilities
* Design and Build Data Pipelines: Develop, implement, and maintain robust, scalable data pipelines and ETL processes to integrate data from diverse sources.
* Cloud Data Infrastructure: Collaborate with IT and business teams to set up and optimize advanced cloud\-based data infrastructure, supporting AI\-driven models and analytics.
* Data Transformation \&amp; Modeling: Create algorithms and data models to convert raw data into actionable insights, aligning with business objectives.
* Data Quality \&amp; Security: Ensure data integrity, quality, and security across all systems, implementing validation, backup, recovery, and disaster recovery plans.
* Pipeline Optimization: Continuously evaluate and enhance data systems and processes for improved efficiency, reliability, and performance (including query tuning and indexing).
* Migration \&amp; Modernization: Lead migration of on\-premises data systems to cloud solutions, focusing on Azure and modern data architectures (e.g., real\-time processing, data warehousing).
* Collaboration: Work closely with data scientists, analysts, and other stakeholders to meet organizational data needs and drive strategic data management projects
Qualifications
* Bachelor’s or Master’s degree in Computer Science, Data Engineering, or a related field.
* Proficiency in Python and SQL; experience with both relational and non\-relational databases (MS SQL, Azure SQL Database).
* Hands\-on experience with Databricks, Azure Data Factory, and modern data warehouse tools.
* Familiarity with real\-time data processing tools (e.g., Kafka, Flink) is a plus.
* Experience with CI/CD pipelines, automation for data deployments, and infrastructure as code (e.g., Terraform).
* Strong understanding of data security, backup, and recovery best practices.
* Knowledge of cloud infrastructure management, particularly on the Azure platform.
* Domain Knowledge: Experience in automotive and/or chemical data domains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row>
    <row r="52">
      <c r="A52" t="inlineStr">
        <is>
          <t>in-4f4832bcdb5253a3</t>
        </is>
      </c>
      <c r="B52" t="inlineStr">
        <is>
          <t>Senior IT Data Engineer</t>
        </is>
      </c>
      <c r="C52" t="inlineStr">
        <is>
          <t>Peraton</t>
        </is>
      </c>
      <c r="D52" t="inlineStr">
        <is>
          <t>indeed</t>
        </is>
      </c>
      <c r="E52" t="inlineStr"/>
      <c r="F52" t="inlineStr"/>
      <c r="G52" t="inlineStr">
        <is>
          <t>MD, US</t>
        </is>
      </c>
      <c r="H52" s="2" t="n">
        <v>46028</v>
      </c>
      <c r="I5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We are seeking a highly skilled Senior IT Data Engineer to design, build, and maintain secure data solutions within a NIST 800\-53 compliant enclave in support of the FAA BNATCS contract. This role is responsible for developing and managing data integrations, building visualizations, and optimizing data warehouse storage to support analytics and mission\-critical reporting. The Data Engineer will collaborate with cybersecurity, compliance, and business intelligence teams to ensure that all data systems meet federal security standards while enabling actionable insights.  
**Key Responsibilities**  
**Data Integration**  
* Design and implement ETL/ELT pipelines to integrate data from multiple sources into secure environments.
* Ensure data flows comply with NIST 800\-53 security controls and organizational policies.
* Automate data ingestion and transformation processes for efficiency and scalability.
* Familiarity with Mulesoft and other data integration tools.
**Data Warehouse \&amp; Storage**  
* Architect and maintain secure data warehouse solutions (on\-premises and/or cloud).
* Optimize storage, indexing, and query performance for large\-scale datasets.
* Implement encryption, access controls, and monitoring in line with NIST 800\-53 requirements.
**Data Visualization \&amp; Analytics**  
* Develop dashboards and reports using BI tools (Power BI, Tableau, Qlik, etc.).
* Collaborate with stakeholders to translate business needs into meaningful visualizations.
* Ensure reporting solutions meet compliance and security standards.
**Security \&amp; Compliance**  
* Integrate NIST 800\-53 security controls into all data engineering processes.
* Partner with cybersecurity teams to ensure secure configurations and continuous monitoring.
* Support audits, assessments, and accreditation processes (e.g., FISMA, FedRAMP).
**Collaboration \&amp; Leadership**  
* Work closely with data scientists, analysts, and business units to deliver secure, reliable data solutions.
* Provide technical guidance on data engineering best practices in regulated environments.
* Document processes, configurations, and compliance evidence for internal and external reviews.**Qualifications**
**Required Qualifications**  
* Minimum of a Bachelor's degree in Computer Science, Information Systems, or related field (Master's preferred).
* 8\+ years of experience (6\+ w/ Master's Degree or 3\+ w/ a Ph.D.) in data engineering, with focus on integrations, data lakes/warehousing, and visualization.
* Strong knowledge of NIST 800\-53 security controls and compliance frameworks (FISMA, FedRAMP).
* Expertise in SQL, Python, and ETL/ELT tools (SSIS, Informatica, Talend, dbt).
* Experience with cloud data platforms (Azure Synapse, AWS Redshift, Google BigQuery) and hybrid architectures.
* Familiarity with BI tools (Power BI, Tableau, Qlik) and data modeling techniques.
* Professional certifications such as CISSP, CISM, or cloud data engineering certifications are highly desirable.
* **US Citizenship with the ability to obtain/maintain a Public Trust as required by the program**
**Preferred Qualifications**  
* Ability to translate regulatory requirements into technical solutions.
* Strong analytical and problem\-solving skills.
* Excellent communication and documentation abilities.
* Experience working in federal or regulated environments.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53">
      <c r="A53" t="inlineStr">
        <is>
          <t>in-0eba25545fb82efb</t>
        </is>
      </c>
      <c r="B53" t="inlineStr">
        <is>
          <t>Sr. Analytics Engineer</t>
        </is>
      </c>
      <c r="C53" t="inlineStr">
        <is>
          <t>Inspira Financial</t>
        </is>
      </c>
      <c r="D53" t="inlineStr">
        <is>
          <t>indeed</t>
        </is>
      </c>
      <c r="E53" t="inlineStr"/>
      <c r="F53" t="inlineStr"/>
      <c r="G53" t="inlineStr">
        <is>
          <t>Oak Brook, IL, US</t>
        </is>
      </c>
      <c r="H53" s="2" t="n">
        <v>46028</v>
      </c>
      <c r="I53" t="inlineStr">
        <is>
          <t>This role is responsible for collaborating with an experienced team of engineers, subject matter experts, and business stakeholders to create meaningful reports and dashboards used to inform business decisions.
As a Sr. Analytics Engineer, you’ll take ownership of key data models and reporting infrastructure, bridging the gap between data engineering and business analytics. You’ll play a critical role in enabling data\-driven decision\-making by ensuring our analytical layer is robust, performant, and well\-documented. Additionally, we value individuals who are team players, possess a keen eye for detail, and prioritize outcomes over outputs.
* Own and evolve Looker Explores, dashboards, and semantic layers.
* Assist in documenting data models, business definitions, and data lineage.
* Provide updates to data dictionaries and catalogs.
* Partner with business stakeholders to translate requirements into trusted, self\-serve analytics tools.
* Lead efforts to improve data quality, consistency, and documentation across business domains.
* Participate in governance and standardization of metrics, definitions, and dimensions.
Requirements:
* Proficient in SQL and comfortable working with large datasets.
* Expertise in data visualization and BI tools (preferably Looker) and an understanding of semantic modeling.
* Strong understanding of data modeling principles.
* Experience with cloud data platforms (ideally GCP and Big Query).
* Strong analytical and communication skills with a track record of stakeholder collaboration.
* Eagerness to learn and grow in a fast\-paced data environment.
* Experience with scripting in Python or JavaScript/TypeScript is a plus.
**Education \&amp; Experience:**
* 5\-7 years of experience in Data Analyst or Analytics Engineer roles.
* Bachelor’s degree in computer science, mathematics or another quantitative/STEM field or equivalent experience.
**Other Requirements:**
* Infrequent travel (10%).
* Ability to occasionally work overtime or after hours.
* Prolonged periods of sitting at a desk and working on a computer.
Req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
Compensation: $106,000\- $134,000 per year
Additional Details :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t>
        </is>
      </c>
    </row>
    <row r="54">
      <c r="A54" t="inlineStr">
        <is>
          <t>in-61c57cb22dfbbfcd</t>
        </is>
      </c>
      <c r="B54" t="inlineStr">
        <is>
          <t>Data Engineer</t>
        </is>
      </c>
      <c r="C54" t="inlineStr">
        <is>
          <t>Qode</t>
        </is>
      </c>
      <c r="D54" t="inlineStr">
        <is>
          <t>indeed</t>
        </is>
      </c>
      <c r="E54" t="inlineStr"/>
      <c r="F54" t="inlineStr"/>
      <c r="G54" t="inlineStr">
        <is>
          <t>Fort Mill, SC, US</t>
        </is>
      </c>
      <c r="H54" s="2" t="n">
        <v>46028</v>
      </c>
      <c r="I54" t="inlineStr">
        <is>
          <t>Key Responsibilities· Design, develop, and maintain ETL pipelines using AWS Glue, Glue Studio, and Glue Catalog.· Ingest, transform, and load large datasets from structured and unstructured sources into AWS data lakes/warehouses.· Work with S3, Redshift, Athena, Lambda, and Step Functions for data storage, query, and orchestration.· Build and optimize PySpark/Scala scripts within AWS Glue for complex transformations.· Implement data quality checks, lineage, and monitoring across pipelines.· Collaborate with business analysts, data scientists, and product teams to deliver reliable data solutions.· Ensure compliance with data security, governance, and regulatory requirements (BFSI preferred).· Troubleshoot production issues and optimize pipeline performance.
Required Qualifications· 9\+ years of experience in Data Engineering, with at least 5\+ years on AWS cloud data services.· Strong expertise in AWS Glue, S3, Redshift, Athena, Lambda, Step Functions, CloudWatch.· Proficiency in PySpark, Python, SQL for ETL and data transformations.· Experience in data modeling (star, snowflake, dimensional models) and performance tuning.· Hands\-on experience with data lake/data warehouse architecture and implementation.· Strong problem\-solving skills and ability to work in Agile/Scrum environments.
Preferred Qualifications· AWS Certified Data Analytics – Specialty or AWS Solutions Architect certification.· Familiarity with CI/CD pipelines for data engineering (CodePipeline, Jenkins, GitHub Actions).· Knowledge of BI/Visualization tools like Tableau, Power BI, QuickSight.</t>
        </is>
      </c>
    </row>
    <row r="55">
      <c r="A55" t="inlineStr">
        <is>
          <t>in-500b86815a362d94</t>
        </is>
      </c>
      <c r="B55" t="inlineStr">
        <is>
          <t>Sr. Data Engineer</t>
        </is>
      </c>
      <c r="C55" t="inlineStr">
        <is>
          <t>gstv</t>
        </is>
      </c>
      <c r="D55" t="inlineStr">
        <is>
          <t>indeed</t>
        </is>
      </c>
      <c r="E55" t="inlineStr"/>
      <c r="F55" t="inlineStr"/>
      <c r="G55" t="inlineStr">
        <is>
          <t>Remote, US</t>
        </is>
      </c>
      <c r="H55" s="2" t="n">
        <v>46028</v>
      </c>
      <c r="I55" t="inlineStr">
        <is>
          <t>**GSTV is dedicated to building an inclusive team and culture that reflects the communities we serve every day. Being part of the GSTV team means that we are always encouraged and challenged to grow personally and professionally. More importantly, we are accountable for our actions towards one another as the foundation for a strong and accepting workplace.**
**GSTV Values:**
* Growth Focused
* Social Accountability
* Tenacious Behavior
* Valued Actions
**Benefits Day One! Medical, Dental, Vision, Paternal Leave, Life Insurance, Accident, Critical Illness, Hospital Indemnity, STD/LTD \+ Vol Plans., Paid Holidays, 20 PTO days \+ Sick time, Perks, HSA and FSA and Lifestyle Spending Account (1****st** **of mo after 30 days), 401K Match (90 days).**
*GSTV offers both hybrid and remote work situations. Candidates located within commutable distance to our New York Office will be tagged to that office and are not currently considered 100% remote.*
SENIOR DATA ENGINEER
**Summary:**
At GSTV, we take pride in the data that powers our media platform and are committed to unlocking its full potential to drive meaningful business outcomes. That’s why we’re expanding our Data Engineering team and looking for a talented **Senior Data Engineer** to join us.
As a Senior Data Engineer, you'll play a key role in building and maintaining the pipelines and platforms that enable our teams to access trusted, timely, and actionable data. You’ll work closely with Software Engineering, Architecture, IT, and Analytics to deliver scalable, high\-quality data solutions that support our advertising, hardware, and retail partners.
Your primary focus will be on building efficient and reliable data pipelines, ensuring data quality, supporting analytics and reporting, and helping evolve GSTV’s data platform to meet future business needs. Along the way, you’ll mentor other engineers, help establish best practices, and collaborate across the organization to deliver measurable impact.
We’re passionate about being a data\-driven organization, and we need someone who shares that passion. If you're excited to solve complex challenges, thrive in a fast\-paced environment, and want to shape the future of data at GSTV, we’d love to hear from you.
Your success will be measured by:
* Your ability to build and maintain robust, scalable data pipelines that meet business needs.
* The reliability and accuracy of the data systems you deliver—ensuring high data quality and visibility of any system issues.
* Your contributions to the technical design and implementation of data infrastructure and pipelines.
* Your ability to mentor and coach other members of the engineering team.
* Your ability to collaborate effectively with engineering, architecture, product, and analytics groups.
* Your ability to stay current with modern data engineering trends and apply them effectively at GSTV.
Technologies We Use:
* Data \&amp; Visualization: Snowflake, Domo, MongoDB, Dynamo
* Cloud \&amp; Infrastructure: AWS (Kinesis, Lambda, S3, SQS, CDK)
* Languages: Python, SQL
* Integrations: SaaS APIs (e.g., Salesforce)
* Development Practices: Agile, Git, CI/CD
**Responsibilities:**
Responsibilities include, but are not limited to:
* Deliver high\-quality data solutions on time and within scope, while meeting the highest quality standards.
* Design, develop, and maintain secure, scalable ETL pipelines that process structured and unstructured data from various sources.
* Build and optimize data models and processing workflows to support business intelligence, analytics, and reporting needs.
* Develop monitoring and alerting solutions to ensure pipeline performance and data quality, with quick visibility into issues.
* Collaborate closely with software engineering, architecture, product management, analytics, and IT teams.
* Translate business requirements into robust technical solutions and provide input on feasibility, scalability, and design.
* Conduct code reviews and provide thoughtful feedback to other members of the engineering team.
* Contribute to the continuous improvement of data development processes through automation, tooling, and best practices.
* Own the delivery and ongoing support of critical data flows and reporting systems.
* Develop insightful dashboards, reports, and datasets in visualization tools like Domo.
* Mentor other data engineers and contribute to onboarding efforts by teaching the GSTV approach to data development.
* Participate in agile ceremonies including standups, retrospectives, and planning.
* Escalate blockers or risks to appropriate leadership promptly.
* Other duties as assigned.
**Requirements:**
You are
* Detail\-oriented with the ability to drill down into tactical considerations.
* Able to act autonomously while following team philosophy and guidelines.
* Resourceful—able to find solutions even when they are not obvious—and know when to ask for help.
* Comfortable with ambiguity and rapid change.
* A team player with strong communication and collaboration skills in a matrixed environment.
* Business and outcome\-focused with a bias toward action.
* Skilled at identifying and resolving data quality issues.
* Passionate about building well\-structured, maintainable, and scalable data systems.
* A self\-starter and lifelong learner, always eager to experiment with new tools and technologies.
You have, ideally,
* Strong proficiency in SQL and data modeling techniques.
* Deep experience with Snowflake or comparable data platforms.
* Hands\-on experience with Python and familiarity with other languages.
* Expertise in integrating data from external APIs and third\-party systems.
* Familiarity with infrastructure\-as\-code and cloud\-native data services (especially AWS).
* Strong analytical thinking, problem\-solving, and debugging skills.
* Effective and impactful oral, written, and presentation communication skills.
* Experience in a fast\-paced, Agile environment.
* Strong influencing skills—you can achieve goals without direct authority.
* Excellent organization and time management skills.
The requirements listed are representative of the knowledge, skill, and/or ability required. Reasonable accommodations may be made to enable individuals with disabilities to perform the essential functions.
**Education and/or Experience:**
Experience:
* Ideal candidates will have 5\+ years of experience developing and maintaining ELT systems, and a high\-level understanding of different data processing systems.
* **Must Have**
	+ Experience with the data warehouses (Snowflake or BigQuery), data ELT/ETL pipelines
	+ Proficiency in data modeling, advanced SQL, stored procedures, and query optimization
	+ Proficiency in one or more programming languages such as Python, Java, or Scala
* **Nice To Have**
	+ Creating datasets, dataflows, and dashboards in Domo
	+ Experience building integrations with SaaS APIs like Salesforce
Education:
* Bachelor’s degree in Computer Science or a related field
* Extra considerations given for certifications such as AWS Data Analytics Certification or Snowflake Data Engineering Certification
Of course, this is just a sample of the kinds of work this role will require! You should assume that your role will encompass other tasks, too, and that your job duties and responsibilities may change from time to time at GSTV's discretion, or otherwise applicable with local law.
*Note: The expected salary range for this position is based on a combination of experience and qualifications for the position, as well as geographic location to align with local market.*</t>
        </is>
      </c>
    </row>
    <row r="56">
      <c r="A56" t="inlineStr">
        <is>
          <t>in-69aa49bb205bd225</t>
        </is>
      </c>
      <c r="B56" t="inlineStr">
        <is>
          <t>Data engineer</t>
        </is>
      </c>
      <c r="C56" t="inlineStr">
        <is>
          <t>Luxoft</t>
        </is>
      </c>
      <c r="D56" t="inlineStr">
        <is>
          <t>indeed</t>
        </is>
      </c>
      <c r="E56" t="inlineStr"/>
      <c r="F56" t="inlineStr"/>
      <c r="G56" t="inlineStr">
        <is>
          <t>Irvine, CA, US</t>
        </is>
      </c>
      <c r="H56" s="2" t="n">
        <v>46028</v>
      </c>
      <c r="I56" t="inlineStr">
        <is>
          <t>##### **Project description**
Luxoft is looking for a Senior Data Engineer for development of new application to be used by investors and investment committees to review their portfolio data, tailored to specific user groups.
##### **Responsibilities**
Work with complex data structures and provide innovative ways to a solution for complex data delivery requirements
Evaluate new and alternative data sources and new integration techniques
Contribute to data models and designs for the data warehouse
Establish standards for documentation and ensure your team adheres to those standards
Influence and develop a thorough understanding of standards and best practices used by your team
##### **Skills**
Must have
Seasoned data engineer who has hands\-on experience in AWS to conduct end\-to\-end data analysis and data pipeline build\-out using Python, Glue, S3, Airflow, DBT, Redshift, RDS, etc.
Extensive Python API design experience, preferably Fast API
Strong SQL knowledge
Nice to have
Pyspark
Databricks
ETL design
##### **Other**
Languages
English: B2 Upper Intermediate
Seniority
Senior
Irvine, US, United States of America
Req. VR\-118412
Python
BCM Industry
07/01/2026
Req. VR\-118412</t>
        </is>
      </c>
    </row>
    <row r="57">
      <c r="A57" t="inlineStr">
        <is>
          <t>in-e3a68ac0a624738c</t>
        </is>
      </c>
      <c r="B57" t="inlineStr">
        <is>
          <t>Associate Data Engineer</t>
        </is>
      </c>
      <c r="C57" t="inlineStr">
        <is>
          <t>GoHealth Urgent Care</t>
        </is>
      </c>
      <c r="D57" t="inlineStr">
        <is>
          <t>indeed</t>
        </is>
      </c>
      <c r="E57" t="inlineStr"/>
      <c r="F57" t="inlineStr"/>
      <c r="G57" t="inlineStr">
        <is>
          <t>Atlanta, GA, US</t>
        </is>
      </c>
      <c r="H57" s="2" t="n">
        <v>46028</v>
      </c>
      <c r="I57" t="inlineStr">
        <is>
          <t>You’re more valuable than ever – And that’s just how we’ll make you feel.
**Summary**  
The Associate Data Engineer on our Data Services team will assist in the development,  
maintenance, and optimization of data pipelines. This role will leverage Snowflake for efficient data  
storage and processing. As an Associate Data Engineer, you will collaborate with senior data  
engineers, data scientists, and other stakeholders to ensure seamless data integration,  
transformation, and accessibility.
 **Qualifications**  
**Education Required:**
* Bachelor’s degree in computer science, Information Technology, Data Engineering, or a related field.
**Work Experience Required:**
* 1\+ years of experience in Data Engineering, Data Warehousing
* 1\+ years’ experience working on Snowflake or any cloud platform
**Preferred Qualifications, Education, Licenses, Certifications, Experience, etc.:**
* Experience with Snowflake services, such as SnowPipe, Streams \&amp; Tasks, and Snowflake Security.
* Knowledge of data orchestration tools (e.g., Apache Airflow, dbt).
* Knowledge of data modeling, data integration, and database performance optimization techniques.
* Familiarity with Python, Java, or other programming languages for automation and data engineering tasks.
* Basic understanding of cloud services, particularly Azure.
* Experience with data visualization tools (e.g., Tableau, Power BI) is a plus.
* Knowledge, Skills, and Abilities
* Basic understanding of Snowflake and cloud\-based data warehousing concepts.
* Strong proficiency in SQL for querying and manipulating data.
* Experience with Python for data manipulation, automation, and ETL tasks.
* Familiarity with ETL processes and data pipeline frameworks.
* Experience working with structured and semi\-structured data (e.g., JSON, XML).
* Familiarity with version control tools such as Git.
* Strong problem\-solving skills and attention to detail.
* Ability to collaborate effectively within a team and communicate technical information to non\-technical stakeholders.
* This role involves interaction and collaboration with other departments and requires excellent judgment and interpersonal skills.
**Essential Duties and Responsibilities**
* Contribute to the design, development, and optimization of Snowflake data pipelines by applying technical expertise to evaluate requirements, recommend solutions, and implement scalable processes.
* Analyze, transform, and validate structured and semi\-structured data (e.g., JSON, XML) to ensure accuracy, consistency, and business readiness, including identifying and implementing appropriate transformation logic.
* Integrate data from multiple systems into the enterprise Data Warehouse, reconciling inconsistencies and ensuring adherence to data governance standards.
* Design, write, and maintain efficient SQL queries for data extraction and transformation, optimizing for accuracy, cost efficiency, and performance.
* Develop and maintain automated ETL workflows, selecting appropriate tools and implementing error handling, recovery logic, and monitoring mechanisms.
* Monitor and tune Snowflake performance, analyzing usage trends and recommending and implementing architectural or configuration improvements.
* Investigate and resolve data\-related issues, including identifying root causes, implementing corrective actions, and designing preventative measures.
* Deliver clean, reliable, and well\-structured datasets to business stakeholders and analytics teams to support reporting, dashboards, and data\-driven decision\-making, while ensuring compliance with governance and security standards.
* Collaborate with cross\-functional stakeholders (e.g., Business Intelligence, Operations, Finance) to translate business needs into technical requirements, exercising discretion in prioritization and solution design.
* Evaluate and, when appropriate, adopt new technologies or methodologies to support team objectives and address end\-user requirements, in alignment with organizational priorities and policies.
**GoHealth Core Values**
**GoHealth’s Core Values, listed below, are essential functions of this position:**
* **Collaboration:** Takes ownership for collectively establishing productive partnerships and relationships and seek to gain joint understanding of priorities and objectives so that the greater good of the organization and those we serve is always at the forefront.
* **Innovation:** Consistently uses good judgment, applying creativity to overcome obstacles and increasing effectiveness and efficiency through process and other forms of innovation.
* **Diversity \&amp; Inclusion:** Fosters diversity and inclusion, to be able to better understand team members, our customers and partners. Engages the strengths and talents of each GoHealth team member, creating an environment of involvement, respect and connection where the richness of ideas, backgrounds and perspectives are harnessed.
* **Courage \&amp; Integrity:** Models and practices the highest ethical and professional standards; demonstrates pride and personal interest in our patients, partners and fellow team members, deeply engaging in the business. Makes decisions, with a focus on doing the right thing; treats team members, our customers, partners and vendors with dignity, consideration, open\-mindedness and respect.
* **Accountability:** Always shows initiative, demonstrates a bias to action and gets things done. Actively accepts responsibility for diverse roles, obligations and actions that positively influence patient and customer outcomes, our partnerships and the healthcare needs of our communities.
**Physical Requirements**
* Office Environment: Primarily remote; standard office or home\-office setting.
* Physical Activity: May involve sitting, standing, and walking. Occasional lifting or carrying of materials up to 25 lbs.
* Travel: Minimal travel may be required (up to 10%).
* Safety Equipment: Compliance with workplace safety and infection\-prevention standards as applicable.
* Office Environment: Primarily remote; standard office or home\-office setting.
* Physical Activity: May involve sitting, standing, and walking. Occasional lifting or carrying of materials up to 25 lbs.
\_\_\_\_\_\_\_\_\_\_\_\_\_\_\_\_\_\_\_\_\_\_\_\_\_\_\_\_\_\_\_\_\_\_\_\_\_\_\_\_\_\_\_\_\_\_\_\_\_\_\_\_\_\_\_\_\_\_\_\_\_\_\_\_\_\_\_\_\_\_\_\_\_\_\_\_\_\_\_\_\_\_\_\_\_\_\_\_\_\_\_\_\_\_\_\_\_\_\_\_\_\_\_\_\_  
Note: This Job Description is not inclusive of all the duties of the position. You may be asked by Leaders to perform other duties. Leadership may revise this job description at any time.
Set up email alerts as new job postings become available that meet your interest!
All qualified persons are granted an equal opportunity for employment without regard to race, color, religion, sex, sexual orientation and gender identity or expression, age, national origin, citizenship status, disability, genetic information, medical condition, family care leave status, pregnancy or pregnancy\-related condition, otherwise qualified disabled or veteran status. The company will comply with all fair employment laws in each of the jurisdictions where we conduct business.  
For applicants in California, please review our California Consumer Privacy Statement here. https://www.gohealthuc.com/privacy\-policy</t>
        </is>
      </c>
    </row>
    <row r="58">
      <c r="A58" t="inlineStr">
        <is>
          <t>in-508bcfea92403aa4</t>
        </is>
      </c>
      <c r="B58" t="inlineStr">
        <is>
          <t>Sr. Data Engineer</t>
        </is>
      </c>
      <c r="C58" t="inlineStr">
        <is>
          <t>Oakwood Systems Group</t>
        </is>
      </c>
      <c r="D58" t="inlineStr">
        <is>
          <t>indeed</t>
        </is>
      </c>
      <c r="E58" t="inlineStr"/>
      <c r="F58" t="inlineStr"/>
      <c r="G58" t="inlineStr">
        <is>
          <t>St. Louis, MO, US</t>
        </is>
      </c>
      <c r="H58" s="2" t="n">
        <v>46028</v>
      </c>
      <c r="I58" t="inlineStr">
        <is>
          <t>**Position Overview**
---------------------
As a Data Engineer, you will design, build, and optimize reusable, scalable data pipelines with robust error handling and reporting. Your work will enable advanced analytics and data\-driven decision\-making for our clients across various industries. This role offers the opportunity to work with state\-of\-the\-art cloud platforms like Microsoft Fabric, as well as industry\-leading tools and technologies.**Key Responsibilities**
------------------------
* Develop, maintain, and optimize reusable, scalable data pipelines that include robust error handling and logging mechanisms.
* Implement automated notifications and error reporting using Azure Logic Apps and other tools.
* Collaborate with cross\-functional teams to ensure data pipelines align with business objectives and meet performance requirements.
* Ensure data quality by implementing and maintaining frameworks.
* Design and implement data models and ETL/ELT processes that enable high\-performance analytics solutions.
* Support the integration and transformation of diverse data sources into unified and consumable formats.
* Stay up\-to\-date with the latest advancements in Azure data services, including Microsoft Fabric, to deliver innovative solutions.
**Required Skills**
-------------------
* 3\-5 years of proven experience as a Data Engineer or in a similar role.
* Proficiency in designing and implementing data pipelines with tools such as Azure Data Factory and Azure Synapse, preferably within Microsoft Fabric.
* Strong programming skills in Python (preferable), Spark, Java, or C\#
* Advanced SQL expertise (T\-SQL, PL/SQL) for database design and query optimization.
* Hands\-on experience with cloud data platforms, particularly Azure (Databricks, Synapse, Data Factory, Logic Apps).
* Familiarity with data quality frameworks.
**Preferred Experience**
------------------------
* Proficiency with Microsoft Fabric for analytics and data processing.
* Advanced knowledge of modern data architectures (Medallion, DataVault, Lambda/Kappa)
* Knowledge of business intelligence tools like Power BI or Tableau.
* Azure certifications (e.g., Fabric Analytics, Fabric Data Engineer, Power BI Data Analyst).
* Solid Experience with DevOps practices using Azure DevOps or Git.
**Why Join Oakwood?**
---------------------
* Competitive compensation with bonus potential.
* Comprehensive benefits, including health, dental, and vision coverage.
* Paid time off for vacation, holiday and illness.
* Certification support, training programs, and professional growth opportunities.
* Flexible work environment with remote and hybrid options for employees living within 50 miles of
St. Louis or Kansas City.
\*\*\* Visa sponsorship and relocation are not available now or in the future. \*\*\*</t>
        </is>
      </c>
    </row>
    <row r="59">
      <c r="A59" t="inlineStr">
        <is>
          <t>in-43e2d0fd35e3df51</t>
        </is>
      </c>
      <c r="B59" t="inlineStr">
        <is>
          <t>Sr. Data Engineer</t>
        </is>
      </c>
      <c r="C59" t="inlineStr">
        <is>
          <t>Oakwood Systems Group</t>
        </is>
      </c>
      <c r="D59" t="inlineStr">
        <is>
          <t>indeed</t>
        </is>
      </c>
      <c r="E59" t="inlineStr"/>
      <c r="F59" t="inlineStr"/>
      <c r="G59" t="inlineStr">
        <is>
          <t>Kansas City, MO, US</t>
        </is>
      </c>
      <c r="H59" s="2" t="n">
        <v>46028</v>
      </c>
      <c r="I59" t="inlineStr">
        <is>
          <t>**Position Overview**
---------------------
As a Data Engineer, you will design, build, and optimize reusable, scalable data pipelines with robust error handling and reporting. Your work will enable advanced analytics and data\-driven decision\-making for our clients across various industries. This role offers the opportunity to work with state\-of\-the\-art cloud platforms like Microsoft Fabric, as well as industry\-leading tools and technologies.**Key Responsibilities**
------------------------
* Develop, maintain, and optimize reusable, scalable data pipelines that include robust error handling and logging mechanisms.
* Implement automated notifications and error reporting using Azure Logic Apps and other tools.
* Collaborate with cross\-functional teams to ensure data pipelines align with business objectives and meet performance requirements.
* Ensure data quality by implementing and maintaining frameworks.
* Design and implement data models and ETL/ELT processes that enable high\-performance analytics solutions.
* Support the integration and transformation of diverse data sources into unified and consumable formats.
* Stay up\-to\-date with the latest advancements in Azure data services, including Microsoft Fabric, to deliver innovative solutions.
**Required Skills**
-------------------
* 3\-5 years of proven experience as a Data Engineer or in a similar role.
* Proficiency in designing and implementing data pipelines with tools such as Azure Data Factory and Azure Synapse, preferably within Microsoft Fabric.
* Strong programming skills in Python (preferable), Spark, Java, or C\#
* Advanced SQL expertise (T\-SQL, PL/SQL) for database design and query optimization.
* Hands\-on experience with cloud data platforms, particularly Azure (Databricks, Synapse, Data Factory, Logic Apps).
* Familiarity with data quality frameworks.
**Preferred Experience**
------------------------
* Proficiency with Microsoft Fabric for analytics and data processing.
* Advanced knowledge of modern data architectures (Medallion, DataVault, Lambda/Kappa)
* Knowledge of business intelligence tools like Power BI or Tableau.
* Azure certifications (e.g., Fabric Analytics, Fabric Data Engineer, Power BI Data Analyst).
* Solid Experience with DevOps practices using Azure DevOps or Git.
**Why Join Oakwood?**
---------------------
* Competitive compensation with bonus potential.
* Comprehensive benefits, including health, dental, and vision coverage.
* Paid time off for vacation, holiday and illness.
* Certification support, training programs, and professional growth opportunities.
* Flexible work environment with remote and hybrid options for employees living within 50 miles of
St. Louis or Kansas City.
\*\*\* Visa sponsorship and relocation are not available now or in the future. \*\*\*</t>
        </is>
      </c>
    </row>
    <row r="60">
      <c r="A60" t="inlineStr">
        <is>
          <t>in-3b43f20ed1589685</t>
        </is>
      </c>
      <c r="B60" t="inlineStr">
        <is>
          <t>Snr. Analytics Engineer (Remote)</t>
        </is>
      </c>
      <c r="C60" t="inlineStr">
        <is>
          <t>KnowBe4</t>
        </is>
      </c>
      <c r="D60" t="inlineStr">
        <is>
          <t>indeed</t>
        </is>
      </c>
      <c r="E60" t="inlineStr"/>
      <c r="F60" t="inlineStr"/>
      <c r="G60" t="inlineStr">
        <is>
          <t>Clearwater, FL, US</t>
        </is>
      </c>
      <c r="H60" s="2" t="n">
        <v>46028</v>
      </c>
      <c r="I60" t="inlineStr">
        <is>
          <t>**About KnowBe4**
Join the cybersecurity company that puts security first; literally and without compromise. At KnowBe4, our AI\-driven Human Risk Management platform empowers over 70,000 organizations worldwide to strengthen their security culture and transform their workforce from their biggest vulnerability into their strongest security asset. As the undisputed industry standard with unusually high customer retention rates and recognition as a Leader by G2 and TrustRadius, we're not just providing security awareness training \- we're redefining what it means to be a trusted security partner in an increasingly complex threat landscape.
Our team values radical transparency, extreme ownership, and continuous professional development in a welcoming workplace that encourages all employees to be themselves. Whether working remotely or in\-person, we strive to make every day fun and engaging; from team lunches to trivia competitions to local outings, there is always something exciting happening at KnowBe4\.
**Remote positions open to the US only.**
The Snr. Analytics Engineer sits at the intersection of Data Analytics and Data Engineering, and is responsible for bringing robust, efficient, and integrated data models and products to life. This role owns the data transformation layer \- making sure data is ingested, transformed, scheduled, and ready to be used for analytics. The successful Analytics Engineer speaks the language of business teams and technical teams and is able to blend business acumen with technical expertise and transition between business strategy and data development.
**Responsibilities:**
* Writes high engineering quality SQL and Python based transformations running in cloud data warehouses (in ELT fashion)
* Serves as the responsible individual for major sections of the Enterprise Dimensional Model through model design, code development, reviews, pairing, and training to deliver optimal and scalable database designs and queries
* Leads four or more departmental analytics engineer projects from beginning to operationalization
* Setup threat intelligence metrics dashboards across a variety of knowbe4's products
* Understand core product features and come up with new metrics to track the efficacy of these products
* Collaborate with product managers and fellow engineers to establish and refine requirements
* Contribute directly to existing data pipelines when building out new metrics
**Minimum Qualifications:**
* BS or equivalent plus 8 years experience
* MS or equivalent plus 3 years experience
* Ph.D. or equivalent plus 2 years experience
* Experience with common SQL and no\-sql databases such as PostgreSQL, MySQL and MongoDB
* An understanding of machine learning and statistical methods and how they are applied
* Experience using Data Science libraries such as Pandas, Numpy, and Scikit\-Learn
* Experience with BI and visualization tools such as Quicksights, Looker and PowerBi
* Able to leverage structured formats like JSON, YAML and related technologies to build scalable, testable applications in Docker and other tools.
* Ability to appropriately use GenAI to accelerate their learning and development
* Understanding of web frameworks (FastApi, Flask, Django, Rails, Laravel)
* Great communicator and team player
* Creativity, initiative and acute attention to detail
* Experience with Amazon Web Services (AWS) particularly Athena, Sagemaker, EMR and Step Functions
The base pay for this position ranges from $105,000 \- $158,000, which will vary depending on how well an applicant's skills and experience align with the job description listed above.
We will accept applications until 2/7/2025\.
**Our Fantastic Benefits**
We offer company\-wide bonuses based on monthly sales targets, employee referral bonuses, adoption assistance, tuition reimbursement, certification reimbursement, and certification completion bonuses \- all in a modern, high\-tech, and fun work environment. For more details about our benefits in each office location, please visit www.knowbe4\.com/careers/benefits.
*Note: An applicant assessment and background check may be part of your hiring procedure.*
**Individuals seeking employment at KnowBe4 are considered without prejudice to race, color, religion, national origin, age, sex, marital status, ancestry, physical or mental disability, veteran status, gender identity, sexual orientation or any other characteristic protected under applicable federal, state, or local law. If you require reasonable accommodation in completing this application, interviewing, completing any pre\-employment testing, or otherwise participating in the employee selection process, please visit www.knowbe4\.com/careers/request\-accommodation.**
No recruitment agencies, please.</t>
        </is>
      </c>
    </row>
    <row r="61">
      <c r="A61" t="inlineStr">
        <is>
          <t>in-1b26b8a61d328ca4</t>
        </is>
      </c>
      <c r="B61" t="inlineStr">
        <is>
          <t>Principal Data Engineer</t>
        </is>
      </c>
      <c r="C61" t="inlineStr">
        <is>
          <t>HCA Healthcare</t>
        </is>
      </c>
      <c r="D61" t="inlineStr">
        <is>
          <t>indeed</t>
        </is>
      </c>
      <c r="E61" t="inlineStr"/>
      <c r="F61" t="inlineStr"/>
      <c r="G61" t="inlineStr">
        <is>
          <t>Nashville, TN, US</t>
        </is>
      </c>
      <c r="H61" s="2" t="n">
        <v>46028</v>
      </c>
      <c r="I61" t="inlineStr">
        <is>
          <t>##### **Introduction**
Are you passionate about the patient experience? At HCA Healthcare, we are committed to caring for patients with purpose and integrity. We care like family! Jump\-start your career as a(an) Principal Data Engineer today with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Come join our team as a(an) Principal Data Engineer. We care for our community! Just last year, HCA Healthcare and our colleagues donated $13\.8 million dollars to charitable organizations. Apply Today!
##### **Job Summary and Qualifications**
This role requires working closely with others, frequently in a matrixed environment, and with little supervision. As a Principal Data Engineer/Architect level, the role requires 'self\-starters' who are proficient in problem solving and capable of bringing clarity to complex situations. It requires contributing to strategic technical direction and system architecture approaches for individual projects and platform migrations. The culture of the organization places an emphasis on teamwork, so social and interpersonal skills are equally important as technical capability. Due to the emerging and fast\-evolving nature of Google Cloud Platform (GCP) technology and practice, the position requires that one stay well\-informed of technological advancements and be proficient at putting new innovations into effective practice.  
Responsible for leading development efforts, driving adoption and appropriate use of technology and consulting on internal and external development efforts to ensure code quality and sound architecture. This position assumes the responsibility for project success and the upward development of team members’ technical skills. They are the development team's point of contact that must interface with business partners of varying roles ranging from technical staff to executive leadership. In addition, this candidate will have a history of increasing responsibility in a small multi\-role team. This position requires a candidate who can analyze business requirements, perform design tasks, construct, test, and implement cutting\-edge technical data solutions with minimal supervision.  
As a Principal Data Engineer/Architect, you will work closely with all team members to create a modular, scalable solution that addresses current needs, but will also serve as a foundation for future success. The position will be critical in building the team’s engineering practices in test driven development, continuous integration, and automated deployment and is a hands\-on team member who actively coaches the team to solve complex problems. She / he will be responsible for the design, development, performance, and support of the GCP Platform components.  
This candidate will have a record of accomplishment of participation in successful projects in a fast\-paced, mixed team (consultant and employee) environment. In addition, the applicant must be willing to train and mentor other developers to prepare them for assuming their responsibilities.  
As the Principal Engineer, you will be responsible for architecting and delivering next\-generation GenAI/LLM\-based solutions that will revolutionize the software development lifecycle. You will dive into the development process, from writing code using common developer tools, through the build, test, deploy process, and iterating with CI/CD systems. You will build the technical vision and roadmap for how we can evolve these tools and accelerate software development and delivery for all Google Cloud Platform users.  
In addition, the Principal Data Engineer will be expected to leverage AI\-native workflows to accelerate solution delivery. This includes the ability to use AI\-assisted development tools for rapid software engineering, apply modern AI building blocks such as prompting, retrieval\-augmented generation (RAG), evaluation frameworks, agentic workflows, and machine learning, and to rapidly prototype and iterate on data\-driven applications.  
Applied to this position, your skills will help transform healthcare through technology and solutions that dramatically improve patient care and business operations.
**Core Competencies**
The following are highlighted entrepreneurial competencies and core expectations for the job/role:
* Communication and interpersonal skills
* Problem\-solving and critical thinking skills.
* Understand strategic imperatives.
* Technology \&amp; business knowledge
At HCA DT\&amp;I, your deliverables will influence patient care. Every process, technology, and decision matters. This role will provide deep technical expertise in all aspects of solution design and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**What you will do:**
* Responsible for designing, building, and supporting GCP based ecosystems designed for enterprise\-wide analysis of structured, semi\-structured, and unstructured data.
* Bring new data sources into GCP, transform and load to databases.
* Provide technical leadership across Google Cloud Platform (GCP) teams to lead the design and delivery of next\-generation GenAI/LLM\-based solutions.
* Identify, design, and implement internal process improvements, automate manual processes, optimize data delivery, and re\-design infrastructure for greater scalability.
* Develop and review data management plans, architecture plans, data transfer plans, and data security and privacy plans, including event monitoring and auditing guidelines, to ensure that systems meet security and technical requirements.
* Develop and review standard operating procedures to meet high standards for data organization, quality, and security.
* Provide leadership in developing standards and best practices.
* Build analytics tools to provide actionable insights into operational efficiency, service delivery, and policy evaluation.
* Deliver consistent and reliable processes and high\-quality output on independent and team projects.
* Closely collaborates with team members to successfully execute development initiatives using Agile practices and principles.
* Participates in large\-scale development projects involving multiple areas outside of core team.
* Designs fit\-for\-purpose products to ensure products align to the customer's strategic plans and technology road maps.
* Shares knowledge and experience to contribute to growth of overall team capabilities.
* Participates in the deployment, change, configuration, management, administration and maintenance of deployment process and systems.
* Work closely with management, architects, and other teams to develop and implement the projects.
* Actively participate in technical group discussions and adopt any innovative technologies to improve the development and operations.
* Rapidly prototypes and deliver just\-in\-time solutions.
* Gather requirements, designs, constructs, and deliver solutions with minimal team interaction.
* Works in an environment with rapidly changing business requirements and priorities
* Demonstrates deep understanding and acts as a leader in the team’s continuous integration and continuous delivery automation pipeline.
* Work collaboratively with Data Scientists, business, and IT leaders throughout the company to understand Cloud/Big Data needs and use cases.
* A technical expert leading a high\-performing team to develop, construct, test and maintain sound, secure data architectures that meet business needs.
* A team\-oriented specialist who works collaboratively with business leaders, project managers, and across technical teams to build the right thing.
* A strategic thinker who improves the functionality and value of the clinical systems
* Apply AI\-native engineering practices to design, implement, and optimize data and software systems, accelerating time\-to\-value.
* Incorporate prompt engineering, RAG pipelines, and automated evaluation techniques into data solutions and workflows.
* Prototype, test, and iterate rapidly using AI\-assisted development approaches, ensuring scalable and reliable production systems.
* Explore and integrate agentic workflows and emerging AI/ML capabilities to enhance automation and decision\-making across platforms.
###### **What qualifications you will need:**
* Bachelor's degree in computer science or related field required
* Master's degree in computer science or related field preferred
* 5\+ years of experience in Data Engineering required
* 1\+ year(s) of experience in Healthcare preferred
* 10\+ years of experience in Information Technology required
* Strong understanding of best practices and standards for GCP application design and implementation.
* Two\+ Year of hands\-on experience with GCP platform and experience with many of the following components:
* GCS, Cloud Run, Cloud Functions
* Bigtable, Cloud SQL
* Kafka, Pub/Sub
* Python, Golang, Spark, Scala or Java
* BigQuery, Dataflow, Data Fusion
* GKE, CI/CD and Logging \&amp; Monitoring
* Understanding of Lambda Design Architectures and Real\-Time Streaming
* Experience with Unstructured Data, Real\-Time Streaming with GCP
* Ability to multitask and to balance competing priorities.
* Requires strong practical experience in agile application development, file systems management, and DevOps discipline and practice using short\-cycle iterations to deliver continuous business value.
* Knowledge of all facets of GCP ecosystem development including ideation, design, implementation, tuning, and operational support.
* Ability to define and utilize best practice techniques and to impose order in a fast\-changing environment. Must have strong critical thinking skills.
* Strong verbal, written, and interpersonal skills, including a desire to work within a highly matrixed, collaborative environment.
A successful candidate may have:
* Experience in Healthcare Domain
* Experience in Patient Data
* Experience with Natural Language Processing (NLP)
* Hardware/Operating Systems:
* Linux, UNIX
* GCP
* Distributed, highly scalable processing environments.
* Databases: NoSQL, Hbase, Cassandra, MongoDB, Cosmos, In\-memory, Columnar, other emerging technologies
* Other Languages – Java, Python, Scala, R
* Build Systems – TFS, Github
* Ability to integrate tools outside of the core GCP ecosystem.
* AI\-native Workflows
18\+ months of hands\-on experience with many of the following components:
* Hands\-on experience with AI\-assisted development tools (e.g., Copilot, ChatGPT, or equivalent) to accelerate engineering tasks.
* Familiarity with modern AI application patterns such as prompting strategies, RAG, evals, and agent\-based systems.
* Demonstrated ability to rapidly prototype and iterate with AI/ML technologies to deliver practical, production\-ready solutions.
* A growth mindset with curiosity to experiment with emerging AI frameworks and incorporate them into engineering practices.
Certifications (a plus, but not required):
* GCP Cloud Professional Data Engineer
* GCP Cloud Professional Data Architect
PHYSICAL DEMANDS/WORKING CONDITIONS (Specific statements of physical effort required and description of work environment; e.g., prolonged sitting at CRT. required travel %)
Prolonged sitting or standing at computer workstations including use of mouse, keyboard, and monitor.
Requires the ability to provide after\-hours support.
"The great hospitals will always put the patient and the patient's family first, and the really great institutions will provide care with warmth, compassion, and dignity for the individual."\- Dr. Thomas Frist, Sr.  
HCA Healthcare Co\-Founder
If you are looking for an opportunity that provides satisfaction and personal growth, we encourage you to apply for our Principal Data Engineer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62">
      <c r="A62" t="inlineStr">
        <is>
          <t>in-3212af605cb805e1</t>
        </is>
      </c>
      <c r="B62" t="inlineStr">
        <is>
          <t>Analytics Engineer - Nashville, TN</t>
        </is>
      </c>
      <c r="C62" t="inlineStr">
        <is>
          <t>QualDerm Partners LLC</t>
        </is>
      </c>
      <c r="D62" t="inlineStr">
        <is>
          <t>indeed</t>
        </is>
      </c>
      <c r="E62" t="inlineStr"/>
      <c r="F62" t="inlineStr"/>
      <c r="G62" t="inlineStr">
        <is>
          <t>Brentwood, TN, US</t>
        </is>
      </c>
      <c r="H62" s="2" t="n">
        <v>46028</v>
      </c>
      <c r="I62" t="inlineStr">
        <is>
          <t>QualDerm Partners, LLC partners with physicians and staff to provide highest quality clinical care to patients. We provide the full spectrum of dermatology, skin cancer care, cosmetics, plastic surgery in 17 states and across 158 practice locations. We seek to hire best in class talent and commit to provide a positive combination of environment, technology, teamwork and personal reward opportunities to earn your confidence that we are your best place to work.
**Purpose:**
The Analytics Engineer plays a key role in QualDerm’s journey to becoming a data\-driven organization. This position is responsible for collecting, analyzing, and visualizing data to help leaders make better decisions across clinical, operational, financial, and patient\-experience functions. The Analytics Engineer will work closely with business stakeholders and the Data \&amp; Analytics team to transform raw data into actionable insights, supporting initiatives such as patient demand forecasting, call center optimization, provider utilization, and revenue cycle improvement.
The role also involves leveraging **AI\-assisted tools, forecasting models, and automation platforms** to accelerate workflows, improve efficiency, and enhance the quality of analytics deliverables. The Analytics Engineer is expected to stay informed about **emerging technologies in analytics, forecasting, AI, and automation** to continually advance QualDerm’s data capabilities.
* Partner with business stakeholders to understand reporting and analytics needs.
* Develop and maintain dashboards, reports, and self\-service tools in Power BI to monitor KPIs and track business performance.
* Write and optimize SQL and Python to extract and transform data from Snowflake and other systems.
* Collaborate with senior analysts, data engineers, and business users to ensure high\-quality data and reliable reporting.
* Support the design and maintenance of semantic models and the silver/gold layers of QualDerm’s medallion data architecture.
* Conduct ad hoc analyses to answer key business questions related to patients, providers, call center activity, financial performance, and marketing.
* Identify opportunities to **use AI, forecasting models, and automation tools** (e.g., AI copilots, anomaly detection, predictive analytics) to improve reporting and analysis workflows.
* Apply knowledge of **basic forecasting concepts** (time series, seasonality, trend analysis, exogenous factors) to support forward\-looking business insights.
* Support data governance by validating data accuracy and documenting key business definitions.
* Research and recommend **new tools, methods, and best practices** in the analytics, forecasting, and AI space to enhance QualDerm’s data platform.
* Perform other essential duties as assigned.
**Requirements**
Education and/or Experience Requirements:
* Bachelor’s degree in business, healthcare, finance, computer science, or a related field.
* 2–4 years of experience as a Data Analyst (healthcare experience preferred).
* Proficiency in SQL; familiarity with Snowflake or other cloud data warehouses.
* Experience building dashboards and reports in Power BI or a similar visualization tool.
* Exposure to ETL/ELT concepts and modern data tools (e.g., Fivetran, dbt, Coalesce, Matillion).
* **Required:** Familiarity with forecasting and predictive modeling concepts (time series, regression, trend/seasonality).
* **Preferred/Growth Opportunity:** Hands\-on experience building or maintaining forecasting models using Python, Snowflake ML, or other tools.
* Strong analytical and problem\-solving skills with attention to detail.
* Ability to communicate complex data insights clearly to non\-technical stakeholders.
* Team\-oriented with the ability to work independently and manage multiple priorities.
Abilities, Skills, and Qualifications:
* Solid foundation in data analysis, reporting, and visualization.
* Familiarity with **AI/ML concepts, forecasting models, and automation platforms** preferred.
* Ability to work effectively in cross\-functional teams spanning clinical operations, finance, marketing, and IT.
* Strong communication skills, both written and verbal.
* Self\-starter who is eager to learn **new technologies and innovations in data, forecasting, and AI.**
* Knowledge of medical practice and care.
**Benefits**
**Benefits of joining Qualderm Partners:**
* **Competitive Pay** – Attractive compensation to reward your hard work
* **Comprehensive Health Coverage** – Includes Medical, Dental, and Vision plans to keep you covered
* **Generous 401(k) Plan** – Company matches 100% of the first 3%, plus 50% of the next 2%, with immediate vesting
* **Paid Time Off (PTO)** – Unlimited, unaccrued paid time off plus 6 company paid holidays
* **Company\-Paid Life Insurance** – Peace of mind with basic life coverage, with the option for additional plans
* **Disability Protection** – Short\-term and long\-term disability coverage to protect you in unexpected circumstances
* **Additional Wellness Plans** – Accident, critical illness, and identity theft protection plans for extra security
* **Employee Assistance Program (EAP)** – Access confidential support for personal or work\-related challenges
* **Exclusive Employee Discounts** – Save on products and services with special discounts just for you
* **Referral Bonus Program** – Earn bonuses by referring qualified candidates to join the team
*QualDerm Partners is proud to be an equal opportunity employer. We celebrate diversity and are committed to creating an inclusive environment for all employees. Applicants must be currently authorized to work in the United States in a full\-time basis.*</t>
        </is>
      </c>
    </row>
    <row r="63">
      <c r="A63" t="inlineStr">
        <is>
          <t>in-97959f2404163df1</t>
        </is>
      </c>
      <c r="B63" t="inlineStr">
        <is>
          <t>Lead Data Engineer</t>
        </is>
      </c>
      <c r="C63" t="inlineStr">
        <is>
          <t>MetLife</t>
        </is>
      </c>
      <c r="D63" t="inlineStr">
        <is>
          <t>indeed</t>
        </is>
      </c>
      <c r="E63" t="inlineStr"/>
      <c r="F63" t="inlineStr"/>
      <c r="G63" t="inlineStr">
        <is>
          <t>Cary, NC, US</t>
        </is>
      </c>
      <c r="H63" s="2" t="n">
        <v>46006</v>
      </c>
      <c r="I63" t="inlineStr">
        <is>
          <t>Location(s)
* Posting Location: Cary, North Carolina
City/Cities
Cary
Country
United States
Working Schedule
Full\-Time
Work Arrangement
Hybrid
Travel Required
10%
Relocation Assistance Available
No
Posted Date
16\-Dec\-2025
Job ID
14266
### **Description and Requirements**
**Role Value Proposition:**
This team is at the core of Actuarial IT’s Legacy Modernization valuation process and reporting transformation initiatives, leading the design and implementation of modern, AI\-enabled architectures. Its mission is to power advanced analytics, business intelligence, and agentic solutions through scalable, secure, and high\-performance platforms. By promoting best practices in data governance, performance optimization, and AI\-driven data engineering, the team delivers real\-time insights and predictive analytics that create tangible business value.  
Join MetLife as a Lead Data Engineer and help shape the future of data modernization. In this role, you’ll design and implement AI\-driven data architectures that power advanced analytics, business intelligence, and predictive insights. Collaborate with global teams to build scalable, secure, and high\-performance platforms that transform legacy systems into cutting\-edge solutions driving real business value. **The Opportunity**
The Lead Full Stack Software Engineer is responsible for Build, optimize, and maintain ETL/ELT pipelines for large, complex datasets, ensuring compliance with data standards and best practices. Institutionalize best practices and accelerate solution delivery through reusable frameworks, prototypes, and innovation initiative  
To modernize legacy systems and build scalable, AI\-enabled data intelligence actuarial valuation platforms that support MetLife’s digital transformation strategy.  
This role advances MetLife’s purpose by delivering Actuarial solutions using AI\-driven data engineering solutions that enable smarter decisions, better customer experiences, and a more confident future  
This is an exciting opportunity to lead data modernization efforts that transform how MetLife leverages information. You’ll design AI\-driven architectures, enable real\-time analytics, and deliver predictive insights that shape strategic decisions and improve customer experiences. This role offers the chance to make a tangible impact on business performance while working with cutting\-edge technologies in a collaborative, global environment.  
Success in this role requires strong expertise in modern data Engineering and analytics skills to drive collaboration and innovation. The Lead Data Engineer is responsible for designing scalable, AI\-enabled data platforms and ensuring robust data governance across enterprise systems. You’ll collaborate closely with actuaries, data scientists, business analysts, and cloud engineering teams in an environment where every contribution is respected, and every perspective is heard. **Key Responsibilities*** Lead the design and implementation of modern, AI\-enabled data Engineering solutions that power advanced analytics and business intelligence.
* Create scalable, secure, and high\-performance data solutions that enable real\-time insights and predictive analytics.
* Oversee data governance, quality, and compliance across enterprise platforms to ensure integrity and trust.
* Manage end\-to\-end data engineering processes, including performance optimization and cloud migration strategies.
* Develop innovative data pipelines and frameworks that support actuarial modeling, reporting, and advanced analytics.
* Coordinate with actuaries, data scientists, business analysts, and technology teams to deliver integrated, impactful solutions.
 **Essential Business Experience and Technical Skills****Required:*** Bachelor’s or Master’s degree in Computer Science, or a related field (or equivalent experience).
* 8\+ years of experience in data engineering and architecture for enterprise\-scale platforms.
* Expertise in cloud platforms (Azure Databricks) to design and deploy scalable data architectures and solutions
* Strong expertise in data technologies such as Apache Spark, along with proficiency in data pipeline tools for building robust ETL processes, and hands\-on experience with Databricks features, including Unity Catalog and/or AI/BI Genie
* Strong knowledge of SQL, Python, and modern data modeling techniques to optimize performance and enable advanced analytics.
* Collaborative mindset with the ability to work across actuarial, analytics, and technology teams in a fast\-paced environment.
* Strategic thinker with a passion for innovation and problem\-solving in complex data ecosystems.
 **Preferred:*** Practical experience with leading AI/ML frameworks—including Azure ML, Databricks ML, PyTorch, and MLflow—for developing advanced analytics solutions and predictive models
* Ability to drive innovation and mentor teams, fostering best practices in data engineering, governance, and performance optimization.
* Strong Actuarial business acumen with the ability to translate complex technical solutions into measurable business outcomes.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$110,000 \- $145,000\.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$110,000 \- $145,000</t>
        </is>
      </c>
    </row>
    <row r="64">
      <c r="A64" t="inlineStr">
        <is>
          <t>in-94bad6422ef28b0e</t>
        </is>
      </c>
      <c r="B64" t="inlineStr">
        <is>
          <t>Senior Data Engineer &amp; Data Platform</t>
        </is>
      </c>
      <c r="C64" t="inlineStr">
        <is>
          <t>PTMA Financial Solutions</t>
        </is>
      </c>
      <c r="D64" t="inlineStr">
        <is>
          <t>indeed</t>
        </is>
      </c>
      <c r="E64">
        <f>HYPERLINK("https://www.indeed.com/viewjob?jk=94bad6422ef28b0e", "https://www.indeed.com/viewjob?jk=94bad6422ef28b0e")</f>
        <v/>
      </c>
      <c r="F64">
        <f>HYPERLINK("https://ats.rippling.com/ptmacareers/jobs/dcb362ea-0ed4-4c28-a3c4-3bcac5e25d67?jobSite=Indeed", "https://ats.rippling.com/ptmacareers/jobs/dcb362ea-0ed4-4c28-a3c4-3bcac5e25d67?jobSite=Indeed")</f>
        <v/>
      </c>
      <c r="G64" t="inlineStr">
        <is>
          <t>Denver, CO, US</t>
        </is>
      </c>
      <c r="H64" s="3" t="n">
        <v>46029</v>
      </c>
      <c r="I64" t="inlineStr">
        <is>
          <t>PTMA Financial Solutions, provides treasury management, liquidity management, and other financial products and services to the public sector. In addition to more than 12,000 local governments, school districts and other public entities, we also partner with over 1,000 financial institutions to help strengthen communities from coast to coast. Our family of financial services companies offers local government investment pool administration, investment advisory services, term investments, cashflow analysis, bond proceeds management, and public finance services for public entities plus stable deposit funding solutions for financial institutions. Our financial expertise, comprehensive products, and advanced technology help clients achieve more today for a better tomorrow. The firm’s primary operational hubs are in Denver, Colorado, and Naperville, Illinois, with other offices throughout the United States.
**Position Summary**
--------------------
**Work Authorization (Required)**
Candidates must be authorized to work in the United States without employer sponsorship now or in the future. This role is not eligible for visa sponsorship or transfer.
The Senior Data Engineer at PTMA Financial Solutions is a full\-time, long\-term senior role responsible for operating the company’s data platform in a regulated financial services environment. This role focuses on building, maintaining, and scaling a production\-grade Microsoft Fabric\-based data platform that supports analytics, reporting, and operational decision\-making.
This is a permanent W\-2 role intended for a senior engineer seeking long\-term platform ownership, stability, and trusted system access. This is not a contract, consulting, or transitional position.
**Key Responsibilities**
* **Platform Standards, Reliability \&amp; Data Quality:** Establish and maintain data engineering standards that ensure reliability, consistency, and audit readiness. Own data quality controls, validation processes, and reconciliation checks for critical financial datasets.
* **Cross\-Functional Collaboration:** Serve as the primary point of contact for cross\-functional data initiatives, translating business requirements into prioritized technical solutions.
* **Platform Governance \&amp; Prioritization:** Guide platform\-related decisions and govern data project priorities.
* **Microsoft Fabric Ownership:** Own and operate the core Microsoft Fabric data platform for PTMA. This includes designing and organizing the OneLake unified data lake, configuring capacities, and overseeing Fabric components and their integration.
* **Data Pipeline Design:** Lead the design and implementation of enterprise data pipelines and ETL/ELT processes to ingest, transform, and load data from a variety of sources.
* **AI \&amp; Advanced Analytics Support:** Partner with security, legal, and compliance teams to support approved analytics and AI use cases in accordance with internal governance and regulatory requirements.
* **Regulatory Compliance \&amp; Data Governance:** Ensure the data platform supports compliance with financial industry regulations and standards such as SOC 2, including audit trails, access controls, and data retention practices. This role requires eligibility for access to regulated financial systems and participation in U.S.\-based audit processes.
* **Team Management \&amp; Mentorship:** Provide technical guidance and mentorship to a small data team. Support day\-to\-day delivery, knowledge sharing, and technical decision\-making while collaborating with leadership on delivery priorities and technical planning.
**Required Qualifications:**
* **Education \&amp; Experience:** bachelor’s or master’s degree in computer science, Data Engineering, Information Systems, or a related field. 8\+ years of experience in data engineering or data architecture.
* **Technical Proficiency:** Excellent SQL skills for data querying and performance tuning, and strong programming ability in Python for developing data pipelines and automation scripts. Deep understanding of relational databases, data modeling, and building data integration workflows.
* **Cloud \&amp; Azure Expertise:** Hands\-on experience with Microsoft Azure data services and architecture. This should include familiarity with tools such as Azure Data Factory or Synapse Pipelines, Azure Data Lake Storage, Azure Synapse Analytics or SQL pools, and related Azure infrastructure.
* **Governance \&amp; Security:** Solid understanding of data governance and security best practices. Comfortable implementing data access controls, encryption, masking of sensitive data, and user permission models. Knowledge of compliance standards and frameworks like SOC 2 for managing data securely is required. You should be able to design systems and policies that protect sensitive data and ensure privacy in line with industry regulations.
**Preferred Qualifications**
* **Industry Experience:** Prior experience in the financial services sector or another highly regulated industry is highly desirable. Familiarity with the compliance, security, and data privacy obligations in these environments will help you hit the ground running. Experience working with investment or portfolio data, trading systems, or client reporting in a wealth management context would be a plus.
* **Business Intelligence \&amp; Analytics Tools:** Experience with data visualization or BI tools, especially Microsoft Power BI. Understanding of how to create and manage Power BI datasets, reports, and dashboards, and how they connect to the underlying data models.
**The pay range for this role is:**  
160,000 \- 180,000 USD per year(Colorado)</t>
        </is>
      </c>
    </row>
    <row r="65">
      <c r="A65" t="inlineStr">
        <is>
          <t>in-b8704a5b9c6d7f76</t>
        </is>
      </c>
      <c r="B65" t="inlineStr">
        <is>
          <t>Data Engineer, Supply Chain (171064)</t>
        </is>
      </c>
      <c r="C65" t="inlineStr">
        <is>
          <t>Colgate-Palmolive</t>
        </is>
      </c>
      <c r="D65" t="inlineStr">
        <is>
          <t>indeed</t>
        </is>
      </c>
      <c r="E65">
        <f>HYPERLINK("https://www.indeed.com/viewjob?jk=b8704a5b9c6d7f76", "https://www.indeed.com/viewjob?jk=b8704a5b9c6d7f76")</f>
        <v/>
      </c>
      <c r="F65">
        <f>HYPERLINK("https://career4.successfactors.com/careers?rcm_site_locale=nl-NL&amp;career_ns=job_listing&amp;company=colgate&amp;selected_lang=nl-NL&amp;career_job_req_id=171064", "https://career4.successfactors.com/careers?rcm_site_locale=nl-NL&amp;career_ns=job_listing&amp;company=colgate&amp;selected_lang=nl-NL&amp;career_job_req_id=171064")</f>
        <v/>
      </c>
      <c r="G65" t="inlineStr">
        <is>
          <t>Piscataway, NJ, US</t>
        </is>
      </c>
      <c r="H65" s="3" t="n">
        <v>46028</v>
      </c>
      <c r="I65" t="inlineStr">
        <is>
          <t>Requisition ID **171064** \- Posted **01/07/2026** \- **Information Technology** \- **United States** \- **New Jersey** \- **Piscataway** \- **Colgate\-Palmolive** \- **No Travel** \- **Hybrid**  
No Relocation Assistance Offered  
Job Number \#171064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As a **Data Engineer**, you will focus on developing data pipelines for multi\-functional teams, ultimately empowering the organization to make more data\-driven decisions. You will be responsible for building data pipelines from source to consumption layer, following the medallion architecture (Bronze, Silver, Gold). Leveraging a technology stack that includes Snowflake, dbt, Python, and SQL, you will assemble large, sophisticated data sets that meet functional and non\-functional business requirements. Working with various stakeholders, you will gather requirements and deliver compliant, efficient, sustainable, and well\-documented solutions.
**This position is based out of the Piscataway, NJ location. Work visa sponsorship is not available for this position.**
========================================================================================================================
**What you'll do**
==================
#### **1****. Pipeline Development and Architecture**
* **End\-to\-End Execution:** Build, support, and maintain data pipelines from source to consumption layers using **Snowflake, dbt, Python, and SQL**.
* **Architecture Strategy:** Implement the **medallion architecture** to ensure organized data progression and quality.
* **Data Assembly:** Assemble large, sophisticated data sets that meet functional and non\-functional business requirements.
* **Standard Stack:** Leverage the standard data engineering technology stack to deliver data pipelines that are compliant with enterprise standards and best practices.
#### **2\. Process Optimization and Innovation**
* **Continuous Improvement:** Identify, design, and implement internal process improvements, including automating manual processes and optimizing data delivery.
* **Emerging Tech:** Research and evaluate new and emerging technologies within the data engineering space.
#### **3\. Collaboration and Support**
* **Stakeholder Engagement:** Work with various stakeholders across the company to gather requirements.
* **Technical Assistance:** Assist with data\-related technical issues and support data infrastructure needs.
* **Advisory Role:** Advise or review proposed or ongoing data engineering pipelines and respective components within the organization.
* **Teamwork:** Collaborate with other business and technical teams and develop meaningful relationships to achieve common goals.
#### **4\. Governance and Standards**
* **Code Quality:** Perform code reviews and help enforce data engineering standards and best practices.
* **Compliance:** Ensure solutions are compliant with standards set by the Data Engineering team and comply with all policies.
* **Documentation:** Build, document, and maintain pipeline components.
**Required Qualifications**
===========================
* **Education:** Bachelor’s Degree in Computer Science, Information Technology, Engineering, or a related field.
* **Experience:** 2\+ years of professional experience as a Data Engineer or related role.
* **Technical Proficiency:**
	+ **Programming:** Experience developing in Python and SQL. Proficiency in **dbt** (optional)
	+ **Data Warehouses:** Experience working with Snowflake (preferred)
	+ **Databases:** Experience in interacting with and using databases \&amp; SQL.
	+ **Pipeline Engineering:** Experience building and optimizing large data pipelines, architectures, and data sets.
	+ **Version Control:** Experience using Git, GitHub, or other version\-controlled code management tools.
	+ **Cloud Services:** Experience with cloud infrastructure and services (GCP, AWS, etc.).
	+ **Infrastructure as Code:** Experience managing infrastructure deployments using Infrastructure as Code tools (Terraform).
	+ **Containerization:** Experience working with container\-based frameworks (Kubernetes \&amp; Docker preferred).
	+ **Orchestration:** Experience with workflow management tools such as Airflow.
**Preferred Qualifications**
============================
* **Cross\-Functional Experience:** Previous experience in a Data Engineering role working closely with other programmers (Software Engineers, Data Scientists, etc.).
* **Monitoring:** Experience in network, server, and application\-status monitoring.
* **Automation:** Familiarity with software\-automation production systems (GitHub Actions, Selenium, etc.).
* **Deployment:** Familiarity with code deployment tools.
**Compensation and Benefits**  
Salary Range $74,400\.00 \- $117,500\.00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\#LI\-Hybrid</t>
        </is>
      </c>
    </row>
    <row r="66">
      <c r="A66" t="inlineStr">
        <is>
          <t>in-691f25af5490387e</t>
        </is>
      </c>
      <c r="B66" t="inlineStr">
        <is>
          <t>Data Engineer Senior</t>
        </is>
      </c>
      <c r="C66" t="inlineStr">
        <is>
          <t>General Dynamics Information Technology</t>
        </is>
      </c>
      <c r="D66" t="inlineStr">
        <is>
          <t>indeed</t>
        </is>
      </c>
      <c r="E66">
        <f>HYPERLINK("https://www.indeed.com/viewjob?jk=691f25af5490387e", "https://www.indeed.com/viewjob?jk=691f25af5490387e")</f>
        <v/>
      </c>
      <c r="F66">
        <f>HYPERLINK("https://www.gdit.com/careers/job/46e58ee96/data-engineer-senior", "https://www.gdit.com/careers/job/46e58ee96/data-engineer-senior")</f>
        <v/>
      </c>
      <c r="G66" t="inlineStr">
        <is>
          <t>IN, US</t>
        </is>
      </c>
      <c r="H66" s="3" t="n">
        <v>46028</v>
      </c>
      <c r="I66" t="inlineStr">
        <is>
          <t>Clearance Level
None
Category
Data Science and Data Engineering
Location
Remote, Working from the USA
Key Skills For Success
Data Analysis
Datasets
Data Solutions
SHARE
REQ\#: RQ210531
Public Trust: Other
Requisition Type: Regular
Your Impact
Own your opportunity to work alongside federal civilian agencies. Make an impact by providing services that help the government ensure the well being of U.S. citizens.
Job Description
Our 100% remote agile development team is looking for a Data Engineer Senior to help us deliver top\-quality IT Modernization for our Environmental Protection Agency (EPA) customers.
You work directly with our government customers and with other GDIT developers and business analysts to create advanced software tools tailored to scientific applications. You’ll apply new approaches, principles, methods, techniques and tools compatible with the research environment within EPA. You’ll be a creative problem\-solver, understand IT solutions from a users’ perspective and contribute to strategies for a modern integrated IT environment.
MEANINGFUL WORK AND PERSONAL IMPACT  
The Data Engineer requires in\-depth knowledge of developing and managing data analysis pipelines, including database development and statistical software programming for analyzing complex data. The successful candidate will administer and manage MySQL, PostgreSQL, and MongoDB databases to maintain optimal performance and data integrity. They will collaborate with backend teams and application development teams to design and implement ETL/ELT processes and optimize them to support EPA data needs. They will be responsible for designing and implementing highly optimized data models to ensure efficient data processing and retrieval.
WHAT YOU’LL NEED TO SUCCEED  
Bring your expertise and drive for innovation to GDIT. The Data Engineer Senior must have:  
* Education: Bachelor of Science
* Experience: 9\+ years of related experience
* Technical skills: ETL/ELT, Python
* Security clearance level: must be able to obtain EPA Public Trust Level 4
* US citizenship required
* Role requirements: Structured Query Language (SQL), Not only SQL (NoSQL), agile methodologies; ETL platform such as Pentaho and Informatica; Data Management \&amp; Data Modeling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Work Requirements
Years of Experience
9 \+ years of related experience* may vary based on technical training, certification(s), *or* degree
Certification
Travel Required
Less than 10%
Citizenship
U.S. Citizenship Required
Salary and Benefit Information
The likely salary range for this position is $123,250 \- $166,750\.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67">
      <c r="A67" t="inlineStr">
        <is>
          <t>in-67255e793aba96d8</t>
        </is>
      </c>
      <c r="B67" t="inlineStr">
        <is>
          <t>Data Engineer</t>
        </is>
      </c>
      <c r="C67" t="inlineStr">
        <is>
          <t>Old National Bank</t>
        </is>
      </c>
      <c r="D67" t="inlineStr">
        <is>
          <t>indeed</t>
        </is>
      </c>
      <c r="E67">
        <f>HYPERLINK("https://www.indeed.com/viewjob?jk=67255e793aba96d8", "https://www.indeed.com/viewjob?jk=67255e793aba96d8")</f>
        <v/>
      </c>
      <c r="F67">
        <f>HYPERLINK("https://careers-oldnational.icims.com/jobs/19040/job?utm_source=indeed_integration&amp;iis=Job%20Board&amp;iisn=Indeed&amp;indeed-apply-token=73a2d2b2a8d6d5c0a62696875eaebd669103652d3f0c2cd5445d3e66b1592b0f", "https://careers-oldnational.icims.com/jobs/19040/job?utm_source=indeed_integration&amp;iis=Job%20Board&amp;iisn=Indeed&amp;indeed-apply-token=73a2d2b2a8d6d5c0a62696875eaebd669103652d3f0c2cd5445d3e66b1592b0f")</f>
        <v/>
      </c>
      <c r="G67" t="inlineStr">
        <is>
          <t>Lake Elmo, MN, US</t>
        </is>
      </c>
      <c r="H67" s="3" t="n">
        <v>46028</v>
      </c>
      <c r="I67"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$62,300 \- $199,000 per year. The base salary indicated for this position reflects the compensation range applicable to all levels of the role across the United States. Actual salary offers within this range may vary based on a number of factors, including the specific responsibilities of the position, the candidate’s relevant skills and professional experience, educational qualifications, and geographic location.  
We are currently seeking a Data Engineer. This position will require knowledge of enterprise data governance, data analysis, business analysis, and the technical tools to execute on those roadmaps. You will assist with creating a unified data model that will be central to all Data Governance activities and helping to set the foundation of our Master Data Management strategy. This includes crucial external and internal reporting, line of business specific needs, and system integration. Activities will include working with stakeholders, subject matter experts, business analysts, and technical teams to execute, maintain, and own the Old National Core Data Model. **Key Accountabilities**
Key Accountability 1: Create and Maintain Data Governance Data Quality Framework* Enable technical frameworks with tech stack that enable monitoring, reporting, and remediation of data quality issues
* Partner with business stakeholders, data owners, and information owners to implement appropriate data quality rules
* Documents procedural level documents to support technical teams and business partners adherence to Data Quality Framework
Key Accountability 2: Data Analysis and Profiling* Support business partners with proper profiling techniques to better understand the data.
* Drive data accountability to understand data gaps and needs within systems and business processes
Key Accountability 3: Data Cleansing Framework* Direct framework and strategy to support data cleansing based on Data Quality Framework and Profiling activities.
* Partner with IT design a technical framework that will enable business partners and data analysts to transform their data in a consistent and traceable framework.
**Key Competencies for Position***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Bachelor’s degree in related field; advanced coursework/training related to data management, computer science, management information systems
* 3\+ years’ experience working with data analysis/profile tools, including but not limited to Informatica, SQL Server, MS Power Query, etc.
* 3\+ years’ working with data transformations and various ETL tools, DBT, FiveTran, Azure Data Factory
* 3\+ years’ experience working in a variety of data models, ODS, Relational, Fact/Dimension
* Understanding of reporting and data analytics to ensure overall accuracy
* Knowledge of industry leading practices in Analytics and Data Movement
* Strong written, verbal, and interpersonal skills to advance a data driven culture and work priorities.
* Working knowledge of data governance principles and frameworks
	+ Source system profiling via a variety of tools and methods
	+ Ability to write data quality rules (business facing and pseudo code)
	+ Data lineage/data Catalog knowledge
	+ Master data management
* Exposure to data platforms such as AWS, GCP, Azure, and/or Databricks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values.******We are optimistic. We are collaborative. We are inclusive. We are agile. We are ethical.******We are Old National Bank. Join our team!***</t>
        </is>
      </c>
    </row>
    <row r="68">
      <c r="A68" t="inlineStr">
        <is>
          <t>in-ca34645ad330b627</t>
        </is>
      </c>
      <c r="B68" t="inlineStr">
        <is>
          <t>Data Engineer II (IT@JH Office of the Deputy CIO)</t>
        </is>
      </c>
      <c r="C68" t="inlineStr">
        <is>
          <t>Johns Hopkins University</t>
        </is>
      </c>
      <c r="D68" t="inlineStr">
        <is>
          <t>indeed</t>
        </is>
      </c>
      <c r="E68">
        <f>HYPERLINK("https://www.indeed.com/viewjob?jk=ca34645ad330b627", "https://www.indeed.com/viewjob?jk=ca34645ad330b627")</f>
        <v/>
      </c>
      <c r="F68">
        <f>HYPERLINK("https://hiring.jhu.edu/careers/job/1133910733536", "https://hiring.jhu.edu/careers/job/1133910733536")</f>
        <v/>
      </c>
      <c r="G68" t="inlineStr">
        <is>
          <t>Baltimore, MD, US</t>
        </is>
      </c>
      <c r="H68" s="3" t="n">
        <v>46028</v>
      </c>
      <c r="I68" t="inlineStr">
        <is>
          <t>IT@JH Office of Deputy CIO is seeking a ***Data Engineer II*** who is responsible for the data architecture and integration of university processes, systems and data to improve reporting and analytics across functions, offices and schools. This includes the architecture, design and implementation of infrastructure and operations for the University Data Warehouse (UDW), complementary Lakehouse, and other modern data technologies.  
**Specific Duties \&amp; Responsibilities**
* Contribute to the design, production, and maintenance of data pipelines for data acquisition, management, transformation, and back\-end code development to power data web applications and convert raw data into usable information.
* Write and maintain ETL/ELTs that operate on a variety of structured and unstructured sources.
* Develop and maintain web data scraping systems for automatic data acquisition.
* Help design data architecture and provide ongoing support.
* Input/output data from databases and perform queries.
* Create scripts to clean, transform, and analyze data.
* Put data pipelines into production using data warehousing systems.
* Create and implement production software to monitor data quality and detect data anomalies.
* Perform daily manual data quality assurance tasks.
* Support, maintain, and troubleshoot the software infrastructure.
* Source data, conduct analyses, visualize data, and generate insights to support ongoing research projects and other requests across the organization.
* Collaborate with developers, analysts, data scientists, researchers, policy experts, and other partners.
* Communicate with Division leadership, and others on the team.
* Collaborate with external partners, contractors, and vendors.
Other duties as assigned.  
* 
**On\-Call Rotation**
This position requires a support rotation, which may entail some off\-hour support.  
* 
**Minimum Qualifications**  
* Bachelor’s Degree.
* Five years of related work experience focused within database management and design and business requirement gathering.
Additional education may substitute for required experience and additional related experience may substitute for required education beyond a high school diploma/graduation equivalent, to the extent permitted by the JHU equivalency formula.  
* 
**Preferred Qualifications**  
* Five years of progressive responsibility for data architecture in complex environment, extensive experience with relational, analytic, and other primary data and BI development approaches.
* Implementation and support experience with large\-scale real\-time and batch ETL/ELT for data ingestion and integration.
Experience in dimensional modeling, student systems and information, APIs, advanced SQL, Power BI, Fabric, Azure, pipelines.  
* 
**Technical Skills \&amp; Expected Level of Proficiency**
* Data Management and Analysis \- Intermediate
* Data Pipeline Architecture \&amp; ETL/ELT Development \- Intermediate
* Database Querying \- Intermediate
* Data Validation and Quality Assurance \- Intermediate
* Data Visualization \- Intermediate
* Data Warehousing \&amp; Architecture \- Intermediate
* Oral and written communications \- Intermediate
* Programming Languages \- Intermediate
Web Scraping and Data Acquisition \- Intermediate  
* 
Classified Title: Data Engineer II
Job Posting Title (Working Title): Data Engineer II (IT@JH Office of the Deputy CIO)
Role/Level/Range: ATP/04/PG
Starting Salary Range: $99,800 \- $175,000 Annually (Commensurate w/exp.)
Employee group: Full Time
Schedule: Mon\-Fri, 8:30am\-5pm
FLSA Status: Exempt
Location: Remote
Department name: IT@JH Office of the Deputy CIO
Personnel area: University Administration</t>
        </is>
      </c>
    </row>
    <row r="69">
      <c r="A69" t="inlineStr">
        <is>
          <t>in-3d9c3639a9a7d8a0</t>
        </is>
      </c>
      <c r="B69" t="inlineStr">
        <is>
          <t>Data Engineer</t>
        </is>
      </c>
      <c r="C69" t="inlineStr">
        <is>
          <t>Base Power</t>
        </is>
      </c>
      <c r="D69" t="inlineStr">
        <is>
          <t>indeed</t>
        </is>
      </c>
      <c r="E69">
        <f>HYPERLINK("https://www.indeed.com/viewjob?jk=3d9c3639a9a7d8a0", "https://www.indeed.com/viewjob?jk=3d9c3639a9a7d8a0")</f>
        <v/>
      </c>
      <c r="F69">
        <f>HYPERLINK("https://jobs.ashbyhq.com/base-power/a0e10a3b-30ee-415e-9398-5defb4a10e2d?utm_source=eYOXZA9DOJ", "https://jobs.ashbyhq.com/base-power/a0e10a3b-30ee-415e-9398-5defb4a10e2d?utm_source=eYOXZA9DOJ")</f>
        <v/>
      </c>
      <c r="G69" t="inlineStr">
        <is>
          <t>Austin, TX, US</t>
        </is>
      </c>
      <c r="H69" s="3" t="n">
        <v>46028</v>
      </c>
      <c r="I69" t="inlineStr">
        <is>
          <t>**About Base**
--------------
Base is America’s next\-generation power company. We’re rebuilding the foundation of modern civilization–electricity–by deploying a vast network of distributed batteries that is transforming today’s fragile, centralized grid into a resilient and abundant system. We are engineers, operators, and creatives solving some of the most complex, interdisciplinary challenges of our time.
**About the Role**
------------------
You will design, build, and operate the core data infrastructure. In this role, you’ll own critical data pipelines and datasets that support product development, grid operations, analytics, and business reporting.
You’ll work closely with engineers, operators, business teams, and analytics to understand data needs and turn them into scalable, reliable systems. This is a hands\-on role with real ownership, your work will shape our data architecture as we grow and ensure it can scale with the company.
**What You’ll Do**
* Design, build, and maintain reliable data pipelines that ingest data from product, operational, and third\-party systems into our data platform
* Develop and own core data models and canonical datasets used across the company for analytics, reporting, and decision\-making
* Build and operate batch and streaming data workflows with a focus on correctness, performance, and scalability
* Partner closely with EPD, operations, manufacturing, and business teams to understand data requirements and deliver practical solutions
* Improve data quality, observability, and documentation so teams can confidently use data without deep context
* Help define and evolve our data architecture, tooling, and best practices as the company scales
**What You'll Bring**
* Deep experience in data engineering, or backend engineering with a strong data focus
* Are comfortable building and maintaining production data pipelines using Go, Python, SQL, and modern data orchestration frameworks.
* Have experience working with data warehouses and/or data lakes (e.g., BigQuery, Snowflake, Redshift, Databricks, or similar)
* Have worked with distributed data processing or streaming systems (e.g., Spark, Kafka, Flink, or equivalents)
* Care deeply about data quality, schema design, and building datasets that others can trust and understand
* Enjoy working in fast\-moving environments with evolving requirements and ambiguous problems
* Take pride in building simple, reliable systems that solve real problems
* Familiarity with cloud infrastructure and infrastructure\-as\-code (e.g., AWS/GCP, Terraform)
**Our Values**
--------------
* **First Principles Thinking:** Question assumptions. Principles \&gt; rules.
* **Operate at Base Pace:** Focus on what matters, act quickly, and learn by doing.
* **Give \&amp; Get Feedback:** Be direct, be humble, and maintain a growth mindset.
* **Everyone’s an Owner:** Follow through on commitments and own results.
* **Strong Opinions, Loosely Held:** Drive clarity and make calls with imperfect information.
* **Committed to the Mission:** Rebuilding the grid is a big challenge. We work hard because we care deeply about the impact we’re creating. We work in\-person. It’s not a 9\-to\-5\. We are all\-in.
* **Fun \&amp; Optimism Coexist with Grit:** Collaboration and celebration coincide with the intensity of building real things.
**Do the best work of your life at Base.**
------------------------------------------</t>
        </is>
      </c>
    </row>
    <row r="70">
      <c r="A70" t="inlineStr">
        <is>
          <t>in-88c5a2e4305043c6</t>
        </is>
      </c>
      <c r="B70" t="inlineStr">
        <is>
          <t>Data Engineer</t>
        </is>
      </c>
      <c r="C70" t="inlineStr">
        <is>
          <t>CommIT Enterprises</t>
        </is>
      </c>
      <c r="D70" t="inlineStr">
        <is>
          <t>indeed</t>
        </is>
      </c>
      <c r="E70">
        <f>HYPERLINK("https://www.indeed.com/viewjob?jk=88c5a2e4305043c6", "https://www.indeed.com/viewjob?jk=88c5a2e4305043c6")</f>
        <v/>
      </c>
      <c r="F70">
        <f>HYPERLINK("https://careers-commitent.icims.com/jobs/1266/job?utm_source=indeed_integration&amp;iis=Job%20Board&amp;iisn=Indeed&amp;indeed-apply-token=73a2d2b2a8d6d5c0a62696875eaebd669103652d3f0c2cd5445d3e66b1592b0f", "https://careers-commitent.icims.com/jobs/1266/job?utm_source=indeed_integration&amp;iis=Job%20Board&amp;iisn=Indeed&amp;indeed-apply-token=73a2d2b2a8d6d5c0a62696875eaebd669103652d3f0c2cd5445d3e66b1592b0f")</f>
        <v/>
      </c>
      <c r="G70" t="inlineStr">
        <is>
          <t>North Charleston, SC, US</t>
        </is>
      </c>
      <c r="H70" s="3" t="n">
        <v>46028</v>
      </c>
      <c r="I70" t="inlineStr">
        <is>
          <t>Overview:
**CommIT Enterprises, Inc.** is seeking a highly skilled **Data Engineer** to design, develop, and maintain advanced data ingestion pipelines and models that support the United States Marine Corps (USMC) logistics situational awareness and decision\-making. This position is based in Charleston, SC but can be REMOTE. This role requires expertise in ETL/ELT processes and data modeling to ensure reliable, scalable, and secure data solutions. This role directly supports the USMC by enabling data\-driven situational awareness, ensuring leaders have timely, accurate, and actionable insights to inform operational decisions.  
Established in 2001, CommIT is a Certified Veteran\-Owned Small Business (CVOSB) providing innovative technical engineering and data science services. Our enterprise systems support includes the Department of Defense’s (DoD) GCSS\-MC, CAC2S, TBMCS\-MC, and the Department of Veteran’s Affairs’ (VA) telehealth communications. We offer acquisition management, systems engineering, Agile software development, cloud management, IT modernization, data analytics, cybersecurity, and training, including leading\-edge DevSecOps, automated testing, and mobile application development.
Responsibilities:
**Your essential job functions will include but may not be limited to\-*** Build and optimize ETL/ELT workflows to ingest, validate, and transform data from diverse sources.
* Apply data modeling techniques to create Silver and Gold Tier data assets that enhance situational awareness and support decision\-making.
* Collaborate with cross\-functional teams to ensure data pipelines and models align with operational requirements and reporting needs.
* Utilize best practices in data engineering, automation, and pipeline reliability to support mission\-critical analytics.
Qualifications:
**Required Experience and Education:*** Master’s degree with 6 years of experience (or bachelor’s with 8 years of experience) in Computer Science, Software Engineering, Computer Engineering, Mathematics or relevant field. Degree may be substituted with additional relevant industry experience and / or industry accepted training and certification.
* 5\+ years of experience in data engineering with a focus on ETL/ELT and CI/CD.
* Hands\-on experience with Databricks, Delta Lake, and GitLab Enterprise.
* Strong proficiency in Python and SQL.
* Experience supporting logistics, defense, or mission\-critical environments is a plus.
**Knowledge Requirements:*** Proven experience with ETL and ELT processes for ingesting structured, semi\-structured, and unstructured data sources.
* The ability to work within Agile Frameworks and with team\-wide CI/CD processes
* Strong background in data modeling, with the ability to build Silver and Gold Tier Tables and Views to support operational dashboards and reporting.
**Technical Skills:*** ETL and ELT methods
* Databricks and Delta Tables
* Python and SQL programming
* GitLab Enterprise for version control and deployment
**Security Requirements:*** Secret Clearance
* Security\+ Certification
**Equal Opportunity Employer:**
CommIT Enterprises, Inc.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71">
      <c r="A71" t="inlineStr">
        <is>
          <t>in-0e8a9650e552f61a</t>
        </is>
      </c>
      <c r="B71" t="inlineStr">
        <is>
          <t>Data Engineer</t>
        </is>
      </c>
      <c r="C71" t="inlineStr">
        <is>
          <t>Blue Ridge Care</t>
        </is>
      </c>
      <c r="D71" t="inlineStr">
        <is>
          <t>indeed</t>
        </is>
      </c>
      <c r="E71">
        <f>HYPERLINK("https://www.indeed.com/viewjob?jk=0e8a9650e552f61a", "https://www.indeed.com/viewjob?jk=0e8a9650e552f61a")</f>
        <v/>
      </c>
      <c r="F71">
        <f>HYPERLINK("https://jobs.apploi.com/view/10001691694?utm_campaign=integration&amp;utm_medium=job-board-feed&amp;utm_source=indeed-apply-feed", "https://jobs.apploi.com/view/10001691694?utm_campaign=integration&amp;utm_medium=job-board-feed&amp;utm_source=indeed-apply-feed")</f>
        <v/>
      </c>
      <c r="G71" t="inlineStr">
        <is>
          <t>Winchester, VA, US</t>
        </is>
      </c>
      <c r="H71" s="3" t="n">
        <v>46028</v>
      </c>
      <c r="I71" t="inlineStr">
        <is>
          <t>**Join Blue Ridge Care as a Data Engineer**
At **Blue Ridge Care**, we deliver extraordinary care to improve life’s journey. As a mission\-driven, not\-for\-profit healthcare system, we provide integrated services in hospice, serious illness care, the Program of All\-Inclusive Care for the Elderly (PACE), community thrift shops, and grief support. Our goal is simple: to reimagine how communities experience aging, serious illness, and end\-of\-life care through compassionate, personalized, and high\-quality services.
**Position Summary**
We are seeking a highly skilled Data Engineer to join our team to enhance our developing internal data platform. The data engineer is a key member of the Data and Analytics team at Blue Ridge Care with responsibility for designing, developing, and maintaining the infrastructure and systems required for data storage, processing, and analysis. They will play a crucial role in the delivery of data and reporting to leaders across the organization to support data\-driven decision\-making. They will collaborate closely with the head of IT and Security, forming a dotted\-line connection for project alignment and task execution.
 **Hybrid Work:** This role is primarily remote; however, periodic travel to the office will be required based on business needs.
 **Essential Duties \&amp; Responsibilities**
* Designs and develops data pipelines that extract data from various sources, transforms it into the desired format, and loads it into the appropriate data storage systems using CI/CD tools and practices.
* Integrates data from different sources, including databases, data warehouses, APIs, and external systems.
* Creates robust data models and architectures to support analytics initiatives.
* Collaborates with business stakeholders to understand their analytics needs and delivers comprehensive reports, dashboards, and models.
* Collaborates with data analysts to optimize models and algorithms for data quality, security, and governance.
* Ensures data consistency and integrity during the integration process, performing data validation and cleaning as needed.
* Ensures all data engineering activities comply with HIPAA and other relevant healthcare data privacy regulations.
* Monitors and tunes data systems, identifies and resolves performance bottlenecks, and implements caching and indexing strategies to enhance query performance.
* Implements data quality checks and validations within data pipelines to ensure the accuracy, consistency, and completeness of data.
* Establishes the governance of data and algorithms used for analysis, analytical applications, and automated decision making.
* Fosters the creation of a data\-driven culture, related competencies, and data literacy across the enterprise.
* Defines delivery models, methods and practices for creation of data products to ensure consistent application and use of data and analytics solutions.
* Assists in the development, tracking, and reporting of organizational key performance indicators (KPIs) and additional data to support strategic planning and the annual planning and budgeting process.
* Deliver on agreed\-upon impact metrics, including pipeline reliability, data quality improvements, and stakeholder satisfaction.
* Pursues ongoing learning opportunities and certifications (e.g. AWS Certified Data Analytics, Azure Data Engineer Associate).
**Qualifications/Experience**
* Education: A bachelor’s or master’s degree in computer science, data science, software engineering, information systems, or related quantitative field.
* Experience: At least two years of work experience in data management disciplines, including data integration, modeling, optimization and data quality, or other areas directly relevant to data engineering responsibilities and tasks.
* Proven project experience developing and maintaining data warehouses in big data solutions.
* Ability to design, build, and deploy data solutions that capture, explore, transform, and utilize data to support AI, ML, and BI tools.
* Strong ability in programming languages such as Python, Java, and C/C\+\+ with experience writing production code.
* Ability in data science languages/tools such as SQL, R, SAS, or Excel.
* Proficiency in the design and implementation of modern data architectures and concepts such as cloud services (AWS, Azure, GCP) and modern data warehouse tools (Snowflake, Databricks, Microsoft Fabric).
* Experience with database technologies such as SQL, Oracle, Hadoop, or Teradata.
* Ability to collaborate within and across teams of different technical knowledge to support delivery and educate end users on data products.
* Ability to communicate complex technical concepts to non\-technical stakeholders.
* Expert problem\-solving skills, including debugging skills, allowing the determination of sources of issues in unfamiliar code or systems, and the ability to recognize and solve repetitive problems.
* Familiarity with working with Medicare and other health\-related data sets preferred.
* Experience with data analysis tools like SQL, Excel and statistical software.
**Benefits**
* Health Insurance
* Dental Insurance
* Vision Insurance
* Retirement with Company Match
* Paid Time Off
* Paid Volunteer Time
* Thrift Shop Discount
Hybrid Work: This role is primarily remote; however, periodic travel to the office will be required based on business needs.
**Blue Ridge Care is a non\-profit, equal opportunity employer. We celebrate diversity and are committed to creating an inclusive environment for all employees and patients served.**</t>
        </is>
      </c>
    </row>
    <row r="72">
      <c r="A72" t="inlineStr">
        <is>
          <t>in-1a9d4f699fb75acc</t>
        </is>
      </c>
      <c r="B72" t="inlineStr">
        <is>
          <t>Analytics Engineer</t>
        </is>
      </c>
      <c r="C72" t="inlineStr">
        <is>
          <t>Keystone Cooperative</t>
        </is>
      </c>
      <c r="D72" t="inlineStr">
        <is>
          <t>indeed</t>
        </is>
      </c>
      <c r="E72">
        <f>HYPERLINK("https://www.indeed.com/viewjob?jk=1a9d4f699fb75acc", "https://www.indeed.com/viewjob?jk=1a9d4f699fb75acc")</f>
        <v/>
      </c>
      <c r="F72">
        <f>HYPERLINK("https://keystone.wd5.myworkdayjobs.com/keystone/job/Indianapolis-IN/Analytics-Engineer_JR102578", "https://keystone.wd5.myworkdayjobs.com/keystone/job/Indianapolis-IN/Analytics-Engineer_JR102578")</f>
        <v/>
      </c>
      <c r="G72" t="inlineStr">
        <is>
          <t>Indianapolis, IN, US</t>
        </is>
      </c>
      <c r="H72" s="3" t="n">
        <v>46028</v>
      </c>
      <c r="I72" t="inlineStr">
        <is>
          <t>**Job Description**
**Job Summary:**
An Analytics Engineer plays a pivotal role in transforming raw data into actionable insights that drive business decisions. This position is ideal for individuals who possess a robust blend of technical proficiency, analytical acumen, and strategic thinking. The Analytics Engineer collaborates with cross\-functional teams to ensure data integrity, optimize data workflows, and facilitate data\-driven decision\-making.
Must be authorized to work in the United States now and in the future, without company sponsorship.
Must be about to work onsite in the corporate office in Indianapolis, Indiana. (This role is not hybrid or remote).
**Duties and Responsibilities:**
* Design, develop, and maintain data pipelines using ETL (Extract, Transform, Load) processes to ensure data is efficiently and accurately integrated from disparate sources into the data warehouse.
* Architect and manage scalable data warehouse solutions to store large volumes of structured and unstructured data, ensuring data is readily accessible for analysis.
* Develop and implement data models that reflect business processes and requirements, enabling effective data analysis and reporting.
* Establish and enforce data quality standards, performing routine data validation and cleansing to maintain high data integrity.
* Optimize data processing and query performance to enhance the efficiency of data retrieval and analysis.
* Work closely with business stakeholders to understand data needs and translate them into technical requirements, ensuring alignment with business goals.
* Create comprehensive technical documentation for data pipelines, data models, and analytics solutions, promoting knowledge sharing and ensuring continuity.
* Keep abreast of emerging technologies and best practices in data engineering and analytics, recommending and implementing innovative solutions where applicable.
 **Required Skills:**
* Proficiency in SQL, Python, and data warehousing technologies. Snowflake and dbt experience a plus.
* Experience with ETL tools such as Fivetran, Airbyte, Azure Data Factory.
* Knowledge of working with development best practices such as Version Control (Github) and working in a CI/CD environment
* Excellent analytical and problem\-solving skills, with a keen ability to troubleshoot and resolve data\-related issues.
* Effective written and verbal communication skills, with an ability to articulate complex technical concepts to non\-technical stakeholders.
* Demonstrated ability to work collaboratively in a team environment, managing multiple projects and priorities simultaneously.
* Ability to adapt to changing business requirements and work in a fast\-paced, dynamic environment.
 **Education \&amp; Qualifications:**
* Educational Background: Bachelor’s or Master’s degree in Computer Science, Statistics, Information Systems, or related quantitative field.</t>
        </is>
      </c>
    </row>
    <row r="73">
      <c r="A73" t="inlineStr">
        <is>
          <t>in-577219a955943ba5</t>
        </is>
      </c>
      <c r="B73" t="inlineStr">
        <is>
          <t>Fabric Data Engineer - Business Intelligence</t>
        </is>
      </c>
      <c r="C73" t="inlineStr">
        <is>
          <t>Hospital Sisters Health System</t>
        </is>
      </c>
      <c r="D73" t="inlineStr">
        <is>
          <t>indeed</t>
        </is>
      </c>
      <c r="E73">
        <f>HYPERLINK("https://www.indeed.com/viewjob?jk=577219a955943ba5", "https://www.indeed.com/viewjob?jk=577219a955943ba5")</f>
        <v/>
      </c>
      <c r="F73">
        <f>HYPERLINK("https://hshs.wd1.myworkdayjobs.com/hshscareers/job/Springfield-IL/Fabric-Data-Engineer---Business-Intelligence_R1033888", "https://hshs.wd1.myworkdayjobs.com/hshscareers/job/Springfield-IL/Fabric-Data-Engineer---Business-Intelligence_R1033888")</f>
        <v/>
      </c>
      <c r="G73" t="inlineStr">
        <is>
          <t>Springfield, IL, US</t>
        </is>
      </c>
      <c r="H73" s="3" t="n">
        <v>46028</v>
      </c>
      <c r="I73" t="inlineStr">
        <is>
          <t>**Pay Range:**
$43\.66 \- $65\.49
A successful candidate's actual pay rate will be based on several factors including relevant experience, skills, training, certifications and education.
Hospital Sisters Health System (HSHS) is seeking a Fabric Data Engineer\-Business Intelligence to join our team. The Fabric Data Engineer – Business Intelligence, assists with loading both internal and external data sources into HSHS' Enterprise Data Warehouse (EDW) using Extract Translate and Load (ETL) tools. This role assists with creating data models for analysis, dashboards and reports to monitor, measure, and provide insight and assist the organization in achieving its mission.  
Position Specifics:
o Department: IT  
o Core Function: Corporate Services
o Schedule: Full Time, 40 hrs/wk
o Location: 100% remote, accepting applicants that can work remotely and live in AZ, FL, IL, IN, KY, MI, MO, NC, NE, NH, SC, TN, TX, OH, WI, or WY.  
o Compensation that aligns with your experience  
INTERNET SPEED REQUIREMENTS:  
* Download speeds must be at least 20 Mb or higher. (100 Mb or higher is preferred.)
* Upload speeds must be at least 6 Mb or higher. (10 Mb or higher is preferred.)
* Latency/Ping must be under 100 ms. (Under 60 ms is preferred.)
 **Education Qualifications**
* Bachelor’s degree in Data Science, Math, Statistics, Computer Science, Business or related field is required.
* High School Diploma or equivalent and 5 years of experience in analytics, data modeling, or related experience may be accepted in lieu of a Bachelor’s degree.
**Experience Qualifications**
* 7 years of experience in healthcare analytics, data analytics, working with data, creating reports and visualizations or related experience is required. (This experience level is required in addition to the experience that would be required in lieu of education if colleague does not meet the Bachelor’s degree requirement.)
**Certifications, Licenses and Registrations**
* N/A
Job Description
Scheduled Weekly Hours:
40
Throughout communities in Illinois and Wisconsin, 13 hospitals, numerous community\-based health centers and clinics, our 13,000\+ colleagues have built a culture based on our solid core values of respect, care, competence, and joy. These are the ideals we believe in, work by, and live each day.
Built upon more than 145 years of service to the communities we serve, we now look to the future and our place in it as a health care system that strives to continually improve processes, procedures, and outcomes with the latest and most advanced technologies and treatments.
Regardless of how far our passion for excellence carries us, our focus will always remain on the most important person in our entire organization: The patient.
**Benefits:** HSHS provides a benefits package designed to support the overall well\-being of our colleagues including their physical, emotional, financial, spiritual, and work health. **Colleagues budgeted to work at least 32 hours per pay period are eligible for HSHS benefits.**
* Comprehensive and affordable health coverage includes medical, prescription, dental and vision coverage for full\-time and part\-time colleagues.
* Paid Time Off (PTO) combines vacation, sick, and personal days into one balance to allow you the flexibility to use your time off as you need.
* Retirement benefits including HSHS  
contributions.
* Education Assistance benefits include up to $4,000 of educational assistance each calendar year and tuition discounts to select colleges with no waiting period.
* Adoption Assistance provides financial support up to $7,500 for colleagues growing their families through adoption to reimburse application and legal fees, transportation, and more!
* Other benefits include: Wellness program with incentives, employer\-paid life insurance and short\-term and long\-term disability coverage, flexible spending accounts, employee assistance program, ID theft coverage, colleague rewards and recognition program, discount program, and more!
Benefits
HSHS and affiliates is an Equal Opportunity Employer (EOE).
HSHS is proud to be an equal opportunity workplace dedicated to pursuing and hiring a diverse workforce.</t>
        </is>
      </c>
    </row>
    <row r="74">
      <c r="A74" t="inlineStr">
        <is>
          <t>in-f6eafc0a46a01cc9</t>
        </is>
      </c>
      <c r="B74" t="inlineStr">
        <is>
          <t>Senior Data Engineer (Python Developer)</t>
        </is>
      </c>
      <c r="C74" t="inlineStr">
        <is>
          <t>Ryan, LLC</t>
        </is>
      </c>
      <c r="D74" t="inlineStr">
        <is>
          <t>indeed</t>
        </is>
      </c>
      <c r="E74">
        <f>HYPERLINK("https://www.indeed.com/viewjob?jk=f6eafc0a46a01cc9", "https://www.indeed.com/viewjob?jk=f6eafc0a46a01cc9")</f>
        <v/>
      </c>
      <c r="F74">
        <f>HYPERLINK("https://ryan.wd1.myworkdayjobs.com/en-US/RyanCareers/job/Dallas/Senior-Data-Engineer--Python-Developer-_R0017737-1", "https://ryan.wd1.myworkdayjobs.com/en-US/RyanCareers/job/Dallas/Senior-Data-Engineer--Python-Developer-_R0017737-1")</f>
        <v/>
      </c>
      <c r="G74" t="inlineStr">
        <is>
          <t>Dallas, TX, US</t>
        </is>
      </c>
      <c r="H74" s="3" t="n">
        <v>46028</v>
      </c>
      <c r="I74" t="inlineStr">
        <is>
          <t>Why Ryan?* Hybrid Work Options
* Award\-Winning Culture
* Generous Personal Time Off (PTO) Benefits
* 14\-Weeks of 100% Paid Leave for New Parents (Adoption Included)
* Monthly Gym Membership Reimbursement OR Gym Equipment Reimbursement
* Benefits Eligibility Effective Day One
* 401K with Employer Match
* Tuition Reimbursement After One Year of Service
* Fertility Assistance Program
* Four\-Week Company\-Paid Sabbatical Eligibility After Five Years of Service
The Senior Data Engineer is responsible for the identifying, developing, and maintaining the technologies that enable the efficient flow of data throughout the organization. This role requires an enterprise mindset to build out robust, high\-performance technology.
Duties and Responsibilities, aligned with Key Results:
People* Use a variety of programming languages and tools to develop, test, and maintain data pipelines within the Platform Reference Architecture.
* Working directly with management, product teams and practice personnel to understand their platform data requirements
* Maintaining a positive work atmosphere by behaving and communicating in a manner that encourages productive interactions with customers, co\-workers and supervisors
* Developing and engaging with team members by creating a motivating work environment that recognizes, holds team members accountable, and rewards strong performance
* Fostering an innovative, inclusive and diverse team environment, promoting positive team culture, encouraging collaboration and self\-organization while delivering high quality solutions
Client* Collaborating on an Agile team to design, develop, test, implement and support highly scalable data solutions
* Collaborating with product teams and clients to deliver robust cloud\-based data solutions that drive tax decisions and provide powerful experiences
* Analyzing user feedback and activity and iterate to improve the services and user experience
Value* Securing data in alignment with internal information and data security policies, best practices and client requirements
* Creating and implementing robust cloud\-based data solutions that scale effectively, and provide powerful experiences for both internal teams and clients
* Performing unit tests and conducting reviews with other team members to make sure solutions and code are rigorously designed, elegantly coded and effectively tuned for performance
* Staying on top of tech trends, experimenting with and learning new technologies, participating in internal \&amp; external technology communities and mentoring other members of the engineering community
* Perform other duties as assigned
Education and Experience:
Bachelor’s and/or Master’s degree in a related field.* 7\+ years of experience developing data technologies.
* 7\+ years of experience deploying ETL solutions in production environments.
* 7\+ years of experience with cloud\-based data services, preferably in AWS or Azure.
* 7\+ years of experience developing Python, Scala, Java, .Net or similar solutions in a backend or data wrangling capacity.
* 7\+ years of experience in mixed Windows/Linux environments.
Additional Required Skills and Experience:* Results\-proven track record of exceeding goals and evidence of the ability to consistently make good decisions through a combination of analysis, experience and judgment
* Fluency in one or more databases, preferably relational and NoSQL is a plus.
* Experience with distributed data platforms is a plus.
* Exposure to AI/ML pipelines is preferred.
* Experience deploying, monitoring, and maintaining data pipelines in production environments
Computer Skills:
To perform this job successfully, an individual must have intermediate knowledge of Microsoft Project, Word, Excel, Access, PowerPoint, Outlook, and Internet navigation and research.
Supervisory Responsibilities:
Requires supervisory responsibilities, including training employees, assigning work, and assuring quality throughout any deliverables
Work Environment:* Standard indoor working environment.
* Occasional long periods of sitting while working at computer.
* Position requires regular interaction with employees at all levels of the Firm and interface with external vendors as necessary.
* Independent travel requirement: As Needed</t>
        </is>
      </c>
    </row>
    <row r="75">
      <c r="A75" t="inlineStr">
        <is>
          <t>in-864c4acae2203118</t>
        </is>
      </c>
      <c r="B75" t="inlineStr">
        <is>
          <t>Data Engineer</t>
        </is>
      </c>
      <c r="C75" t="inlineStr">
        <is>
          <t>New Directions Technologies, Inc.</t>
        </is>
      </c>
      <c r="D75" t="inlineStr">
        <is>
          <t>indeed</t>
        </is>
      </c>
      <c r="E75">
        <f>HYPERLINK("https://www.indeed.com/viewjob?jk=864c4acae2203118", "https://www.indeed.com/viewjob?jk=864c4acae2203118")</f>
        <v/>
      </c>
      <c r="F75">
        <f>HYPERLINK("https://esp21.ndti.net/JobListingDetail.aspx?id=1721", "https://esp21.ndti.net/JobListingDetail.aspx?id=1721")</f>
        <v/>
      </c>
      <c r="G75" t="inlineStr">
        <is>
          <t>China Lake, CA, US</t>
        </is>
      </c>
      <c r="H75" s="3" t="n">
        <v>46028</v>
      </c>
      <c r="I75" t="inlineStr">
        <is>
          <t>Location:
China Lake, CA
Status:
Full Time
Job Description:
Perform and provide leadership in the design, development, implementation, integration, testing, deployment, operation, optimization, administration, troubleshooting and/or maintenance of airborne and ground data systems; these systems include (but are not limited to) data and video collection, recording, telemetry, and both real\-time and post\-event processing of airborne data/video.  
Conduct Research, Design, Fabrication and Integration of Airborne, Telemetry and Ground based Data and Video Collection Systems, Post\-Event Debrief and Analysis Ground Stations.  
Generate documentation, drawings and training related to the operation, maintenance, of the aforementioned data systems in accordance with Task Team Operating Procedures.  
Provide training and technical support for the aforementioned data systems to other team members(both engineers and technicians.  
Function as liaison to other stakeholder entities as appropriate.  
Provide summaries of activities in the Monthly Progress / Status Report.  
Interface with all levels of NAVAIR / NAWCWD organizations and stakeholder entities as required to accomplish assigned tasks.  
Participate in meetings with contractor and government personnel to resolve scheduling, planning, maintenance, and other technical issues.  
Actively contribute to organizational process improvement activities and task team internal reviews.  
Initiates own professional development and maintains an up\-to\-date understanding of all technical project requirements and organizational processes as defined in applicable documentation.  
Additional duties as assigned.
Education and Work Experience Requirements:
7732  
Due to the sensitivity of customer related requirements, U.S. Citizenship is required.  
Must have one of the following: Bachelors with 2\+ years of experience, Masters with 1\+ years of experience. Preferred degree concentration Electrical Engineering or a related discipline.  
Must be able to be granted a Secret security clearance and maintain one for the duration of employment.  
Experience in the design, development, management, and administration of information systems related to airborne data acquisition, recording and telemetry.  
Possess teachability, team\-orientation, sound character, resilience, a solutions\-focused attitude, and tenacity in execution.  
Ability to perform, manage, and prioritize multiple related tasks in a highly dynamic and time\-sensitive environment.  
Possession of excellent English oral and written communication skills.  
Desired Skills:  
Practical knowledge of system administration, systems security, information assurance, network and computer operation support. This includes intimate familiarity with DoD\-approved operating systems, network connectivity (both copper and fiber), and data warehousing/mining (including Storage Area Networks, Network Attached Storage and/or RAID technologies).  
Direct experience with post\-event data processing and storage performed at NAWCWD China Lake Range Control Center (RCC) Range Data Systems; training or experience with airborne and ground instrumentation systems, video and data recording/telemetry, MIL\-STD\-1553, and related data\-bus and digital recorders.  
Ability and desire to work in a group environment.  
Diverse engineering work background (multiple disciplines or multiple technologies).  
Active security clearance, Secret or higher.  
Familiarity with modern military systems, both foreign and domestic, especially sensors technology.  
Salary: the expected par range for this position is $70,304 to $91,520 but is subject to change.
Security Clearance:
Interim Secret</t>
        </is>
      </c>
    </row>
    <row r="76">
      <c r="A76" t="inlineStr">
        <is>
          <t>in-b09ad931621ccb12</t>
        </is>
      </c>
      <c r="B76" t="inlineStr">
        <is>
          <t>Sr. Data Engineer - Demand Science</t>
        </is>
      </c>
      <c r="C76" t="inlineStr">
        <is>
          <t>Conagra Brands</t>
        </is>
      </c>
      <c r="D76" t="inlineStr">
        <is>
          <t>indeed</t>
        </is>
      </c>
      <c r="E76">
        <f>HYPERLINK("https://www.indeed.com/viewjob?jk=b09ad931621ccb12", "https://www.indeed.com/viewjob?jk=b09ad931621ccb12")</f>
        <v/>
      </c>
      <c r="F76">
        <f>HYPERLINK("https://click.appcast.io/t/qgmZlFZ-mG8efXy3SHn7-fdvtxvxAF-Geb0IXy0p27A=", "https://click.appcast.io/t/qgmZlFZ-mG8efXy3SHn7-fdvtxvxAF-Geb0IXy0p27A=")</f>
        <v/>
      </c>
      <c r="G76" t="inlineStr">
        <is>
          <t>Chicago, IL, US</t>
        </is>
      </c>
      <c r="H76" s="3" t="n">
        <v>46028</v>
      </c>
      <c r="I76" t="inlineStr">
        <is>
          <t>Reporting to the Director of IT – Demand Science, you will join Conagra Brands’ Demand Science team to design, develop, and optimize data pipelines and workflows that power forecasting and analytics. You will collaborate with data scientists, analysts, and business stakeholders to ensure data is accurate, accessible, and actionable. This is your opportunity to leverage cutting\-edge technologies like Snowflake, Databricks, and Informatica to make a measurable impact on business performance.
**Your Impact**
* Architect, develop, and maintain robust data pipelines to integrate data from multiple sources into the enterprise environment.
* Collaborate with cross\-functional teams to gather and translate data requirements for forecasting, reporting, and analytics.
* Build and optimize complex SQL queries and transformations to support business use cases.
* Design and manage data models aligned with business needs and best practices.
* Implement and automate ETL workflows using Informatica and Databricks to improve efficiency.
* Perform data validation, troubleshooting, and quality assurance to ensure accuracy and consistency.
* Monitor and optimize performance of data pipelines, queries, and analytical processes.
* Document data workflows, transformations, and standards for team reference.
* Participate in Agile ceremonies to plan, estimate, and deliver work efficiently.
* Support data governance and compliance initiatives within Demand Science.
**Your Experience**
* Bachelor’s or Master’s degree in Computer Science, Information Systems, Data Engineering, or related field (or equivalent experience).
* 4\+ years of experience in data engineering or related role focused on enterprise\-scale solutions.
* Advanced proficiency in SQL for data transformation and analysis.
* Hands\-on experience with cloud\-based platforms, especially Snowflake and Databricks.
* Strong experience with ETL tools and frameworks, particularly Informatica.
* Proficiency in Python or PySpark for data processing and automation.
* Deep understanding of data modeling concepts and database design principles.
* Demonstrated problem\-solving and analytical skills with meticulous attention to detail.
* Excellent communication skills and proven ability to work collaboratively.
* Experience supporting forecasting, reporting, or analytical processes is highly desirable.
Number of Days in Office: 3  
\#LI\-Hybrid
\#LI\-MSL
\#LI\-SG1
 **Compensation:**
Pay Range:$93,200\-$135,700*The annual salary listed above is the expected offering for this position. An employee’s actual annual salary will be based on but not limited to: location, relevant experience/level and skillset, while balancing internal Conagra employees’ equity. Conagra Brands will comply with applicable law regarding minimum salaries for exempt employees.*
**Our Benefits:**
We care about your total well\-being and will support you with the following, subject to your location and role:
* Health: Comprehensive healthcare plans, wellness incentive program, mental wellbeing support and fitness reimbursement
* Wealth: Great pay, bonus incentive opportunity, matching 401(k) and stock purchase plan
* Growth: Career development opportunities, employee resource groups, on\-demand learning and tuition reimbursement
* Balance: Paid\-time off, parental leave, flexible work\-schedules (subject to your location and role) and volunteer opportunities
**Our Company:**
At Conagra Brands, we have a rich heritage of making great food. We aspire to have the most impactful, energized and inclusive culture in food. As a member of our 18,000\+ person team across 40\+ locations, you are empowered to reach your potential, make an impact and own your career. We're in the business of building champions – within our people and our iconic brands like Birds Eye ®, Slim Jim® and Reddi\-Wip®.
Our focus on innovation extends beyond making great food, it also reflects our commitment to embracing new solutions that positively impact our team, the communities we serve and the health of our planet. Foodies Welcome.
Conagra Brands is an equal opportunity employer and considers qualified applicants for employment without regard to sex, race, color, religion, ethnic or national origin, gender, sexual orientation, gender identity or expression, age, pregnancy, leave status, disability, veteran status, genetic information and/or any other characteristic or status protected by national, federal, state or local law. Reasonable accommodation may be made upon request.</t>
        </is>
      </c>
    </row>
    <row r="77">
      <c r="A77" t="inlineStr">
        <is>
          <t>in-224b8d20e9fd0a34</t>
        </is>
      </c>
      <c r="B77" t="inlineStr">
        <is>
          <t>Staff Data Engineer (EL Focus - Azure/Snowflake)</t>
        </is>
      </c>
      <c r="C77" t="inlineStr">
        <is>
          <t>Life Science Connect</t>
        </is>
      </c>
      <c r="D77" t="inlineStr">
        <is>
          <t>indeed</t>
        </is>
      </c>
      <c r="E77">
        <f>HYPERLINK("https://www.indeed.com/viewjob?jk=224b8d20e9fd0a34", "https://www.indeed.com/viewjob?jk=224b8d20e9fd0a34")</f>
        <v/>
      </c>
      <c r="F77">
        <f>HYPERLINK("https://lifescienceconnect.applytojob.com/apply/DxCsRw3qcA/Staff-Data-Engineer-EL-Focus-AzureSnowflake?source=INDE&amp;~", "https://lifescienceconnect.applytojob.com/apply/DxCsRw3qcA/Staff-Data-Engineer-EL-Focus-AzureSnowflake?source=INDE&amp;~")</f>
        <v/>
      </c>
      <c r="G77" t="inlineStr">
        <is>
          <t>Remote, US</t>
        </is>
      </c>
      <c r="H77" s="3" t="n">
        <v>46028</v>
      </c>
      <c r="I77" t="inlineStr">
        <is>
          <t>**About Life Science Connect**  
Life Science Connect is dedicated to uniting life sciences professionals and suppliers to accelerate research, development, and manufacturing. We help professionals discover market opportunities by facilitating mutually beneficial connections between audiences and strategic partners. This accelerates the advancement of life\-improving, life\-extending, and life\-saving therapies and devices. We serve a loyal, satisfied readership that demands original, compelling content with utility. Our comprehensive suite of capabilities for B2B sales and marketing enablement contributes significantly to the creation and maintenance of robust business development pipelines for our partners.  
**The Mission: Data Force Multiplier**  
Life Science Connect is pivoting from a traditional publisher to a **Data Authority**. We are building a modern "Efficiency Stack" centered on **Azure, Snowflake, and dbt** to power our proprietary intent scoring and analytics products.  
We are seeking an expert, hands\-on **Staff Data Engineer** to be the technical backbone of our data ingestion strategy.  
This is a critical, high\-impact role focused specifically on the **Extraction and Load (EL)** portion of our architecture. You will not just build pipelines; you will architect the ingestion framework that feeds our entire analytics ecosystem. Your success will be measured by your ability to deliver high\-quality, reliable, and timely raw data to our Analytics Engineering team, acting as a force multiplier that enables them to focus purely on business logic and transformation.  
**Key Responsibilities**  
**1\. EL Pipeline Architecture \&amp; Execution*** **Ingestion Architecture:** Own the design, development, and optimization of scalable data ingestion pipelines using **Azure Data Factory (ADF)**. You will move beyond basic "drag\-and\-drop" configurations to build resilient, parameterized frameworks.
* **Complex Source Integration:** Design robust pipelines for high\-volume, complex sources including **Salesforce, Google Analytics (GA4\), and internal APIs**. You will be responsible for building custom connectors (using Python/Azure Functions) when native ADF connectors encounter API limits or sampling constraints.
* **Snowflake Landing:** Architect efficient loading patterns into Snowflake (Snowpipe, External Stages), ensuring that the "Raw Layer" is optimized for cost and performance before transformation begins.
**2\. Analytics Collaboration \&amp; Schema Governance*** **The "dbt" Bridge:** Act as the primary partner to the Analytics Engineering team. You will collaborate on **Raw Layer schema design**, ensuring that data lands in a structure that is easily consumable by dbt, preventing "garbage in" scenarios.
* **Data Reliability:** Provide the downstream teams with thoroughly documented reliable raw data feeds. You are the guarantee that the data in the warehouse matches the source of truth.
**3\. Pipeline Orchestration \&amp; Optimization*** **Advanced Orchestration:** Design dependency\-aware pipeline orchestrations that manage the full data lifecycle, ensuring data arrives in the correct order and at the required frequency.
* **Performance Tuning:** Continuously monitor pipeline performance (latency, throughput) and optimize ADF resource allocation to control costs without sacrificing speed.
**4\. Engineering Standards \&amp; Security*** **CI/CD Implementation:** Define and lead the implementation of CI/CD pipelines for data workflows. You will enforce automated testing and deployment processes using **Git/GitHub**, treating infrastructure as code.
* **Security \&amp; Compliance:** Implement security best practices within the ingestion layer, specifically regarding **Azure Key Vault** for credential management and PIPL/GDPR compliance for PII handling.
**The Ideal Candidate Profile*** **Experience:** 7\+ years of professional experience in data engineering with a focus on high\-volume production pipelines.
* **The "Hybrid" Skillset:** You have expert\-level proficiency with **Azure Data Factory (ADF)**, but you are also a strong coder. You are proficient in **Python** and SQL, capable of writing custom scripts for API interactions, data validation, and complex logic that GUI tools cannot handle.
* **API Mastery:** You understand the nuances of integrating with complex SaaS APIs (Salesforce, GA4\). You know how to handle rate limits, pagination, and token management programmatically.
* **Warehouse Expertise:** You have extensive experience loading data into **Snowflake** and understand the architectural implications of loading patterns on warehouse costs.
* **Stakeholder Focus:** You understand that your "customer" is the Analytics Engineer. You take pride in delivering clean, reliable raw data that makes their job easier.
**Why Join Now?*** **Strategic Impact:** You will build the foundation of our "Data Authority" platform, handling the data that drives our revenue.
* **Modern Stack:** Work with a clean, modern stack—Azure, Snowflake, Python, and dbt—without the burden of on\-prem legacy debt.
* **Empowerment:** You report to the Director of Data Architecture with a mandate to define the standards for how data enters our ecosystem.
**We Invest in YOU**  
At Life Science Connect, our commitment to empowering innovation and facilitating growth within the life sciences sector extends to our employees. We offer a comprehensive total compensation program designed to support your overall health, financial well\-being, and professional development.  
In addition to a competitive salary, you'll enjoy:* Medical/vision/prescription/dental coverage for you and your family
* 100% company\-paid short\- and long\-term disability insurance
* 100% company\-paid life insurance
* 401(k) with dollar\-for\-dollar company match up to 6%
* 15 vacation days and 6 personal days on day 1
* 13 company\-paid holidays
To view all our job postings and showcases for some of our employees, visit: https://lifescienceconnect.com/careers/  
**Principals only. We do not accept unsolicited resumes from third\-party recruiters or staffing agencies. No visa sponsorship is available for this position.**  
DxCsRw3qcA</t>
        </is>
      </c>
    </row>
    <row r="78">
      <c r="A78" t="inlineStr">
        <is>
          <t>in-9797247db7223716</t>
        </is>
      </c>
      <c r="B78" t="inlineStr">
        <is>
          <t>Staff Data Platform Engineer, Enterprise Data</t>
        </is>
      </c>
      <c r="C78" t="inlineStr">
        <is>
          <t>Radiant</t>
        </is>
      </c>
      <c r="D78" t="inlineStr">
        <is>
          <t>indeed</t>
        </is>
      </c>
      <c r="E78">
        <f>HYPERLINK("https://www.indeed.com/viewjob?jk=9797247db7223716", "https://www.indeed.com/viewjob?jk=9797247db7223716")</f>
        <v/>
      </c>
      <c r="F78">
        <f>HYPERLINK("https://grnh.se/svj2jfh35us", "https://grnh.se/svj2jfh35us")</f>
        <v/>
      </c>
      <c r="G78" t="inlineStr">
        <is>
          <t>Los Angeles, CA, US</t>
        </is>
      </c>
      <c r="H78" s="3" t="n">
        <v>46028</v>
      </c>
      <c r="I78" t="inlineStr">
        <is>
          <t>Radiant is an El Segundo, CA\-based startup building the world's first mass\-produced, portable nuclear microreactors. The company's first reactor, Kaleidos, is a 1\-megawatt failsafe microreactor that can be transported anywhere power is needed and run for up to five years without the need to refuel. Portable nuclear power with rapid deploy capability can replace similar\-sized diesel generators, and provide critical asset support for hospitals, data centers, remote sites, and military bases. Radiant's unique, practical approach to nuclear development utilizes modern software engineering to rapidly achieve safe, factory\-built microreactors that leverage existing, well\-qualified materials. Founded in 2020, Radiant is on track to test its first reactor next year at the Idaho National Laboratory, with initial customer deliveries beginning in 2028\.
**About the Role**
==================
We're building a new team to own Radiant's internal data infrastructure, executive analytics, and AI capabilities. As a Staff Data Platform Engineer, you'll be hands\-on building the integrations and pipelines that connect Radiant's operational systems—Finance, HR, Supply Chain, Manufacturing, and Recruiting—into a unified data platform.
Your first priority will be the ION\-Ramp integration: building the pipeline that enables three\-way matching (PO \+ Receipt \+ Invoice) between our manufacturing execution system and payments platform. This directly reduces manual work for the Finance team. From there, you'll expand to connect 9 enterprise systems, build dbt transformation models, and ensure data quality across the platform.
**What You'll Do**
==================
* **Build integrations:** Configure Fivetran connectors, build custom pipelines, and connect 9 enterprise systems (ION, Ramp, QuickBooks, Rippling, Ashby, Salesforce, SharePoint, Smartsheet, DocuSign)
* **Develop the ION\-Ramp pipeline:** Build the Snowflake Databricks Ramp pipeline that enables three\-way matching for Finance
* **Write dbt models:** Transform raw data into clean, documented, tested models for dashboards and analytics
* **Ensure data quality:** Implement testing, monitoring, and alerting for data pipelines; catch issues before they reach dashboards
* **Support dashboards:** Work with the PM and stakeholders to ensure the data models support Finance, Operations, and HR/Recruiting dashboards
* **Document everything:** Maintain clear documentation for pipelines, models, and data definitions
**What We're Looking For**
==========================
**Required**
------------
* 5\+ years of data engineering or software engineering experience
* Python and SQL proficiency—you'll write both daily
* Experience with data warehouses—Databricks, Snowflake, BigQuery, or Redshift
* ETL/ELT pipeline development—Fivetran, Airbyte, Stitch, or custom pipeline experience
* API integration experience—REST, GraphQL; you're comfortable reading API docs and building integrations with enterprise SaaS tools
* Data modeling skills—dimensional modeling, schema design, understanding of how data will be used downstream
**Preferred**
-------------
* Background in hardware or hardtech companies—you understand manufacturing, supply chain, and physical product development
* Experience with dbt (data build tool)
* Experience with data quality frameworks and testing (Great Expectations, dbt tests, etc.)
* Comfortable building lightweight internal tools—Python/Flask, basic frontend—or using AI coding assistants (Cursor, Copilot) to extend your capabilities
* Familiarity with MES, ERP, or supply chain systems (ION, SAP, NetSuite, etc.)
**Why Join Radiant**
====================
* **Mission:** Clean energy that can go anywhere—few problems matter more
* **Team:** Work alongside exceptional people from SpaceX, Blue Origin, and other top engineering organizations
* **Compensation:** Competitive compensation with equity
* **Benefits:** Health/dental/vision, 401(k), and flexible PTO
* **Impact:** The pipelines you build directly reduce manual work for Finance and give leadership real\-time visibility
* **Variety:** You'll work across 9 different systems—Finance, HR, Manufacturing, CRM, Documents—never boring
* **Modern stack:** Databricks, Fivetran, dbt, Airbyte—best\-in\-class tools
**Additional Information**
==========================
This position requires the ability to work in the United States and eligibility for access to export\-controlled information under ITAR/EAR.
**Total Compensation and Benefits**
Radiant's new hire compensation package includes base salary, substantial equity grants, and comprehensive benefits. Total compensation and level are determined through a holistic evaluation of your interview performance, experience, education, and qualifications.
**Benefits and Perks for Eligible Employees:**
* Stock: Substantial incentive stock plan for all full\-time employees.
* Medical: 100% premium coverage for base Silver level plan for employee \+ 50% premium coverage for dependents. Platinum plans available.
* One Medical: Sponsored memberships for eligible employees and their dependents.
* Vision: 100% premium coverage for top tier plan \+ 50% for dependents.
* Dental: 100% premium coverage for top tier plan (including orthodontia) \+ 50% for dependents.
* Voluntary life, accident, hospital, critical illness, commuter and FSA/HSA are offered as employee contributed benefits.
* 8\-weeks of paid parental leave for all parents. Additional paid pregnancy leave for CA employees.
* Daily catered lunch. Free snacks and drinks.
* Flexible PTO policy. Remote workday allocation.
* Company and team\-bonding events, happy hours and in\-person camaraderie.
* Beautiful El Segundo headquarters close to the Pacific Ocean.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*Unfortunately, we are unable to provide visa sponsorship at this time.*
*This position involves access to technology that is subject to U.S. export controls. Any job offer made will be contingent upon the applicant's capacity to serve in compliance with U.S. export controls.*</t>
        </is>
      </c>
    </row>
    <row r="79">
      <c r="A79" t="inlineStr">
        <is>
          <t>in-66b0e353a03a1577</t>
        </is>
      </c>
      <c r="B79" t="inlineStr">
        <is>
          <t>Senior Data Engineer - Active TS/SCI with FSP</t>
        </is>
      </c>
      <c r="C79" t="inlineStr">
        <is>
          <t>Dhara Consulting Group</t>
        </is>
      </c>
      <c r="D79" t="inlineStr">
        <is>
          <t>indeed</t>
        </is>
      </c>
      <c r="E79">
        <f>HYPERLINK("https://www.indeed.com/viewjob?jk=66b0e353a03a1577", "https://www.indeed.com/viewjob?jk=66b0e353a03a1577")</f>
        <v/>
      </c>
      <c r="F79">
        <f>HYPERLINK("https://www.clearancejobs.com/jobs/8696874/senior-data-engineer-active-tssci-with-fsp", "https://www.clearancejobs.com/jobs/8696874/senior-data-engineer-active-tssci-with-fsp")</f>
        <v/>
      </c>
      <c r="G79" t="inlineStr">
        <is>
          <t>Chantilly, VA, US</t>
        </is>
      </c>
      <c r="H79" s="3" t="n">
        <v>46028</v>
      </c>
      <c r="I79" t="inlineStr">
        <is>
          <t>Posted today
Top Secret/SCI
Senior Level Career (10\+ yrs experience)
$180,000 \- $220,000
No Traveling
Engineering \- Systems
Chantilly, VA **(ON/OFF\-SITE)**
Description  
Location: Herndon/Chantilly, VA  
Clearance Required: TS/SCI with Full Scope Polygraph (FSP)  
Position Type: Full\-Time, On\-Site  
Salary Range: $180,000 – $220,000  
We are seeking a highly skilled Senior Data Engineer to support the design, development, and optimization of mission\-critical data engineering solutions for a federal program. This position requires extensive experience in the full data lifecycle, including data movement, ingestion, transformation, and modeling in both on\-prem and cloud\-based environments. The ideal candidate will bring a strong command of ETL pipelines, data formatting tools, and modern data engineering frameworks to support advanced analytics and mission\-driven insights.  
Primary Responsibilities:  
Develop scalable tools, services, and code to execute complex data engineering tasks involving structured and unstructured data.  
Design, implement, and maintain robust ETL pipelines using technologies such as Spark, Apache NiFi, Apache Iceberg, and Trino.  
Ingest and transform data for enterprise\-level storage and exploration, ensuring format standardization and compliance with mission objectives.  
Collaborate with data scientists and mission partners to understand source data and define transformations supporting operational outcomes.  
Clean, preprocess, and condition data to support downstream analytics, ensuring data quality, integrity, and lineage (pedigree/provenance).  
Build services for one\-time and recurring data extractions and conversions across local and enterprise repositories.  
Support cloud\-based processing using AWS EMR and Kubernetes, and contribute to OpenSearch integrations.  
Produce comprehensive documentation including ETL mappings, code usage guidelines, and system access protocols.  
Coordinate with engineering teams and data stewards to integrate and operationalize new data processing platforms.  
Participate in Agile development processes and data governance working groups to enhance enterprise data standards and practices.  
Requirements  
Minimum Qualifications:  
10\+ years of professional experience in data engineering, including:  
Full data lifecycle engineering (collection, transformation, storage, distribution)  
Development and maintenance of ETL pipelines and data transformation workflows  
Cloud and on\-premise data solutions  
Proficiency in Python, SQL, Spark, and modern data engineering languages  
Experience with COTS/open\-source data tools such as ElasticSearch and Apache NiFi  
Proven track record of delivering within Agile software development lifecycles  
Ability to work full\-time on\-site in Herndon/Chantilly, VA.  
Active TS/SCI clearance with Full Scope Polygraph (FSP) is required at the time of application.  
Preferred Qualifications:  
Experience applying Artificial Intelligence (AI) and Large Language Models (LLMs) to optimize data processing and transformation.  
Familiarity with emerging data pipeline architectures and advanced cloud\-native tools.  
Exposure to data stewardship and enterprise data governance principles.  
Eligibility:  
Must be legally authorized to work in the United States without employer sponsorship, now or in the future.  
Active TS/SCI with Full Scope Polygraph (FSP) clearance is required for this role.  
Benefits  
Salary:  
Salary for this position is determined based on factors such as location, qualifications, experience, and contract\-specific budget considerations.  
Proposed Salary Range: $180,000 – $220,000  
Benefits:  
Our client offers a comprehensive and competitive benefits package, including:  
100% Company\-Paid Health Insurance: Full coverage for medical, dental, and vision insurance for employees and their dependents (United Healthcare and Guardian).  
Protection Plans: Employer\-paid life, short\-term disability, and long\-term disability insurance.  
401(k) Retirement Contribution: 15% of base salary contributed by the company, fully vested from day one.  
Paid Time Off: 200 hours of PTO annually (accrued), in addition to 11 federal holidays.  
Bonuses: Recruitment and business development bonus opportunities based on performance and company growth.**GROUP ID:** 91164126</t>
        </is>
      </c>
    </row>
    <row r="80">
      <c r="A80" t="inlineStr">
        <is>
          <t>in-dd78829d3b772952</t>
        </is>
      </c>
      <c r="B80" t="inlineStr">
        <is>
          <t>Data Engineer</t>
        </is>
      </c>
      <c r="C80" t="inlineStr">
        <is>
          <t>LendingTree</t>
        </is>
      </c>
      <c r="D80" t="inlineStr">
        <is>
          <t>indeed</t>
        </is>
      </c>
      <c r="E80">
        <f>HYPERLINK("https://www.indeed.com/viewjob?jk=dd78829d3b772952", "https://www.indeed.com/viewjob?jk=dd78829d3b772952")</f>
        <v/>
      </c>
      <c r="F80">
        <f>HYPERLINK("https://grnh.se/k3rwdnwn1us", "https://grnh.se/k3rwdnwn1us")</f>
        <v/>
      </c>
      <c r="G80" t="inlineStr">
        <is>
          <t>Seattle, WA, US</t>
        </is>
      </c>
      <c r="H80" s="3" t="n">
        <v>46028</v>
      </c>
      <c r="I80" t="inlineStr">
        <is>
          <t>* **PLEASE NOTE:** ***We offer a hybrid 3\-2 work schedule at our Seattle office \- (Three days in the office, two days of teleworking) to accommodate the need for flexibility.***
* **Applicants must be authorized to work for ANY employer in the U.S. We are unable to sponsor or take over sponsorship of an employment Visa at this time.**
QuoteWizard by LendingTree is seeking a Data Engineer to join our Data Engineering team. We have an exciting opportunity to deliver a near real\-time data lake and low\-latency data warehouse using world class cloud data tools and platforms including Snowflake and Matillion. Data Engineering provides a solid data foundation for analytics and machine learning teams that drive business decisions and strategy that power customer journeys across multiple CRM platforms.
We are seeking a data engineer who will be passionate about building streaming data pipelines, and will partner with our business, technology architects and operations, software engineers, analysts, data scientists, and senior leaders to develop and implement solutions to meet critical data/analytic related business needs and capabilities, while implementing technologies, platforms, and tools aligned to LendingTree's data strategy.
**RESPONSIBILITIES**
* Create real\-time streaming data solutions.
* Implement large scale, high\-performance data analytics, and data integration platforms.
* Design and develop ETL solutions.
* Design and develop frameworks and other approaches for rapid development of high\-quality data and reporting solutions.
* Perform complex data analysis to identify trends, patterns, and opportunities.
* Design, develop, and support database applications spanning multiple lines of business.
* Consult on database design and code reviews across the organization as needed.
* Evaluate performance and perform appropriate troubleshooting as necessary.
* Work with business users to understand project requirements and resolve issues.
* Craft and maintain technical documents including educational materials, standards, and best practices.
* Participate in on\-call rotation for off\-hours support.
* Collaborate effectively across various departments and teams to implement solutions.
* Collaborate on the product roadmap for data engineering to define capabilities of the platforms and services and delivery timelines.
**QUALIFICATIONS**
* 5\+ years of experience with highly scalable, distributed transactional platforms.
* 5\+ years of experience in data warehousing, and ETL development
* Expert in SQL optimization, query writing, and debugging
* Experience designing and implementing transactional databases, data lakes, and data warehouses.
* Knowledge of data warehousing industry standards and standard methodologies.
* Understand dimensional and transactional database modeling.
* Excellent data presentation skills, utilizing dashboards and other technologies.
* Excellent verbal and written communication skills.
* Design and implement projects with minimal guidance.
* Experience with Agile methodologies.
* Dedication to being a phenomenal teammate \- sharing success and struggles equally.
* Experience collaborating with data and software engineers by sharing knowledge, pairing, mobbing, designing solutions together, and code reviewing one another's work.
* Passion for learning and implementing new tools and supporting standard methodologies.
**PREFERRED EXPERIENCE**
* B.S. in Computer Science, Mathematics or equivalent
* Experience working with Snowflake
* Experience with data visualization tools, such as Power BI
* Experience working with modern ETL tools
* Experience with scripting languages like PowerShell
* Experience with programming languages such as Python, C\#
* Experience with Git/GitHub/GitLab
* Experience with Azure Dev Ops/Jira
**COMPANY**
QuoteWizard, a LendingTree company, is a dynamic insurance lead generation agency based in Seattle. We have been ranked by the INC 500 as one of the fastest growing private companies in the nation. We have also been listed by the Puget Sound Business Journal as a top company in Seattle.
**What you should know about LendingTree, our parent company:**
* We're a publicly\-traded company (TREE).
* We've welcomed several other companies into the LendingTree family to augment our efforts at helping borrowers make their most sensible financial choices.
* We've built the LendingTree app and My LendingTree dashboard to give consumers tools to manage and monitor their financial health.
*Benefits: Medical, dental, vision insurance, 401(k) matching, life insurance, pet insurance, and a competitive PTO (paid time off) policy*
*The base pay range for this position in Colorado/New York/California is $105,000\-125,000 however, base pay offered may vary depending on job\-related knowledge, skills, and experience*
**CULTURE**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
***This is an opportunity for full\-time employment. Please no third parties or Corp to Corp.***
***CCPA Disclosure***</t>
        </is>
      </c>
    </row>
    <row r="81">
      <c r="A81" t="inlineStr">
        <is>
          <t>in-3a6d554105f83632</t>
        </is>
      </c>
      <c r="B81" t="inlineStr">
        <is>
          <t>Advisory Sr. Consultant Cloud Data Engineer - Remote</t>
        </is>
      </c>
      <c r="C81" t="inlineStr">
        <is>
          <t>Optum</t>
        </is>
      </c>
      <c r="D81" t="inlineStr">
        <is>
          <t>indeed</t>
        </is>
      </c>
      <c r="E81">
        <f>HYPERLINK("https://www.indeed.com/viewjob?jk=3a6d554105f83632", "https://www.indeed.com/viewjob?jk=3a6d554105f83632")</f>
        <v/>
      </c>
      <c r="F81">
        <f>HYPERLINK("https://uhg.taleo.net/careersection/10000/jobdetail.ftl?job=2331344&amp;lang=en", "https://uhg.taleo.net/careersection/10000/jobdetail.ftl?job=2331344&amp;lang=en")</f>
        <v/>
      </c>
      <c r="G81" t="inlineStr">
        <is>
          <t>Eden Prairie, MN, US</t>
        </is>
      </c>
      <c r="H81" s="3" t="n">
        <v>46028</v>
      </c>
      <c r="I81" t="inlineStr">
        <is>
          <t>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 **Caring. Connecting. Growing together.**
We are seeking a highly skilled and experienced Senior Cloud Data Engineer to join our team. The successful candidate will be responsible for migrating our on\-premises Enterprise Data Warehouse to a modern cloud\-based data platform utilizing Azure Cloud data tools and Snowflake.
You'll enjoy the flexibility to work remotely \* from anywhere within the U.S. as you take on some tough challenges. For all hires in the Minneapolis or Washington, D.C. area, you will be required to work in the office a minimum of four days per week.
 **Primary Responsibilities:**
* Lead the migration of the ETLs from on\-premises database platform\-based data warehouse to Azure Cloud and Snowflake
* Design, develop, and implement data platform solutions using Azure Data Factory (ADF), Self\-hosted Integration Runtime (SHIR), Logic Apps, Azure Data Lake Storage Gen2 (ADLS Gen2\), Blob Storage, and Snowflake
* Review and analyze existing on\-premises ETL processes developed in SSIS and T\-SQL
* Implement DevOps practices and CI/CD pipelines using GitActions
* Collaborate with cross\-functional teams to ensure seamless integration and data flow
* Optimize and troubleshoot data pipelines and workflows
* Ensure data security and compliance with industry standards
You'll be rewarded and recognized for your performance in an environment that will challenge you and give you clear direction on what it takes to succeed in your role as well as provide development for other roles you may be interested in.
**Required Qualifications:**
* 6\+ years of experience in ETL development using on\-premises databases and ETL technologies
* 4\+ years of experience as a Cloud Data Engineer
* 3\+ years of hands\-on experience with Azure Cloud data tools (ADF, SHIR, LogicApps, ADLS Gen2, Blob Storage) and Snowflake
* Proficiency in DevOps and CI/CD practices
* Experience with Agile methodologies
* Proven excellent problem\-solving skills and ability to work independently
* Proven solid communication and collaboration skills
* Proven solid analytical skills and attention to detail
* Ability to adapt to new technologies and learn quickly
* Ability to travel up to 10%
 **Preferred Qualifications:**
* Certification in Azure or Snowflake
* Experience with data modeling and database design
* Proven knowledge of data governance and data quality best practices
* Demonstrated familiarity with other cloud platforms (e.g., AWS, Google Cloud)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82">
      <c r="A82" t="inlineStr">
        <is>
          <t>in-7e472817ee26bc5e</t>
        </is>
      </c>
      <c r="B82" t="inlineStr">
        <is>
          <t>Data Engineer I, Personal Insurance</t>
        </is>
      </c>
      <c r="C82" t="inlineStr">
        <is>
          <t>Travelers</t>
        </is>
      </c>
      <c r="D82" t="inlineStr">
        <is>
          <t>indeed</t>
        </is>
      </c>
      <c r="E82">
        <f>HYPERLINK("https://www.indeed.com/viewjob?jk=7e472817ee26bc5e", "https://www.indeed.com/viewjob?jk=7e472817ee26bc5e")</f>
        <v/>
      </c>
      <c r="F82">
        <f>HYPERLINK("https://travelersindex.contacthr.com/150534023", "https://travelersindex.contacthr.com/150534023")</f>
        <v/>
      </c>
      <c r="G82" t="inlineStr">
        <is>
          <t>Hartford, CT, US</t>
        </is>
      </c>
      <c r="H82" s="3" t="n">
        <v>46028</v>
      </c>
      <c r="I82"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$180,200\.00**Target Openings**
1**What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83">
      <c r="A83" t="inlineStr">
        <is>
          <t>in-bb16351b247960ac</t>
        </is>
      </c>
      <c r="B83" t="inlineStr">
        <is>
          <t>Data Engineer - Mid-Level</t>
        </is>
      </c>
      <c r="C83" t="inlineStr">
        <is>
          <t>BAE Systems USA</t>
        </is>
      </c>
      <c r="D83" t="inlineStr">
        <is>
          <t>indeed</t>
        </is>
      </c>
      <c r="E83">
        <f>HYPERLINK("https://www.indeed.com/viewjob?jk=bb16351b247960ac", "https://www.indeed.com/viewjob?jk=bb16351b247960ac")</f>
        <v/>
      </c>
      <c r="F83">
        <f>HYPERLINK("https://jobs.baesystems.com/global/en/job/119346BR", "https://jobs.baesystems.com/global/en/job/119346BR")</f>
        <v/>
      </c>
      <c r="G83" t="inlineStr">
        <is>
          <t>Rockville, MD, US</t>
        </is>
      </c>
      <c r="H83" s="3" t="n">
        <v>46028</v>
      </c>
      <c r="I83" t="inlineStr">
        <is>
          <t>**Job Description**  
BAE Systems is seeking a ***Data Engineer***to support our work as a prime contractor on a high\-profile U.S. Navy weapon system. Serving as one of our Data Engineers, you will support a multi\-disciplinary team of engineers, programmers, and configuration managers in developing and implementing data analytic, visualization, and engineering solutions to support systems engineering functions across requirements definition, architecture and interface definition, system integration, verification, and test for current and future large\-scale missile systems. This is a unique opportunity to be part of the team enabling our Nation’s technological superiority on strategic missions through development of advanced concepts and initiatives throughout the systems lifecycle.  
This position is both an internal and customer facing position and responsible for supporting the roll out and implementation of a new data engineering solutions to support Navy functions. In this role, you will plan and coordinate the preparation of project documentation, such as business process maps, training, job aids, schedules, and presentations, to ensure the data engineering solutions meet internal BAE Systems and customer requirements. You will engage with Navy customers and coordinate with the internal BAE Systems technical team to design, implement, and tailor the developed solutions that may be based on COTS or GOTS technology. In this position, you will perform data engineering, data pipeline building, business process mapping, technical analysis, trade studies, research, development, and test and evaluation to enable quality management and business process system implementation. You will help resolve issues and make recommendations regarding enhanced capabilities for the proposed COTS / GOTS data engineering solutions. You will analyze proposed changes of product design to determine effect on overall product and system and coordinate modification for management control.  
**Key Responsibilities:*** Deliver data engineering Design and implement scalable data pipelines that support AI/ML applications, leveraging techniques such as data warehousing, ETL (Extract, Transform, Load), and data streaming.
* Perform data wrangling, merging, cleaning, normalization, and transformation to prepare data for analysis
* Conduct feature engineering and feature selection to optimize data for AI/ML model development
* Work closely with Data Solution Architects and AI/ML Developers to prepare data for analytics and modeling tasks
* Implement data pipelines enabling retrieval of data from federated data systems
* Implement monitoring systems to ensure data pipeline reliability and performance
* Implement algorithms required to perform data engineering functions
* Implement data quality checks and monitoring processes
* Stay updated on best practices and emerging technologies in data engineering
**Required Education, Experience, \&amp; Skills**  
Typical education and years of related/relevant experience required: Bachelor’s Degree and minimum of 4 years of proven experience supporting DoD programs or large\-scale weapon systems; or Master’s Degree and minimum of 2 years of relevant experience.  
**Preferred Education, Experience, \&amp; Skills**  
* Bachelor’s degree or higher in Computer Science, Data Engineering, or a related STEM field
* 4\+ years of experience in data engineering or a similar role
* Strong understanding of the Data Engineering process
* Proficiency with data modeling notations
* Proficiency in data manipulation libraries (e.g., NumPy, Pandas, Matplotlib, Seaborn)
* Proficiency in programming languages (e.g., Python, JSON/XML, structured and unstructured query languages, and Jupyter Notebooks)
* Experience with ETL/TS tools and frameworks
* Experience with data analytics, data mining, and statistical analysis
* Experience with data warehousing solutions and technologies, including RedShift,
* BigQuery, and Snowflake
* Familiarity with big data technologies like Hadoop, Spark, and Kafka
* Excellent problem\-solving and collaboration skills
**Pay Information**  
Full\-Time Salary Range: $95106 \- $161680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84">
      <c r="A84" t="inlineStr">
        <is>
          <t>in-59bee958d52a9e11</t>
        </is>
      </c>
      <c r="B84" t="inlineStr">
        <is>
          <t>Data Engineer</t>
        </is>
      </c>
      <c r="C84" t="inlineStr">
        <is>
          <t>Base-2 Solutions, LLC</t>
        </is>
      </c>
      <c r="D84" t="inlineStr">
        <is>
          <t>indeed</t>
        </is>
      </c>
      <c r="E84">
        <f>HYPERLINK("https://www.indeed.com/viewjob?jk=59bee958d52a9e11", "https://www.indeed.com/viewjob?jk=59bee958d52a9e11")</f>
        <v/>
      </c>
      <c r="F84">
        <f>HYPERLINK("https://phh.tbe.taleo.net/phh01/ats/careers/v2/viewRequisition?org=BASESOLU&amp;cws=37&amp;rid=2414", "https://phh.tbe.taleo.net/phh01/ats/careers/v2/viewRequisition?org=BASESOLU&amp;cws=37&amp;rid=2414")</f>
        <v/>
      </c>
      <c r="G84" t="inlineStr">
        <is>
          <t>Tysons Corner, VA, US</t>
        </is>
      </c>
      <c r="H84" s="3" t="n">
        <v>46028</v>
      </c>
      <c r="I84" t="inlineStr">
        <is>
          <t>Required Security Clearance:
**Top Secret/SCI with CI Polygraph**
City:
**Tysons Corner**
State/Territory:
**Virginia**
Travel:
**None**
Potential for Teleworking:
**No**
Schedule:
**Full Time**
DoD 8570 IAT Requirement:
**None**
DoD 8570 IAM Requirement:
**None**
DoD 8570 IASAE Requirement:
**None**
DoD CSSP Requirement:
**None**
Last Updated:
**1/7/26 2:36 PM**
Requisition ID:
**165186**
US Citizenship Required?:
**Yes**
Pay Range:
Work Type:
**On\-Site**
Referral Eligibility:
**Eligible**
**Job Description**
Base\-2 Solutions is seeking a Data Engineer who will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**Capabilities**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**Qualifications**
* 4\+ years of proven experience in data engineering, with expertise in designing, developing, and maintaining data ingestion, transformation, and loading pipelines and components.
**Required Skills/Experience**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NiFi, Hadoop, HDFS, and Kafka. Experience implementing data pipelines in the Cloudera Data Platform environment in highly preferred.
* Strong communication skills, with the ability to clearly convey complex technical concepts.
**Pay \&amp; Benefit Highlights**
**Compensation**
* Above market fixed salary or hourly pay.
* Up to $10,000 bonus for each referral.
* Additional bonuses for exceptional performance, assisting with business development and company growth.
**Health**
* 100% paid premiums for health insurance. Choose from over 5 gold\-level medical plans from CareFirst, Kaiser and UnitedHealthcare. Choose from PPO, POS. HMO, and HSA\-compatible.
* HSA and FSA options.
* 100% paid premiums for dental insurance.
* 100% paid premiums for vision insurance.
**Income Protection**
* 100% paid premiums for short\-term disability.
* 100% paid premiums for long\-term disability.
* 100% paid premiums for accidental death \&amp; dismemberment.
* 100% paid premiums for life insurance with a $200,000 max benefit.
**Retirement**
* 8% company contribution to 401k with immediate vesting.
* 401k pre\-tax and Roth options.
**Leave**
* Up to 20 days of flexible paid time off (PTO).
* 11 days of paid floating holidays.
**Work\-Life Balance**
* Flexible work schedules including flex time and compressed work period.
* Remote work including partial or fully remote (contract and project\-dependent).
View our detailed Pay \&amp;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is>
      </c>
    </row>
    <row r="85">
      <c r="A85" t="inlineStr">
        <is>
          <t>in-62ce7099b3f7da98</t>
        </is>
      </c>
      <c r="B85" t="inlineStr">
        <is>
          <t>Data Engineer Principal</t>
        </is>
      </c>
      <c r="C85" t="inlineStr">
        <is>
          <t>HealthPartners</t>
        </is>
      </c>
      <c r="D85" t="inlineStr">
        <is>
          <t>indeed</t>
        </is>
      </c>
      <c r="E85">
        <f>HYPERLINK("https://www.indeed.com/viewjob?jk=62ce7099b3f7da98", "https://www.indeed.com/viewjob?jk=62ce7099b3f7da98")</f>
        <v/>
      </c>
      <c r="F85">
        <f>HYPERLINK("https://fa-etnv-saasfaprod1.fa.ocs.oraclecloud.com/hcmUI/CandidateExperience/en/sites/healthpartners/job/114376/?lastSelectedFacet=ORGANIZATIONS&amp;mode=location&amp;selectedOrganizationsFacet=300000133247738", "https://fa-etnv-saasfaprod1.fa.ocs.oraclecloud.com/hcmUI/CandidateExperience/en/sites/healthpartners/job/114376/?lastSelectedFacet=ORGANIZATIONS&amp;mode=location&amp;selectedOrganizationsFacet=300000133247738")</f>
        <v/>
      </c>
      <c r="G85" t="inlineStr">
        <is>
          <t>Bloomington, MN, US</t>
        </is>
      </c>
      <c r="H85" s="3" t="n">
        <v>46028</v>
      </c>
      <c r="I85" t="inlineStr">
        <is>
          <t>JOB DESCRIPTION
HealthPartners is hiring a Data Engineer, Principal. Our mission is to provide simple and affordable healthcare. HealthPartners teams use data to improve patient and member experience, improve health, and reduce the per capita cost of health care. HealthPartners data engineers are responsible for building, managing and optimizing data pipelines that facilitate data movement in service of these goals by implementing and testing methods (or build systems) that improve data reliability and quality. Data engineers work in collaborative scrum teams with other developers, analysts and data scientists and may share work efforts in order to achieve sprint goals. They champion and embrace leading practices in the field, and develop processes to effectively store, manage and deliver data. As part of their role, data engineers are responsible for reducing manual data work and improving productivity; they employ and test innovative tools, techniques and architectures to detect patterns and automate common or repetitive data preparation and integration tasks.  
**ACCOUNTABILITIES:**
* All team members must champion and model our values of partnership, curiosity, compassion, integrity, and excellence, and must contribute to a culture of continuous learning.
* Work with stakeholders, data scientists and analysts to frame problems, clean and integrate data, and determine the best way to provision that data on demand
* Collaborate with other engineers to design technology solutions that achieve measurable results at scale
* Collaborate with data scientists to train, develop and operationalize learning models
* Provide technical thought leadership for efficient data pipeline processes, warehouse architecture and business intelligence functions.
* Identify, design and implement software architecture to manage software development tasks associated with developing, debugging, or designing software applications, operating systems, and databases according to provided design specifications.
* Build enhancements within an existing software architecture and envision future improvements to the architecture.
* Assist in the development of short, medium, and long\-term plans to achieve strategic objectives.
* Guide, mentor, influence, and adopt a cloud\-first modern data architectural direction, and consistently adopt the associated standards and best practices
* Monitor and analyze information and data systems and evaluate their performance to discover ways of enhancing them (such as new technologies and upgrades).
* Collaborate with cross\-function engineering teams to design interfaces that support data integration with internal and external platforms
* Data engineers perform other duties as required, to meet team sprint goals
**REQUIRED SKILLS/ QUALIFICATIONS:**
* Bachelor’s degree in computer science, data or social science, operations research, statistics, applied mathematics, econometrics, or a related quantitative field AND 4 or more years of experience in business analytics, data science, software development, data modeling and/or data engineering work OR Master's Degree in Computer Science, Math, Software is acceptable
* 10 or more years of programming experience with command in at least two or more of the following programming languages: SQL, Python, Java, R or Spark
* Expert proficiency in SQL; experience with Oracle, PostgreSQL, MySQL, or Microsoft SQL Server
* 10 or more years of experience using a combination of tools such as Azure Data Factory, Synapse, Data Explorer, App Insights, Power BI, and Databricks
* 3 or more years of experience using Azure CosmosDB and Azure Data Lake Storage
* Must be motivated, self\-driven, curious, and creative
* Proven ability to lead projects and teams with minimal guidance
* Must be skilled communicator, and demonstrate an ability to work with end users and business leaders
* Demonstrate the ability to support and complement the work of a diverse development and/or operations team
* Lead a collaborative, cross\-functional team, Active participation in sprint reviews
* Expert and a minimum of five year’s experience in the following domains: Data management, software engineering, I\&amp;O (infrastructure and operations)
**PREFERRED QUALIFICATIONS:**
* Knowledge of health care operations
* Exposure to agile/scrum
* Ability to work in a hybrid cloud environment consisting of on premise and public cloud infrastructure. An ideal candidate will have experience with one or more of the following skill sets
	+ Expert in Relational databases like Oracle, SQL server
	+ Expert in Optimizing and tuning SQL/Oracle queries, stored procedures and triggers
	+ Expert in Python (numpy, pandas, matplotlib etc) and Jupyter notebooks for exploratory data analysis, machine learning, and process automation
	+ Expert in areas of CI/CD, Continuous testing, and site reliability engineering.
	+ Expert in Microsoft Azure applications such as Azure Data Factory, Synapse, Purview, Databricks /Spark, Power BI, PowerApps.
	+ Expert in event streaming tools like NiFi, Kafka and Flink
	+ Expert in data processing tools, like Apache’s Sqoop, Spark and Hive
	+ Expert in Document or NoSQL datastores, particularly MongoDB
	+ Expert in Power BI data models using advanced Power Query and DAX
	+ Expert in in AI/ML Ops
* Interest and desire to contribute to emerging practices around DataOps (CI/CD, IaC, configuration management, etc.)
* Collaborate effectively with product management, program management, engineers, and stakeholders.
* Excellent analytical and critical thinking skills
* Ability to influence without authority and thrive in an ambiguous environment.
JOB INFO
Job Identification
114376
Organization
HealthPartners/GHI, HealthPartners Enterprise
Posting Date
01/07/2026, 10:08 AM
Locations
 8170 33rd Ave S \- Bloomington
Work Schedule
M\-F, 8\-5pm
Hours Per Week/FTE
40 hrs weekly / 1\.0 FTE
Job Shift
Day
Position Type
Full\-time regular
Job Category
Information Technology
Department
Health Informatics
Pay Range
$57\.76 \- $89\.53 hourly
Pay Range Statement
Compensation is based on the level and requirements of the role. Pay within our ranges may also be determined by education, experience, knowledge, skills, location, and abilities as well as internal equity. Hired candidates may be eligible to receive additional compensation based on role (e.g., shift differential, bonus, sales incentive, productivity pay, etc.).
Overtime Eligibility Status
Exempt
Worker Type
Employee</t>
        </is>
      </c>
    </row>
    <row r="86">
      <c r="A86" t="inlineStr">
        <is>
          <t>in-0f8dea88addd6827</t>
        </is>
      </c>
      <c r="B86" t="inlineStr">
        <is>
          <t>Data Engineer Senior</t>
        </is>
      </c>
      <c r="C86" t="inlineStr">
        <is>
          <t>Ashley Furniture Industries</t>
        </is>
      </c>
      <c r="D86" t="inlineStr">
        <is>
          <t>indeed</t>
        </is>
      </c>
      <c r="E86">
        <f>HYPERLINK("https://www.indeed.com/viewjob?jk=0f8dea88addd6827", "https://www.indeed.com/viewjob?jk=0f8dea88addd6827")</f>
        <v/>
      </c>
      <c r="F86">
        <f>HYPERLINK("https://tnl2.jometer.com/v2/job?jx=52qh1140e4688594a198bbeb143b03a297970AIAAKAAAAABQ&amp;jz=5zdam7da64a94152db2070f3431043acd961bAIAOMCAKAAAQAAAAAAFA&amp;utm_source=joveo_indeed&amp;sourceId=abc28bc6-48a8-4a69-bb29-b2f9092742d7", "https://tnl2.jometer.com/v2/job?jx=52qh1140e4688594a198bbeb143b03a297970AIAAKAAAAABQ&amp;jz=5zdam7da64a94152db2070f3431043acd961bAIAOMCAKAAAQAAAAAAFA&amp;utm_source=joveo_indeed&amp;sourceId=abc28bc6-48a8-4a69-bb29-b2f9092742d7")</f>
        <v/>
      </c>
      <c r="G86" t="inlineStr">
        <is>
          <t>Tampa, FL, US</t>
        </is>
      </c>
      <c r="H86" s="3" t="n">
        <v>46028</v>
      </c>
      <c r="I86" t="inlineStr">
        <is>
          <t>**Join The \#1 Furniture Company\-Join The \#1 Furniture Brand**
*Ashley Furniture Industries, Inc. is the largest manufacturer of furniture in the world. Established in 1945, Ashley offers one of the industry’s broadest product assortments to retail partners in 123 countries.*
**Summary**
#### **Data Pipeline Development**
* Design, develop, and maintain robust ETL/ELT pipelines for real\-time and batch data processing
* Build automated data ingestion workflows from various sources including APIs, databases, flat files, and streaming platforms
* Implement data transformation logic to cleanse, validate, and enrich raw data
* Optimize pipeline performance for high\-volume data processing
* Develop monitoring and alerting systems for pipeline health and data quality
#### **Infrastructure \&amp; Architecture**
* Design and implement scalable data warehouse and data lake architectures
* Build and maintain cloud\-based data storage solutions using modern platforms (AWS, Azure, GCP)
* Implement data partitioning, indexing, and compression strategies for optimal performance
* Design disaster recovery and backup strategies for critical data systems
* Evaluate and integrate new technologies to improve data infrastructure capabilities
#### **Data Management \&amp; Governance**
* Design, Develop and Maintain Data Models
* Implement data quality frameworks and validation rules
* Establish data lineage tracking and metadata management systems
* Ensure compliance with data privacy regulations (GDPR, CCPA, etc.)
* Develop and maintain data documentation and schema definitions
* Implement security measures including encryption, access controls, and audit logging
#### **Collaboration \&amp; Support**
* Partner with data scientists, analysts, and business stakeholders to understand requirements
* Provide technical guidance on data architecture and best practices
* Support ad\-hoc data requests and troubleshoot data\-related issues
* Mentor junior team members and participate in code reviews
* Collaborate with DevOps teams to implement CI/CD practices for data workflows
#### **Performance \&amp; Optimization**
* Monitor system performance and identify bottlenecks in data processing
* Optimize database queries and data models for improved efficiency
* Implement caching strategies and data compression techniques
* Conduct capacity planning for growing data volumes
* Troubleshoot and resolve production data issues
**Apply today and find your home at Ashley!**
**Benefits We Offer**
* Health, Dental, Vision, Employee Assistance Program
* Paid Vacation, Holidays, and Your Birthday off
* Generous Employee Discount on home furnishings
* Professional Development Opportunities
* Ashley Wellness Centers (location specific) and Medical Tourism
* Telehealth
* 401(k) and Profit Sharing
* Life Insurance
**Our Core Values**
* Honesty \&amp; Integrity
* Passion, Drive, Discipline
* Continuous Improvement/Operational Excellence
* Dirty Fingernail
* Growth Focused
To learn more about Ashley Furniture, our community engagement programs, environmental stewardship, and our core values, please visit our Corporate Social Responsibility information page:
Corporate Social Responsibility
*We are an equal opportunity employer and provide a drug\-free working environment. While Ashley appreciates the interest of all candidates only those meeting specific position requirements may be contacted. Principals Only.*</t>
        </is>
      </c>
    </row>
    <row r="87">
      <c r="A87" t="inlineStr">
        <is>
          <t>in-e4512965dd60df50</t>
        </is>
      </c>
      <c r="B87" t="inlineStr">
        <is>
          <t>Data Analytics Engineer</t>
        </is>
      </c>
      <c r="C87" t="inlineStr">
        <is>
          <t>Liberty Mutual Insurance</t>
        </is>
      </c>
      <c r="D87" t="inlineStr">
        <is>
          <t>indeed</t>
        </is>
      </c>
      <c r="E87">
        <f>HYPERLINK("https://www.indeed.com/viewjob?jk=e4512965dd60df50", "https://www.indeed.com/viewjob?jk=e4512965dd60df50")</f>
        <v/>
      </c>
      <c r="F87">
        <f>HYPERLINK("https://searchjobs.libertymutualgroup.com/careers/job/618514276077?microsite=libertymutual.com&amp;domain=libertymutual.com", "https://searchjobs.libertymutualgroup.com/careers/job/618514276077?microsite=libertymutual.com&amp;domain=libertymutual.com")</f>
        <v/>
      </c>
      <c r="G87" t="inlineStr">
        <is>
          <t>Remote, US</t>
        </is>
      </c>
      <c r="H87" s="3" t="n">
        <v>46028</v>
      </c>
      <c r="I87" t="inlineStr">
        <is>
          <t>**Description**If you are passionate about data engineering and want an opportunity to work with the latest technologies, then Modeling Data Solutions has the position for you.
Modeling Data Solutions is seeking an experienced data analytics engineer to join its personal lines property team. This is an exciting opportunity to join the US Data Science Infrastructure department helping to support creating cutting edge pricing programs. You will play a critical role in designing and developing the data solutions needed for research and development as well as providing front line data support in launching new products into market. You will collaborate with multiple stakeholders including data scientists and product analysts to gather requirements, design, and implement robust data solutions.
 **\*\*This is a ranged posting, level offered will be based on skills and experience at manager discretion.\*\***
 **\*\*This role may have in\-office requirements depending on candidate location.\*\***
 **Responsibilities**
* Design, develop, and optimize data pipelines and ETL processes to ensure high\-quality data is available for analysis.
* Analyze complex datasets to identify trends, patterns, and actionable insights that drive business performance.
* Implement data quality checks and governance best practices to ensure data accuracy and reliability.
* Utilize python, Spark, and SQL queries to extract, transform, and analyze data from various sources.
* Work closely with cross\-functional teams to understand their analytical needs and provide tailored solutions that meet business objectives.
* Stay current with industry trends, emerging tools, and best practices in data analytics and engineering to continuously enhance analytical capabilities.
**Qualifications*** Strong written and oral communication skills required
* Bachelor\`s Degree in Computer Science, Computer Engineering, or related discipline preferred
* Master\`s in same or related disciplines strongly preferred
* 3\-5 years experience in coding for data management, data warehousing, or other data environments, including, but not limited to, working in Python, SQL, ETL, Spark, Snowflake.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88">
      <c r="A88" t="inlineStr">
        <is>
          <t>in-88011631a945b133</t>
        </is>
      </c>
      <c r="B88" t="inlineStr">
        <is>
          <t>Data Analytics Engineer</t>
        </is>
      </c>
      <c r="C88" t="inlineStr">
        <is>
          <t>Liberty Mutual Insurance</t>
        </is>
      </c>
      <c r="D88" t="inlineStr">
        <is>
          <t>indeed</t>
        </is>
      </c>
      <c r="E88">
        <f>HYPERLINK("https://www.indeed.com/viewjob?jk=88011631a945b133", "https://www.indeed.com/viewjob?jk=88011631a945b133")</f>
        <v/>
      </c>
      <c r="F88">
        <f>HYPERLINK("https://searchjobs.libertymutualgroup.com/careers/job/618514276077?microsite=libertymutual.com&amp;domain=libertymutual.com", "https://searchjobs.libertymutualgroup.com/careers/job/618514276077?microsite=libertymutual.com&amp;domain=libertymutual.com")</f>
        <v/>
      </c>
      <c r="G88" t="inlineStr">
        <is>
          <t>Boston, MA, US</t>
        </is>
      </c>
      <c r="H88" s="3" t="n">
        <v>46028</v>
      </c>
      <c r="I88" t="inlineStr">
        <is>
          <t>**Description**If you are passionate about data engineering and want an opportunity to work with the latest technologies, then Modeling Data Solutions has the position for you.
Modeling Data Solutions is seeking an experienced data analytics engineer to join its personal lines property team. This is an exciting opportunity to join the US Data Science Infrastructure department helping to support creating cutting edge pricing programs. You will play a critical role in designing and developing the data solutions needed for research and development as well as providing front line data support in launching new products into market. You will collaborate with multiple stakeholders including data scientists and product analysts to gather requirements, design, and implement robust data solutions.
 **\*\*This is a ranged posting, level offered will be based on skills and experience at manager discretion.\*\***
 **\*\*This role may have in\-office requirements depending on candidate location.\*\***
 **Responsibilities**
* Design, develop, and optimize data pipelines and ETL processes to ensure high\-quality data is available for analysis.
* Analyze complex datasets to identify trends, patterns, and actionable insights that drive business performance.
* Implement data quality checks and governance best practices to ensure data accuracy and reliability.
* Utilize python, Spark, and SQL queries to extract, transform, and analyze data from various sources.
* Work closely with cross\-functional teams to understand their analytical needs and provide tailored solutions that meet business objectives.
* Stay current with industry trends, emerging tools, and best practices in data analytics and engineering to continuously enhance analytical capabilities.
**Qualifications*** Strong written and oral communication skills required
* Bachelor\`s Degree in Computer Science, Computer Engineering, or related discipline preferred
* Master\`s in same or related disciplines strongly preferred
* 3\-5 years experience in coding for data management, data warehousing, or other data environments, including, but not limited to, working in Python, SQL, ETL, Spark, Snowflake.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89">
      <c r="A89" t="inlineStr">
        <is>
          <t>in-6bf5a75d9d8984b7</t>
        </is>
      </c>
      <c r="B89" t="inlineStr">
        <is>
          <t>Data Analytics Engineer</t>
        </is>
      </c>
      <c r="C89" t="inlineStr">
        <is>
          <t>Liberty Mutual Insurance</t>
        </is>
      </c>
      <c r="D89" t="inlineStr">
        <is>
          <t>indeed</t>
        </is>
      </c>
      <c r="E89">
        <f>HYPERLINK("https://www.indeed.com/viewjob?jk=6bf5a75d9d8984b7", "https://www.indeed.com/viewjob?jk=6bf5a75d9d8984b7")</f>
        <v/>
      </c>
      <c r="F89">
        <f>HYPERLINK("https://searchjobs.libertymutualgroup.com/careers/job/618514276077?microsite=libertymutual.com&amp;domain=libertymutual.com", "https://searchjobs.libertymutualgroup.com/careers/job/618514276077?microsite=libertymutual.com&amp;domain=libertymutual.com")</f>
        <v/>
      </c>
      <c r="G89" t="inlineStr">
        <is>
          <t>Portsmouth, NH, US</t>
        </is>
      </c>
      <c r="H89" s="3" t="n">
        <v>46028</v>
      </c>
      <c r="I89" t="inlineStr">
        <is>
          <t>**Description**If you are passionate about data engineering and want an opportunity to work with the latest technologies, then Modeling Data Solutions has the position for you.
Modeling Data Solutions is seeking an experienced data analytics engineer to join its personal lines property team. This is an exciting opportunity to join the US Data Science Infrastructure department helping to support creating cutting edge pricing programs. You will play a critical role in designing and developing the data solutions needed for research and development as well as providing front line data support in launching new products into market. You will collaborate with multiple stakeholders including data scientists and product analysts to gather requirements, design, and implement robust data solutions.
 **\*\*This is a ranged posting, level offered will be based on skills and experience at manager discretion.\*\***
 **\*\*This role may have in\-office requirements depending on candidate location.\*\***
 **Responsibilities**
* Design, develop, and optimize data pipelines and ETL processes to ensure high\-quality data is available for analysis.
* Analyze complex datasets to identify trends, patterns, and actionable insights that drive business performance.
* Implement data quality checks and governance best practices to ensure data accuracy and reliability.
* Utilize python, Spark, and SQL queries to extract, transform, and analyze data from various sources.
* Work closely with cross\-functional teams to understand their analytical needs and provide tailored solutions that meet business objectives.
* Stay current with industry trends, emerging tools, and best practices in data analytics and engineering to continuously enhance analytical capabilities.
**Qualifications*** Strong written and oral communication skills required
* Bachelor\`s Degree in Computer Science, Computer Engineering, or related discipline preferred
* Master\`s in same or related disciplines strongly preferred
* 3\-5 years experience in coding for data management, data warehousing, or other data environments, including, but not limited to, working in Python, SQL, ETL, Spark, Snowflake.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90">
      <c r="A90" t="inlineStr">
        <is>
          <t>in-814fbd3445ea478e</t>
        </is>
      </c>
      <c r="B90" t="inlineStr">
        <is>
          <t>Data Analytics Engineer</t>
        </is>
      </c>
      <c r="C90" t="inlineStr">
        <is>
          <t>Liberty Mutual Insurance</t>
        </is>
      </c>
      <c r="D90" t="inlineStr">
        <is>
          <t>indeed</t>
        </is>
      </c>
      <c r="E90">
        <f>HYPERLINK("https://www.indeed.com/viewjob?jk=814fbd3445ea478e", "https://www.indeed.com/viewjob?jk=814fbd3445ea478e")</f>
        <v/>
      </c>
      <c r="F90">
        <f>HYPERLINK("https://searchjobs.libertymutualgroup.com/careers/job/618514276077?microsite=libertymutual.com&amp;domain=libertymutual.com", "https://searchjobs.libertymutualgroup.com/careers/job/618514276077?microsite=libertymutual.com&amp;domain=libertymutual.com")</f>
        <v/>
      </c>
      <c r="G90" t="inlineStr">
        <is>
          <t>Columbus, OH, US</t>
        </is>
      </c>
      <c r="H90" s="3" t="n">
        <v>46028</v>
      </c>
      <c r="I90" t="inlineStr">
        <is>
          <t>**Description**If you are passionate about data engineering and want an opportunity to work with the latest technologies, then Modeling Data Solutions has the position for you.
Modeling Data Solutions is seeking an experienced data analytics engineer to join its personal lines property team. This is an exciting opportunity to join the US Data Science Infrastructure department helping to support creating cutting edge pricing programs. You will play a critical role in designing and developing the data solutions needed for research and development as well as providing front line data support in launching new products into market. You will collaborate with multiple stakeholders including data scientists and product analysts to gather requirements, design, and implement robust data solutions.
 **\*\*This is a ranged posting, level offered will be based on skills and experience at manager discretion.\*\***
 **\*\*This role may have in\-office requirements depending on candidate location.\*\***
 **Responsibilities**
* Design, develop, and optimize data pipelines and ETL processes to ensure high\-quality data is available for analysis.
* Analyze complex datasets to identify trends, patterns, and actionable insights that drive business performance.
* Implement data quality checks and governance best practices to ensure data accuracy and reliability.
* Utilize python, Spark, and SQL queries to extract, transform, and analyze data from various sources.
* Work closely with cross\-functional teams to understand their analytical needs and provide tailored solutions that meet business objectives.
* Stay current with industry trends, emerging tools, and best practices in data analytics and engineering to continuously enhance analytical capabilities.
**Qualifications*** Strong written and oral communication skills required
* Bachelor\`s Degree in Computer Science, Computer Engineering, or related discipline preferred
* Master\`s in same or related disciplines strongly preferred
* 3\-5 years experience in coding for data management, data warehousing, or other data environments, including, but not limited to, working in Python, SQL, ETL, Spark, Snowflake.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91">
      <c r="A91" t="inlineStr">
        <is>
          <t>in-68563504f9806a80</t>
        </is>
      </c>
      <c r="B91" t="inlineStr">
        <is>
          <t>Data Analytics Engineer</t>
        </is>
      </c>
      <c r="C91" t="inlineStr">
        <is>
          <t>Liberty Mutual Insurance</t>
        </is>
      </c>
      <c r="D91" t="inlineStr">
        <is>
          <t>indeed</t>
        </is>
      </c>
      <c r="E91">
        <f>HYPERLINK("https://www.indeed.com/viewjob?jk=68563504f9806a80", "https://www.indeed.com/viewjob?jk=68563504f9806a80")</f>
        <v/>
      </c>
      <c r="F91">
        <f>HYPERLINK("https://searchjobs.libertymutualgroup.com/careers/job/618514276077?microsite=libertymutual.com&amp;domain=libertymutual.com", "https://searchjobs.libertymutualgroup.com/careers/job/618514276077?microsite=libertymutual.com&amp;domain=libertymutual.com")</f>
        <v/>
      </c>
      <c r="G91" t="inlineStr">
        <is>
          <t>Seattle, WA, US</t>
        </is>
      </c>
      <c r="H91" s="3" t="n">
        <v>46028</v>
      </c>
      <c r="I91" t="inlineStr">
        <is>
          <t>**Description**If you are passionate about data engineering and want an opportunity to work with the latest technologies, then Modeling Data Solutions has the position for you.
Modeling Data Solutions is seeking an experienced data analytics engineer to join its personal lines property team. This is an exciting opportunity to join the US Data Science Infrastructure department helping to support creating cutting edge pricing programs. You will play a critical role in designing and developing the data solutions needed for research and development as well as providing front line data support in launching new products into market. You will collaborate with multiple stakeholders including data scientists and product analysts to gather requirements, design, and implement robust data solutions.
 **\*\*This is a ranged posting, level offered will be based on skills and experience at manager discretion.\*\***
 **\*\*This role may have in\-office requirements depending on candidate location.\*\***
 **Responsibilities**
* Design, develop, and optimize data pipelines and ETL processes to ensure high\-quality data is available for analysis.
* Analyze complex datasets to identify trends, patterns, and actionable insights that drive business performance.
* Implement data quality checks and governance best practices to ensure data accuracy and reliability.
* Utilize python, Spark, and SQL queries to extract, transform, and analyze data from various sources.
* Work closely with cross\-functional teams to understand their analytical needs and provide tailored solutions that meet business objectives.
* Stay current with industry trends, emerging tools, and best practices in data analytics and engineering to continuously enhance analytical capabilities.
**Qualifications*** Strong written and oral communication skills required
* Bachelor\`s Degree in Computer Science, Computer Engineering, or related discipline preferred
* Master\`s in same or related disciplines strongly preferred
* 3\-5 years experience in coding for data management, data warehousing, or other data environments, including, but not limited to, working in Python, SQL, ETL, Spark, Snowflake.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92">
      <c r="A92" t="inlineStr">
        <is>
          <t>in-b87051a87bff1c8a</t>
        </is>
      </c>
      <c r="B92" t="inlineStr">
        <is>
          <t>Data Engineer Skill Level 2</t>
        </is>
      </c>
      <c r="C92" t="inlineStr">
        <is>
          <t>Onyx Point, Inc.</t>
        </is>
      </c>
      <c r="D92" t="inlineStr">
        <is>
          <t>indeed</t>
        </is>
      </c>
      <c r="E92">
        <f>HYPERLINK("https://www.indeed.com/viewjob?jk=b87051a87bff1c8a", "https://www.indeed.com/viewjob?jk=b87051a87bff1c8a")</f>
        <v/>
      </c>
      <c r="F92">
        <f>HYPERLINK("https://onyxpointinc.catsone.com/careers/46015-General/jobs/16762913-Data-Engineer-Skill-Level-2/?ref=Indeed", "https://onyxpointinc.catsone.com/careers/46015-General/jobs/16762913-Data-Engineer-Skill-Level-2/?ref=Indeed")</f>
        <v/>
      </c>
      <c r="G92" t="inlineStr">
        <is>
          <t>Tysons, VA, US</t>
        </is>
      </c>
      <c r="H92" s="3" t="n">
        <v>46028</v>
      </c>
      <c r="I92" t="inlineStr">
        <is>
          <t>**TO BE CONSIDERED FOR THIS POSITION** **YOU MUST CURRENTLY HAVE AN ACTIVE****TS/SCI WITH POLYGRAPH** **SECURITY CLEARANCE WITH THE FEDERAL GOVERNMENT. (U.S. CITIZENSHIP REQUIRED).**  
**What you’ll do:**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Active TS/SCI with poly required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Experience implementing data pipelines in the Cloudera Data Platform environment is highly preferred.
* Strong communication skills, with the ability to clearly convey complex technical concepts
**Compensation:**  
We are committed to providing fair and competitive compensation. The salary range for our positions vary depending on accepted contractual position skill level. These salaries fall within the range of $78,000 to $275,000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**Additional Perks:**
* Flexible work arrangements, including remote work options
* Flexible Spending Accounts (FSAs)
* Employee referral programs
* Bonus opportunities
* Technology allowance
* A diverse, inclusive, and supportive workplace culture</t>
        </is>
      </c>
    </row>
    <row r="93">
      <c r="A93" t="inlineStr">
        <is>
          <t>in-148cd3c583242de8</t>
        </is>
      </c>
      <c r="B93" t="inlineStr">
        <is>
          <t>Data Engineer Skill Level 3</t>
        </is>
      </c>
      <c r="C93" t="inlineStr">
        <is>
          <t>Onyx Point, Inc.</t>
        </is>
      </c>
      <c r="D93" t="inlineStr">
        <is>
          <t>indeed</t>
        </is>
      </c>
      <c r="E93">
        <f>HYPERLINK("https://www.indeed.com/viewjob?jk=148cd3c583242de8", "https://www.indeed.com/viewjob?jk=148cd3c583242de8")</f>
        <v/>
      </c>
      <c r="F93">
        <f>HYPERLINK("https://onyxpointinc.catsone.com/careers/46015-General/jobs/16762910-Data-Engineer-Skill-Level-3/?ref=Indeed", "https://onyxpointinc.catsone.com/careers/46015-General/jobs/16762910-Data-Engineer-Skill-Level-3/?ref=Indeed")</f>
        <v/>
      </c>
      <c r="G93" t="inlineStr">
        <is>
          <t>Tysons, VA, US</t>
        </is>
      </c>
      <c r="H93" s="3" t="n">
        <v>46028</v>
      </c>
      <c r="I93" t="inlineStr">
        <is>
          <t>**TO BE CONSIDERED FOR THIS POSITION** **YOU MUST CURRENTLY HAVE AN ACTIVE****TS/SCI WITH POLYGRAPH** **SECURITY CLEARANCE WITH THE FEDERAL GOVERNMENT. (U.S. CITIZENSHIP REQUIRED).**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7 years experience
* Bachelor's Degree in Computer Science, Information Technology Management or Engineering, or other comparable degree or experience
* Active TS/SCI with the ability to maintain a CI polygraph clearance required
* Experience in Data/ML engineering
* Strong Experience with ETL, data labeling, and data preparation
* Experience with one or more of the following technologies: Cloudera, DataBricks, Snowflake, NiFi, Python, SQL, Kafka
* Strong experience designing, developing, and deploying data solutions in classified AWS cloud environments up to IL6\+
* Strong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**Compensation:**  
We are committed to providing fair and competitive compensation. The salary range for our positions vary depending on accepted contractual position skill level. These salaries fall within the range of $78,000 to $275,000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**Additional Perks:**
* Flexible work arrangements, including remote work options
* Flexible Spending Accounts (FSAs)
* Employee referral programs
* Bonus opportunities
* Technology allowance
* A diverse, inclusive, and supportive workplace culture</t>
        </is>
      </c>
    </row>
    <row r="94">
      <c r="A94" t="inlineStr">
        <is>
          <t>in-ad5baa642835745f</t>
        </is>
      </c>
      <c r="B94" t="inlineStr">
        <is>
          <t>Senior Associate, Actuarial Data Engineer/Cloud Architect</t>
        </is>
      </c>
      <c r="C94" t="inlineStr">
        <is>
          <t>New York Life</t>
        </is>
      </c>
      <c r="D94" t="inlineStr">
        <is>
          <t>indeed</t>
        </is>
      </c>
      <c r="E94">
        <f>HYPERLINK("https://www.indeed.com/viewjob?jk=ad5baa642835745f", "https://www.indeed.com/viewjob?jk=ad5baa642835745f")</f>
        <v/>
      </c>
      <c r="F94">
        <f>HYPERLINK("https://careers.newyorklife.com/careers/job/39361529", "https://careers.newyorklife.com/careers/job/39361529")</f>
        <v/>
      </c>
      <c r="G94" t="inlineStr">
        <is>
          <t>New York, NY, US</t>
        </is>
      </c>
      <c r="H94" s="3" t="n">
        <v>46009</v>
      </c>
      <c r="I94" t="inlineStr">
        <is>
          <t>Job Description
#### **Requisition ID**
93095#### **Department**
Corporate Finance#### **Job Function**
Corporate Finance#### **Location**
Remote,New York,United States#### **Role Location Designation**
Fully Remote **Location Designation:** Fully Remote
 **This position is fully remote**
**Business Overview:**  
The Actuarial Data \&amp; Analytics (DnA) team within New York Life’s Actuarial Services division is seeking a highly skilled and versatile data engineer/architect to design, build, and optimize our next\-generation actuarial data platform in AWS.  
This is a hands\-on individual contributor role for someone who thrives at the intersection of data engineering, financial analytics, and AI innovation. You’ll be responsible for building robust, scalable data pipelines, developing automation frameworks, and improving data architecture that supports the company’s financial reporting and actuarial modeling functions.  
If you’re passionate about solving complex data challenges, modernizing legacy systems, and creating intelligent data\-driven solutions, this role offers both autonomy and impact.  
**What You'll Do:**  
Data Engineering \&amp; Architecture  
* Design and implement cloud\-native data pipelines in AWS using tools such as Glue, Lambda, Step Functions, Redshift, and S3\.
* Build and optimize ETL/ELT processes that deliver clean, reliable data to actuarial, finance, and analytics teams.
* Develop efficient data models, transformations, and APIs using Python, SQL, and PySpark.
* Modernize existing on\-premises processes into scalable AWS architecture.
* Implement and maintain best practices for data governance, lineage, and performance tuning.
Automation \&amp; Innovation  
* Automate data ingestion, transformation, and validation workflows using Python and AWS services.
* Build AI\-driven and analytical tools to enhance financial forecasting, validation, and decision support.
* Experiment with Agentic AI and intelligent orchestration to streamline complex actuarial data flows.
* Continuously improve performance, resilience, and maintainability of data systems.
Collaboration \&amp; Delivery  
* Partner closely with actuarial and finance teams to understand data requirements and deliver timely, high\-quality solutions.
* Work with cloud infrastructure and DevOps teams to integrate solutions into CI/CD pipelines (Terraform, CodeBuild, GitHub).
* Document data flows, architecture, and technical processes to enable transparency and reusability.
* Support production data operations, troubleshooting, and optimization efforts.
**What You'll Bring:**  
Education \&amp; Experience  
* Bachelor degree in Computer Science, Data Engineering, or related field.
* 7\+ years of experience in data engineering, architecture, or analytics, ideally in financial or actuarial environments.
* Proven success as a hands\-on technical expertise building and maintaining complex ETL systems and cloud data platforms.
Technical Expertise  
* Expert\-level skills with AWS (S3, Redshift, Glue, Lambda, EC2, Step Functions).
* Proficiency in Python, SQL, and ETL pipeline design.
* Experience with data warehousing, dimensional modeling, and performance tuning.
* Hands\-on experience with Terraform, Docker, and CI/CD integration.
* Familiarity with actuarial or financial data systems (e.g., AXIS, Prophet) is a plus.
* Exposure to AI/ML\-based automation or data quality frameworks preferred.
Preferred Certifications  
* AWS Certified Data Analytics – Specialty or Solutions Architect – Associate.
\_\_\_\_\_\_\_\_\_\_\_\_\_\_\_\_\_\_\_\_\_\_\_\_\_\_\_\_\_\_\_\_\_\_\_\_\_\_\_\_  
Core Competencies  
* Strong analytical and problem\-solving mindset.
* Proactive and self\-directed; takes ownership of technical outcomes.
* Excellent communication and documentation skills.
* Collaborative and curious, eager to learn business context and continuously improve.
* Passion for innovation, automation, and high\-quality engineering practices.
\#LI\-VL1  
\#LI\-REMOTE
**Pay Transparency**
Salary Range: $108,500\-$155,500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work.Click hereto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93095</t>
        </is>
      </c>
    </row>
    <row r="95">
      <c r="A95" t="inlineStr">
        <is>
          <t>in-40475bd023e5173c</t>
        </is>
      </c>
      <c r="B95" t="inlineStr">
        <is>
          <t>Data Engineer</t>
        </is>
      </c>
      <c r="C95" t="inlineStr">
        <is>
          <t>Liberty Mutual Insurance</t>
        </is>
      </c>
      <c r="D95" t="inlineStr">
        <is>
          <t>indeed</t>
        </is>
      </c>
      <c r="E95">
        <f>HYPERLINK("https://www.indeed.com/viewjob?jk=40475bd023e5173c", "https://www.indeed.com/viewjob?jk=40475bd023e5173c")</f>
        <v/>
      </c>
      <c r="F95">
        <f>HYPERLINK("https://searchjobs.libertymutualgroup.com/careers/job/618514566891?microsite=libertymutual.com&amp;domain=libertymutual.com", "https://searchjobs.libertymutualgroup.com/careers/job/618514566891?microsite=libertymutual.com&amp;domain=libertymutual.com")</f>
        <v/>
      </c>
      <c r="G95" t="inlineStr">
        <is>
          <t>Indianapolis, IN, US</t>
        </is>
      </c>
      <c r="H95" s="3" t="n">
        <v>46002</v>
      </c>
      <c r="I95" t="inlineStr">
        <is>
          <t>**Description**Join USRM Data Analytics and Engineering at Liberty Mutual as a Data Engineer. You’ll build cloud data warehouse solutions that deliver premium and loss data for regulatory reporting and business decisions. Work on a distributed Agile team using Snowflake, Informatica IDMC, SQL, Control M, Python, AWS, and modern tooling like GitHub Copilot.
Under general supervision, responsible for the analysis, development, and execution of data solutions of moderate complexity in order to manage the information lifecycle needs of an organization. Collects, integrates and analyzes organizational data with the purpose of drawing conclusions from that information. Develops, constructs, tests, and maintains data architectures for data platform, database, analytical/reporting, or data science systems. Establishes and builds data systems including providing standards, policies, practice, procedures, governance and quality assurance for data deliverables. Recommends methods to improve data reliability, quality, and efficiency.
 **Responsibilities**
Designs and develops low to moderately complex programs and tools to support ingestion, curation and provisioning of enterprise data to achieve analytics or reporting. Builds and designs data models and data architecture of low to moderate complexity that improve accessibility, efficiency, governance and quality of data. Makes recommendations for how to improve data. Provides successful deployment and provisioning of data solutions to production or other required environments Identifies possible process improvements that address technology gaps within a single business process of moderate complexity. Builds proficient knowledge of technology enablers. Analyzes and prepare moderate to complex technology enabled recommendations to address gaps within a single business process. Performs other duties and projects as assigned.
 **Key Responsibilities:**
* Design, develop, and maintain pipelines on Snowflake and Informatica IDMC.
* Write and optimize SQL, Python, for data processing and integrations.
* Work with AWS (S3 and related services) for storage and data movement.
* Implement automated tests (unit, integration, system, regression) and support test tooling.
* Improve CI/CD, deployment processes, and monitoring for data workflows.
* Troubleshoot data issues, perform root cause analysis, and implement fixes.
* Produce technical documentation and support data quality and governance.
 **Qualifications****Required Qualifications:**
* Bachelor’s or master’s degree in a technical or business field, or equivalent experience.
* Minimum of 3 years' software engineering experience
* Experience with Snowflake and Informatica IDMC or similar ETL tools.
* Strong SQL skills and experience with Python and/or Java.
* Hands\-on experience with AWS data services.
* Familiarity with automated testing and CI/CD practices.
* Experience working in Agile teams with cross\-functional partners.
* Self\-starter who can prioritize and deliver under sprint cadence.
 **Preferred:**
* Knowledge of cloud or hybrid data architectures.
* Background in data warehousing or backend data solutions.
* Familiarity with insurance products or regulatory reporting.
Interest in AI\-assisted development tools. Working at Liberty Mutual Liberty Mutual is a Fortune 100 company focused on customer\-centered digital transformation. You’ll join distributed, Agile teams that balance delivery with learning and career growth. The company offers competitive compensation and benefits packages, including health and retirement plans, paid time off, and learning and development programs. Expect opportunities for cross\-team collaboration, exposure to enterprise\-scale data
challenges, and support for professional development and mobility.
If this aligns with your experience and goals, I’d like to discuss how you can contribute to the team.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96">
      <c r="A96" t="inlineStr">
        <is>
          <t>in-cc688b65f131a686</t>
        </is>
      </c>
      <c r="B96" t="inlineStr">
        <is>
          <t>Data Engineer</t>
        </is>
      </c>
      <c r="C96" t="inlineStr">
        <is>
          <t>Liberty Mutual Insurance</t>
        </is>
      </c>
      <c r="D96" t="inlineStr">
        <is>
          <t>indeed</t>
        </is>
      </c>
      <c r="E96">
        <f>HYPERLINK("https://www.indeed.com/viewjob?jk=cc688b65f131a686", "https://www.indeed.com/viewjob?jk=cc688b65f131a686")</f>
        <v/>
      </c>
      <c r="F96">
        <f>HYPERLINK("https://searchjobs.libertymutualgroup.com/careers/job/618514566891?microsite=libertymutual.com&amp;domain=libertymutual.com", "https://searchjobs.libertymutualgroup.com/careers/job/618514566891?microsite=libertymutual.com&amp;domain=libertymutual.com")</f>
        <v/>
      </c>
      <c r="G96" t="inlineStr">
        <is>
          <t>Columbus, OH, US</t>
        </is>
      </c>
      <c r="H96" s="3" t="n">
        <v>46002</v>
      </c>
      <c r="I96" t="inlineStr">
        <is>
          <t>**Description**Join USRM Data Analytics and Engineering at Liberty Mutual as a Data Engineer. You’ll build cloud data warehouse solutions that deliver premium and loss data for regulatory reporting and business decisions. Work on a distributed Agile team using Snowflake, Informatica IDMC, SQL, Control M, Python, AWS, and modern tooling like GitHub Copilot.
Under general supervision, responsible for the analysis, development, and execution of data solutions of moderate complexity in order to manage the information lifecycle needs of an organization. Collects, integrates and analyzes organizational data with the purpose of drawing conclusions from that information. Develops, constructs, tests, and maintains data architectures for data platform, database, analytical/reporting, or data science systems. Establishes and builds data systems including providing standards, policies, practice, procedures, governance and quality assurance for data deliverables. Recommends methods to improve data reliability, quality, and efficiency.
 **Responsibilities**
Designs and develops low to moderately complex programs and tools to support ingestion, curation and provisioning of enterprise data to achieve analytics or reporting. Builds and designs data models and data architecture of low to moderate complexity that improve accessibility, efficiency, governance and quality of data. Makes recommendations for how to improve data. Provides successful deployment and provisioning of data solutions to production or other required environments Identifies possible process improvements that address technology gaps within a single business process of moderate complexity. Builds proficient knowledge of technology enablers. Analyzes and prepare moderate to complex technology enabled recommendations to address gaps within a single business process. Performs other duties and projects as assigned.
 **Key Responsibilities:**
* Design, develop, and maintain pipelines on Snowflake and Informatica IDMC.
* Write and optimize SQL, Python, for data processing and integrations.
* Work with AWS (S3 and related services) for storage and data movement.
* Implement automated tests (unit, integration, system, regression) and support test tooling.
* Improve CI/CD, deployment processes, and monitoring for data workflows.
* Troubleshoot data issues, perform root cause analysis, and implement fixes.
* Produce technical documentation and support data quality and governance.
 **Qualifications****Required Qualifications:**
* Bachelor’s or master’s degree in a technical or business field, or equivalent experience.
* Minimum of 3 years' software engineering experience
* Experience with Snowflake and Informatica IDMC or similar ETL tools.
* Strong SQL skills and experience with Python and/or Java.
* Hands\-on experience with AWS data services.
* Familiarity with automated testing and CI/CD practices.
* Experience working in Agile teams with cross\-functional partners.
* Self\-starter who can prioritize and deliver under sprint cadence.
 **Preferred:**
* Knowledge of cloud or hybrid data architectures.
* Background in data warehousing or backend data solutions.
* Familiarity with insurance products or regulatory reporting.
Interest in AI\-assisted development tools. Working at Liberty Mutual Liberty Mutual is a Fortune 100 company focused on customer\-centered digital transformation. You’ll join distributed, Agile teams that balance delivery with learning and career growth. The company offers competitive compensation and benefits packages, including health and retirement plans, paid time off, and learning and development programs. Expect opportunities for cross\-team collaboration, exposure to enterprise\-scale data
challenges, and support for professional development and mobility.
If this aligns with your experience and goals, I’d like to discuss how you can contribute to the team.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97">
      <c r="A97" t="inlineStr">
        <is>
          <t>in-7c8a16c7f78e1690</t>
        </is>
      </c>
      <c r="B97" t="inlineStr">
        <is>
          <t>Data Engineer</t>
        </is>
      </c>
      <c r="C97" t="inlineStr">
        <is>
          <t>Liberty Mutual Insurance</t>
        </is>
      </c>
      <c r="D97" t="inlineStr">
        <is>
          <t>indeed</t>
        </is>
      </c>
      <c r="E97">
        <f>HYPERLINK("https://www.indeed.com/viewjob?jk=7c8a16c7f78e1690", "https://www.indeed.com/viewjob?jk=7c8a16c7f78e1690")</f>
        <v/>
      </c>
      <c r="F97">
        <f>HYPERLINK("https://searchjobs.libertymutualgroup.com/careers/job/618514566891?microsite=libertymutual.com&amp;domain=libertymutual.com", "https://searchjobs.libertymutualgroup.com/careers/job/618514566891?microsite=libertymutual.com&amp;domain=libertymutual.com")</f>
        <v/>
      </c>
      <c r="G97" t="inlineStr">
        <is>
          <t>Portsmouth, NH, US</t>
        </is>
      </c>
      <c r="H97" s="3" t="n">
        <v>46002</v>
      </c>
      <c r="I97" t="inlineStr">
        <is>
          <t>**Description**Join USRM Data Analytics and Engineering at Liberty Mutual as a Data Engineer. You’ll build cloud data warehouse solutions that deliver premium and loss data for regulatory reporting and business decisions. Work on a distributed Agile team using Snowflake, Informatica IDMC, SQL, Control M, Python, AWS, and modern tooling like GitHub Copilot.
Under general supervision, responsible for the analysis, development, and execution of data solutions of moderate complexity in order to manage the information lifecycle needs of an organization. Collects, integrates and analyzes organizational data with the purpose of drawing conclusions from that information. Develops, constructs, tests, and maintains data architectures for data platform, database, analytical/reporting, or data science systems. Establishes and builds data systems including providing standards, policies, practice, procedures, governance and quality assurance for data deliverables. Recommends methods to improve data reliability, quality, and efficiency.
 **Responsibilities**
Designs and develops low to moderately complex programs and tools to support ingestion, curation and provisioning of enterprise data to achieve analytics or reporting. Builds and designs data models and data architecture of low to moderate complexity that improve accessibility, efficiency, governance and quality of data. Makes recommendations for how to improve data. Provides successful deployment and provisioning of data solutions to production or other required environments Identifies possible process improvements that address technology gaps within a single business process of moderate complexity. Builds proficient knowledge of technology enablers. Analyzes and prepare moderate to complex technology enabled recommendations to address gaps within a single business process. Performs other duties and projects as assigned.
 **Key Responsibilities:**
* Design, develop, and maintain pipelines on Snowflake and Informatica IDMC.
* Write and optimize SQL, Python, for data processing and integrations.
* Work with AWS (S3 and related services) for storage and data movement.
* Implement automated tests (unit, integration, system, regression) and support test tooling.
* Improve CI/CD, deployment processes, and monitoring for data workflows.
* Troubleshoot data issues, perform root cause analysis, and implement fixes.
* Produce technical documentation and support data quality and governance.
 **Qualifications****Required Qualifications:**
* Bachelor’s or master’s degree in a technical or business field, or equivalent experience.
* Minimum of 3 years' software engineering experience
* Experience with Snowflake and Informatica IDMC or similar ETL tools.
* Strong SQL skills and experience with Python and/or Java.
* Hands\-on experience with AWS data services.
* Familiarity with automated testing and CI/CD practices.
* Experience working in Agile teams with cross\-functional partners.
* Self\-starter who can prioritize and deliver under sprint cadence.
 **Preferred:**
* Knowledge of cloud or hybrid data architectures.
* Background in data warehousing or backend data solutions.
* Familiarity with insurance products or regulatory reporting.
Interest in AI\-assisted development tools. Working at Liberty Mutual Liberty Mutual is a Fortune 100 company focused on customer\-centered digital transformation. You’ll join distributed, Agile teams that balance delivery with learning and career growth. The company offers competitive compensation and benefits packages, including health and retirement plans, paid time off, and learning and development programs. Expect opportunities for cross\-team collaboration, exposure to enterprise\-scale data
challenges, and support for professional development and mobility.
If this aligns with your experience and goals, I’d like to discuss how you can contribute to the team.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98">
      <c r="A98" t="inlineStr">
        <is>
          <t>in-7c762091c691a22d</t>
        </is>
      </c>
      <c r="B98" t="inlineStr">
        <is>
          <t>Data Engineer</t>
        </is>
      </c>
      <c r="C98" t="inlineStr">
        <is>
          <t>Liberty Mutual Insurance</t>
        </is>
      </c>
      <c r="D98" t="inlineStr">
        <is>
          <t>indeed</t>
        </is>
      </c>
      <c r="E98">
        <f>HYPERLINK("https://www.indeed.com/viewjob?jk=7c762091c691a22d", "https://www.indeed.com/viewjob?jk=7c762091c691a22d")</f>
        <v/>
      </c>
      <c r="F98">
        <f>HYPERLINK("https://searchjobs.libertymutualgroup.com/careers/job/618514566891?microsite=libertymutual.com&amp;domain=libertymutual.com", "https://searchjobs.libertymutualgroup.com/careers/job/618514566891?microsite=libertymutual.com&amp;domain=libertymutual.com")</f>
        <v/>
      </c>
      <c r="G98" t="inlineStr">
        <is>
          <t>Plano, TX, US</t>
        </is>
      </c>
      <c r="H98" s="3" t="n">
        <v>46002</v>
      </c>
      <c r="I98" t="inlineStr">
        <is>
          <t>**Description**Join USRM Data Analytics and Engineering at Liberty Mutual as a Data Engineer. You’ll build cloud data warehouse solutions that deliver premium and loss data for regulatory reporting and business decisions. Work on a distributed Agile team using Snowflake, Informatica IDMC, SQL, Control M, Python, AWS, and modern tooling like GitHub Copilot.
Under general supervision, responsible for the analysis, development, and execution of data solutions of moderate complexity in order to manage the information lifecycle needs of an organization. Collects, integrates and analyzes organizational data with the purpose of drawing conclusions from that information. Develops, constructs, tests, and maintains data architectures for data platform, database, analytical/reporting, or data science systems. Establishes and builds data systems including providing standards, policies, practice, procedures, governance and quality assurance for data deliverables. Recommends methods to improve data reliability, quality, and efficiency.
 **Responsibilities**
Designs and develops low to moderately complex programs and tools to support ingestion, curation and provisioning of enterprise data to achieve analytics or reporting. Builds and designs data models and data architecture of low to moderate complexity that improve accessibility, efficiency, governance and quality of data. Makes recommendations for how to improve data. Provides successful deployment and provisioning of data solutions to production or other required environments Identifies possible process improvements that address technology gaps within a single business process of moderate complexity. Builds proficient knowledge of technology enablers. Analyzes and prepare moderate to complex technology enabled recommendations to address gaps within a single business process. Performs other duties and projects as assigned.
 **Key Responsibilities:**
* Design, develop, and maintain pipelines on Snowflake and Informatica IDMC.
* Write and optimize SQL, Python, for data processing and integrations.
* Work with AWS (S3 and related services) for storage and data movement.
* Implement automated tests (unit, integration, system, regression) and support test tooling.
* Improve CI/CD, deployment processes, and monitoring for data workflows.
* Troubleshoot data issues, perform root cause analysis, and implement fixes.
* Produce technical documentation and support data quality and governance.
 **Qualifications****Required Qualifications:**
* Bachelor’s or master’s degree in a technical or business field, or equivalent experience.
* Minimum of 3 years' software engineering experience
* Experience with Snowflake and Informatica IDMC or similar ETL tools.
* Strong SQL skills and experience with Python and/or Java.
* Hands\-on experience with AWS data services.
* Familiarity with automated testing and CI/CD practices.
* Experience working in Agile teams with cross\-functional partners.
* Self\-starter who can prioritize and deliver under sprint cadence.
 **Preferred:**
* Knowledge of cloud or hybrid data architectures.
* Background in data warehousing or backend data solutions.
* Familiarity with insurance products or regulatory reporting.
Interest in AI\-assisted development tools. Working at Liberty Mutual Liberty Mutual is a Fortune 100 company focused on customer\-centered digital transformation. You’ll join distributed, Agile teams that balance delivery with learning and career growth. The company offers competitive compensation and benefits packages, including health and retirement plans, paid time off, and learning and development programs. Expect opportunities for cross\-team collaboration, exposure to enterprise\-scale data
challenges, and support for professional development and mobility.
If this aligns with your experience and goals, I’d like to discuss how you can contribute to the team.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99">
      <c r="A99" t="inlineStr">
        <is>
          <t>in-c9c54ec0206ef27a</t>
        </is>
      </c>
      <c r="B99" t="inlineStr">
        <is>
          <t>Data Engineer</t>
        </is>
      </c>
      <c r="C99" t="inlineStr">
        <is>
          <t>Liberty Mutual Insurance</t>
        </is>
      </c>
      <c r="D99" t="inlineStr">
        <is>
          <t>indeed</t>
        </is>
      </c>
      <c r="E99">
        <f>HYPERLINK("https://www.indeed.com/viewjob?jk=c9c54ec0206ef27a", "https://www.indeed.com/viewjob?jk=c9c54ec0206ef27a")</f>
        <v/>
      </c>
      <c r="F99">
        <f>HYPERLINK("https://searchjobs.libertymutualgroup.com/careers/job/618514566891?microsite=libertymutual.com&amp;domain=libertymutual.com", "https://searchjobs.libertymutualgroup.com/careers/job/618514566891?microsite=libertymutual.com&amp;domain=libertymutual.com")</f>
        <v/>
      </c>
      <c r="G99" t="inlineStr">
        <is>
          <t>Boston, MA, US</t>
        </is>
      </c>
      <c r="H99" s="3" t="n">
        <v>46002</v>
      </c>
      <c r="I99" t="inlineStr">
        <is>
          <t>**Description**Join USRM Data Analytics and Engineering at Liberty Mutual as a Data Engineer. You’ll build cloud data warehouse solutions that deliver premium and loss data for regulatory reporting and business decisions. Work on a distributed Agile team using Snowflake, Informatica IDMC, SQL, Control M, Python, AWS, and modern tooling like GitHub Copilot.
Under general supervision, responsible for the analysis, development, and execution of data solutions of moderate complexity in order to manage the information lifecycle needs of an organization. Collects, integrates and analyzes organizational data with the purpose of drawing conclusions from that information. Develops, constructs, tests, and maintains data architectures for data platform, database, analytical/reporting, or data science systems. Establishes and builds data systems including providing standards, policies, practice, procedures, governance and quality assurance for data deliverables. Recommends methods to improve data reliability, quality, and efficiency.
 **Responsibilities**
Designs and develops low to moderately complex programs and tools to support ingestion, curation and provisioning of enterprise data to achieve analytics or reporting. Builds and designs data models and data architecture of low to moderate complexity that improve accessibility, efficiency, governance and quality of data. Makes recommendations for how to improve data. Provides successful deployment and provisioning of data solutions to production or other required environments Identifies possible process improvements that address technology gaps within a single business process of moderate complexity. Builds proficient knowledge of technology enablers. Analyzes and prepare moderate to complex technology enabled recommendations to address gaps within a single business process. Performs other duties and projects as assigned.
 **Key Responsibilities:**
* Design, develop, and maintain pipelines on Snowflake and Informatica IDMC.
* Write and optimize SQL, Python, for data processing and integrations.
* Work with AWS (S3 and related services) for storage and data movement.
* Implement automated tests (unit, integration, system, regression) and support test tooling.
* Improve CI/CD, deployment processes, and monitoring for data workflows.
* Troubleshoot data issues, perform root cause analysis, and implement fixes.
* Produce technical documentation and support data quality and governance.
 **Qualifications****Required Qualifications:**
* Bachelor’s or master’s degree in a technical or business field, or equivalent experience.
* Minimum of 3 years' software engineering experience
* Experience with Snowflake and Informatica IDMC or similar ETL tools.
* Strong SQL skills and experience with Python and/or Java.
* Hands\-on experience with AWS data services.
* Familiarity with automated testing and CI/CD practices.
* Experience working in Agile teams with cross\-functional partners.
* Self\-starter who can prioritize and deliver under sprint cadence.
 **Preferred:**
* Knowledge of cloud or hybrid data architectures.
* Background in data warehousing or backend data solutions.
* Familiarity with insurance products or regulatory reporting.
Interest in AI\-assisted development tools. Working at Liberty Mutual Liberty Mutual is a Fortune 100 company focused on customer\-centered digital transformation. You’ll join distributed, Agile teams that balance delivery with learning and career growth. The company offers competitive compensation and benefits packages, including health and retirement plans, paid time off, and learning and development programs. Expect opportunities for cross\-team collaboration, exposure to enterprise\-scale data
challenges, and support for professional development and mobility.
If this aligns with your experience and goals, I’d like to discuss how you can contribute to the team.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00">
      <c r="A100" t="inlineStr">
        <is>
          <t>in-31f29d56f965a4bd</t>
        </is>
      </c>
      <c r="B100" t="inlineStr">
        <is>
          <t>Data Engineer</t>
        </is>
      </c>
      <c r="C100" t="inlineStr">
        <is>
          <t>Amazon.com</t>
        </is>
      </c>
      <c r="D100" t="inlineStr">
        <is>
          <t>indeed</t>
        </is>
      </c>
      <c r="E100">
        <f>HYPERLINK("https://www.indeed.com/viewjob?jk=31f29d56f965a4bd", "https://www.indeed.com/viewjob?jk=31f29d56f965a4bd")</f>
        <v/>
      </c>
      <c r="F100">
        <f>HYPERLINK("https://www.amazon.jobs/jobs/3141339/data-engineer?cmpid=DA_INAD200785B", "https://www.amazon.jobs/jobs/3141339/data-engineer?cmpid=DA_INAD200785B")</f>
        <v/>
      </c>
      <c r="G100" t="inlineStr">
        <is>
          <t>San Francisco, CA, US</t>
        </is>
      </c>
      <c r="H100" s="3" t="n">
        <v>46001</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in-afa4e40c5f83f606</t>
        </is>
      </c>
      <c r="B101" t="inlineStr">
        <is>
          <t>Data Engineer</t>
        </is>
      </c>
      <c r="C101" t="inlineStr">
        <is>
          <t>Amazon.com</t>
        </is>
      </c>
      <c r="D101" t="inlineStr">
        <is>
          <t>indeed</t>
        </is>
      </c>
      <c r="E101">
        <f>HYPERLINK("https://www.indeed.com/viewjob?jk=afa4e40c5f83f606", "https://www.indeed.com/viewjob?jk=afa4e40c5f83f606")</f>
        <v/>
      </c>
      <c r="F101">
        <f>HYPERLINK("https://www.amazon.jobs/jobs/3141339/data-engineer?cmpid=DA_INAD200785B", "https://www.amazon.jobs/jobs/3141339/data-engineer?cmpid=DA_INAD200785B")</f>
        <v/>
      </c>
      <c r="G101" t="inlineStr">
        <is>
          <t>Seattle, WA, US</t>
        </is>
      </c>
      <c r="H101" s="3" t="n">
        <v>46001</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in-84ff9f526705fdec</t>
        </is>
      </c>
      <c r="B102" t="inlineStr">
        <is>
          <t>Data Engineer II, Global Risk &amp; Compliance Technology</t>
        </is>
      </c>
      <c r="C102" t="inlineStr">
        <is>
          <t>American Express</t>
        </is>
      </c>
      <c r="D102" t="inlineStr">
        <is>
          <t>indeed</t>
        </is>
      </c>
      <c r="E102">
        <f>HYPERLINK("https://www.indeed.com/viewjob?jk=84ff9f526705fdec", "https://www.indeed.com/viewjob?jk=84ff9f526705fdec")</f>
        <v/>
      </c>
      <c r="F102">
        <f>HYPERLINK("https://aexp.eightfold.ai/careers/job/39193544?hl=en&amp;utm_source=test123&amp;utm_medium=campaign123&amp;domain=aexp.com", "https://aexp.eightfold.ai/careers/job/39193544?hl=en&amp;utm_source=test123&amp;utm_medium=campaign123&amp;domain=aexp.com")</f>
        <v/>
      </c>
      <c r="G102" t="inlineStr">
        <is>
          <t>Phoenix, AZ, US</t>
        </is>
      </c>
      <c r="H102" s="3" t="n">
        <v>45998</v>
      </c>
      <c r="I102"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complete well\-being and many opportunities to learn new skills, develop as a leader, and grow your career.
From building next\-generation apps and microservices to using AI to help protect our franchise and customers from fraud, you could be doing ambitious work that brings our iconic, global brand into the future. As a part of our tech team, we could work together to bring ground\-breaking and diverse ideas to life that power our digital systems, services, products and platforms. If you love to work with APIs, contribute to open source, or use the newest technologies, we’ll support you with an open environment and learning culture.
**Join Team Amex and let’s lead the way together!**
The position of Data Engineer will be on a dynamic and growing team within the Global Risk \&amp; Compliance Technology (GRCT) organization at American Express.
* Evaluates data requirements and stories, documents them for seamless integration into existing architectures, and maintains data models to support business needs.
* Builds and enhances data pipelines and database designs to meet performance, scalability, and security requirements.
* Collaborates in design reviews and testing, and provides production environment support with guidance from peers and leaders.
* Operates data assets according to consistent standards, guidelines, and policies.
* Completes work reviews and fosters a collaborative learning environment.
* Communicates and collaborates with business and product teams to facilitate changes and implementation.
* Completes Big Data requirements by implementing basic partitioning and indexing solutions.
* Collaborates and co\-creates effectively with teams in product and the business to align technology initiatives with business objectives.
* GCP Expertise: Hands\-on experience with GCP services like BigQuery, Dataflow, Cloud Storage, Pub/Sub, Cloud Composer, and Cloud Functions.
* Programming Languages: Strong proficiency in Python and SQL for data processing and manipulation.
* ETL/ELT: Experience with ETL/ELT processes and data warehousing concepts.
* Data Modeling: Understanding of data modeling principles and techniques.
* Cloud Technologies: Knowledge of cloud computing concepts and standard processes.
* Problem\-Solving: Excellent analytical and problem\-solving skills.
Salary Range: $89,250\.00 to $150,250\.00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103">
      <c r="A103" t="inlineStr">
        <is>
          <t>in-f75ead075a1737e1</t>
        </is>
      </c>
      <c r="B103" t="inlineStr">
        <is>
          <t>Delivery Consultant - Data Engineer, Data and Machine Learning, WWPS US Federal</t>
        </is>
      </c>
      <c r="C103" t="inlineStr">
        <is>
          <t>Amazon Web Services</t>
        </is>
      </c>
      <c r="D103" t="inlineStr">
        <is>
          <t>indeed</t>
        </is>
      </c>
      <c r="E103">
        <f>HYPERLINK("https://www.indeed.com/viewjob?jk=f75ead075a1737e1", "https://www.indeed.com/viewjob?jk=f75ead075a1737e1")</f>
        <v/>
      </c>
      <c r="F103">
        <f>HYPERLINK("https://www.amazon.jobs/jobs/3134583/delivery-consultant--data-engineer-data-and-machine-learning-wwps-us-federal?cmpid=DA_INAD200785B", "https://www.amazon.jobs/jobs/3134583/delivery-consultant--data-engineer-data-and-machine-learning-wwps-us-federal?cmpid=DA_INAD200785B")</f>
        <v/>
      </c>
      <c r="G103" t="inlineStr">
        <is>
          <t>Herndon, VA, US</t>
        </is>
      </c>
      <c r="H103" s="3" t="n">
        <v>45991</v>
      </c>
      <c r="I103"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in-f87efb9c8e9bed22</t>
        </is>
      </c>
      <c r="B104" t="inlineStr">
        <is>
          <t>Delivery Consultant - Data Engineer, Data and Machine Learning, WWPS US Federal</t>
        </is>
      </c>
      <c r="C104" t="inlineStr">
        <is>
          <t>Amazon Web Services</t>
        </is>
      </c>
      <c r="D104" t="inlineStr">
        <is>
          <t>indeed</t>
        </is>
      </c>
      <c r="E104">
        <f>HYPERLINK("https://www.indeed.com/viewjob?jk=f87efb9c8e9bed22", "https://www.indeed.com/viewjob?jk=f87efb9c8e9bed22")</f>
        <v/>
      </c>
      <c r="F104">
        <f>HYPERLINK("https://www.amazon.jobs/jobs/3134583/delivery-consultant--data-engineer-data-and-machine-learning-wwps-us-federal?cmpid=DA_INAD200785B", "https://www.amazon.jobs/jobs/3134583/delivery-consultant--data-engineer-data-and-machine-learning-wwps-us-federal?cmpid=DA_INAD200785B")</f>
        <v/>
      </c>
      <c r="G104" t="inlineStr">
        <is>
          <t>Arlington, VA, US</t>
        </is>
      </c>
      <c r="H104" s="3" t="n">
        <v>45991</v>
      </c>
      <c r="I10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in-208fe114c46a6616</t>
        </is>
      </c>
      <c r="B105" t="inlineStr">
        <is>
          <t>Data Engineer III, ITA</t>
        </is>
      </c>
      <c r="C105" t="inlineStr">
        <is>
          <t>Amazon.com</t>
        </is>
      </c>
      <c r="D105" t="inlineStr">
        <is>
          <t>indeed</t>
        </is>
      </c>
      <c r="E105">
        <f>HYPERLINK("https://www.indeed.com/viewjob?jk=208fe114c46a6616", "https://www.indeed.com/viewjob?jk=208fe114c46a6616")</f>
        <v/>
      </c>
      <c r="F105">
        <f>HYPERLINK("https://www.amazon.jobs/jobs/3071316/data-engineer-iii-ita?cmpid=DA_INAD200785B", "https://www.amazon.jobs/jobs/3071316/data-engineer-iii-ita?cmpid=DA_INAD200785B")</f>
        <v/>
      </c>
      <c r="G105" t="inlineStr">
        <is>
          <t>Arlington, VA, US</t>
        </is>
      </c>
      <c r="H105" s="3" t="n">
        <v>45893</v>
      </c>
      <c r="I105"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in-8d9ad3499a9f0bfe</t>
        </is>
      </c>
      <c r="B106" t="inlineStr">
        <is>
          <t>Data Engineer III, ITA</t>
        </is>
      </c>
      <c r="C106" t="inlineStr">
        <is>
          <t>Amazon.com</t>
        </is>
      </c>
      <c r="D106" t="inlineStr">
        <is>
          <t>indeed</t>
        </is>
      </c>
      <c r="E106">
        <f>HYPERLINK("https://www.indeed.com/viewjob?jk=8d9ad3499a9f0bfe", "https://www.indeed.com/viewjob?jk=8d9ad3499a9f0bfe")</f>
        <v/>
      </c>
      <c r="F106">
        <f>HYPERLINK("https://www.amazon.jobs/jobs/3071316/data-engineer-iii-ita?cmpid=DA_INAD200785B", "https://www.amazon.jobs/jobs/3071316/data-engineer-iii-ita?cmpid=DA_INAD200785B")</f>
        <v/>
      </c>
      <c r="G106" t="inlineStr">
        <is>
          <t>Seattle, WA, US</t>
        </is>
      </c>
      <c r="H106" s="3" t="n">
        <v>45893</v>
      </c>
      <c r="I106"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in-51a28cf4a4463ed8</t>
        </is>
      </c>
      <c r="B107" t="inlineStr">
        <is>
          <t>Director, Data Engineering</t>
        </is>
      </c>
      <c r="C107" t="inlineStr">
        <is>
          <t>BioNTech</t>
        </is>
      </c>
      <c r="D107" t="inlineStr">
        <is>
          <t>indeed</t>
        </is>
      </c>
      <c r="E107">
        <f>HYPERLINK("https://www.indeed.com/viewjob?jk=51a28cf4a4463ed8", "https://www.indeed.com/viewjob?jk=51a28cf4a4463ed8")</f>
        <v/>
      </c>
      <c r="F107">
        <f>HYPERLINK("https://jobs.biontech.com/job/Berkeley-Heights-Director%2C-Data-Engineering-NJ-NJ-07922/1281194401/", "https://jobs.biontech.com/job/Berkeley-Heights-Director%2C-Data-Engineering-NJ-NJ-07922/1281194401/")</f>
        <v/>
      </c>
      <c r="G107" t="inlineStr">
        <is>
          <t>Berkeley Heights, NJ, US</t>
        </is>
      </c>
      <c r="H107" s="3" t="n">
        <v>46028</v>
      </c>
      <c r="I107" t="inlineStr">
        <is>
          <t>New Jersey, US \| full time \| Job ID: 10668
 **Position Summary:**
The Director, Data Engineering will design, build, and optimize scalable data pipelines and infrastructure to support analytics, AI/ML initiatives, and omnichannel strategies for the U.S. Affiliate. This individual contributor role will ensure efficient, secure, and reliable ingestion, transformation, integration and storage of pharmaceutical data while overseeing vendor\-delivered engineering work. The role will focus on building the technical foundation required to integrate data across multiple channels, ensuring data quality, compliance, and accessibility for analytics and reporting. Additionally, this individual will collaborate with cross\-functional teams to deliver data solutions that generate actionable insights, support business objectives, and drive performance.
**Responsibilities:**
* Design and build scalable ETL/ELT pipelines and workflows using Databricks and DBT to ingest, transform, and store oncology commercial data.
* Integrate data across multiple channels (e.g., digital platforms, CRM systems, and other commercial data sources) to support omnichannel strategies and analytics.
* Optimize data architecture to ensure efficiency, security, and scalability for analytics and AI/ML initiatives.
* Evaluate and incorporate new tools and technologies to enhance data engineering capabilities.
* Monitor and improve data quality while ensuring compliance with healthcare regulations (e.g., HIPAA) and pharmaceutical standards.
* Collaborate with cross\-functional teams, including data scientists, marketing analytics, payer analytics, IT, and commercial stakeholders, to deliver actionable data solutions.
* Manage vendor\-delivered data engineering projects, ensuring technical excellence, timely delivery, and alignment with business objectives.
**Requirements:**
* A Bachelor's degree in a related field such as Computer Science or Data Engineering
* A minimum of 10\+ years of experience in data engineering roles, with a focus on building scalable data pipelines and infrastructure, and a strong understanding of ETL/ELT processes, data architecture, and data warehousing
* Hands\-on experience using Databricks and DBT for data workflows and architecture optimization, along with familiarity with cloud\-based platforms (e.g., AWS, Azure, or GCP)
* Understanding of Oncology specific and relevant pharmaceutical industry data sets, especially for the US
* Prior experience managing internal teams and external vendor resources
* Strong communication skills, with the ability to connect data and its insights within the team and with various stakeholders
* Ability to work within large and complex organizations
* Ability to adapt in a quickly changing environment
* Adaptability to learn and integrate new tools and technologies into the existing tech stack
* Learn about Oncology therapy area and company’s business needs to ensure analytical outputs meet business needs
**Preferred Qualifications:**
* A Master's degree in Computer Science, Data Engineering, Statistics, or a related field is preferred
* Working knowledge of statistics, statistical modeling, or related concepts to support analytics initiatives
* Working knowledge of AI/ML concepts and tools to support analytics initiatives
* Having worked in a country organization or a start\-up is a plus
Expected Pay Range: $168,100/year to $268,700/year \+ benefits, annual bonus \&amp; equity (bonus and equity is variable and dependent on company and individual performance). \*Compensation for the role will depend on several factors, including responsibilities of the job, education, experience, knowledge, skills, and abilities.
**Your Benefits:**
BioNTech US is committed to employee wellbeing and offers best\-in\-class benefits \&amp; HR programs to support an inclusive \&amp; diverse workforce. Salaried/Position\-Targeted Hourly Employees working 30\+ hours per week are eligible for our comprehensive benefits package. Benefits include but are not limited to:
* Medical, Dental and Vision Insurance
* Life, AD\&amp;D, Critical Illness Insurance
* Pre\-tax HSA \&amp; FSA, DCRA Spending Accounts
* Employee Assistance \&amp; Concierge Program (EAP) available 24/7
* Parental and Childbirth Leave \&amp; Family Planning Assistance
* Sitterstream: Virtual Tutoring \&amp; Childcare Membership
* Paid Time Off: Vacation, Sick, Bereavement, Holidays (including Floating) \&amp; Year\-End U.S. Shutdown.
* 401(K) Plan with Company Match
* Tuition Reimbursement \&amp; Student Loan Assistance Programs
* Wellbeing Incentive Platforms \&amp; Incentives
* Professional Development Programs
* Commuting Allowance and subsidized parking
* Discounted Home, Auto \&amp; Pet Insurance
…and more! More details to be shared.
Berkeley Heights is New Jersey's growing hub within the life sciences industry and has already demonstrated the state’s commitment to innovation, collaboration, and excellence within the field. New Jersey's integrated approach to biotechnology and pharmaceuticals harmonizes academic rigor, industrial capability, and government support to create thriving conditions for a growing ecosystem. Cultivating an environment that seamlessly integrates cutting\-edge research, robust manufacturing capabilities, and a dynamic business landscape, New Jersey has become a powerhouse in pharmaceuticals, biotechnology, and medical technology. As this region of New Jersey continues to develop, it stands ready to shape the future of medical science and technology, driving progress and improving health outcomes worldwide.
**Apply now \- We look forward to your application!**
Apply for our New Jersey, US location and simply send us your documents using our online form.
By submitting your application, you acknowledge that a background check will be conducted as part of the recruitment process in accordance with applicable laws and regulations. If you are considered for the position, BioNTech will conduct the background check through our service provider ‘HireRight’. You will be informed accordingly by your BioNTech\-Recruiter.
**Inspired? Become part of \#TeamBioNTech.**
**BioNTech, the story**
At BioNTech, we are more than just a biotechnology company – we are a community of innovators, scientists, and leaders dedicated to revolutionizing medicine by translating cutting\-edge science into survival. Your contributions here have the potential to improve the health of people worldwide, especially by addressing diseases with high medical needs like cancer and various infectious diseases.
Experience a dynamic workplace that embraces diversity in all its forms. We foster innovation, encourage creativity, and develop business strategies driven by our shared passion for advancing medicine.
Working at BioNTech means striving to achieve medical breakthroughs while growing your career in a meaningful way. Apply today and become part of a mission that has the potential to change lives around the world.
BioNTech does not tolerate discrimination, favoritism or harassment based on gender, political views, religion or belief, nationality, ethnic or social origin, age, sexual orientation, marital status, disability, physical appearance, health status or any other physical or personal characteristics. BioNTech is committed to creating a diverse and inclusive work environment. We are proud to be an equal opportunity employer. The main thing is that you suit us, and we suit you!
**BioNTech \- As unique as you**
www.biontech.com</t>
        </is>
      </c>
    </row>
    <row r="108">
      <c r="A108" t="inlineStr">
        <is>
          <t>in-0d772d88da0208e6</t>
        </is>
      </c>
      <c r="B108" t="inlineStr">
        <is>
          <t>Manager, ML Data Engineering (Content Trust)</t>
        </is>
      </c>
      <c r="C108" t="inlineStr">
        <is>
          <t>Scribd</t>
        </is>
      </c>
      <c r="D108" t="inlineStr">
        <is>
          <t>indeed</t>
        </is>
      </c>
      <c r="E108">
        <f>HYPERLINK("https://www.indeed.com/viewjob?jk=0d772d88da0208e6", "https://www.indeed.com/viewjob?jk=0d772d88da0208e6")</f>
        <v/>
      </c>
      <c r="F108">
        <f>HYPERLINK("https://jobs.ashbyhq.com/scribd/db30c6f5-8fad-4845-91b8-893573d11c6e?utm_source=JL4aWrQjj4", "https://jobs.ashbyhq.com/scribd/db30c6f5-8fad-4845-91b8-893573d11c6e?utm_source=JL4aWrQjj4")</f>
        <v/>
      </c>
      <c r="G108" t="inlineStr">
        <is>
          <t>Washington, DC, US</t>
        </is>
      </c>
      <c r="H108" s="3" t="n">
        <v>46028</v>
      </c>
      <c r="I108"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9">
      <c r="A109" t="inlineStr">
        <is>
          <t>in-527b1e327bc981b5</t>
        </is>
      </c>
      <c r="B109" t="inlineStr">
        <is>
          <t>Manager, ML Data Engineering (Content Trust)</t>
        </is>
      </c>
      <c r="C109" t="inlineStr">
        <is>
          <t>Scribd</t>
        </is>
      </c>
      <c r="D109" t="inlineStr">
        <is>
          <t>indeed</t>
        </is>
      </c>
      <c r="E109">
        <f>HYPERLINK("https://www.indeed.com/viewjob?jk=527b1e327bc981b5", "https://www.indeed.com/viewjob?jk=527b1e327bc981b5")</f>
        <v/>
      </c>
      <c r="F109">
        <f>HYPERLINK("https://jobs.ashbyhq.com/scribd/db30c6f5-8fad-4845-91b8-893573d11c6e?utm_source=JL4aWrQjj4", "https://jobs.ashbyhq.com/scribd/db30c6f5-8fad-4845-91b8-893573d11c6e?utm_source=JL4aWrQjj4")</f>
        <v/>
      </c>
      <c r="G109" t="inlineStr">
        <is>
          <t>Austin, TX, US</t>
        </is>
      </c>
      <c r="H109" s="3" t="n">
        <v>46028</v>
      </c>
      <c r="I109"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0">
      <c r="A110" t="inlineStr">
        <is>
          <t>in-1008ffd36868a773</t>
        </is>
      </c>
      <c r="B110" t="inlineStr">
        <is>
          <t>Manager, ML Data Engineering (Content Trust)</t>
        </is>
      </c>
      <c r="C110" t="inlineStr">
        <is>
          <t>Scribd</t>
        </is>
      </c>
      <c r="D110" t="inlineStr">
        <is>
          <t>indeed</t>
        </is>
      </c>
      <c r="E110">
        <f>HYPERLINK("https://www.indeed.com/viewjob?jk=1008ffd36868a773", "https://www.indeed.com/viewjob?jk=1008ffd36868a773")</f>
        <v/>
      </c>
      <c r="F110">
        <f>HYPERLINK("https://jobs.ashbyhq.com/scribd/db30c6f5-8fad-4845-91b8-893573d11c6e?utm_source=JL4aWrQjj4", "https://jobs.ashbyhq.com/scribd/db30c6f5-8fad-4845-91b8-893573d11c6e?utm_source=JL4aWrQjj4")</f>
        <v/>
      </c>
      <c r="G110" t="inlineStr">
        <is>
          <t>Denver, CO, US</t>
        </is>
      </c>
      <c r="H110" s="3" t="n">
        <v>46028</v>
      </c>
      <c r="I110"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1">
      <c r="A111" t="inlineStr">
        <is>
          <t>in-7154cc578b7fed31</t>
        </is>
      </c>
      <c r="B111" t="inlineStr">
        <is>
          <t>Manager, ML Data Engineering (Content Trust)</t>
        </is>
      </c>
      <c r="C111" t="inlineStr">
        <is>
          <t>Scribd</t>
        </is>
      </c>
      <c r="D111" t="inlineStr">
        <is>
          <t>indeed</t>
        </is>
      </c>
      <c r="E111">
        <f>HYPERLINK("https://www.indeed.com/viewjob?jk=7154cc578b7fed31", "https://www.indeed.com/viewjob?jk=7154cc578b7fed31")</f>
        <v/>
      </c>
      <c r="F111">
        <f>HYPERLINK("https://jobs.ashbyhq.com/scribd/db30c6f5-8fad-4845-91b8-893573d11c6e?utm_source=JL4aWrQjj4", "https://jobs.ashbyhq.com/scribd/db30c6f5-8fad-4845-91b8-893573d11c6e?utm_source=JL4aWrQjj4")</f>
        <v/>
      </c>
      <c r="G111" t="inlineStr">
        <is>
          <t>Salt Lake City, UT, US</t>
        </is>
      </c>
      <c r="H111" s="3" t="n">
        <v>46028</v>
      </c>
      <c r="I111"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2">
      <c r="A112" t="inlineStr">
        <is>
          <t>in-036ceeff2f8e6749</t>
        </is>
      </c>
      <c r="B112" t="inlineStr">
        <is>
          <t>Manager, ML Data Engineering (Content Trust)</t>
        </is>
      </c>
      <c r="C112" t="inlineStr">
        <is>
          <t>Scribd</t>
        </is>
      </c>
      <c r="D112" t="inlineStr">
        <is>
          <t>indeed</t>
        </is>
      </c>
      <c r="E112">
        <f>HYPERLINK("https://www.indeed.com/viewjob?jk=036ceeff2f8e6749", "https://www.indeed.com/viewjob?jk=036ceeff2f8e6749")</f>
        <v/>
      </c>
      <c r="F112">
        <f>HYPERLINK("https://jobs.ashbyhq.com/scribd/db30c6f5-8fad-4845-91b8-893573d11c6e?utm_source=JL4aWrQjj4", "https://jobs.ashbyhq.com/scribd/db30c6f5-8fad-4845-91b8-893573d11c6e?utm_source=JL4aWrQjj4")</f>
        <v/>
      </c>
      <c r="G112" t="inlineStr">
        <is>
          <t>Boston, MA, US</t>
        </is>
      </c>
      <c r="H112" s="3" t="n">
        <v>46028</v>
      </c>
      <c r="I112"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3">
      <c r="A113" t="inlineStr">
        <is>
          <t>in-b0e9c6c4997248db</t>
        </is>
      </c>
      <c r="B113" t="inlineStr">
        <is>
          <t>Manager, ML Data Engineering (Content Trust)</t>
        </is>
      </c>
      <c r="C113" t="inlineStr">
        <is>
          <t>Scribd</t>
        </is>
      </c>
      <c r="D113" t="inlineStr">
        <is>
          <t>indeed</t>
        </is>
      </c>
      <c r="E113">
        <f>HYPERLINK("https://www.indeed.com/viewjob?jk=b0e9c6c4997248db", "https://www.indeed.com/viewjob?jk=b0e9c6c4997248db")</f>
        <v/>
      </c>
      <c r="F113">
        <f>HYPERLINK("https://jobs.ashbyhq.com/scribd/db30c6f5-8fad-4845-91b8-893573d11c6e?utm_source=JL4aWrQjj4", "https://jobs.ashbyhq.com/scribd/db30c6f5-8fad-4845-91b8-893573d11c6e?utm_source=JL4aWrQjj4")</f>
        <v/>
      </c>
      <c r="G113" t="inlineStr">
        <is>
          <t>San Francisco, CA, US</t>
        </is>
      </c>
      <c r="H113" s="3" t="n">
        <v>46028</v>
      </c>
      <c r="I113"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4">
      <c r="A114" t="inlineStr">
        <is>
          <t>in-bc79d9039b884de1</t>
        </is>
      </c>
      <c r="B114" t="inlineStr">
        <is>
          <t>Manager, ML Data Engineering (Content Trust)</t>
        </is>
      </c>
      <c r="C114" t="inlineStr">
        <is>
          <t>Scribd</t>
        </is>
      </c>
      <c r="D114" t="inlineStr">
        <is>
          <t>indeed</t>
        </is>
      </c>
      <c r="E114">
        <f>HYPERLINK("https://www.indeed.com/viewjob?jk=bc79d9039b884de1", "https://www.indeed.com/viewjob?jk=bc79d9039b884de1")</f>
        <v/>
      </c>
      <c r="F114">
        <f>HYPERLINK("https://jobs.ashbyhq.com/scribd/db30c6f5-8fad-4845-91b8-893573d11c6e?utm_source=JL4aWrQjj4", "https://jobs.ashbyhq.com/scribd/db30c6f5-8fad-4845-91b8-893573d11c6e?utm_source=JL4aWrQjj4")</f>
        <v/>
      </c>
      <c r="G114" t="inlineStr">
        <is>
          <t>Seattle, WA, US</t>
        </is>
      </c>
      <c r="H114" s="3" t="n">
        <v>46028</v>
      </c>
      <c r="I114"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5">
      <c r="A115" t="inlineStr">
        <is>
          <t>in-811dd924ed16d267</t>
        </is>
      </c>
      <c r="B115" t="inlineStr">
        <is>
          <t>Manager, ML Data Engineering (Content Trust)</t>
        </is>
      </c>
      <c r="C115" t="inlineStr">
        <is>
          <t>Scribd</t>
        </is>
      </c>
      <c r="D115" t="inlineStr">
        <is>
          <t>indeed</t>
        </is>
      </c>
      <c r="E115">
        <f>HYPERLINK("https://www.indeed.com/viewjob?jk=811dd924ed16d267", "https://www.indeed.com/viewjob?jk=811dd924ed16d267")</f>
        <v/>
      </c>
      <c r="F115">
        <f>HYPERLINK("https://jobs.ashbyhq.com/scribd/db30c6f5-8fad-4845-91b8-893573d11c6e?utm_source=JL4aWrQjj4", "https://jobs.ashbyhq.com/scribd/db30c6f5-8fad-4845-91b8-893573d11c6e?utm_source=JL4aWrQjj4")</f>
        <v/>
      </c>
      <c r="G115" t="inlineStr">
        <is>
          <t>San Diego, CA, US</t>
        </is>
      </c>
      <c r="H115" s="3" t="n">
        <v>46028</v>
      </c>
      <c r="I115"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6">
      <c r="A116" t="inlineStr">
        <is>
          <t>in-db277923c2b4b640</t>
        </is>
      </c>
      <c r="B116" t="inlineStr">
        <is>
          <t>Manager, ML Data Engineering (Content Trust)</t>
        </is>
      </c>
      <c r="C116" t="inlineStr">
        <is>
          <t>Scribd</t>
        </is>
      </c>
      <c r="D116" t="inlineStr">
        <is>
          <t>indeed</t>
        </is>
      </c>
      <c r="E116">
        <f>HYPERLINK("https://www.indeed.com/viewjob?jk=db277923c2b4b640", "https://www.indeed.com/viewjob?jk=db277923c2b4b640")</f>
        <v/>
      </c>
      <c r="F116">
        <f>HYPERLINK("https://jobs.ashbyhq.com/scribd/db30c6f5-8fad-4845-91b8-893573d11c6e?utm_source=JL4aWrQjj4", "https://jobs.ashbyhq.com/scribd/db30c6f5-8fad-4845-91b8-893573d11c6e?utm_source=JL4aWrQjj4")</f>
        <v/>
      </c>
      <c r="G116" t="inlineStr">
        <is>
          <t>Dallas, TX, US</t>
        </is>
      </c>
      <c r="H116" s="3" t="n">
        <v>46028</v>
      </c>
      <c r="I116"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7">
      <c r="A117" t="inlineStr">
        <is>
          <t>in-c9dad895ad6c5c9c</t>
        </is>
      </c>
      <c r="B117" t="inlineStr">
        <is>
          <t>Manager, ML Data Engineering (Content Trust)</t>
        </is>
      </c>
      <c r="C117" t="inlineStr">
        <is>
          <t>Scribd</t>
        </is>
      </c>
      <c r="D117" t="inlineStr">
        <is>
          <t>indeed</t>
        </is>
      </c>
      <c r="E117">
        <f>HYPERLINK("https://www.indeed.com/viewjob?jk=c9dad895ad6c5c9c", "https://www.indeed.com/viewjob?jk=c9dad895ad6c5c9c")</f>
        <v/>
      </c>
      <c r="F117">
        <f>HYPERLINK("https://jobs.ashbyhq.com/scribd/db30c6f5-8fad-4845-91b8-893573d11c6e?utm_source=JL4aWrQjj4", "https://jobs.ashbyhq.com/scribd/db30c6f5-8fad-4845-91b8-893573d11c6e?utm_source=JL4aWrQjj4")</f>
        <v/>
      </c>
      <c r="G117" t="inlineStr">
        <is>
          <t>Miami, FL, US</t>
        </is>
      </c>
      <c r="H117" s="3" t="n">
        <v>46028</v>
      </c>
      <c r="I117"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8">
      <c r="A118" t="inlineStr">
        <is>
          <t>in-abb55e71e0df3aa0</t>
        </is>
      </c>
      <c r="B118" t="inlineStr">
        <is>
          <t>Manager, ML Data Engineering (Content Trust)</t>
        </is>
      </c>
      <c r="C118" t="inlineStr">
        <is>
          <t>Scribd</t>
        </is>
      </c>
      <c r="D118" t="inlineStr">
        <is>
          <t>indeed</t>
        </is>
      </c>
      <c r="E118">
        <f>HYPERLINK("https://www.indeed.com/viewjob?jk=abb55e71e0df3aa0", "https://www.indeed.com/viewjob?jk=abb55e71e0df3aa0")</f>
        <v/>
      </c>
      <c r="F118">
        <f>HYPERLINK("https://jobs.ashbyhq.com/scribd/db30c6f5-8fad-4845-91b8-893573d11c6e?utm_source=JL4aWrQjj4", "https://jobs.ashbyhq.com/scribd/db30c6f5-8fad-4845-91b8-893573d11c6e?utm_source=JL4aWrQjj4")</f>
        <v/>
      </c>
      <c r="G118" t="inlineStr">
        <is>
          <t>Los Angeles, CA, US</t>
        </is>
      </c>
      <c r="H118" s="3" t="n">
        <v>46028</v>
      </c>
      <c r="I118"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9">
      <c r="A119" t="inlineStr">
        <is>
          <t>in-89d6b6bd0a66cc75</t>
        </is>
      </c>
      <c r="B119" t="inlineStr">
        <is>
          <t>Manager, ML Data Engineering (Content Trust)</t>
        </is>
      </c>
      <c r="C119" t="inlineStr">
        <is>
          <t>Scribd</t>
        </is>
      </c>
      <c r="D119" t="inlineStr">
        <is>
          <t>indeed</t>
        </is>
      </c>
      <c r="E119">
        <f>HYPERLINK("https://www.indeed.com/viewjob?jk=89d6b6bd0a66cc75", "https://www.indeed.com/viewjob?jk=89d6b6bd0a66cc75")</f>
        <v/>
      </c>
      <c r="F119">
        <f>HYPERLINK("https://jobs.ashbyhq.com/scribd/db30c6f5-8fad-4845-91b8-893573d11c6e?utm_source=JL4aWrQjj4", "https://jobs.ashbyhq.com/scribd/db30c6f5-8fad-4845-91b8-893573d11c6e?utm_source=JL4aWrQjj4")</f>
        <v/>
      </c>
      <c r="G119" t="inlineStr">
        <is>
          <t>Phoenix, AZ, US</t>
        </is>
      </c>
      <c r="H119" s="3" t="n">
        <v>46028</v>
      </c>
      <c r="I119"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0">
      <c r="A120" t="inlineStr">
        <is>
          <t>in-b2055a806d197d1e</t>
        </is>
      </c>
      <c r="B120" t="inlineStr">
        <is>
          <t>Manager, ML Data Engineering (Content Trust)</t>
        </is>
      </c>
      <c r="C120" t="inlineStr">
        <is>
          <t>Scribd</t>
        </is>
      </c>
      <c r="D120" t="inlineStr">
        <is>
          <t>indeed</t>
        </is>
      </c>
      <c r="E120">
        <f>HYPERLINK("https://www.indeed.com/viewjob?jk=b2055a806d197d1e", "https://www.indeed.com/viewjob?jk=b2055a806d197d1e")</f>
        <v/>
      </c>
      <c r="F120">
        <f>HYPERLINK("https://jobs.ashbyhq.com/scribd/db30c6f5-8fad-4845-91b8-893573d11c6e?utm_source=JL4aWrQjj4", "https://jobs.ashbyhq.com/scribd/db30c6f5-8fad-4845-91b8-893573d11c6e?utm_source=JL4aWrQjj4")</f>
        <v/>
      </c>
      <c r="G120" t="inlineStr">
        <is>
          <t>Atlanta, GA, US</t>
        </is>
      </c>
      <c r="H120" s="3" t="n">
        <v>46028</v>
      </c>
      <c r="I120"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1">
      <c r="A121" t="inlineStr">
        <is>
          <t>in-361d8cd5bdb75b1f</t>
        </is>
      </c>
      <c r="B121" t="inlineStr">
        <is>
          <t>Manager, ML Data Engineering (Content Trust)</t>
        </is>
      </c>
      <c r="C121" t="inlineStr">
        <is>
          <t>Scribd</t>
        </is>
      </c>
      <c r="D121" t="inlineStr">
        <is>
          <t>indeed</t>
        </is>
      </c>
      <c r="E121">
        <f>HYPERLINK("https://www.indeed.com/viewjob?jk=361d8cd5bdb75b1f", "https://www.indeed.com/viewjob?jk=361d8cd5bdb75b1f")</f>
        <v/>
      </c>
      <c r="F121">
        <f>HYPERLINK("https://jobs.ashbyhq.com/scribd/db30c6f5-8fad-4845-91b8-893573d11c6e?utm_source=JL4aWrQjj4", "https://jobs.ashbyhq.com/scribd/db30c6f5-8fad-4845-91b8-893573d11c6e?utm_source=JL4aWrQjj4")</f>
        <v/>
      </c>
      <c r="G121" t="inlineStr">
        <is>
          <t>New York, NY, US</t>
        </is>
      </c>
      <c r="H121" s="3" t="n">
        <v>46028</v>
      </c>
      <c r="I121"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2">
      <c r="A122" t="inlineStr">
        <is>
          <t>in-4350dfcfc2a65944</t>
        </is>
      </c>
      <c r="B122" t="inlineStr">
        <is>
          <t>Manager, ML Data Engineering (Content Trust)</t>
        </is>
      </c>
      <c r="C122" t="inlineStr">
        <is>
          <t>Scribd</t>
        </is>
      </c>
      <c r="D122" t="inlineStr">
        <is>
          <t>indeed</t>
        </is>
      </c>
      <c r="E122">
        <f>HYPERLINK("https://www.indeed.com/viewjob?jk=4350dfcfc2a65944", "https://www.indeed.com/viewjob?jk=4350dfcfc2a65944")</f>
        <v/>
      </c>
      <c r="F122">
        <f>HYPERLINK("https://jobs.ashbyhq.com/scribd/db30c6f5-8fad-4845-91b8-893573d11c6e?utm_source=JL4aWrQjj4", "https://jobs.ashbyhq.com/scribd/db30c6f5-8fad-4845-91b8-893573d11c6e?utm_source=JL4aWrQjj4")</f>
        <v/>
      </c>
      <c r="G122" t="inlineStr">
        <is>
          <t>Houston, TX, US</t>
        </is>
      </c>
      <c r="H122" s="3" t="n">
        <v>46028</v>
      </c>
      <c r="I122"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3">
      <c r="A123" t="inlineStr">
        <is>
          <t>in-c7ec085d10bdc347</t>
        </is>
      </c>
      <c r="B123" t="inlineStr">
        <is>
          <t>Manager, ML Data Engineering (Content Trust)</t>
        </is>
      </c>
      <c r="C123" t="inlineStr">
        <is>
          <t>Scribd</t>
        </is>
      </c>
      <c r="D123" t="inlineStr">
        <is>
          <t>indeed</t>
        </is>
      </c>
      <c r="E123">
        <f>HYPERLINK("https://www.indeed.com/viewjob?jk=c7ec085d10bdc347", "https://www.indeed.com/viewjob?jk=c7ec085d10bdc347")</f>
        <v/>
      </c>
      <c r="F123">
        <f>HYPERLINK("https://jobs.ashbyhq.com/scribd/db30c6f5-8fad-4845-91b8-893573d11c6e?utm_source=JL4aWrQjj4", "https://jobs.ashbyhq.com/scribd/db30c6f5-8fad-4845-91b8-893573d11c6e?utm_source=JL4aWrQjj4")</f>
        <v/>
      </c>
      <c r="G123" t="inlineStr">
        <is>
          <t>Chicago, IL, US</t>
        </is>
      </c>
      <c r="H123" s="3" t="n">
        <v>46028</v>
      </c>
      <c r="I123"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4">
      <c r="A124" t="inlineStr">
        <is>
          <t>in-c2b646982c798d3c</t>
        </is>
      </c>
      <c r="B124" t="inlineStr">
        <is>
          <t>Manager, ML Data Engineering (Content Trust)</t>
        </is>
      </c>
      <c r="C124" t="inlineStr">
        <is>
          <t>Scribd</t>
        </is>
      </c>
      <c r="D124" t="inlineStr">
        <is>
          <t>indeed</t>
        </is>
      </c>
      <c r="E124">
        <f>HYPERLINK("https://www.indeed.com/viewjob?jk=c2b646982c798d3c", "https://www.indeed.com/viewjob?jk=c2b646982c798d3c")</f>
        <v/>
      </c>
      <c r="F124">
        <f>HYPERLINK("https://jobs.ashbyhq.com/scribd/db30c6f5-8fad-4845-91b8-893573d11c6e?utm_source=JL4aWrQjj4", "https://jobs.ashbyhq.com/scribd/db30c6f5-8fad-4845-91b8-893573d11c6e?utm_source=JL4aWrQjj4")</f>
        <v/>
      </c>
      <c r="G124" t="inlineStr">
        <is>
          <t>Portland, OR, US</t>
        </is>
      </c>
      <c r="H124" s="3" t="n">
        <v>46028</v>
      </c>
      <c r="I124"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5">
      <c r="A125" t="inlineStr">
        <is>
          <t>in-6da85c3fd9f952f5</t>
        </is>
      </c>
      <c r="B125" t="inlineStr">
        <is>
          <t>Manager, ML Data Engineering (Content Trust)</t>
        </is>
      </c>
      <c r="C125" t="inlineStr">
        <is>
          <t>Scribd</t>
        </is>
      </c>
      <c r="D125" t="inlineStr">
        <is>
          <t>indeed</t>
        </is>
      </c>
      <c r="E125">
        <f>HYPERLINK("https://www.indeed.com/viewjob?jk=6da85c3fd9f952f5", "https://www.indeed.com/viewjob?jk=6da85c3fd9f952f5")</f>
        <v/>
      </c>
      <c r="F125">
        <f>HYPERLINK("https://jobs.ashbyhq.com/scribd/db30c6f5-8fad-4845-91b8-893573d11c6e?utm_source=JL4aWrQjj4", "https://jobs.ashbyhq.com/scribd/db30c6f5-8fad-4845-91b8-893573d11c6e?utm_source=JL4aWrQjj4")</f>
        <v/>
      </c>
      <c r="G125" t="inlineStr">
        <is>
          <t>Jacksonville, FL, US</t>
        </is>
      </c>
      <c r="H125" s="3" t="n">
        <v>46028</v>
      </c>
      <c r="I125"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6">
      <c r="A126" t="inlineStr">
        <is>
          <t>in-c150e40653360f18</t>
        </is>
      </c>
      <c r="B126" t="inlineStr">
        <is>
          <t>Manager, ML Data Engineering (Content Trust)</t>
        </is>
      </c>
      <c r="C126" t="inlineStr">
        <is>
          <t>Scribd</t>
        </is>
      </c>
      <c r="D126" t="inlineStr">
        <is>
          <t>indeed</t>
        </is>
      </c>
      <c r="E126">
        <f>HYPERLINK("https://www.indeed.com/viewjob?jk=c150e40653360f18", "https://www.indeed.com/viewjob?jk=c150e40653360f18")</f>
        <v/>
      </c>
      <c r="F126">
        <f>HYPERLINK("https://jobs.ashbyhq.com/scribd/db30c6f5-8fad-4845-91b8-893573d11c6e?utm_source=JL4aWrQjj4", "https://jobs.ashbyhq.com/scribd/db30c6f5-8fad-4845-91b8-893573d11c6e?utm_source=JL4aWrQjj4")</f>
        <v/>
      </c>
      <c r="G126" t="inlineStr">
        <is>
          <t>Sacramento, CA, US</t>
        </is>
      </c>
      <c r="H126" s="3" t="n">
        <v>46028</v>
      </c>
      <c r="I126"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Team and Role**
---------------------------
The **ML Data Engineering** team is the backbone of Scribd’s commitment to a safe and trustworthy library. We build high\-throughput, ML\-driven data pipelines that process hundreds of millions of documents to detect, classify, and mitigate untrustworthy content.
As the **Manager of ML Data Engineering**, you will lead a specialized team of engineers responsible for building scalable ML based foundations that can detect and deal with harmful content. You aren't just moving data; you are building the infrastructure that allows ML models to reason across our entire corpus in batch and real\-time. Your team’s work ensures that our safety classifiers, and automated policy enforcement tools are performant, scalable, and resilient. You will sit at the intersection of Big Data, AI, MLOps, and Platform Integrity, directly impacting the safety of millions of our users.
**You Will**
------------
* **Lead and grow a high\-performing engineering team:** Manage, mentor, and recruit a world\-class team of data and ML engineers. Foster a culture of technical excellence, operational rigor, and deep empathy for the user safety mission.
* **Architect scalable ML data pipelines:** Design and oversee the development of distributed data processing systems capable of handling hundreds of millions of documents. Ensure these pipelines support both batch and real\-time inference for content moderation and risk detection.
* **Build the "Trust" scores:** Develop and maintain the foundational data layers \- including semantic embeddings, metadata extracts, and behavioral signals \- that power our Content Trust ML models.
* **Partner on AI/LLM Integration:** Work closely with the Search \&amp; Discovery and Applied Research teams to integrate ML/LLM\-based reasoning into our trust pipelines, enabling more nuanced understanding of complex policy violations.
* **Drive Operational Excellence:** Establish SLAs for infrastructure, ensuring our automated enforcement systems are both fast and explainable.
* **Cross\-functional Leadership:** Collaborate with Product Managers (Content Trust), Legal/Policy teams, and Data Science to translate evolving regulatory requirements (like the DSA) into robust technical architectures.
**You Have**
------------
* **Leadership Experience:** 8\+ years of total engineering experience, with 3\+ years specifically in a people management or technical lead role within a Data or ML Engineering organization.
* **Scale Expertise:** Proven track record of building and operating production\-grade data pipelines at massive scale (100M\+ entities) using technologies like Spark, Flink, Kafka, or Airflow.
* **ML Infrastructure Fluency:** Deep understanding of the ML lifecycle, including feature engineering, model deployment (MLOps), and vector databases (e.g., Pinecone, Milvus, or Weaviate).
* **Trust \&amp; Safety Context:** Prior experience building systems for content moderation, fraud detection, spam prevention, or digital rights management.
* **Technical Breadth:** Strong proficiency in Python, Scala, or Go, and experience with cloud\-native infrastructure (AWS/GCP, Kubernetes, and Snowflake/BigQuery).
* **Strategic Communication:** Ability to explain complex architectural trade\-offs to non\-technical stakeholders in Legal, Policy, and Product.
**Ideally, you have (Bonus Points)**
------------------------------------
* **LLM Pipelines:** Experience building RAG (Retrieval\-Augmented Generation) pipelines or managing the data infra for fine\-tuning Large Language Models.
* **UGC Experience:** Background working with large\-scale User Generated Content (UGC) ecosystems and the unique challenges of unstructured document data.
* **Regulatory Knowledge:** Familiarity with the technical requirements of global safety regulations such as the Digital Services Act (DSA) or the UK Online Safety Act.
* **Adversarial Mindset:** Experience building systems that must defend against malicious actors and evolving platform abuse patterns.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$163,000 \[minimum salary in our lowest geographic market within California] to $254,500 \[maximum salary in our highest geographic market within California].
In the United States, outside of California, the reasonably expected salary range is between $134,500 \[minimum salary in our lowest US geographic market outside of California] to $241,500 \[maximum salary in our highest US geographic market outside of California].
In Canada, the reasonably expected salary range is between $171,000 CAD\[minimum salary in our lowest geographic market] to $244,000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7">
      <c r="A127" t="inlineStr">
        <is>
          <t>in-8f2003393a5e88f8</t>
        </is>
      </c>
      <c r="B127" t="inlineStr">
        <is>
          <t>Senior Software Engineer, athenaCollector – AI/Data Engineering</t>
        </is>
      </c>
      <c r="C127" t="inlineStr">
        <is>
          <t>athenahealth</t>
        </is>
      </c>
      <c r="D127" t="inlineStr">
        <is>
          <t>indeed</t>
        </is>
      </c>
      <c r="E127">
        <f>HYPERLINK("https://www.indeed.com/viewjob?jk=8f2003393a5e88f8", "https://www.indeed.com/viewjob?jk=8f2003393a5e88f8")</f>
        <v/>
      </c>
      <c r="F127">
        <f>HYPERLINK("https://click.appcast.io/t/pb-jd_nti0Kx7LEsoo0g9HiA_Ok-GvDhXdA_dByxlyE=", "https://click.appcast.io/t/pb-jd_nti0Kx7LEsoo0g9HiA_Ok-GvDhXdA_dByxlyE=")</f>
        <v/>
      </c>
      <c r="G127" t="inlineStr">
        <is>
          <t>Boston, MA, US</t>
        </is>
      </c>
      <c r="H127" s="3" t="n">
        <v>46028</v>
      </c>
      <c r="I127" t="inlineStr">
        <is>
          <t>Join us as we work to create a thriving ecosystem that delivers accessible, high\-quality, and sustainable healthcare for all.
Expected Compensation $119,000 \- $203,000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li-4351683660</t>
        </is>
      </c>
      <c r="B2" t="inlineStr">
        <is>
          <t>Data Engineer - Enterprise AI</t>
        </is>
      </c>
      <c r="C2" t="inlineStr">
        <is>
          <t>Chevron</t>
        </is>
      </c>
      <c r="D2" t="inlineStr">
        <is>
          <t>linkedin</t>
        </is>
      </c>
      <c r="E2" t="inlineStr"/>
      <c r="F2" t="inlineStr"/>
      <c r="G2" t="inlineStr">
        <is>
          <t>Houston, TX</t>
        </is>
      </c>
      <c r="H2" t="inlineStr"/>
      <c r="I2" t="inlineStr">
        <is>
          <t>Chevron is accepting online applications for the position
 **Data Engineer \- Enterprise AI** 
 through
 **January 20, 2026** 
 at 11:59 p.m. (Central Time).
 Join Chevron’s Enterprise AI team to build the next generation of intelligent data solutions that power advanced analytics and AI\-driven decision\-making. As a Data Engineer, you will apply software engineering principles to design and implement scalable, high\-performance data and AI solutions that enable agentic AI systems, machine learning, predictive modeling, and real\-time insights across global operations. This role is ideal for engineers passionate about modern data architectures, cloud\-native technologies, and applying AI principles to enterprise\-scale challenges.
 You will deploy and maintain fully automated data transformation pipelines that integrate diverse storage and computation technologies to handle a wide range of data types and volumes. A successful Data Engineer designs data products and pipelines that are resilient to change, modular, flexible, scalable, reusable, and cost\-effective—ensuring our data ecosystem is future proof for rapidly changing world of AI.
**Key Responsibilities**
* Architect and Optimize Data Pipelines: Design, develop, and maintain robust ETL/ELT pipelines leveraging Databricks (including Databricks Genie for AI\-assisted development), Azure Data Factory, Azure Synapse, and Azure Fabric. Architect solutions with a holistic AI foundation, ensuring pipelines and frameworks are built to support agentic AI systems, machine learning, and generative AI at scale.
* Enable AI\-Ready Data: Build modular, reusable data assets and products optimized for AI workloads, ensuring data quality, lineage, governance, and interoperability across multiple AI applications.
* Collaborate Across Disciplines: Partner with AI delivery teams, including software engineers, AI engineers, and applied scientists, to deliver AI\-ready datasets and features that accelerate model development and deployment.
* Performance and Scalability: Optimize pipelines for big data processing using Spark, Delta Lake, and Databricks\-native capabilities, ensuring scalability and reliability for enterprise\-scale AI workloads.
* Cloud\-Native Engineering: Implement best practices for CI/CD, infrastructure\-as\-code, and DevOps using Azure DevOps, Git, and Ansible, while integrating with Databricks workflows for seamless deployment and reuse.
* Innovation and Continuous Learning: Stay ahead of emerging technologies in data engineering, AI/ML, and cloud ecosystems, leveraging AI tools like Databricks Genie and Agent Bricks and emerging tools and services within Azure AI Foundry and Fabric to accelerate development and maintain cutting\-edge, reusable solutions.
**Required Qualifications**
* Bachelor’s degree in computer science, Engineering, or a related field (or equivalent experience) and able to demonstrate high proficiency in programming fundamentals.
* At least 5 years of proven experience as a Data Engineer or similar role dealing with data and ETL processes in cloud\-based data platforms (Azure preferred)
* Strong hands\-on experience with Databricks (Lakehouse, Delta Lake, Unity Catalog) and Microsoft Azure services (Azure Data Factory, Azure Synapse, Azure Blob Storage and Azure Data Lake Gen 2\)
* Strong understanding data modeling, data governance, and software engineering principles and how they apply to data engineering (e.g., CI/CD, version control, testing).
* Strong problem\-solving skills and attention to detail.
* Excellent communication and collaboration skills.
**Preferred Qualifications**
* Demonstrated learning agility in emerging data and AI tools and services.
* Experience integrating AI/ML pipelines or feature engineering workflows into data platforms.
* Strong experience in Python is preferred but experience in other languages such as Scala, Java, C\#, etc is accepted.
* Experience building spark applications utilizing PySpark.
* Experience with file formats such as Parquet, Delta, Avro.
* Experience efficiently querying API endpoints as a data source.
* Understanding of the Azure environment and related services such as subscriptions, resource groups, etc.
* Understanding of Git workflows in software development.
* Using Azure DevOps pipeline and repositories to deploy and maintain solutions.
* Understanding of Ansible and how to use it in Azure DevOps pipelines.
**Relocation Options:**
 Relocation
 **may be** 
 considered.
**International Considerations**
 Expatriate assignments
 **will not be** 
 considered.
 Chevron regrets that it is unable to sponsor employment Visas or consider individuals on time\-limited Visa status for this position.</t>
        </is>
      </c>
    </row>
    <row r="3">
      <c r="A3" t="inlineStr">
        <is>
          <t>li-4337323519</t>
        </is>
      </c>
      <c r="B3" t="inlineStr">
        <is>
          <t>Analytics Engineer 5 - Member Insights Engineering</t>
        </is>
      </c>
      <c r="C3" t="inlineStr">
        <is>
          <t>Netflix</t>
        </is>
      </c>
      <c r="D3" t="inlineStr">
        <is>
          <t>linkedin</t>
        </is>
      </c>
      <c r="E3" t="inlineStr"/>
      <c r="F3" t="inlineStr"/>
      <c r="G3" t="inlineStr"/>
      <c r="H3" t="inlineStr"/>
      <c r="I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Member DSE is at the forefront of these innovations. Our mission is to use data to improve how subscribers experience streaming and to drive higher\-quality viewing and discovery experiences, no matter where, how, and when global members are watching. The Member Insights Engineering team combines capabilities across the analytical data and tooling/services/libraries layers with the goal of delivering insights through applications. The work on the Insights Engineering team has a strong technical lean and requires the ability to work effectively with engineering\-centric tooling and systems.
 As an Analytics Engineer, you’ll be at the forefront of using analytics and data engineering skills on big data while working with product, technology, and business teams. In this role, you will be developing and maintaining data pipelines, tools, and data products that make insights about our subscribers widely available across the company. You’ll build these data products in partnership with an interdisciplinary team of engineers, designers, analysts, and scientists. This role directly supports the New Content Experiences team, which is responsible for expanding Netflix’s content offering beyond traditional shows and movies to include new, more casual, timely, and interactive formats.
**In This Role, You Will**
* Develop and maintain data pipelines, tooling, and visualizations that make member insights widely available across the company
* Identify, compute, and validate the appropriate data sources and metrics to measure success in a product area
* Partner with data engineers to design and implement a data architecture that bridges across experimentation, analytics, and operational reporting
* Partner with product managers and engineering to conduct forensic investigations into logging, including real\-time monitoring of new features the team is launching to support live events
* Proactively explore trends in member engagement to surface future opportunities
* Cultivate strong partnerships with cross\-functional stakeholders
* Coach partners to self\-serve with existing tools, and evangelize for scaled approaches to expand data access and insights beyond our team
**We Are Looking For**
* Passion for using data to see Netflix from the eyes of our members
* Exceptional communication with technical and non\-technical audiences; highly effective at developing meaningful stakeholder relationships and deep domain expertise
* Comfort with ambiguity; ability to thrive with minimal oversight and process
* Highly fluent in SQL for working with big data; familiarity with dbt is a plus
* Proficient with scripting languages such as Python
* Experienced in engineering data pipelines and orchestrating workflows
* Passion for exploring and improving technical datasets and logging
* Familiarity with software engineering best practices (e.g. source control, code reviews, unit testing)
* Embodies the Netflix values while bringing a new perspective to continue improving our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$170K \- $720K.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
      <c r="A4" t="inlineStr">
        <is>
          <t>li-4343829997</t>
        </is>
      </c>
      <c r="B4" t="inlineStr">
        <is>
          <t>Data Engineer</t>
        </is>
      </c>
      <c r="C4" t="inlineStr">
        <is>
          <t>MasterClass</t>
        </is>
      </c>
      <c r="D4" t="inlineStr">
        <is>
          <t>linkedin</t>
        </is>
      </c>
      <c r="E4" t="inlineStr"/>
      <c r="F4" t="inlineStr"/>
      <c r="G4" t="inlineStr"/>
      <c r="H4" t="inlineStr"/>
      <c r="I4" t="inlineStr">
        <is>
          <t>**Who we are:** 
 MasterClass is
 *the* 
 streaming platform where the world’s best come together so anyone, anywhere, can access and be inspired by their knowledge and stories. We put you in the room with the creators, thinkers, makers and leaders who have changed the world, so that you can change yours.
 Members get unprecedented access to 150\+ instructors and classes across a wide variety of fields, including Arts \&amp; Entertainment, Business, Design \&amp; Style, Sports \&amp; Gaming, Writing and more. Step into Nas’ recording studio and Gordon Ramsay’s kitchen, and go behind the big screen with James Cameron. Design your career with Elaine Welteroth, get ready to win with Lewis Hamilton, perfect your pitch with Shonda Rhimes and discover your inner negotiator with Chris Voss.
 It's a pivotal time for MasterClass – and we want you to be a part of the journey. With offices in San Francisco (HQ) and Waterloo, Ontario plus a studio in Los Angeles, we are looking to expand our team to support the business.
 If you want to help make an impact on our members' lives – we want to hear from you!
**Summary of The Role:** 
 Data, and how they are used, play a central role at MasterClass and are at the heart of how we make business, product, content, and operational decisions. At MasterClass, data is pivotal to our decision\-making processes, influencing business strategies, product development, content creation, and operational efficiency. Our growing Data teams sit at the core of the company and collaborate with various departments to drive decisions and provide direction for future growth at MasterClass. Our expanding Data teams are central to the company, collaborating across multiple departments to drive decisions and steer future growth at MasterClass. Our Data engineering team tackles challenging problems across many technical disciplines, including data warehouse, cloud infrastructure, data orchestration systems, critical integrations (and more.) We seek an exceptional Data Engineer to help design, build, and operate our data platform to scale the business and enable the Data organization and teams to solve challenges.
**What You Will Do:** 
* Design, build, and manage our data warehouse, data storage, and data ingestion solutions.
* Implement robust and fault\-tolerant systems for data ingestion and processing.
* Develop canonical datasets to track key product metrics, including user growth, engagement, and revenue.
* Understand and translate business needs into data models to support long\-term, scalable, and reliable data pipelines
* Enhance and maintain the Data Infrastructure using best practices and latest features to ensure high data quality.
* Define and manage SLA’s for data sets and processes running in production
* Continuously improve our data infrastructure and empower teams with the best data tooling and systems.
* Build strong cross\-functional partnerships with Data Analysts, Product Managers, and Software Engineers to understand data needs and deliver on those needs.
* Participate in data architecture and engineering decisions, leveraging your strong experience and knowledge.
* Build lineage and auditability into data pipelines
* Be part of a data engineering team that is also responsible for the reliability of the data systems that are built and be available to respond to critical incidents as needed
* Ensure the security, integrity, and compliance of data in accordance with industry and company standards.
**About You (Requirements):** 
* 4\+ years of experience in Data Engineering and Data Warehousing
* Experience scaling data environments with distributed processing technologies and frameworks.
* Advanced proficiency with SQL, Python, Postgres, and  integrations via APIs
* Experience working in an AWS cloud environment in designing and implementing cloud data warehouses, other types of storage, and developing ETL/ELT pipelines
* Experience integrating and building a data platform in support of BI, Analytics, and Data Science
* Expertise with ETL schedulers such as Airflow, Dagster, Prefect, or similar frameworks.
* AI tools knowledge that includes an understanding of prompt engineering and how data impacts LLM performance in RAG pipelines; familiarity with modern AI technology stacks; ensuring high\-quality data inputs for AI models; and integrating AI capabilities into business intelligence solutions.
* Strong communication skills, with the ability to initiate and drive projects proactively and accurately
* Eligible to work in the United States legally
**At MasterClass, we believe we put our best work forward when our employees bring together ideas that are diverse in thought.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In addition, MasterClass will provide reasonable accommodations for qualified individuals with disabilities.  If you have a disability or special need, we would like to know how we can better accommodate you.** 
 The salary range listed is for NYC/CA/WA. As a company, we have a location based strategy, which means the disclosed range estimate has not been adjusted for any applicable geographic differential associated with the location where the position may be filled.MasterClass’s salary ranges are based on paying competitively for our size and industry. In addition to salary, we also offer equity and comprehensive benefits (medical, dental, vision, flexible PTO, and more). The range listed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with you as a candidate.
 Salary Range: $142,000 USD \- $170,000 USD</t>
        </is>
      </c>
    </row>
    <row r="5">
      <c r="A5" t="inlineStr">
        <is>
          <t>li-4344041555</t>
        </is>
      </c>
      <c r="B5" t="inlineStr">
        <is>
          <t>Data Engineer</t>
        </is>
      </c>
      <c r="C5" t="inlineStr">
        <is>
          <t>Microsoft</t>
        </is>
      </c>
      <c r="D5" t="inlineStr">
        <is>
          <t>linkedin</t>
        </is>
      </c>
      <c r="E5" t="inlineStr"/>
      <c r="F5" t="inlineStr"/>
      <c r="G5" t="inlineStr">
        <is>
          <t>Redmond, WA</t>
        </is>
      </c>
      <c r="H5" t="inlineStr"/>
      <c r="I5" t="inlineStr">
        <is>
          <t>**Overview**
 What a time to join Microsoft! The
 **Office of the Chief Economist, Corporate Vice President,** 
 works across the company to pursue commercial value using economics and data science. Examples of our work include algorithms that grow Microsoft’s cloud revenue and resource efficiency; some of the first\-ever studies of how Artificial Intelligence (AI) changes the way that people work; and market design for software resellers.
 We are looking for a
 **Data Engineer** 
 with broad technical skills, communication finesse, and the ability to quickly prototype proof\-of\-concept web apps. You will work alongside world\-class colleagues on high\-visibility projects answering some of Microsoft’s most pressing challenges. You will support your team through reliable data pipelines, data quality monitoring, and good MLops practices.
 We operate primarily on Microsoft Fabric, using Spark, python, and SQL. Some of us use R for analysis, others write fully fledged Batch jobs or prototype webapps in typescript. Given the cross\-cutting nature of our work, we often need to merge data from different sources and datalake generations. You will have substantial freedom in choosing the best tools to get the job done.
**Successful candidates** 
 plan ahead to build dependable pipelines and infrastructure. They can explain complexity and find pragmatic shortcuts without jeopardizing overall architecture. They enjoy learning not just about ways to move data around, but also what the data means. They collaborate with data scientists and economists to deliver impact, whether through one\-off decision support for high\-stakes business decisions or through innovating new apps and processes.
 Our
 **team values** 
 entrepreneurship, craftsmanship, and continuous learning. You will be able to shape and grow a positive and productive data engineering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Build and maintain reliable data pipelines, including observability and data quality monitoring.
* Promote good engineering and MLops practices in your team.
* Further the team’s understanding of business data and the processes behind it.
* With the team, build a robust product that makes data, econometrics, and machine learning (ML) useful for deal teams in the field.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2\+ years of experience with query systems such as SQL or Spark, and management platforms such as Fabric, Databricks, SQL Server or Cosmos.
* 1\+ years of experience running data engineering for production\-grade machine learning systems. Ideally in a modern cloud stack, including serverless methods.
* 1\+ years of experience prototyping webapps (whether fully in typescript, or sim\-my in python streamlit).
* Experience with Sales processes.
* Demonstrated experience leveraging your skills using AI.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li-4358259290</t>
        </is>
      </c>
      <c r="B6" t="inlineStr">
        <is>
          <t>Data Engineer</t>
        </is>
      </c>
      <c r="C6" t="inlineStr">
        <is>
          <t>Microsoft</t>
        </is>
      </c>
      <c r="D6" t="inlineStr">
        <is>
          <t>linkedin</t>
        </is>
      </c>
      <c r="E6" t="inlineStr"/>
      <c r="F6" t="inlineStr"/>
      <c r="G6" t="inlineStr">
        <is>
          <t>Redmond, WA</t>
        </is>
      </c>
      <c r="H6" t="inlineStr"/>
      <c r="I6" t="inlineStr">
        <is>
          <t>**Overview**
 Join Microsoft’s Microsoft 365 Growth \+ Experiences FastTrack Data Engineering team, the architects behind MIDAS (Microsoft Intelligent Data Analytics System)—the backbone powering 30\+ business applications, self\-service analytics, and AI\-driven insights. Our mission is to deliver a single source of truth and version for data, eliminating redundancies and duplications by applying FastTrack’s unique business rules centrally. This unified approach transforms traditional deployment experiences into reliable, data\-driven, personalized, automated, AI\-powered onboarding services for delivery and partner personas.
 As a
 **Data Engineer** 
 , you’ll design, build, and optimize data solutions—including but not limited to transactional and star/snowflake data models, data engineering pipelines —that accelerate customer success, enable M365 Copilot and E5 solution deployment and adoption, and support strategic decision\-making across the Microsoft ecosystem. You’ll thrive in a collaborative, growth\-mindset environment, partnering with engineering, product, delivery, partner, and business teams to deliver secure, scalable, and innovative data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\&amp; Develop: Build and optimize data pipelines, models, and storage solutions using technologies like SQL, Azure Synapse, Fabric, Data Factory and GenAI.
* End\-to\-End Ownership: Align discrete tasks into complete technical solutions for data ingestion, transformation, and provisioning.
* Collaboration: Work closely with PMs, software engineers, and business stakeholders to deliver secure, scalable, and efficient data solutions.
* Quality \&amp; Testing: Implement unit and integration testing, CI/CD pipelines, and ensure compliance with security and privacy standards.
* Continuous Improvement: Review module/feature issues, identify opportunities for optimization, and proactively resolve problems before they escalate.
* Documentation: Create design documents, data models, and operational runbooks for maintainability and transparency.
**Qualifications**
**Required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 OR equivalent experience.
**Preferred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5\+ years experience in business analytics, data science, software development, data modeling, or data engineering OR equivalent experience.
* 1\+ year(s) experience with data governance, data compliance and/or data security.
* Experience with Microsoft data stack (Azure, Fabric, Synapse, Data Factory, Databricks, Power BI, GenAI, Copilot, Agent).
* Knowledge of AI/ML/GenAI data workflows and analytics.
* Exposure to large\-scale telemetry, customer health, enterprise data platform/warehouse or business intelligence systems.
* Demonstrated growth mindset and commitment to diversity and inclusion.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
      <c r="A7" t="inlineStr">
        <is>
          <t>li-4358510057</t>
        </is>
      </c>
      <c r="B7" t="inlineStr">
        <is>
          <t>Data Engineer</t>
        </is>
      </c>
      <c r="C7" t="inlineStr">
        <is>
          <t>Microsoft</t>
        </is>
      </c>
      <c r="D7" t="inlineStr">
        <is>
          <t>linkedin</t>
        </is>
      </c>
      <c r="E7" t="inlineStr"/>
      <c r="F7" t="inlineStr"/>
      <c r="G7" t="inlineStr">
        <is>
          <t>Redmond, WA</t>
        </is>
      </c>
      <c r="H7" t="inlineStr"/>
      <c r="I7" t="inlineStr">
        <is>
          <t>**Overview**
 Join Microsoft’s Microsoft 365 Growth \+ Experiences FastTrack Data Engineering team, the architects behind MIDAS (Microsoft Intelligent Data Analytics System)—the backbone powering 30\+ business applications, self\-service analytics, and AI\-driven insights. Our mission is to deliver a single source of truth and version for data, eliminating redundancies and duplications by applying FastTrack’s unique business rules centrally. This unified approach transforms traditional deployment experiences into reliable, data\-driven, personalized, automated, AI\-powered onboarding services for delivery and partner personas.
 As a
 **Data Engineer** 
 , you’ll design, build, and optimize data solutions—including but not limited to transactional and star/snowflake data models, data engineering pipelines —that accelerate customer success, enable M365 Copilot and E5 solution deployment and adoption, and support strategic decision\-making across the Microsoft ecosystem. You’ll thrive in a collaborative, growth\-mindset environment, partnering with engineering, product, delivery, partner, and business teams to deliver secure, scalable, and innovative data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\&amp; Develop: Build and optimize data pipelines, models, and storage solutions using technologies like SQL, Azure Synapse, Fabric, Data Factory and GenAI.
* End\-to\-End Ownership: Align discrete tasks into complete technical solutions for data ingestion, transformation, and provisioning.
* Collaboration: Work closely with PMs, software engineers, and business stakeholders to deliver secure, scalable, and efficient data solutions.
* Quality \&amp; Testing: Implement unit and integration testing, CI/CD pipelines, and ensure compliance with security and privacy standards.
* Continuous Improvement: Review module/feature issues, identify opportunities for optimization, and proactively resolve problems before they escalate.
* Documentation: Create design documents, data models, and operational runbooks for maintainability and transparency.
**Qualifications**
**Required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 OR equivalent experience.
**Preferred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5\+ years experience in business analytics, data science, software development, data modeling, or data engineering OR equivalent experience.
* 1\+ year(s) experience with data governance, data compliance and/or data security.
* Experience with Microsoft data stack (Azure, Fabric, Synapse, Data Factory, Databricks, Power BI, GenAI, Copilot, Agent).
* Knowledge of AI/ML/GenAI data workflows and analytics.
* Exposure to large\-scale telemetry, customer health, enterprise data platform/warehouse or business intelligence systems.
* Demonstrated growth mindset and commitment to diversity and inclusion.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li-4339141825</t>
        </is>
      </c>
      <c r="B8" t="inlineStr">
        <is>
          <t>Senior Analytics Engineer</t>
        </is>
      </c>
      <c r="C8" t="inlineStr">
        <is>
          <t>Earnest</t>
        </is>
      </c>
      <c r="D8" t="inlineStr">
        <is>
          <t>linkedin</t>
        </is>
      </c>
      <c r="E8" t="inlineStr"/>
      <c r="F8" t="inlineStr"/>
      <c r="G8" t="inlineStr"/>
      <c r="H8" t="inlineStr"/>
      <c r="I8" t="inlineStr">
        <is>
          <t>**Our mission is to make higher education accessible and affordable for everyone.** 
 We empower students with financial support and supercharge their ability to pay down their debt, so they can get on the right financial track, fast.
 We build tools that help people feel in control of their financial future, including:
* ****Private student loans****
 \- low rates, people\-first service, and flexible payments.
* ****Student loan refinancing****
 \- break free from high\-interest rates or monthly payments.
* ****Scholarships****
 \- access to thousands of scholarships to help students pay less.
 Earnies are committed to helping students live their best lives, free from the stress of student debt. If you’re as passionate as we are about our mission, read more below, and let’s build something great together!
**The Senior Analytics Engineer will report to the Senior Manager \- Data Platform \&amp; Analytics Engineering.** 
**As the Senior Analytics Engineer,  you will:** 
* Transform raw data into well\-structured datasets using dbt.
* Collaborate with analysts, data scientists, and engineers to develop scalable data models that power experiments, ML models, and reporting.
* Define and implement best practices for data modeling, quality, and governance.
* Ensure data reliability and accuracy through robust validation and monitoring processes.
* Develop advanced analytics solutions and dashboards in Looker to give stakeholders actionable insights.
**Your impact:** 
* Enable accurate reporting and analytics by building and maintaining scalable, high\-quality data models.
* Ensure stakeholders have access to trusted insights through improving data reliability, governance, and monitoring.
* Empower analysts and data scientists by delivering clean, structured data for ML models, experiments, and reporting.
* Drive business growth and operational efficiency by optimizing financial reporting, customer analytics, and product insights.
* Drive data\-driven decision\-making and innovation by collaborating with cross\-functional teams.
**About you:** 
* 2\+ years of experience in data transformation and task scheduling tools such as dbt and Airflow
* 2\+ years of experience maintaining and building in BI/analytics tools (Looker, Tableau, or similar tooling)
* 2\-3 years of experience with cloud data warehouses, such as Snowflake, Google BigQuery, Amazon Redshift, or similar platforms
* Expert\-level SQL skills
* Experience in the Fintech industry
* 2\+ years of experience working with AWS services (IAM, DMS, Ansible, Terraform, etc.)
* Working knowledge of Python
**Where** 
* This role will be based in the US and is fully remote
 A little about our pay philosophy: We take pride in compensating our employees fairly and equitably. We are showcasing a range of your potential base salary based on the roles location. The successful candidate’s starting pay will also be determined based on job\-related qualifications, internal compensation, candidate location and budget. This range may be modified in the future.
 Pay Range : $175,000 USD \- $205,000 USD
**Earnest believes in enabling our employees to live their best lives. We offer a variety of perks and competitive benefits, including:** 
* Health, Dental, \&amp; Vision benefits plus savings plans
* Mac computers \+ work\-from\-home stipend to set up your home office
* Monthly internet and phone reimbursement
* Employee Stock Purchase Plan
* Restricted Stock Units (RSUs)
* 401(k) plan to help you save for retirement plus a company match
* Robust tuition reimbursement program
* $1,000 travel perk on each Earnie\-versary to anywhere in the world
* Competitive days of annual PTO
* Competitive parental leave
**What Makes an Earnie:** 
 At Earnest, our people bring our cultural principles to life. These principles define how we work, how we win, and what we expect of ourselves and each other:
* ****Every Second Counts****
 : Speed is our competitive advantage. Our customers need better solutions, and the faster we execute, the greater our chance of success.
* ****Choose To Do Hard Things****
 : We win by tackling the hard things that others avoid, fueled by grit and resilience.
* ****Pursue Excellence****
 : Great companies, teams, and individuals never settle and are proud of the work that they do. What’s good enough today won’t be good enough tomorrow. Excellence isn’t a destination; it’s a mindset of continuous improvement.
* ****Lead Together****
 : Our success comes from how we work together. Leadership is not about titles—it is about action. We take ownership, drive results, and move forward as a team.
* ****Don’t Take Yourself Too Seriously****
 : We take our work seriously, not ourselves. The stakes are high, but a sense of humor keeps us grounded, creative, and resilient.
**At Earnest, we are committed to building an environment where our employees feel included, valued, and heard. Our belief is that a strong commitment to diversity, inclusion, equity, and belonging enables us to move forward with our mission. We are dedicated to adding new perspectives to the team and encourage anyone to apply if your experience is close to what we are looking for.** 
*Earnest provides equal employment opportunities (EEO) to all employees and applicants for employment without regard to race, color, religion, sex, national origin, age, sexual orientation, gender identity, veteran status, disability or genetics. Qualified applicants with criminal histories will be considered for the position in a manner consistent with the Fair Chance Ordinance.*</t>
        </is>
      </c>
    </row>
    <row r="9">
      <c r="A9" t="inlineStr">
        <is>
          <t>li-4358376007</t>
        </is>
      </c>
      <c r="B9" t="inlineStr">
        <is>
          <t>Senior Data Analytics Engineer</t>
        </is>
      </c>
      <c r="C9" t="inlineStr">
        <is>
          <t>Steer</t>
        </is>
      </c>
      <c r="D9" t="inlineStr">
        <is>
          <t>linkedin</t>
        </is>
      </c>
      <c r="E9" t="inlineStr"/>
      <c r="F9" t="inlineStr"/>
      <c r="G9" t="inlineStr">
        <is>
          <t>Atlanta, GA</t>
        </is>
      </c>
      <c r="H9" t="inlineStr"/>
      <c r="I9" t="inlineStr">
        <is>
          <t>Steer offers a suite of software tools for today's automotive repair shop. We combine a mix of software tools that a repair shop needs to run a highly profitable shop, in one user\-friendly, cost\-effective platform. Through the Steer suite, we allow the shop owner to get back to focusing on what matters, and to stop worrying about marketing and customer retention.
 Steer began as an online directory for drivers to find a local mechanic. Fast forward to today, Steer has launched a complete Customer Relationship Management (CRM) marketing suite, complete with text messaging, email automation, direct mail integration, reputation management, appointment reminders, declined/recommended services, and many other features. We are always innovating and we are proud to be a leader in the automotive repair industry. In August 2024 Steer acquired AutoOps \- the leader in modern, intelligent, and fully integrated scheduling software for auto repair shops. AutoOps allows customers to smoothly schedule through a shop's website and Google Business Profile.
**About The Role**
 We are looking for a versatile and highly experienced
 **Senior Data Analytics Engineer** 
 to join our team. Reporting to the VP of Product \&amp; Data, you will play a foundational role in building our data tech stack, shaping our data culture, and helping build innovative data\-driven products.
**Our Data team is not a service desk.** 
 We operate as a product team, building the data assets that help us innovate on product and maintain high growth. You will replace "gut feel" with scalable, self\-serve data assetsâ€”such as version\-controlled dbt models, certified semantic layers, and predictive scoring mechanismsâ€”that empower the wider organization to make decisions without constant intervention.
 This is a builder's role. You will help define how we extract value from our data, turning raw inputs into a strategic asset. You won't just be running queries; you will be establishing trust in our numbers, helping select the right tools for our stack, and enabling the leadership team to make decisions with confidence.
 You will need to be comfortable working across the entire data lifecycle, and you must be willing to get your hands dirty first. On Monday, you might be scrubbing historical data to fix a discrepancy; on Tuesday, you might be answering ad\-hoc SQL questions for the Executive Team; and on Wednesday, you might be prototyping a proprietary predictive model to forecast service demand for our shops. We need someone who thrives in ambiguity and values speed, clarity, and truth.
**You Will**
* Establish Trust and Cleanliness (The "Dirty Work"): We are transparent: there is significant work to be done to clean our data before the "fun" analysis can begin. You will proactively find the messiness in our data sources and identify gaps in our tracking. You understand that rigorous data cleaning is the prerequisite to interesting modeling.
* Build the Modern Stack (BI as Code): You will treat analytics like software. You will help us choose and deploy dbt (data build tool) and a modern BI platform, building version\-controlled models and CI/CD pipelines to ensure our data logic is tested, documented, and reliable. You will utilize modern AI tooling (Copilot) to accelerate development, actively working to reduce build times and optimize costs as we scale.
* Enable Self\-Service via "Explore" Environments: You will not just build dashboards; you will implement "Explore" environments and certified semantic layers that allow non\-technical stakeholders to answer their own questions safely.
* Master Three Data Domains: You will be responsible for synthesizing insights across three critical areas:
+ The Unified Customer View: You will tackle our biggest data challengeâ€”joining disparate data sets (Product data, HubSpot CRM, and Chargebee billing) to create a single, trusted view of the customer. You will enable us to answer "Who is using the product, are they paying, and are they happy?" in one query.
+ Leadership \&amp; GTM Strategy: You will partner with Sales, Marketing, and CS leadership to present high\-level business metrics (funnel health, retention trends), ensuring our executives are navigating with a clear dashboard.
+ Product Data: Analyzing feature adoption and user behavior to support Product Managers.
+ Shop Health \&amp; Industry Trends: You will analyze aggregate data on how our customers' businesses are performing. Your insights will allow our CS and Marketing teams to act as trusted advisors to shop owners, help Product build the right tools to solve shop problems, and position our company as the industry expert on automotive trends.
* Master Event\-Based Analytics: You will go beyond transactional SQL. You will define and analyze the user journey through clickstream data, distinguishing between "active users" and "engaged users" to drive our product innovation.
* Collaborate with Engineering: You will act as a strategic partner, not a siloed analyst. While we have Data Engineering support to help move the bits, we rely on you to define the logic. You will work directly with software engineers to define tracking specifications (schema design) before features are shipped.
* Drive Data Culture: You will move the company away from "gut feel" and reliance on ad\-hoc CSV exports. You will train stakeholders on how to use data, helping them understand the difference between a "vanity metric" and a "growth lever."
**You Have**
**Must Have**
* 8\+ years of experience in product analytics, analytics engineering, or data science.
* The "Modern Analyst" Toolkit: You are comfortable with Command\-Line Interfaces (CLI)Git\-based version control, and CI/CD pipelines. You understand that modern analytics is a software engineering discipline.
* Deep dbt Expertise: You have extensive experience using dbt to build clean, tested, and documented data models. You know how to structure a project for scale.
* Event\-Based Analytics Mastery: You have deep expertise in analyzing user behavior (clickstream data) using tools like Amplitude, Mixpanel, or Heap. You understand the difference between analyzing transactions (SQL) and events (User Journeys).
* Builder Mindset: You have successfully built a stack (tools/processes) from scratch in a previous role. You don't wait for permission to fix broken processes.
* Data Quality Obsession: You spot when a number "looks wrong," and you have the curiosity to dig in, find the root cause, and fix the definition.
**Nice To Have**
* Experience with ELT Tools: Familiarity with configuring modern connectors like Fivetran or Airbyte
* AI/LLM Familiarity: Experience using LLMs to accelerate data exploration, generate semantic layers, or enhance productivity.
* Experience merging data from multiple product lines (e.g., post\-acquisition integration).
* Familiarity with the data schemas of Product databasesHubSpot, and Chargebee (or similar CRM/Billing platforms).
* Experience working with Snowflake
* Background in B2B SaaS
* Ability to commute to the Waltham office on occasion.
**Interview Process**
* Initial Screen (30min)
* Hiring Manager Interview (60min)
* Project Review and Mini Live Case Study (60min) \&amp; Tech Screen (30min)
* Career Journey Interview (60min) and Executive Interview (30min)
* Reference Checks
**We Offer**
* 100% remote work environment
* Medical, Dental and Vision insurance within 30 days
* 100% employer\-paid medical insurance
* Equity package
* Flexible PTO with 15 days minimum
* Generous Parental Leave
* FSA and HSA options
* 401(k)
* Learning Stipend
* WFH Equipment
* Chance to work with the latest technology
* A collaborative, high ownership culture
* Opportunities for development and career growth
**Why Join Steer?** 
 At Steer, we align our mission of transforming the auto repair experience for shop owners and their customers with your passion for growth, innovation, and excellence.
 Here, you'll find opportunities to expand your skills, take on career\-shaping challenges, and contribute to the future of the auto repair industry, all while enjoying comprehensive benefits and flexible work arrangements to support your well\-being.
 Join Steer to be part of a forward\-thinking, flexible, and collaborative culture where you are empowered to do meaningful and impactful work.
 We value diversity and believe that forming teams in which everyone can be their authentic self is key to our success. We welcome applications from those with diverse backgrounds and industries.
 Our hiring process looks beyond just credentials. The school you went to at 18 doesn't define your potential to thrive and enrich our culture. Even if you don't meet every requirement, we invite you to apply.</t>
        </is>
      </c>
    </row>
    <row r="10">
      <c r="A10" t="inlineStr">
        <is>
          <t>li-4338924647</t>
        </is>
      </c>
      <c r="B10" t="inlineStr">
        <is>
          <t>Data Engineer</t>
        </is>
      </c>
      <c r="C10" t="inlineStr">
        <is>
          <t>Veev, By Lennar</t>
        </is>
      </c>
      <c r="D10" t="inlineStr">
        <is>
          <t>linkedin</t>
        </is>
      </c>
      <c r="E10" t="inlineStr"/>
      <c r="F10" t="inlineStr"/>
      <c r="G10" t="inlineStr">
        <is>
          <t>Hayward, CA</t>
        </is>
      </c>
      <c r="H10" t="inlineStr"/>
      <c r="I10" t="inlineStr">
        <is>
          <t>**About Veev**
 Veev is leading the transformation of the construction industry with an innovative approach to modular home construction. Veev’s prefabricated closed\-panel systems allow homes to be assembled efficiently on\-site while delivering a more sustainable and higher\-quality final product than traditional construction. As a new subsidiary of Lennar, Veev leverages the strength and scale of its parent company while maintaining the speed and disruptive approach of its roots as a Silicon Valley\-based startup. Veev has developed a vertically integrated approach that involves multidisciplinary collaboration across real estate, design, development, engineering, manufacturing, and construction.
 This role is critical to Veev's mission of transforming the construction industry with modern, sustainable, and efficient construction techniques. As a Data Engineer, you will directly enable efficiency, scalability, and data\-driven decision\-making by designing, building, and maintaining reliable data pipelines and centralized reporting systems. Your work will provide the trusted data foundation that empowers Veev to scale operations, improve sustainability, and drive industry\-wide change through actionable insights and advanced forecasting.
**The Role**
 As a Data Engineer at Veev, you will play a critical role in enabling the company’s Business and Operational Dashboard initiative by designing, building, and maintaining the data infrastructure that powers organizational insights. You will ensure data pipelines are reliable, scalable, and secure—serving as the backbone for decision\-making across executive leadership, operations, finance, and technology teams.
 Working closely with the Program Manager, Business Analyst, and IT/IS teams, you will own the technical execution that ensures clean, automated, and efficient data flows from multiple systems (ERP, BI, operational platforms) into a centralized, trusted database.
**Responsibilities**
* Design, develop, and maintain robust ETL/ELT pipelines to integrate data from ERP, CRM, manufacturing, and operational systems. Build and optimize databases and data warehouses (e.g., Snowflake, SQL, or similar) to support enterprise reporting and advanced analytics.
* Enable centralized reporting by structuring core datasets for use in executive dashboards, QBR reports, and board\-level presentations. Ensure data quality and governance by implementing monitoring, validation, and alerting systems for data integrity.
* Partner with BI developers and analysts to deliver clean, structured datasets for dashboards and reporting tools (e.g., Tableau, Power BI, Superset).
* Automate workflows and data ingestion processes to ensure real\-time or near\-real\-time data availability.
* Collaborate with IT/IS teams to define schemas, APIs, and integration approaches for new and existing systems.
* Leverage machine learning and AI models to forecast business scenarios, predict operational trends, and support advanced planning use cases.
* Troubleshoot data\-related issues and optimize the performance of queries and pipelines.
* Support security and compliance standards, ensuring proper handling of sensitive and financial data.
* Continuously improve the scalability and resilience of Veev’s data infrastructure to match business growth.
**Must\-Have Skills And Competencies**
* Bachelor’s degree in Computer Science, Engineering, Information Systems, or a related field.
* 4\+ years of experience in data engineering, ETL/ELT development, or database management.
* Proven expertise in SQL, Python, or similar languages for building and maintaining data pipelines.
* Strong knowledge of data modeling, warehousing, and governance frameworks to support reliable reporting and analytics.
* Experience integrating data from multiple systems such as ERP, CRM, or operational platforms.
* Ability to work cross\-functionally with IT/IS, BI, and business stakeholders to deliver scalable solutions.
* Strong problem\-solving skills with attention to detail and performance optimization.
* Excellent communication skills to translate technical complexity into a business context.
**Nice\-to\-Have Skills And Competencies**
* Experience with Python, Spark, or other data processing frameworks.
* Knowledge of ERP integrations (e.g., NetSuite, SAP, Oracle).
* Familiarity with CI/CD pipelines and DevOps practices for data systems. Exposure to data governance, MDM (master data management), or data cataloging.
* Experience supporting digital transformation or large\-scale enterprise reporting projects.
**Compensation**
 Offers are based on a combination of experience, skills, and location. Pursuant to state and local pay disclosure requirements, the pay range for this role is $120k \- $150k annually for Hayward, CA.
**Core Benefits**
 Veev offers a comprehensive benefits package designed to support the well\-being and growth of its employees, including:
* Paid vacations, sick, and holidays
* Health benefits, including medical, dental, and vision insurance
* 401(k) with matching contributions
**Additional Perks**
* Pre\-tax Commuter Account
* Subsidized EV charging and commuter shuttles (some HQ locations)
* Growth \&amp; Development Opportunities
**Ready to Take the Next Step?**
 Be part of a mission\-driven team that’s transforming construction for the future. Apply today and help us build better, smarter, and more sustainable homes.
**Our Commitment to Inclusion**
 At Veev, we’re dedicated to fostering a diverse and inclusive environment where everyone can thrive. We strive to create a space where all employees can be their authentic selves, feel a sense of community, and do great work together. We actively seek to build a community where diverse perspectives are welcomed, and every employee feels empowered to be their authentic selves. We encourage applications from all backgrounds.</t>
        </is>
      </c>
    </row>
    <row r="11">
      <c r="A11" t="inlineStr">
        <is>
          <t>li-4330880197</t>
        </is>
      </c>
      <c r="B11" t="inlineStr">
        <is>
          <t>Data Engineer</t>
        </is>
      </c>
      <c r="C11" t="inlineStr">
        <is>
          <t>AARATECH</t>
        </is>
      </c>
      <c r="D11" t="inlineStr">
        <is>
          <t>linkedin</t>
        </is>
      </c>
      <c r="E11" t="inlineStr"/>
      <c r="F11" t="inlineStr"/>
      <c r="G11" t="inlineStr"/>
      <c r="H11" t="inlineStr"/>
      <c r="I11" t="inlineStr">
        <is>
          <t>**Data Engineer (3–4 Years Experience)** 
**Location:** 
**United States** 
 (
 *Remote / On\-site – based on client needs* 
 )
**Employment Type:** 
**Full\-time** 
 (
 *Contract or Contract\-to\-Hire* 
 )
**Experience Level:** 
**Mid\-level (3–4 years)** 
**Company:** 
**Aaratech Inc** 
 🛑
 **Eligibility:** 
*Open to* 
***U.S. Citizens***
*and* 
***Green Card holders***
*only. We do not offer visa sponsorship.* 
 🔍
 **About Aaratech Inc** 
**Aaratech Inc** 
 is a specialized IT consulting and staffing company that places elite engineering talent into high\-impact roles at leading U.S. organizations. We focus on modern technologies across
 **cloud** 
 ,
 **data** 
 , and
 **software** 
 disciplines. Our client engagements offer long\-term stability, competitive compensation, and the opportunity to work on cutting\-edge data projects.
 🎯
 **Position Overview** 
 We are seeking a
 **Data Engineer** 
 with
 **3–4 years of experience** 
 to join a client\-facing role focused on building and maintaining scalable
 **data pipelines** 
 , robust
 **data models** 
 , and modern
 **data warehousing** 
 solutions. You'll work with a variety of tools and frameworks, including
 **Apache Spark** 
 ,
 **Snowflake** 
 , and
 **Python** 
 , to deliver clean, reliable, and timely data for advanced analytics and reporting.
 🛠️
 **Key Responsibilities** 
* Design and develop scalable
 **Data Pipelines** 
 to support batch and real\-time processing
* Implement efficient
 **Extract, Transform, Load (ETL)** 
 processes using tools like
 **Apache Spark** 
 and
 **dbt**
* Develop and optimize queries using
 **SQL** 
 for data analysis and warehousing
* Build and maintain
 **Data Warehousing** 
 solutions using platforms like
 **Snowflake** 
 or
 **BigQuery**
* Collaborate with business and technical teams to gather requirements and create accurate
 **Data Models**
* Write reusable and maintainable code in
 **Python (Programming Language)** 
 for data ingestion, processing, and automation
* Ensure end\-to\-end
 **Data Processing** 
 integrity, scalability, and performance
* Follow best practices for
 **data governance** 
 ,
 **security** 
 , and
 **compliance**
 ✅
 **Required Skills \&amp; Experience** 
* **3–4 years** 
 of experience in
 **Data Engineering** 
 or a similar role
* Strong proficiency in
 **SQL** 
 and
 **Python (Programming Language)**
* Experience with
 **Extract, Transform, Load (ETL)** 
 frameworks and building
 **data pipelines**
* Solid understanding of
 **Data Warehousing** 
 concepts and architecture
* Hands\-on experience with
 **Snowflake** 
 ,
 **Apache Spark** 
 , or similar big data technologies
* Proven experience in
 **Data Modeling** 
 and data schema design
* Exposure to
 **Data Processing** 
 frameworks and performance optimization techniques
* Familiarity with cloud platforms like
 **AWS** 
 ,
 **GCP** 
 , or
 **Azure**
 ⭐
 **Nice to Have** 
* Experience with
 **streaming data pipelines** 
 (e.g., Kafka, Kinesis)
* Exposure to
 **CI/CD** 
 practices in data development
* Prior work in consulting or multi\-client environments
* Understanding of
 **data quality** 
 frameworks and monitoring strategies</t>
        </is>
      </c>
    </row>
    <row r="12">
      <c r="A12" t="inlineStr">
        <is>
          <t>li-4330614372</t>
        </is>
      </c>
      <c r="B12" t="inlineStr">
        <is>
          <t>Data Engineer</t>
        </is>
      </c>
      <c r="C12" t="inlineStr">
        <is>
          <t>AARATECH</t>
        </is>
      </c>
      <c r="D12" t="inlineStr">
        <is>
          <t>linkedin</t>
        </is>
      </c>
      <c r="E12" t="inlineStr"/>
      <c r="F12" t="inlineStr"/>
      <c r="G12" t="inlineStr"/>
      <c r="H12" t="inlineStr"/>
      <c r="I12" t="inlineStr">
        <is>
          <t>Job Title: Data Engineer – Cloud \&amp; Big Data
 🏢 Company: Aaratech Inc
 🛑 Eligibility: Only U.S. Citizens and Green Card holders are eligible.
 Please note that we do not offer visa sponsorship.
 Job Summary:
 Aaratech Inc. is seeking an experienced
 **Data Engineer – Cloud \&amp; Big Data** 
 to design and manage large\-scale data platforms. This role focuses on cloud\-based data engineering solutions that support advanced analytics and business intelligence.
 Key Responsibilities:
 🔹 Big Data \&amp; Cloud Engineering
 Design and maintain cloud\-based data pipelines and architectures.
 Work with large\-scale datasets and distributed systems.
 🔹 Data Platform Management
 Build and optimize data lakes and data warehouses.
 Ensure scalability and reliability.
 🔹 Data Quality \&amp; Performance
 Implement monitoring, validation, and optimization strategies.
 🔹 Collaboration
 Work with analytics, data science, and engineering teams.
 🔹 Tools \&amp; Technologies
 Use SQL, Python, Spark, cloud services, and ETL frameworks.
 Qualifications:
 ✅ Bachelor’s degree in Computer Science, Engineering, or related field
 ✅ Minimum 2 years of Data Engineering experience
 ✅ Strong SQL and Python skills
 ✅ Experience with cloud and big data technologies
 ✅ Strong problem\-solving and communication skills</t>
        </is>
      </c>
    </row>
    <row r="13">
      <c r="A13" t="inlineStr">
        <is>
          <t>li-4304272849</t>
        </is>
      </c>
      <c r="B13" t="inlineStr">
        <is>
          <t>Data Engineer</t>
        </is>
      </c>
      <c r="C13" t="inlineStr">
        <is>
          <t>10a Labs</t>
        </is>
      </c>
      <c r="D13" t="inlineStr">
        <is>
          <t>linkedin</t>
        </is>
      </c>
      <c r="E13" t="inlineStr"/>
      <c r="F13" t="inlineStr"/>
      <c r="G13" t="inlineStr"/>
      <c r="H13" t="inlineStr"/>
      <c r="I13" t="inlineStr">
        <is>
          <t>**About 10a Labs:** 
 10a Labs is an applied research and AI security company trusted by AI unicorns, Fortune 10 companies, and U.S. tech leaders. We combine proprietary technology, deep expertise, and multilingual threat intelligence to detect abuse at scale. We also deliver state\-of\-the\-art red teaming across high\-impact security and safety challenges.
**In This Role, You Will** 
* Design, implement, and optimize end\-to\-end data pipelines for scraping and processing structured and unstructured data using Google Cloud Platform (or similar) and best practices.
* Automate red teaming, including developing automated workflows for prompt generation, model evaluation, and execution of AI experiments.
* Conduct ad hoc web scraping and data collection to support research and intelligence initiatives.
* Design and automate workflows and research experiments, including for data curation, storage, and organization.
* Brainstorm novel research approaches to both known and emerging problems involving AI, data, and the internet.
* Implement robust error handling, logging, and monitoring.
* Design and maintain database schemas and pipeline infrastructure.
* Prepare data for further analysis, including data cleaning, transformation, anonymization, and masking.
* Contribute to the development of internal and external APIs, following best practices.
* Collaborate with ML engineers, data engineers, and software developers to deliver actionable insights and functional tools, including internal and external dashboards, APIs, and data dumps.
**Requirements** 
* Degree (or equivalent work experience) in Computer Science, Engineering, Information Science, Data Science or a related field (graduate degree preferred).
* 2\+ years of professional experience in data engineering or a closely related field.
* Ability to communicate complex technical ideas clearly to non\-technical audiences
* Proficiency in Python, SQL.
* Experience with web scraping/crawling (e.g., Beautiful Soup, Selenium, Scrapy).
* Familiarity with Google Cloud Platform (or similar), including storage and database services (e.g., Cloud Storage, CloudSQL, Cloud Spanner) and workflow orchestration (e.g., Cloud Composer/Airflow, Cloud Run, Pub/Sub).
* Experience building and managing data pipelines, especially for text data.
* Comfort working in fast\-moving, high\-impact environments, such as startups, AI research labs, or security\-focused teams.
* Experience deploying APIs on cloud platforms (GCP, AWS, Azure) with robust testing, CI/CD, and performance monitoring practices.
**Compensation \&amp; Benefits** 
* Salary Range: $105K–$125K, depending on experience and location.
* Bonus: Performance\-based annual bonus.
* Professional Development: Support for conferences, continuing education, or leadership training.
* Work Environment: Fully remote, U.S.\-based.
* Health Benefits: Comprehensive health, dental, and vision coverage.
* Time Off: Generous PTO and paid holiday schedule.
* Retirement: 401(k) plan.</t>
        </is>
      </c>
    </row>
    <row r="14">
      <c r="A14" t="inlineStr">
        <is>
          <t>li-4330733054</t>
        </is>
      </c>
      <c r="B14" t="inlineStr">
        <is>
          <t>Data Engineer</t>
        </is>
      </c>
      <c r="C14" t="inlineStr">
        <is>
          <t>AARATECH</t>
        </is>
      </c>
      <c r="D14" t="inlineStr">
        <is>
          <t>linkedin</t>
        </is>
      </c>
      <c r="E14" t="inlineStr"/>
      <c r="F14" t="inlineStr"/>
      <c r="G14" t="inlineStr"/>
      <c r="H14" t="inlineStr"/>
      <c r="I14"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5">
      <c r="A15" t="inlineStr">
        <is>
          <t>li-4358158865</t>
        </is>
      </c>
      <c r="B15" t="inlineStr">
        <is>
          <t>Data Engineer, AI</t>
        </is>
      </c>
      <c r="C15" t="inlineStr">
        <is>
          <t>C the Signs</t>
        </is>
      </c>
      <c r="D15" t="inlineStr">
        <is>
          <t>linkedin</t>
        </is>
      </c>
      <c r="E15" t="inlineStr"/>
      <c r="F15" t="inlineStr"/>
      <c r="G15" t="inlineStr"/>
      <c r="H15" t="inlineStr"/>
      <c r="I15" t="inlineStr">
        <is>
          <t>**About The Company** 
 C The Signs is at the forefront of healthcare innovation, dedicated to leveraging advanced artificial intelligence and machine learning technologies to transform patient care and health outcomes. We specialize in developing scalable data solutions that enable the creation and refinement of large language models (LLMs) tailored for healthcare applications. Our team is composed of passionate professionals committed to pushing the boundaries of technology to address complex healthcare challenges. With a strong emphasis on data security, compliance, and ethical AI practices, we strive to make a meaningful impact on global health systems and patient well\-being.
**About The Role** 
 The Data Engineer will play a pivotal role in developing and optimizing data pipelines essential for training and fine\-tuning our large language models and machine learning systems. This position involves managing the entire data lifecycle—from sourcing, cleaning, and structuring to ensuring the integrity and readiness of healthcare datasets. The ideal candidate will possess a robust understanding of data engineering principles, with hands\-on experience in big data technologies and a keen awareness of healthcare data standards and regulations such as HIPAA, FHIR, and HL7\. You will collaborate closely with data scientists and ML engineers to understand their data needs and deliver high\-quality datasets that underpin our AI innovations. Your expertise will directly contribute to the development of cutting\-edge healthcare AI solutions that aim to improve patient outcomes and advance medical research.
**Qualifications** 
* Bachelor’s degree in Computer Science, Engineering, or a related field
* Proven experience as a Data Engineer, with a focus on big data technologies
* Strong proficiency in programming languages such as Python, Scala, or Java
* Extensive experience with data warehousing, ETL processes, and data modeling
* Experience with major cloud providers (AWS, GCP, Azure) and their data storage and processing services
* Hands\-on experience with big data frameworks like Apache Spark for distributed processing
* Excellent problem\-solving skills and the ability to work independently and collaboratively
* Strong communication and interpersonal skills
**Responsibilities** 
* Collaborate with data scientists and machine learning engineers to understand data requirements for LLM and model fine\-tuning
* Design, build, and maintain scalable data pipelines to ingest, process, and store large healthcare datasets
* Implement data validation, monitoring, and quality assurance processes to ensure dataset integrity and accuracy
* Develop and optimize data structures and schemas for efficient access by AI models
* Identify, evaluate, and acquire new data sources while ensuring compliance with healthcare regulations such as HIPAA
* Monitor the performance of data pipelines, troubleshoot issues, and implement enhancements for efficiency and reliability
* Document data engineering processes, models, and data dictionaries for transparency and reproducibility
* Stay current with emerging trends and advancements in data engineering, big data, and AI technologies
**Benefits** 
* Competitive salary and comprehensive benefits package
* Flexible work arrangements, including remote and hybrid options
* Opportunity to work on innovative AI solutions that have a direct impact on patient care
* Collaborate with a talented team dedicated to improving health outcomes worldwide
* Access to continuous learning and professional development resources
* Participation in cutting\-edge projects at the intersection of healthcare and AI
 Equal Opportunity
 C The Signs is an equal opportunity employer committed to fostering an inclusive environment. All qualified applicants will receive consideration for employment without regard to race, color, religion, sex, national origin, age, disability, or any other protected status. We believe diversity drives innovation and are dedicated to creating a workplace that reflects the communities we serve.</t>
        </is>
      </c>
    </row>
    <row r="16">
      <c r="A16" t="inlineStr">
        <is>
          <t>li-4330842287</t>
        </is>
      </c>
      <c r="B16" t="inlineStr">
        <is>
          <t>Data Engineer</t>
        </is>
      </c>
      <c r="C16" t="inlineStr">
        <is>
          <t>AARATECH</t>
        </is>
      </c>
      <c r="D16" t="inlineStr">
        <is>
          <t>linkedin</t>
        </is>
      </c>
      <c r="E16" t="inlineStr"/>
      <c r="F16" t="inlineStr"/>
      <c r="G16" t="inlineStr">
        <is>
          <t>California, United States</t>
        </is>
      </c>
      <c r="H16" t="inlineStr"/>
      <c r="I16"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17">
      <c r="A17" t="inlineStr">
        <is>
          <t>li-4358491027</t>
        </is>
      </c>
      <c r="B17" t="inlineStr">
        <is>
          <t>Analytics Engineer</t>
        </is>
      </c>
      <c r="C17" t="inlineStr">
        <is>
          <t>James Search Group</t>
        </is>
      </c>
      <c r="D17" t="inlineStr">
        <is>
          <t>linkedin</t>
        </is>
      </c>
      <c r="E17" t="inlineStr"/>
      <c r="F17" t="inlineStr"/>
      <c r="G17" t="inlineStr"/>
      <c r="H17" t="inlineStr"/>
      <c r="I17"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18">
      <c r="A18" t="inlineStr">
        <is>
          <t>li-4330643040</t>
        </is>
      </c>
      <c r="B18" t="inlineStr">
        <is>
          <t>Data Engineer</t>
        </is>
      </c>
      <c r="C18" t="inlineStr">
        <is>
          <t>AARATECH</t>
        </is>
      </c>
      <c r="D18" t="inlineStr">
        <is>
          <t>linkedin</t>
        </is>
      </c>
      <c r="E18" t="inlineStr"/>
      <c r="F18" t="inlineStr"/>
      <c r="G18" t="inlineStr">
        <is>
          <t>Texas, United States</t>
        </is>
      </c>
      <c r="H18" t="inlineStr"/>
      <c r="I18"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9">
      <c r="A19" t="inlineStr">
        <is>
          <t>li-4344206925</t>
        </is>
      </c>
      <c r="B19" t="inlineStr">
        <is>
          <t>Analytics Engineer, People Analytics</t>
        </is>
      </c>
      <c r="C19" t="inlineStr">
        <is>
          <t>EquipmentShare</t>
        </is>
      </c>
      <c r="D19" t="inlineStr">
        <is>
          <t>linkedin</t>
        </is>
      </c>
      <c r="E19" t="inlineStr"/>
      <c r="F19" t="inlineStr"/>
      <c r="G19" t="inlineStr">
        <is>
          <t>St Louis, MO</t>
        </is>
      </c>
      <c r="H19" t="inlineStr"/>
      <c r="I19" t="inlineStr">
        <is>
          <t>**Build the Future with Us —** 
 EquipmentShare is Hiring a Analytics Engineer, People Analytics
 At EquipmentShare, we’re not just filling a role —
 **we’re assembling the best team on the planet to build something that’s never been built before** 
 . We’re on a mission to transform an industry that’s been stuck in the past by empowering contractors and communities through innovative technology, real\-time support, and a team that truly cares.
 We’re hiring a
 **Analytics Engineer, People Analytics** 
 for our Corporate HQ in
 **Columbia, MO** 
 and we’re looking for someone who’s ready to grow with us, bring energy and drive to their work, and help us build the future of construction. This position is fully remote.
 Serve as the point person for building and maintaining scalable data pipelines and data structures to support EquipmentShare’s People Analytics initiatives. Partners with HR, Finance, and the People Analytics team to manage data infrastructure and ETL processes efficiently, while contributing to internal tooling, automation, and AI/LLM initiatives.
**Primary Responsibilities**
* Develop SQL and Python pipelines extracting and transforming data from Workday, LMS, Qualtrics, and email inboxes via Fivetran.
* Maintain Snowflake/dbt data models, views, tasks, and transformations.
* Monitor pipelines, implement automated testing, and proactively resolve data quality or workflow issues.
* Build dashboards and analytics solutions using internal tools (e.g., Looker).
* Codify business rules into models, transformations, and automated testing frameworks.
* Support day\-to\-day reporting and analytics, reducing complexity in accessing and querying cross\-functional data.
**Core Focus Areas**
* Build and maintain scalable data pipelines and data structures to support People Analytics initiatives.
* Partner with Payroll, HR, Finance, IT, and other analytics teams to deliver structured, secure, and reliable data solutions.
* Contribute to internal tooling, automation, and AI/LLM\-driven projects, such as chatbots and workflow automation.
* Establish execution plans from start to finish for data initiatives and ensure successful implementation.
* Take strong ownership of data quality, integrity, and operational reliability across analytics pipelines.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Generous PTO \+ paid holidays
* 401(k) \+ company match
* Gym membership stipend \+ wellness programs (earn PTO and prizes!)
* Company events, food truck nights, and monthly team dinners
* 16 hours of paid volunteer time per year — give back to the community you call home
* Career advancement, leadership training, and professional development opportunities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**Skills \&amp; Qualifications**
* Desire to thrive in a fast\-paced environment and strong ability to adapt as priorities, timelines, and project scope shift.
* Strong verbal and written communication skills
* Ability to work without constant supervision and is a self starter
* Ability to work quickly and think logically, especially under pressure
* Thrives on learning and growth opportunities; desires new challenges and enjoys a good puzzle
* Sound communication skills and the ability to influence and manage cross\-functional stakeholders.
* Knowledge of payroll and benefit modules preferred.
* Detail oriented, but able to pivot and re\-prioritize efforts as required.
* Ability to use diplomacy and tact when handling problems
* Ability to be flexible and adapt to change in a positive manner
**Education And Experience**
* Bachelor’s degree in data analytics, data science, statistics, information technology, or a related field.
* At least 4 years of SQL experience, creating complex queries and scalable ETL solutions.
* At least 3 years of Python experience, building and automating data pipelines and processes.
* At least 2 years of experience in data modeling, including building production\-ready data structures and transformations.
* Experience with Snowflake, dbt, or similar data warehousing and modeling platforms.
* Experience developing test automation and workflow orchestration using tools such as Airflow, Dagster, GitLab CI/CD, or Jenkins.
* Experience reporting and querying cross\-functional HR, People Analytics, or operational data.
* Experience with Git for version control and collaborative development.
* Familiarity with cloud environments (AWS preferred) and modern data engineering tools, operating in a managed DevOps framework with primary responsibility for the application and data layer.
**Physical Requirements**
* Prolonged periods sitting at a desk and working on a computer.
* Must be able to lift 10 pounds at times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row>
    <row r="20">
      <c r="A20" t="inlineStr">
        <is>
          <t>li-4351733937</t>
        </is>
      </c>
      <c r="B20" t="inlineStr">
        <is>
          <t>Senior Data Engineer</t>
        </is>
      </c>
      <c r="C20" t="inlineStr">
        <is>
          <t>Patterson Companies, Inc.</t>
        </is>
      </c>
      <c r="D20" t="inlineStr">
        <is>
          <t>linkedin</t>
        </is>
      </c>
      <c r="E20" t="inlineStr"/>
      <c r="F20" t="inlineStr"/>
      <c r="G20" t="inlineStr">
        <is>
          <t>St Paul, MN</t>
        </is>
      </c>
      <c r="H20" t="inlineStr"/>
      <c r="I20" t="inlineStr">
        <is>
          <t>The Senior Data Engineer defines, develops, tests, analyzes, and maintains data and data applications. This includes a comprehensive understanding of the business impact of data and software as well as the technical implications when choosing architectures and technologies. The Senior Data Engineer works as part of a team on a moderately complex product, project or feature domain.
*Our preference is for this individual to be located within 50 miles of our Corporate Offices in either Mendota Heights, MN or Loveland, CO
 **.** 
 This is a Hybrid position and in\-person attendance is expected to foster collaboration, innovation, and team connection.*
**Essential Functions**
 To perform this job successfully, a Senior Data Engineer must be able to perform each essential function satisfactorily, with or without reasonable accommodation. To request reasonable accommodation, notify Human Resources or the manager who oversees the position.
* Collaborate with team members and stakeholders in the conceptualization and development of database and/or application functionality.
* Assist in the research, definition, development, and documentation of deliverables, and specifications in collaboration with team members.
* Monitor, investigate and implement improvements to database design and performance.
* Integrate efficiency and performance during all development activities.
* Test new and existing applications for the purpose of correcting errors and general debugging.
* Participate in defining application and database development plans, including scoping, scheduling, and implementation.
* Deploy database changes through environments to production upon completion of development, testing, and documentation.
* Define and employ best practices for data engineering.
* Mentor/coach and conduct code reviews based on defined best practices.
* Provide data and software support for bugs, issues, and escalated incident tickets from end users to resolve application and software issues.
* Partner with others in resolving problems with software products or company data systems.
* Recommend new technologies, approaches, and best practices.
* Define and enforce best practices for data engineering and software development.
**Additional Functions**
 In addition to the essential functions listed above, the incumbent may perform the following additional functions.
* Participate in regulatory and compliance activities.
**Required Qualifications**
* Bachelor's in Computer Science, Information Systems, a related field or equivalent work experience
* 6\+ years of application development or data science experience with increasingly complex projects.
* Comprehensive understanding of data, development and product life cycles
* Comprehensive understanding of data engineering and industry best practices
* Experience with data modeling, ETL frameworks, and distributed systems.
* Strong leadership, communication, and strategic thinking skills.
* Ability to conduct research into data and database\-related issues and products
* Ability to conduct research into data\-related issues for software products and systems
**Preferred Qualifications**
* Knowledge of programming for different delivery approaches such as on\-premises, web, cloud, and mobile
* Postgres (v12 or later) – 2\+ years
* Microsoft SQL Server
* Familiarity with SAP SQL Anywhere
* Windows operating system – 2\+ years
* Azure ecosystem – 1\+ years
* Azure DevOps (including Git)
* PowerShell or Batch Files
* C\#
* Visual Studio/VS Code
**Working Environment**
* Ability to work remote and be on camera as needed
* Periodic on call rotations and available outside of normal business hours on evenings and weekends during critical production release or issue escalation periods
*This role is eligible for hire in any of the following States: AK, AZ, CA, CO, CT, DC, HI, ID, IL, KS, KY, ME, MA, MI, MN, MT, NE, NV, NH, NM, NY, OR, RI, SD, TX, UT, VT, WA, WV, WI*
 The compensation range for this role is below.
 $100,000 \- $120,000
 The potential compensation range for this role is below. The final offer amount would be based on various factors such as candidate location (geographical labor market), experience, and skills. $109,100\.00 \- $136,300\.00</t>
        </is>
      </c>
    </row>
    <row r="21">
      <c r="A21" t="inlineStr">
        <is>
          <t>li-4344262161</t>
        </is>
      </c>
      <c r="B21" t="inlineStr">
        <is>
          <t>Data Engineer II</t>
        </is>
      </c>
      <c r="C21" t="inlineStr">
        <is>
          <t>Garner Health</t>
        </is>
      </c>
      <c r="D21" t="inlineStr">
        <is>
          <t>linkedin</t>
        </is>
      </c>
      <c r="E21" t="inlineStr"/>
      <c r="F21" t="inlineStr"/>
      <c r="G21" t="inlineStr">
        <is>
          <t>New York, NY</t>
        </is>
      </c>
      <c r="H21" t="inlineStr"/>
      <c r="I21" t="inlineStr">
        <is>
          <t>Healthcare quality is declining and soaring costs are crushing American families and businesses. At Garner, we've developed a revolutionary approach to evaluating doctor performance and a unique incentive model that's reshaping the healthcare economy to ensure everyone can afford high quality care. By providing organizations relief from surging healthcare costs, we've experienced rapid adoption in the market and have more than doubled our revenue annually over the last 5 years, becoming the fastest growing company in our space. To support our continued growth, we're expanding our team by over 50% each year, seeking exceptional talent to shape our unique, award winning culture (for example, USA Today Top Workplaces 2025\) designed to cultivate teamwork, trust, autonomy, exceptional results, and individual growth that creates an inflection point in your career.
**About the role:**
 We are looking for a Data Engineer II with a high sense of ownership who is excited about our mission, eager to learn and teach others, and can deliver across the tech stack. The ideal candidate should have experience with a modern data stack and implementations of data pipelines using Python and SQL in AWS.
**Where you will work:**
 This role will be based in our New York City office. You must be willing to work in the office 3 days per week on Tuesday, Wednesday and Thursday.
**What you will do:**
* Build, optimize, and maintain data pipelines that power our business
* Define and build out abstracted reusable data sets to be used for Business Intelligence, Marketing, and Data Science Research
* Design, build, and evangelize a federated data validation framework to be used to monitor potential data inconsistencies
* Protect our users' privacy and security through best practices
**Technologies we use:**
 Postgres/SQL, Snowflake, Python, AWS, Terraform, Argo, Airflow, Spark, DuckDB, Iceberg, Airbyte, DBT, ElasticSearch (aka OpenSearch), OpenTelemetry, Looker
**What you will bring to the team:**
* 2\+ years of software/data engineering experience (distributed data processing, data warehousing, data governance, Big Data, data variance, data privacy, and data quality).
* Expertise in SQL and Python
* Expertise in building scalable data pipelines, query optimization, data modeling, and defining reusable datasets
* Experience working with orchestration tools (especially Airflow), databases (especially PostgreSQL), data warehouses (especially Snowflake)
* Familiarity with SQL tuning, medallion/event\-driven architectures, and telemetry.
* Familiarity with healthcare or insurance
* Familiarity with data security and HIPPA compliance
**Please note: we are unable to sponsor or take over sponsorship of an employment visa at this time.**
**Compensation Transparency:**
 The target salary range for this position is $125,000\-$165,000\.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email domain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is>
      </c>
    </row>
    <row r="22">
      <c r="A22" t="inlineStr">
        <is>
          <t>li-4344053588</t>
        </is>
      </c>
      <c r="B22" t="inlineStr">
        <is>
          <t>Senior Data Engineer</t>
        </is>
      </c>
      <c r="C22" t="inlineStr">
        <is>
          <t>AMH</t>
        </is>
      </c>
      <c r="D22" t="inlineStr">
        <is>
          <t>linkedin</t>
        </is>
      </c>
      <c r="E22" t="inlineStr"/>
      <c r="F22" t="inlineStr"/>
      <c r="G22" t="inlineStr">
        <is>
          <t>Las Vegas, NV</t>
        </is>
      </c>
      <c r="H22" t="inlineStr"/>
      <c r="I22" t="inlineStr">
        <is>
          <t>Since 2012, we've grown to become one of the leading single\-family rental companies and homebuilders in the country, recently recognized as a top employer by Fortune and Great Place To Work®.  At AMH, our goal is to simplify the experience of leasing a home through professional management and maintenance support, so our residents can focus on what really matters to them, wherever they are in life.
 The
 **Senior Data Engineer** 
 is responsible for designing, building, and managing the data platform and tools to allow for the efficient processing and analysis of large data sets. Develops and maintains scalable data pipelines, ensures data quality, and deploys machine learning models to production. Collaborates with business teams to improve data models that feed business intelligence tools, increasing data accessibility and fostering data\-driven decision\-making across the organization. Builds real\-time and batch pipelines to handle large volumes of data efficiently. Collaborates with cross\-functional teams and translate business requirements into scalable data solutions.
**Responsibilities:** 
* Design, develop, and maintain real\-time or batch data pipelines to process and analyze large volumes of data. Designs and develops programs and tools to support ingestion, curation, and provisioning of complex first party and third\-party data to achieve analytics, reporting, and data science. Design and develop Advanced Data Products and Intelligent API’s. Monitors the system performance by performing regular tests, troubleshoots, and integrates new features.
* Lead in analysis of data and the design the data architecture to support BI, AI/ML and data products.
* Designs and implements data platform architecture to meet organization analytical requirements. Ensures the solution designs address operational requirements such as scalability, maintainability, extensibility, flexibility, and integrity.
* Provide technical leadership and mentorship to team members. Leads peer development and code reviews with focus on test driven development and Continuous Integration and Continuous Development (CICD).
**Requirements:** 
* Bachelor’s degree in computer science, information systems, data science, management information systems, mathematics, physics, engineering, statistics, economics, and/or a related field required.
* Master’s degree in computer science, information systems, data science, management information systems, mathematics, physics, engineering, statistics, economics, and/or a related field preferred.
* Minimum of eight (8\) years of experience as a data engineer with full\-stack capabilities
* Minimum of ten (10\) years of Experience in programming
* Minimum of five (5\) years in Cloud technologies like Azure, Aws or Google.
* Strong SQL Knowledge
* Experience in ML and ML Pipeline a plus
* Experience in real\-time integration, developing intelligent apps and data products.
* Proficiency in Python and experience with CI/CD practices
* Strong background in IAAS platforms and infrastructure
* Hands\-on experience with Databricks, Spark, Fabric, or similar technologies
* Experience in Agile methodologies
* Hands\-on experience in the design and development of data pipelines and data products
* Experience in developing data ingestion, data processing, and analytical pipelines for big data, NoSQL, and data warehouse solutions.
* Hands\-on experience implementing data migration and data processing using Azure services: ADLS, Azure Data Factory, Event Hub, IoT Hub, Azure Stream Analytics, Azure Analysis Service, HDInsight, Databricks Azure Data Catalog, Cosmo Db, ML Studio, AI/ML, etc.
* Extensive experience in Big Data technologies such as Apache Spark and streaming technologies such as Kafka, EventHub, etc.
* Extensive experience in designing data applications in a cloud environment.
* Intermediate experience in RESTful APIs, messaging systems, and AWS or Microsoft Azure.
* Extensive experience in Data Architecture and data modeling
* Expert in data analysis and data quality frameworks.
* Knowledgeable with BI tools such as Power BI and Tableau.
* May occasionally work evenings and/or weekends.
**Compensation**
 The anticipated pay range/scale for this position is $121,116\.00 to $151,395\.00 Annually. Actual starting base pay within this range will depend on factors including geographic location, education, training, skills, and relevant experience.
**Additional Compensation**
 This position is eligible to receive a discretionary annual bonus.
 Perks and Benefits
 Employees have the opportunity to participate in medical, dental and vision insurance; flexible spending accounts and/or health savings accounts; dependent savings accounts; 401(k) with company matching contributions; employee stock purchase plan; and a tuition reimbursement program. The Company provides 9 paid holidays per year, and, upon hire, new employees will accrue paid time off (PTO) at a rate of 0\.0577 hours of PTO per hour worked, up to a maximum of 120 hours per year.
**CA Privacy Notice:** 
 To learn more about what information we collect when you apply for a job, and how we use that information, please see our CA Job Applicant Privacy Notice found at https://www.amh.com/ca\-privacy\-notice.</t>
        </is>
      </c>
    </row>
    <row r="23">
      <c r="A23" t="inlineStr">
        <is>
          <t>li-4339083038</t>
        </is>
      </c>
      <c r="B23" t="inlineStr">
        <is>
          <t>Senior Data Engineer, People Analytics</t>
        </is>
      </c>
      <c r="C23" t="inlineStr">
        <is>
          <t>SoFi</t>
        </is>
      </c>
      <c r="D23" t="inlineStr">
        <is>
          <t>linkedin</t>
        </is>
      </c>
      <c r="E23" t="inlineStr"/>
      <c r="F23" t="inlineStr"/>
      <c r="G23" t="inlineStr">
        <is>
          <t>New York, NY</t>
        </is>
      </c>
      <c r="H23" t="inlineStr"/>
      <c r="I2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an experienced and motivated Sr Data Engineer to join our People Analytics team. At SoFi, we prioritize building an exceptional culture for our employees. Our People Analytics team is essential in this mission, providing data\-driven insights to support talent decisions. We design, develop, and maintain the People Team’s Enterprise Data Warehouse (EDW), enabling the People Team to integrate cross\-system data, enhance business decisions, and fulfill regulatory requirements.
 We are looking for a talented and detail\-oriented Sr Data Engineer to tackle big data challenges. You will design, build, and maintain critical data pipelines and datasets, supporting areas like recruiting, compensation, talent management, and learning and development. Your work will enhance data accessibility and empower the People Team and business leaders to make informed decisions with high\-quality, reliable data. We're looking for candidates who meet the following criteria:
* Develop and maintain robust data pipelines and datasets.
* Build foundational data products for key business areas.
* Enhance self\-service data capabilities for the People Team.
* Ensure high standards in ETL operations and big data pipeline management.
 What you’ll do:
* Design and develop robust data architectures and data pipelines to support data ingestion, processing, storage, and retrieval. Evaluate and select appropriate technologies, frameworks, and tools to build scalable and reliable data infrastructure.
* Optimize data engineering systems and processes to handle large\-scale data sets efficiently. Design solutions that can scale horizontally and vertically.
* Collaborate with cross\-functional teams, such as other data engineers, people analysts, data scientists,, and business stakeholders, to understand data requirements and deliver solutions that meet business needs. Effectively communicate complex technical concepts to non\-technical stakeholders.
* Optimize data engineering systems and processes to handle large\-scale data sets efficiently. Design solutions that can scale horizontally and vertically,
* Enforce data governance policies and practices to maintain data integrity, security, and compliance with relevant regulations. Collaborate with data governance and security teams to implement robust data protection mechanisms and access controls.
**What you’ll need:**
* A bachelor's degree in Computer Science, Data Science, Engineering, or a related field;
* 3\+ years of experience in data engineering and analytics technical strategy.
* Strong Knowledge in data engineering tools and frameworks; Python / SQL / Orchestration Tools / Containers / etc..
* Proficiency in relational database platforms and cloud database platforms such as Snowflake, Redshift, or GCP
* Thorough knowledge of data modeling, database design, data architecture principles, data operations, OOP, and CI/CD.
* Strong analytical and problem\-solving abilities, with the capability to simplify complex issues into actionable plans.
* Experience in the HR / People function is advantageous.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4">
      <c r="A24" t="inlineStr">
        <is>
          <t>li-4327652632</t>
        </is>
      </c>
      <c r="B24" t="inlineStr">
        <is>
          <t>Data Engineer</t>
        </is>
      </c>
      <c r="C24" t="inlineStr">
        <is>
          <t>RightClick</t>
        </is>
      </c>
      <c r="D24" t="inlineStr">
        <is>
          <t>linkedin</t>
        </is>
      </c>
      <c r="E24" t="inlineStr"/>
      <c r="F24" t="inlineStr"/>
      <c r="G24" t="inlineStr">
        <is>
          <t>New York, NY</t>
        </is>
      </c>
      <c r="H24" t="inlineStr"/>
      <c r="I24" t="inlineStr">
        <is>
          <t>Our client is seeking a
 **Senior Data Engineer** 
 to design, build, and maintain scalable data pipelines and systems. The ideal candidate will have extensive experience working with large datasets, strong programming skills, and a deep understanding of data architecture. This role is critical to enabling data\-driven decision\-making across the organization. This is a fully remote position.
**Senior Data Engineer’s Responsibilities And Duties**
* Design, develop, and maintain scalable ETL/ELT pipelines for structured and unstructured data.
* Implement and optimize data models, data warehouses, and data lakes.
* Collaborate with data scientists, analysts, and business stakeholders to understand requirements and deliver solutions.
* Ensure data quality, integrity, and security across multiple platforms.
* Monitor, troubleshoot, and improve existing data systems for performance and reliability.
* Mentor junior engineers and provide technical leadership within the data engineering team.
* Stay current with emerging trends and technologies in data engineering and analytics.
**Senior Data Engineer’s Qualifications And Skills**
* Bachelor’s or Master’s degree in Computer Science, Information Systems, or a related field.
* 5\+ years of professional experience in data engineering or a related role.
* Proficiency in SQL and at least one programming language such as Python, Java, or Scala.
* Experience with cloud platforms (AWS, Azure, or GCP) and big data technologies (Spark, Hadoop, Kafka, etc.).
* Strong understanding of data warehousing, data modeling, and ETL/ELT processes.
* Familiarity with data governance, security, and compliance best practices.
* Excellent problem\-solving, analytical, and communication skills.
 RightClick is an equal opportunity employer who agrees not to discriminate against any employee or job applicant irrespective of race, color, creed, alienage, religion, sex, national origin, age, disability, gender (including gender identity), marital status, sexual orientation, citizenship or any other characteristic protected by law.</t>
        </is>
      </c>
    </row>
    <row r="25">
      <c r="A25" t="inlineStr">
        <is>
          <t>li-4351754001</t>
        </is>
      </c>
      <c r="B25" t="inlineStr">
        <is>
          <t>Data Engineer</t>
        </is>
      </c>
      <c r="C25" t="inlineStr">
        <is>
          <t>Best Job Tool</t>
        </is>
      </c>
      <c r="D25" t="inlineStr">
        <is>
          <t>linkedin</t>
        </is>
      </c>
      <c r="E25" t="inlineStr"/>
      <c r="F25" t="inlineStr"/>
      <c r="G25" t="inlineStr"/>
      <c r="H25" t="inlineStr"/>
      <c r="I25" t="inlineStr">
        <is>
          <t>**About The Company**
 Guidehouse is a leading global consulting firm dedicated to helping organizations navigate complex challenges and achieve their strategic goals. With a focus on innovation, integrity, and excellence, Guidehouse offers a wide range of services across various industries including healthcare, energy, financial services, and government sectors. The company prides itself on fostering a collaborative and inclusive work environment where talented professionals can thrive and make a meaningful impact. Committed to sustainability and social responsibility, Guidehouse continuously strives to deliver value to its clients while supporting the growth and development of its employees.
**About The Role**
 We are seeking a highly motivated and detail\-oriented Professional to join our team. This role offers an exciting opportunity to work on impactful projects that drive organizational success and innovation. The ideal candidate will possess strong analytical skills, excellent communication abilities, and a passion for problem\-solving. As part of our dynamic team, you will collaborate with diverse stakeholders, develop strategic solutions, and contribute to the growth of our clients and the firm. This position provides a platform for professional development, exposure to cutting\-edge industry practices, and the chance to work in a supportive and inclusive environment.
**Qualifications**
 The ideal candidate should possess a bachelor’s degree in Business, Finance, Economics, or a related field; a master’s degree is preferred. Relevant professional experience of 3\-5 years in consulting, project management, or a related area is required. Strong analytical and problem\-solving skills, proficiency in data analysis tools, and excellent written and verbal communication abilities are essential. Candidates must demonstrate the ability to work independently and collaboratively, manage multiple priorities effectively, and adapt to changing project requirements. A strong commitment to ethical practices and continuous learning is also important.
**Responsibilities**
 In this role, you will be responsible for conducting comprehensive research and analysis to support client projects. You will develop detailed reports, presentations, and strategic recommendations tailored to client needs. Managing project timelines, coordinating with cross\-functional teams, and ensuring deliverables meet quality standards are key aspects of the job. You will also engage with clients directly to understand their challenges and provide innovative solutions. Additionally, you will contribute to the development of new business opportunities by supporting proposal development and thought leadership initiatives. Maintaining up\-to\-date knowledge of industry trends and best practices is crucial to providing value\-added insights to clients.
**Benefits**
 Guidehouse offers a competitive compensation package, comprehensive health insurance plans, and a flexible work environment designed to support work\-life balance. Employees have access to ongoing professional development opportunities, including training programs, certifications, and mentorship initiatives. The company also provides generous paid time off, retirement savings plans, and wellness programs to promote overall well\-being. Recognizing the importance of a positive workplace culture, Guidehouse fosters an inclusive environment that values diversity, collaboration, and innovation. Employees are encouraged to pursue their career goals with the support of a dedicated leadership team committed to their growth.
 Equal Opportunity
 Guidehouse is an equal opportunity employer. We celebrate diversity and are committed to creating an inclusive environment for all employees. We do not discriminate based on race, religion, color, national origin, gender identity, sexual orientation, age, disability, or any other protected characteristic. Our commitment to diversity and inclusion is fundamental to our success and reflects our core values of respect, integrity, and fairness. We strive to provide equal employment opportunities and foster a workplace where every individual can thrive and contribute to our collective success.</t>
        </is>
      </c>
    </row>
    <row r="26">
      <c r="A26" t="inlineStr">
        <is>
          <t>li-4320525717</t>
        </is>
      </c>
      <c r="B26" t="inlineStr">
        <is>
          <t>Data Engineer</t>
        </is>
      </c>
      <c r="C26" t="inlineStr">
        <is>
          <t>Manulife</t>
        </is>
      </c>
      <c r="D26" t="inlineStr">
        <is>
          <t>linkedin</t>
        </is>
      </c>
      <c r="E26" t="inlineStr"/>
      <c r="F26" t="inlineStr"/>
      <c r="G26" t="inlineStr">
        <is>
          <t>Boston, MA</t>
        </is>
      </c>
      <c r="H26" t="inlineStr"/>
      <c r="I26" t="inlineStr">
        <is>
          <t>What distinguishes this opportunity? At John Hancock Manulife, we are devoted to nurturing an environment where your skills and ambitions can prosper. As a Data Engineer, you will have a key role in constructing and managing our data systems and architecture. This versatile role, situated in Boston, MA, delivers an optimum mix of hybrid flexibility and collaborative in\-person interactions, empowering you to succeed personally and professionally.
 This role is located in Boston and has a Hybrid Model of 3 days in the office.
 As a Data Engineer at John Hancock Manulife, you would play a meaningful role in development and maintenance of the company's data systems and architecture. You would collaborate with other highly skilled data engineers, data architects and governance team in designing, developing, and deploying data pipelines, ETL processes, and other data integration solutions to extract, transform, and load data from various sources into Manulife's data warehouse.
 Position Responsibilities
* Build, develop, and maintain scalable ETL/ELT pipelines.
* Develop and uphold the company's data architecture, including data models, schemas, and data dictionaries.
* Integrate data from diverse sources, ensuring quality and consistency, and prepare it for analytical and operational uses.
* Adhere to data governance policies and processes to safeguard data security, privacy, and compliance.
* Collaborate with data professionals, including data scientists, analysts, and business team members, to comprehend data requirements and devise solutions to meet those needs.
* Stay informed about the latest tools and technologies, finding opportunities to improve Manulife's data infrastructure.
* Illustrate the aptitude to learn and apply established methods in data engineering and cloud computing to ensure scalable, efficient, and effective solutions.
**Required Qualifications**
* 2\+ years of background as a Data Engineer.
* Demonstrable experience in building and operationalizing data pipelines.
* Hands\-on experience with programming languages like Python and SQL.
* Solid grasp of data warehousing concepts and relational data modeling.
* Strong working knowledge of SQL queries, Databricks, Synapse, and SQL Server.
**Preferred Qualifications**
* Familiar with DevOps and CI/CD pipelines in the automation of ETL workloads.
* Familiar with cloud platforms such as Azure and AWS, along with related technologies.
* Superb communication and interpersonal skills.
* Strong analytical, problem\-solving, and abilities.
* Proficiency in data processing, performance analysis, tuning, and resource optimization.
* Understanding of Agile Scrum methodologies and experience working in an Agile team, including familiarity with collaboration tools such as Teams and JIRA.
* A dedication to continuous learning from both successes and failures, with an openness to change and improvement.
* Familiar with production release and operational support models.
**When You Join Our Team**
* We’ll empower you to learn and grow the career you want.
* We’ll recognize and support you in a flexible environment where well\-being and inclusion are more than just words.
* As part of our global team, we’ll support you in shaping the future you want to see.
**About Manulife And John Hancock**
 Manulife Financial Corporation is a leading international financial services provider, helping people make their decisions easier and lives better. To learn more about us, visit https://www.manulife.com/en/about/our\-story.html.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recruitment@manulife.com.
**Referenced Salary Location**
 Boston, Massachusetts
**Working Arrangement**
 Hybrid
**Salary range is expected to be between**
 $90,160\.00 USD \- $167,440\.00 USD
 If you are applying for this role outside of the primary location, please contact recruitment@manulife.com for the salary range for your location. The actual salary will vary depending on local market conditions, geography and relevant job\-related factors such as knowledge, skills, qualifications, experience, and education/training. Employees also have the opportunity to participate in incentive programs and earn incentive compensation tied to business and individual performance.
 Manulife/John Hancock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pension/401(k) savings plans and a global share ownership plan with employer matching contributions) and financial education and counseling resources. Our generous paid time off program in the U.S. includes up to 11 paid holidays, 3 personal days, 150 hours of vacation, and 40 hours of sick time (or more where required by law) each year, and we offer the full range of statutory leaves of absence.
 Know Your Rights
 **I** 
**Family \&amp; Medical Leave** 
**I** 
**Employee Polygraph Protection** 
**I** 
**Right to Work** 
**I** 
**E\-Verify**
 Company: John Hancock Life Insurance Company (U.S.A.)</t>
        </is>
      </c>
    </row>
    <row r="27">
      <c r="A27" t="inlineStr">
        <is>
          <t>li-4358297164</t>
        </is>
      </c>
      <c r="B27" t="inlineStr">
        <is>
          <t>Senior Data Engineer</t>
        </is>
      </c>
      <c r="C27" t="inlineStr">
        <is>
          <t>Counsel Health</t>
        </is>
      </c>
      <c r="D27" t="inlineStr">
        <is>
          <t>linkedin</t>
        </is>
      </c>
      <c r="E27" t="inlineStr"/>
      <c r="F27" t="inlineStr"/>
      <c r="G27" t="inlineStr">
        <is>
          <t>New York, NY</t>
        </is>
      </c>
      <c r="H27" t="inlineStr"/>
      <c r="I27" t="inlineStr">
        <is>
          <t>**About Counsel**
**Counsel Health is an AI\-enabled, physician\-supervised virtual care company on a mission to multiply the world’s clinical capacity.** 
 We believe in a future where every person has a perfect doctor in their pocket, always available, infinitely knowledgeable, and deeply personalized. To achieve this, we’re building the first fully vertical, AI\-enabled medical group from the ground up, redesigning the entire clinical stack with custom AI tools that make our in\-house physicians faster and smarter without compromising security or patient safety.
 Since our founding in 2023, Counsel has partnered with leading employers, health plans, health systems, and channel partners, serving 100K\+ members and on track to reach 1M\+ more over the next 12 months. We have raised over $35M from a16z, GV, and other top\-tier investors, and are on pace to 5x revenue this year.
 Our founding team includes senior physicians and technology leaders from Harvard Medical School, Massachusetts General Hospital, UCSF, the MIT Media Lab, and Mount Sinai. Our broader team, coming from Stripe, NVIDIA, and Google DeepMind, is growing quickly, and we’re looking for exceptional people to join us at this inflection point.
**About The Role**
 We are seeking a talented, driven, and experienced
 **Senior Data Engineer** 
 to join us in defining the future of AI \+ human healthcare. This role is fully remote.
 You will own and architect the data infrastructure powering our Clinical, AI, Product, and Financial Operations. This role is central to ensuring our platform can scale seamlessly—meeting the demands of large healthcare clients while reliably serving hundreds of thousands of patients. Our culture is fast\-paced and ambitious, and we aim for every team member to be exceptional.
**What You’ll Be Working On**
* Primarily focus on architecting our data infrastructure layer that drives our financial, clinical, and AI applications
* Build robust batch and streaming ingestion pipelines that unify data from diverse internal and external systems into a consistent, ontology\-driven data model
* Maintain dbt\-driven SQL models that unify datasets from our product, integrations, financial operations and clinical data, leveraging ontologies (e.g. SNOMED CT, ICD, HL7 FHIR)
* Design data pipelines that handle diverse sets of structured (e.g. SQL, APIs) and unstructured (e.g., documents, notes, embeddings) datasets
* Future\-proof the data platform to anticipate and support evolving needs including:
+ AI workflows such as NLP, embeddings, knowledge graphs, and retrieval\-augmented generation
+ Financial workflows for accounting tracking and observability
+ Clinical and support workflows that allow non\-technical teams to self\-service data
**Examples of projects you may work on:**
* Build real\-time PHI\-scrubbed operational dashboards to support clinical and support teams; allowing non\-technical users to self\-service data using AI\-supported tooling
* Set up change data capture (CDC) to store historical data and allow engineers and analysts to time travel back to a past state of the system
* Build reverse ETL infrastructure to bring analytically derived data into our core application to drive patient engagement
* Improve our financial modeling, marketing data analysis, customer acquisition and user retention metrics
* Analyze our LLM performance \&amp; latency metrics and model how this impacts costs, user experience, and potential caching strategies
**Requirements**
* 5\+ years of experience in data engineering building high\-performance data pipelines:
+ Previously pioneered self\-service analytics \&amp; business intelligence tooling (e.g. Hex, Sigma, Looker) for a diverse set of stakeholders
+ Operational experience with data storage platforms (e.g. Databricks, Iceberg, or Snowflake) and analytical query engines (e.g. Athena or Presto)
+ Managed job orchestration (e.g. Dagster, Airflow) and semantic data modeling (dbt, SQL)
* 2\+ years working in highly regulated industries such as healthcare or financial services:
+ Implemented row\-level security and data masking for PHI/PII use cases
* Deep familiarity with row and columnar data warehouses (e.g. PostgreSQL, BigQuery, Snowflake)
* Opinionated about data architecture, data modeling, and analytics in a fast\-growing environment
**You are a great fit if**
* You have hands\-on experience architecting data platforms from day 0 in a fast\-paced, high\-growth environment
* You’ve extensively worked with healthcare data and standards (e.g. HL7 FHIR, CDS, ICD\-10\)
* You have experience with our tech stack: AWS, Google Cloud, PostgreSQL, FHIR servers
* You consider yourself a Swiss\-army knife data engineer who can flex into both data infrastructure, semantic modeling, and operational analytics
* You have knowledge of medical statistics and are keen to learn more
* You’re comfortable working across teams on multi\-stakeholder projects
* You thrive on working alongside exceptional teammates and derive energy from collaborative environments
**Recruitment Fraud Notice**
 Counsel Health only communicates with candidates using official @counselhealth.com email addresses. We will never ask for payment or financial information during the interview process. If you receive suspicious outreach claiming to be from Counsel Health, please contact us at careers@counselhealth.com.
 Compensation Range: $180K \- $225K</t>
        </is>
      </c>
    </row>
    <row r="28">
      <c r="A28" t="inlineStr">
        <is>
          <t>li-4358347943</t>
        </is>
      </c>
      <c r="B28" t="inlineStr">
        <is>
          <t>Data Engineer</t>
        </is>
      </c>
      <c r="C28" t="inlineStr">
        <is>
          <t>Pinnacle Consulting &amp; Recruitment</t>
        </is>
      </c>
      <c r="D28" t="inlineStr">
        <is>
          <t>linkedin</t>
        </is>
      </c>
      <c r="E28" t="inlineStr"/>
      <c r="F28" t="inlineStr"/>
      <c r="G28" t="inlineStr">
        <is>
          <t>Ann Arbor, MI</t>
        </is>
      </c>
      <c r="H28" t="inlineStr"/>
      <c r="I28" t="inlineStr">
        <is>
          <t>**Overview** 
 We are seeking a Data Engineer to own and evolve a high\-value, analytically complex data and reporting environment. While overall data volumes are modest, the data itself is intricate, highly interdependent, and central to actuarial and analytical decision\-making. This role focuses on building reliable data pipelines, improving analytical workflows, and modernizing reporting approaches—without forcing simplistic dashboard paradigms where they don’t fit.
**Key Responsibilities** 
* Design, build, and maintain reliable data pipelines supporting actuarial and analytical reporting
* Manage and improve nightly data export and transformation processes
* Partner closely with actuarial, finance, and analytical stakeholders to understand complex data relationships and reporting needs
* Develop and support analytical models using Power Query, Excel, and DAX
* Improve data structures to enable deep matrix and multi\-dimensional analysis rather than surface\-level KPIs
* Evaluate and guide the transition away from SQL Server Reporting Services toward more flexible analytical tooling
* Contribute to a future\-state reporting strategy, including thoughtful use of Power BI where appropriate
* Ensure data accuracy, consistency, and traceability across reporting outputs
**Technical Requirements** 
* Strong experience with SQL and relational data modeling
* Hands\-on experience building and maintaining ETL or ELT workflows, including scheduled/nightly processes
* Advanced experience with Excel, Power Query, and DAX for complex analytical models
* Ability to work with highly complex, business\-critical datasets where correctness matters more than scale
* Strong data validation, reconciliation, and documentation practices
**Nice to Have** 
* Experience with Power BI, particularly for complex analytical or matrix\-style reporting
* Exposure to actuarial, financial, or risk\-based data domains
* Experience in modernizing or replacing legacy reporting platforms such as SQL Server Reporting Services
* Familiarity with cloud\-based data platforms and data orchestration tools</t>
        </is>
      </c>
    </row>
    <row r="29">
      <c r="A29" t="inlineStr">
        <is>
          <t>li-4343463613</t>
        </is>
      </c>
      <c r="B29" t="inlineStr">
        <is>
          <t>Senior Data Engineer</t>
        </is>
      </c>
      <c r="C29" t="inlineStr">
        <is>
          <t>Keurig Dr Pepper Inc.</t>
        </is>
      </c>
      <c r="D29" t="inlineStr">
        <is>
          <t>linkedin</t>
        </is>
      </c>
      <c r="E29" t="inlineStr"/>
      <c r="F29" t="inlineStr"/>
      <c r="G29" t="inlineStr">
        <is>
          <t>Frisco, TX</t>
        </is>
      </c>
      <c r="H29" t="inlineStr"/>
      <c r="I29" t="inlineStr">
        <is>
          <t>**Job Overview:**
 Are you a hands\-on data engineer passionate about building scalable data pipelines and enabling analytics that drive business decisions? At Keurig Dr Pepper, we’re looking for a Senior Data Engineer to develop and optimize data workflows as part of our modern data ecosystem. You will work closely with product managers, data scientists, and analysts to build reliable, efficient data solutions that support enterprise reporting, self\-service analytics, and machine learning initiatives.
 This is a high\-impact role within a fast\-moving, data\-driven team.
 As a Senior Data Engineer, you will…
 Data Engineering \&amp; Architecture:
 Design and implement scalable, well\-documented data pipelines using dbt, SnowSQL, and cloud\-native tools.
 Develop transformation layers and dimensional models to support reporting, dashboards, and advanced analytics.
 Build integrations with structured and semi\-structured data sources from internal and third\-party systems.
 Apply data quality checks and validation frameworks to ensure accuracy, completeness, and reliability.
 Optimization \&amp; Automation
 Continuously monitor and optimize data pipelines for performance, scalability, and cost\-efficiency.
 Contribute to code versioning, testing, and deployment automation using Git and CI/CD pipelines.
 Leverage tools such as UC4, Airflow, Fivetran, or Informatica Cloud to orchestrate ELT workflows.
 AI\-Ready Data Ecosystems
 Collaborate with Data Scientists to support AI/ML pipelines—enabling efficient feature engineering, model training, and real\-time inferencing.
 Integrate AI\-driven capabilities such as anomaly detection, intelligent alerting, and natural language enrichment into data workflows.
 Prepare structured datasets to support experimentation, forecasting, and anomaly detection use cases.
 Collaboration \&amp; Delivery
 Work closely with product owners, data analysts, and other engineers to understand business requirements and translate them into data models and pipelines.
 Participate in agile development processes—standups, backlog grooming, sprint planning, and retrospectives.
 Contribute to data design discussions and ensure adherence to architectural and governance standards.
 Leadership \&amp; Collaboration:
 Collaborate with cross\-functional teams—including Solution Architects, Product Managers, Data Scientists, and Analysts—to align on data strategy and business outcomes.
 Technically lead product teams involving external partners, ensuring timely delivery of high\-quality data solutions.
 Provide technical thought leadership, guiding product teams and best practices.
 Governance \&amp; Optimization:
 Define and enforce engineering standards and best practices across the analytics ecosystem.
 Lead architectural design reviews, ensuring technical rigor and adherence to change control processes.
 Continuously assess and optimize the performance, reliability, and scalability of the data platform.
 Who you are:
 You're a strategic, hands\-on engineering leader who combines deep technical expertise with strong business acumen. You're passionate about solving complex data challenges, enabling AI, and mentoring teams to deliver enterprise\-grade data solutions.
 Key Skills \&amp; Expertise:
 Technical Mastery (Deep, hands\-on expertise expected)
 Expert\-level knowledge of Snowflake architecture, SnowSQL, and data transformation workflows.
 Advanced proficiency with dbt for modeling, testing, versioning, and orchestrating ELT pipelines.
 Strong command of SQL, Python, and scalable data pipeline development.
 Proven experience designing and managing enterprise data warehouses and cloud\-native data platforms, including Databricks.
 Deep understanding of modern data modeling techniques (e.g., dimensional, data vault, star/snowflake schemas).
 Understanding of modern data architecture patterns such as data lakehouse, data warehouse, or data hub.
 Experience developing and managing ELT/ETL pipelines using tools like Fivetran, Informatica, or Azure Data Factory.
 Familiarity with CI/CD practices, Git\-based workflows, and agile development methodologies.
 Some Experience / Familiarity With (Preferred, but not required at expert level)
 AI/ML platforms such as Databricks, SageMaker, AutoML, or TensorFlow.
 Data integration and ELT tools like Informatica Cloud, Fivetran, or Azure Data Factory.
 BI tools: Power BI, Tableau, or MicroStrategy.
 Working with SAP ERP as a data source.
 Cloud platforms such as Azure, AWS, or GCP—especially storage, compute, and orchestration services.
 Working knowledge of data governance practices (e.g., metadata management, data lineage).
 DevOps practices including Git workflows, CI/CD, and automation.
 UNIX/Linux environments and shell scripting.
 Leadership \&amp; Communication:
 Ability to lead cross\-functional teams and manage complex data initiatives from design through delivery.
 Excellent communicator—able to convey complex technical concepts to both technical and non\-technical audiences.
 Proven track record of influencing architectural direction, mentoring team members, and driving business\-aligned outcomes.
 Skilled at deriving insights from data and translating them into clear, actionable recommendations.
 Problem Solving \&amp; Optimization:
 Demonstrated success in building and optimizing data pipelines to maximize performance and maintainability.
 Strong analytical and troubleshooting skills with a focus on root cause analysis and long\-term solutions.
**Total Rewards:**
* Salary Range: $97,000 \- 130,000
* Actual placement within the compensation range may vary depending on experience, skills, and other factors
* Benefits, subject to election and eligibility: Medical, Dental, Vision, Disability, Paid Time Off (including paid parental leave, vacation, and sick time), 401k with company match, Tuition Reimbursement, and Mileage Reimbursement
* Annual bonus based on performance and eligibility
**Requirements:**
 Education:
 Bachelor’s or Master’s degree in Computer Science, Data Science, Information Systems, or a related field.
 Experience:
 8\+ years of professional experience in data engineering, analytics engineering, or data platform development.
 Hands\-on experience with Analytics tools and platforms like Snowflake or Informatica Cloud.
 Expert in SQL, SnowSql coding, ETL, and data warehousing.
 Core Skills:
 Expertise in conceptual architecture, data integration design, and wireframing.
 Familiarity with DevOps and Agile technology environments (preferred).
 Nice to have / Cross trained In:
 Exposure to SAP ERP and SAP\-based data integration.
 Familiarity with AI/ML use cases in data operations (e.g., intelligent data quality, anomaly detection).
 Snowflake, dbt, or cloud platform certifications.
**Company Overview:**
 Keurig Dr Pepper (NASDAQ: KDP) is a leading beverage company in North America, with a portfolio of more than 125 owned, licensed and partner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 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If you prefer not to have your application processed using artificial intelligence, you may opt out by emailing your resume and qualifications directly to kdpjobs@kdrp.com.
**Total Rewards**
**Requirements**
**Company Overview**</t>
        </is>
      </c>
    </row>
    <row r="30">
      <c r="A30" t="inlineStr">
        <is>
          <t>li-4358219456</t>
        </is>
      </c>
      <c r="B30" t="inlineStr">
        <is>
          <t>Data Engineer II - Copilot Insights</t>
        </is>
      </c>
      <c r="C30" t="inlineStr">
        <is>
          <t>Microsoft</t>
        </is>
      </c>
      <c r="D30" t="inlineStr">
        <is>
          <t>linkedin</t>
        </is>
      </c>
      <c r="E30" t="inlineStr"/>
      <c r="F30" t="inlineStr"/>
      <c r="G30" t="inlineStr">
        <is>
          <t>Redmond, WA</t>
        </is>
      </c>
      <c r="H30" t="inlineStr"/>
      <c r="I30" t="inlineStr">
        <is>
          <t>**Overview**
 The Copilot Insights team is leading efforts across Office to help set the direction for where we innovate and add value to our customer’s daily interactions. These efforts include analytics of large data sets, data integration, real\-time analytics, and business intelligence. These apply to applications across Office and will help set the direction for the features we develop and those we ship to customers to drive active Copilot engagement through data driven decision making and active experimentation. Our mission is to grow Copilot value and usage across the suite of Office applications and expand on the growing data culture within Microsoft and Office.
 Join our team on Copilot Insights as we develop, monitor, and analyze the key datasets and metrics that drive Copilot growth. We will continue to expand our offerings and meet the ever\-growing demands of our customers, we are seeking a Software Engineer who thrives on the complexities that come with developing productivity software and helping to enhance it with AI integration.
 As a
 **Data Engineer II \- Copilot Insights** 
 , you will participate in projects that improve availability, scalability, query performance, storage optimizations, and integration across multiple data systems. You will collaborate with partner teams, working across boundaries to create innovative solutions for analyzing and shaping data in a way that makes it easier for us to monitor, draw insights from, and run diagnostics on to see how the changes we make on a daily basis impact our customers and their interactions with Copilot in Office.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Contributes in partnership with appropriate stakeholders (Project Managers, Technical Leads, Applied Scientists, Data Scientists) to determine user requirements and needs for each workstream. Consider a variety of feedback channels to incorporate insights into future designs or solution fixes. Begins to incorporate appropriate continuous feedback loops measuring customer value, usage patterns, and other actionable metrics of value.
* Builds scalable and low maintenance data pipelines and dashboards to give the organization insights into Copilot usage and growth and enable them to break it down in meaningful ways to draw conclusions and gain insights.
* Develops, enhances, and actively improves monitoring on top of the signals so that as there are significant movements us and our partners are automatically alerted to these changes. Then expanding the system to continuously make it easier to investigate and run diagnostics for signal movements and automating the root cause for movements.
* Learns and contributes to processes for the architecture of a product/solution feature and learns to create proposals by testing design hypotheses and helping to refine code plans under the technical leadership of others. Produces code to test hypotheses for technical solutions and assists with technical validation efforts. Helps with and participates in the development of design documents for simple designs or user stories with oversight, helps to determine the technology that will be leveraged, and how they will interact. Escalates findings from investigations to team members for design decisions. Learns about the implications of security and compliance requirements in systems architecture.
* Learns to review work items to gain knowledge of product features in partnership with appropriate stakeholders. Assists and learns about breaking down work items into tasks and provides estimation. Escalates any issues that would cause a delay.
* Learns about, shares new ideas, and leverages data engineering tools to create, debug, and maintain robust pipelines. Uses internal tools and open source when possible.
 Embody our culture and values.
**Qualifications**
**Required Qualifications:**
* Master's Degree in Computer Science, Math, Software Engineering, Computer Engineering, or related field AND 1\+ year(s) experience in business analytics, data science, software development, data modeling, or data engineering
+ OR Bachelor's Degree in Computer Science, Math, Software Engineering, Computer Engineering, or related field AND 2\+ years experience in business analytics, data science, software development, data modeling, or data engineering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5\+ years experience in business analytics, data science, software development, data modeling, or data engineering
+ OR equivalent experience.
* 1\+ year(s) experience with data governance, data compliance and/or data security.
* Understanding of data structures, algorithms, and distributed systems.
 \#Office \#Copilot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1">
      <c r="A31" t="inlineStr">
        <is>
          <t>li-4330751837</t>
        </is>
      </c>
      <c r="B31" t="inlineStr">
        <is>
          <t>Data Engineer</t>
        </is>
      </c>
      <c r="C31" t="inlineStr">
        <is>
          <t>Haystack</t>
        </is>
      </c>
      <c r="D31" t="inlineStr">
        <is>
          <t>linkedin</t>
        </is>
      </c>
      <c r="E31" t="inlineStr"/>
      <c r="F31" t="inlineStr"/>
      <c r="G31" t="inlineStr"/>
      <c r="H31" t="inlineStr"/>
      <c r="I31" t="inlineStr">
        <is>
          <t>**Senior Data Engineer \| Dallas, TX \| Hybrid** 
 Join a fast\-growing financial services company in Plano, TX, as a Senior Data Engineer, where you'll design and build scalable data pipelines to drive crucial business intelligence and reporting. This role offers the chance to contribute to a highly successful team and continuously learn new technologies in a dynamic environment
**.
 Key Responsibilitie** 
 s:
 • Design, build, and maintain scalable data pipeline architectur
 es.• Develop high\-quality, maintainable code to solve complex business proble
 ms.• Ensure data is well\-structured, accurate, and ready for visualization and analys
 is.• Build and maintain automated reports, dashboards, and data tools that drive decision\-maki
**ng.
 What You'll N** 
 eed:
 • Bachelor’s degree in Computer Science, Business Information Systems, or a related f
 ield.• 5\+ years of experience in data engineering or related r
 oles.• Hands\-on experience with SQL (preferably MySQL, MariaDB, or Postgre
 SQL).• Experience with Python and data modeling/data warehousing princi
**ples.
 Apply via Haystack** 
 today!</t>
        </is>
      </c>
    </row>
    <row r="32">
      <c r="A32" t="inlineStr">
        <is>
          <t>li-4324328615</t>
        </is>
      </c>
      <c r="B32" t="inlineStr">
        <is>
          <t>Data Engineer</t>
        </is>
      </c>
      <c r="C32" t="inlineStr">
        <is>
          <t>Randa Apparel &amp; Accessories</t>
        </is>
      </c>
      <c r="D32" t="inlineStr">
        <is>
          <t>linkedin</t>
        </is>
      </c>
      <c r="E32" t="inlineStr"/>
      <c r="F32" t="inlineStr"/>
      <c r="G32" t="inlineStr">
        <is>
          <t>Rosemont, IL</t>
        </is>
      </c>
      <c r="H32" t="inlineStr"/>
      <c r="I32" t="inlineStr">
        <is>
          <t>Randa Apparel \&amp; Accessories is one of the world’s leading fashion clothing and accessories companies, operating across 11 countries with a portfolio of 30\+ iconic brands, including Haggar, Levi’s, Tommy Hilfiger, Calvin Klein, Totes, Isotoner, and Columbia Sportswear. With over 100 years of industry leadership, RAA continues to produce exceptional products and services, delighting customers and empowering partners worldwide. From the \#1 dress pant brand in North America to the \#1 belt and wallet, RAA sets the standard for excellence and innovation
 We empower our associates, create growth opportunities at every level, and strive to make RAA the best place to build a career.
 Want to work at a diverse, equitable, \&amp; inclusive workspace where associates are encouraged to bring their true, authentic selves?
 Apply today and fashion your future with RAA.
**Location** 
 : Rosemont, IL
**Schedule** 
 : Hybrid (3 days in\-office / 2 days remote)
**Position Summary**
 The Data Engineer contributes to the design, development, and management of Randa Apparel \&amp; Accessories' large\-scale database systems while supporting the strategic architectural vision of quality, scalability, performance, and function.
**Essential Job Functions**
* Develop solutions and contribute to development, leveraging Object\-Oriented programming techniques (.Net), Software Development Lifecycles, Unit Test Techniques, and Debugging/Analytical Techniques.
* Design and develop data integration solutions with on\-prem to cloud and vice versa architecture
* Collaborate with the team to develop database structures that fit into the overall architecture of the systems under development.
* Code, install, optimize, and debug database queries and stored procedures using appropriate tools and editors.
* Perform code reviews and provide feedback in a timely manner.
* Promote collective code ownership for everyone to have visibility into the feature codebase.
* Present technical ideas and concepts in business\-friendly language.
* Provide recommendations, analysis, and evaluation of systems improvements, optimization, development, and maintenance efforts, including capacity planning.
* Identify and correct performance bottlenecks related to SQL code.
* Support timely production releases and adherence to release activities.
* Contribute to the data retention strategy.
**Minimum Qualifications**
* 1\-3 years of proven hands\-on AWS development experience in the realm of:
+ Data processing with near real\-time flows
+ Highly available architecture (Lambda, Python, S3 event management, Redshift (or other), Aurora (serverless/other), Redis\\ElastiCache
* 1\-3 years in a commercial\-grade business applications environment, leveraging the following:
+ SQL Server, T\-SQL, SSIS, stored procedures, user\-defined functions, and table functions
+ Managing design risk
* 1\-3 years leveraging OO programming techniques
+ Software development lifecycles, Unit test techniques, debugging/analytical techniques
**Required Skills**
* MS SQL Server \- T\-SQL
* SQL Server Integration Services (SSIS)
* Adept at creating stored procedures, views, user\-defined functions, table functions
* Python, C\#, Java
* Cloud Knowledge \- AWS (Amazon Web Services) (GLUE, Redshift, Lambda, Kinesis)
* Reporting: Tableau, Power BI
* Analysis: OLAP
* Excellent communication, verbal and writing skills
* Minimal oversight required
**What We Offer**
* Competitive base salary.
* Hybrid work schedule.
* Three weeks of paid time off within the first year of employment.
* Company provided life insurance, short\-term disability, long\-term disability, and paid parental leave.
* Health, vision, and dental insurance options with low employee contributions.
* Commuter benefit plan.
* Optional supplemental life insurance, pet insurance, and accident \&amp; critical illness insurance offered at a group discount rate.
* 401(k).
* Unlimited access to our award\-winning online fitness, and wellness program.
* A great place to work, fast\-paced, with terrific career growth
 “The statements in this job description are intended to describe the general nature and level of work being performed by people assigned to this work. This is not an exhaustive list of all duties and responsibilities. Randa management reserves the right to amend and change responsibilities to meet business and organizational needs as necessary.”</t>
        </is>
      </c>
    </row>
    <row r="33">
      <c r="A33" t="inlineStr">
        <is>
          <t>li-4338734740</t>
        </is>
      </c>
      <c r="B33" t="inlineStr">
        <is>
          <t>BI Data Engineer III</t>
        </is>
      </c>
      <c r="C33" t="inlineStr">
        <is>
          <t>McLane Company, Inc.</t>
        </is>
      </c>
      <c r="D33" t="inlineStr">
        <is>
          <t>linkedin</t>
        </is>
      </c>
      <c r="E33" t="inlineStr"/>
      <c r="F33" t="inlineStr"/>
      <c r="G33" t="inlineStr">
        <is>
          <t>Temple, TX</t>
        </is>
      </c>
      <c r="H33" t="inlineStr"/>
      <c r="I33" t="inlineStr">
        <is>
          <t>**Moving America forward — together.**
 We’ve been forging our path as a leader in the distribution industry since 1894\. Building an expansive nationwide network of team members for 130\+ years has allowed us to stay agile for our clients across the restaurant, retail, and e\-commerce industries. We look to the future and are ready to continue making industry\-defining moves by embracing the newest technology into our practices, continuing team member training, and emphasizing our people\-centered culture.
 The Data Engineer III is a hybrid remote position which will require the candidate to report and work from the office three days a week. Therefore, interested candidates should be within a 50\-minute radius from Temple, TX.
**Position Overview**
 Develop and maintain data processing software. Responsibilities include creating and optimizing data infrastructure, clean, prepare, and optimizes data for further analysis and modelling. Designs, develops, optimizes, and maintains data architecture and pipelines that adhere to Data Pipeline (i.e., ELT) principles and business goals. Lead complex data engineering projects and provide strategic guidance.
**Benefits You Can Count On**
* Day 1 Benefits: medical, dental, and vision insurance, FSA/HSA, and company\-paid life insurance
* Paid holidays, earn vacation time, and sick leave accrual from day one.
* 401(k) Profit Sharing Plan after 90 days.
* Additional benefits: pet insurance, maternity/paternity leave, employee assistance programs, discount programs, tuition reimbursement program, and more!
**Essential Job Functions/Principal Accountabilities**
* Designs, develops, optimizes, and maintains data architecture and pipelines that adhere to ELT principles and business goals.
* Solves complex data problems to delivers insights that helps business achieve its goals.
* Architect and implement end\-to\-end data solutions.
* Define data engineering best practices and standards.
* Mentor junior engineers and collaborate with cross\-functional teams.
* Creates data products for engineer, analyst, and data scientist team members to accelerate their productivity.
* Engineer effective features for modelling in close collaboration with data scientists and businesses.
* Leads the evaluation, implementation and deployment of emerging tools and process for analytics data engineering to improve productivity and quality.
* Partners with machine learning engineers, BI, and solutions architects to develop technical architectures for strategic enterprise projects and initiatives.
* Fosters a culture of sharing, re\-use, design for scale stability, and operational efficiency of data and analytical solutions.
* Advises, consults, mentors, and coach other data and analytic professionals on data standards and practices.
* Develops and delivers communication and education plans on analytic data engineering capabilities, standards, and processes.
* Understands machine learning, data science, computer vision, artificial intelligence, statistics, and/or applied mathematics as necessary to conduct role effectively.
* Performs other duties as assigned.
**Minimum Skills \&amp; Qualifications**
* Bachelor’s degree in computer science, statistics, engineering, or a related field.
* 7 plus years of experience required.
* Deep understanding of distributed computing, data architecture, and scalability.
* Strong critical thinking skills and ability to address big data challenges.
* Leadership and project management abilities.
* Proficiency in designing and maintaining data warehouses and/or data lakes with big data technologies such as Spark/Databricks, or distributed databases, like Redshift and Snowflake, and experience with housing, accessing, and transforming data in a variety of relational databases. Proficiency in building data pipelines and deploying/maintaining them following modern DE best practices (e.g., DBT, Airflow, Spark, Python OSS Data Ecosystem).
* Proficiency in Software Engineering fundamentals and software development tooling (e.g., Git, CI/CD, JIRA) and familiarity with the Linux operating system and the Bash/Z shell.
* Proficiency with cloud database technologies (e.g., Azure) and developing solutions on cloud computing services and infrastructure in the data and analytics space.
* Basic familiarity with BI tools (e.g., Alteryx, Tableau, Power BI, Looker).
* Expertise in ELT and data analysis, SQL primarily.
* Conceptual knowledge of data and analytics, such as dimensional modelling, reporting tools, data governance, and structured and unstructured data.
**Working Conditions**
* Office environment
 Candidates may be subject to a background check and drug screen, in accordance with applicable laws.
 All applicants will receive consideration for employment without regard to age, race, color, religion, sex, sexual orientation, gender identity, national origin, disability, or status as a protected veteran.
 For our complete EEO and Pay Transparency statement, please visit https://www.mclaneco.com/legal/employment/
 This position requires the ability to read, write, and understand English at a level sufficient to perform job\-related tasks effectively and safely. This includes understanding work instructions, safety protocols, and communications essential to the role. The requirement is directly related to the nature of the job and ensures compliance with workplace safety and operational standards.
**Primary Location** 
 United States\-Texas\-Temple
**Work Locations** 
 DM Temple\- TX (31st Street)
**Business Unit**
 IS970
**Job** 
 Information Technology
**Schedule** 
 Full\-time
**Shift** 
 1st \- Day
**Employee Status** 
 Regular</t>
        </is>
      </c>
    </row>
    <row r="34">
      <c r="A34" t="inlineStr">
        <is>
          <t>li-4332699555</t>
        </is>
      </c>
      <c r="B34" t="inlineStr">
        <is>
          <t>Data Engineer III</t>
        </is>
      </c>
      <c r="C34" t="inlineStr">
        <is>
          <t>Sam's Club</t>
        </is>
      </c>
      <c r="D34" t="inlineStr">
        <is>
          <t>linkedin</t>
        </is>
      </c>
      <c r="E34" t="inlineStr"/>
      <c r="F34" t="inlineStr"/>
      <c r="G34" t="inlineStr">
        <is>
          <t>Bentonville, AR</t>
        </is>
      </c>
      <c r="H34" t="inlineStr"/>
      <c r="I34" t="inlineStr">
        <is>
          <t>Position Summary...The Data Engineer III is responsible for designing, building, and optimizing scalable big data pipelines, architectures, and datasets that enable advanced analytics and data\-driven decision\-making. This role involves developing efficient data transformation and processing frameworks, managing data structures, metadata, dependencies, and workloads, and ensuring the reliability and performance of the data ecosystem. The engineer will also work extensively with unstructured datasets, applying analytical techniques to extract insights and improve data accessibility across the organization.
 What you'll do...
* Data Modeling: Designing and implementing data models to support structured and unstructured datasets, ensuring data integrity and efficiency.
* Data Extraction: Developing and optimizing data extraction processes from various sources including databases, APIs, and logs.
* Data Cleaning: Preprocessing and cleaning data to remove inconsistencies and improve data quality.
* Data Screening: Implementing data validation and quality checks to ensure accuracy and completeness of data.
* Data Exploration: Conducting exploratory data analysis to understand patterns, trends, and correlations in the data.
* Data Visualization: Creating visualizations using tools like Tableau, PowerBI, or Looker to communicate insights and findings effectively.
* Big Data Technologies: Utilizing tools and frameworks such as Spark, Spark SQL, PySpark, HDFS, and MapReduce for processing large datasets efficiently.
* Cloud Services: Leveraging cloud platforms like GCP, Azure/AWS, Databricks, Azure HD Insights, ADF for data storage, processing, and analytics.
* Data Querying: Writing advanced SQL queries to extract and manipulate data from relational databases and other data stores.
* Data Pipeline Development: Building and optimizing scalable data pipelines and architectures to move and transform data across systems.
* Data Transformation: Developing processes for data transformation, structure, metadata, dependency, and workload management.
* Enterprise Software Development: Contributing to the development of enterprise\-level software products related to data engineering and analytics.
 What you'll bring:
* Cross\-functional Collaboration: Working closely with cross\-functional teams including data scientists, analysts, and software engineers to achieve common goals.
* Programming Languages: Proficiency in at least one scripting language like Python or Scala for automation, data manipulation, and tool development.
* Agile Environment: Collaborating effectively in an Agile environment, participating in sprints, and adapting to changing
* Analytical Skills: Applying strong analytical skills to work with complex and unstructured datasets, extracting valuable insights and actionable information. project requirements.
* Big Data Data Stores: Implementing and managing highly scalable big data stores to efficiently store and access large volumes of data.
* Data Value Extraction: Manipulating, processing, and extracting value from large, diverse datasets to drive business decisions and innovation.
* Big Data Technologies: Experience utilizing tools and frameworks such as Spark, Spark SQL, PySpark, HDFS, and MapReduce for processing large datasets efficiently.
* Cloud Services: Experience leveraging cloud platforms like GCP, Azure/AWS, Databricks, Azure HD Insights, ADF for data storage, processing, and analytics.
**About Walmart General/Not Function Specific**
 Sam Walton opened the first Sam's Club in 1983 to meet a growing need among customers who wanted to buy merchandise in bulk. Since then, Sam's Club has grown rapidly, opening more than 600 clubs in the U.S. and 100 clubs internationally. By offering affordable, wholesale merchandise to members, Sam's Club helps make saving simple for families and small business owners. Sam's Club employs about 110,000 associates in the U.S. The average club is 134,000 square feet and offers bulk groceries and general merchandise. Most clubs also have specialty services, such as a pharmacy, an optical department, a photo center, or a tire and battery center.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Sam's Club, we offer competitive pay as well as performance\-based bonus awards and other great benefits for a happier mind, body, and wallet!
 ‎
* Health benefits include medical, vision and dental coverage
 ‎
* Financial benefits include 401(k), stock purchase and company\-paid life insurance
 ‎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Other benefits include short\-term and long\-term disability, company discounts, Military Leave Pay, adoption and surrogacy expense reimbursement, and more.
 ‎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$90,000\.00\-$180,000\.00
 ‎
**Additional Compensation Includes Annual Or Quarterly Performance Bonuses.**
 ‎
 ‎
 ‎
 ‎
 ‎
**Minimum Qualifications...**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5">
      <c r="A35" t="inlineStr">
        <is>
          <t>li-4344178044</t>
        </is>
      </c>
      <c r="B35" t="inlineStr">
        <is>
          <t>Senior Data Engineer</t>
        </is>
      </c>
      <c r="C35" t="inlineStr">
        <is>
          <t>Centerfield</t>
        </is>
      </c>
      <c r="D35" t="inlineStr">
        <is>
          <t>linkedin</t>
        </is>
      </c>
      <c r="E35" t="inlineStr"/>
      <c r="F35" t="inlineStr"/>
      <c r="G35" t="inlineStr"/>
      <c r="H35" t="inlineStr"/>
      <c r="I35" t="inlineStr">
        <is>
          <t>**Hi, We're Centerfield!**
 Supercharged customer acquisition. Centerfield delivers outcome\-based digital marketing solutions and personalized omnichannel experiences for the world’s leading brands. Powered by our proprietary Dugout platform, Centerfield acquires customers at scale for leading residential service, insurance, e\-commerce, and B2B brands. Centerfield’s digital experiences and digital brands, such as
 **Business.com** 
 and
 **BroadbandNow.com** 
 , reach more than 150 million in\-market shoppers annually. Centerfield is headquartered in Silicon Beach and is proud to be recognized by Built in LA as a Best Place to Work in Los Angeles.
**The Opportunity...**
 We’re looking for a full\-time data expert to own our data pipelines, warehouse, reporting, and analytics. This person will be responsible for building a reliable data foundation and turning raw data into clear, actionable insights that support decisions across marketing, operations, and finance.
 This is a hands\-on individual contributor role for someone who is comfortable working end\-to\-end, from ingestion and modeling to BigQuery performance and stakeholder\-facing reporting.
**How You'll Contribute...**
* Build and maintain data pipelines from MySQL and external sources into BigQuery
* Own CDC ingestion using Google Cloud Datastream and API or batch ingestion with dlt
* Design and manage BigQuery tables with proper partitioning and clustering to ensure performant, cost efficient queries
* Build and maintain transformations and analytics models in dbt using staging, intermediate, and mart layers
* Orchestrate scheduled and incremental pipelines using Dagster
* Develop and maintain dashboards and automated reports used by marketing, operations, and finance
* Partner with stakeholders to define KPIs and translate business questions into data insights
* Ensure data quality, reliability, and consistency across the analytics stack
* Support forecasting, budgeting, and performance analysis with trusted data
**What We're Looking For...**
* 5 or more years of experience in data engineering, analytics engineering, or business intelligence
* Strong SQL and Python skills
* Hands\-on experience with BigQuery, including query optimization, partitioning, and clustering
* Experience working with modern data stacks, including dbt and an orchestration tool such as Dagster or Airflow
* Strong understanding of data modeling, incremental processing, and ETL best practices
* Ability to clearly explain data concepts to non\-technical stakeholders
* Self\-directed, organized, and comfortable owning systems independently in a remote environment
**Bonus Points…**
* Experience with performance or marketing analytics
* Familiarity with attribution modeling or predictive analytics
* Experience working with CDC pipelines and large append\-only datasets
* Exposure to Elasticsearch or evaluating migrations to analytics engines such as ClickHouse
* Prior experience in high\-growth or data\-driven environments
**Life at Centerfield...**
* Competitive salary \+ generous semi\-annual bonus
* Unlimited PTO – take a break when you need it!
* Industry\-leading medical, dental, and vision plans \+ generous parental leave
* 401(k) company match plan – fully vested day 1
* Award\-winning culture \&amp; unprecedented team spirit (featured in LA Business Journal \&amp; Built In LA)
* Paid charity and volunteer days (local mentor programs, adopt a pet, beach cleanup, etc.)
* Career growth – we enjoy promoting from within!
**To learn more, visit us** 
**Here** 
**.**
 Interviews will take place after resumes have been screened for minimum requirements. Please note that this position is not restricted solely to the responsibilities listed above and that the job scope and responsibilities are subject to change.
 For more information about our collection, use, and disclosure of your personal information in connection with our evaluating your candidacy, please visit our Privacy Policy at https://www.centerfield.com/privacy\-policy/.
*Centerfield Media is an Equal Opportunity Employer. All qualified applicants will receive consideration for employment without regard to race, color, age, religion, sex, national origin, disability, protected veteran status, or any other characteristic protected under federal, state or local law.*
 Compensation Range: $100K \- $150K</t>
        </is>
      </c>
    </row>
    <row r="36">
      <c r="A36" t="inlineStr">
        <is>
          <t>li-4318545104</t>
        </is>
      </c>
      <c r="B36" t="inlineStr">
        <is>
          <t>Sr Data Engineer Python Serverside</t>
        </is>
      </c>
      <c r="C36" t="inlineStr">
        <is>
          <t>Canyon Associates</t>
        </is>
      </c>
      <c r="D36" t="inlineStr">
        <is>
          <t>linkedin</t>
        </is>
      </c>
      <c r="E36" t="inlineStr"/>
      <c r="F36" t="inlineStr"/>
      <c r="G36" t="inlineStr">
        <is>
          <t>Whitehouse Station, NJ</t>
        </is>
      </c>
      <c r="H36" t="inlineStr"/>
      <c r="I36" t="inlineStr">
        <is>
          <t>**This is a direct hire full\-time position, with a hybrid on\-site 2 days a week format.** 
**YOU MUST BE A US CITIZEN OR GREEN CARD, NO OTHER STATUS TO WORK IN THE US WILL BE PERMITTED** 
**YOU MUST LIVE LOCAL TO THE AREA AND BE ABLE TO DRIVE ONSITE A MIN TWO DAYS A WEEK** 
**THE TECH STACK WILL BE:** 
 7 years demonstrated server\-side development proficiency
 5 years demonstrated server\-side development proficiency
 Programming Languages: Python (NumPy, Pandas, Oracle PL/SQL). Other non\-interpreted languages like Java, C\+\+, Rust, etc. are a plus. Must be proficient in the intermediate\-advanced level of the language (concurrency, memory management, etc.)
 Design patterns: typical GOF patterns (Factory, Facade, Singleton, etc.)
 Data structures: maps, lists, arrays, etc
 SCM: solid Git proficiency, MS Azure DevOps (CI/CD)</t>
        </is>
      </c>
    </row>
    <row r="37">
      <c r="A37" t="inlineStr">
        <is>
          <t>li-4351644314</t>
        </is>
      </c>
      <c r="B37" t="inlineStr">
        <is>
          <t>Data Engineer (Conversion Specialist PowerCenter-to-IDMC)</t>
        </is>
      </c>
      <c r="C37" t="inlineStr">
        <is>
          <t>Capgemini</t>
        </is>
      </c>
      <c r="D37" t="inlineStr">
        <is>
          <t>linkedin</t>
        </is>
      </c>
      <c r="E37" t="inlineStr"/>
      <c r="F37" t="inlineStr"/>
      <c r="G37" t="inlineStr">
        <is>
          <t>New York, NY</t>
        </is>
      </c>
      <c r="H37" t="inlineStr"/>
      <c r="I37" t="inlineStr">
        <is>
          <t>We are seeking an experienced
 **Data Engineer (Conversion Specialist)** 
 with strong expertise in
 **Informatica Cloud (IICS/IDMC)** 
 ,
 **HVR** 
 , and
 **Informatica PowerCenter Platform Administration** 
 . The ideal candidate will lead modernization and conversion projects, ensuring seamless migration from PowerCenter to IDMC while maintaining data integrity and performance.
**Key Responsibilities:** 
* Lead full life\-cycle
 **PowerCenter\-to\-IDMC modernization/conversion projects** 
 as a conversion specialist.
* Administer and manage
 **Informatica PowerCenter** 
 ,
 **IICS/IDMC** 
 , and related platforms.
* Utilize
 **PC2CDI tools** 
 or
 **RPA** 
 for efficient migration and automation.
* Implement and optimize
 **data loading strategies** 
 , including
 **CDC (Change Data Capture)** 
 and key calculations for insert/update operations.
* Collaborate with cross\-functional teams to ensure successful data integration and transformation.
* Provide technical guidance and best practices for data management and migration.
* Ensure compliance with data governance and security standards.
* Troubleshoot and resolve issues related to data conversion and integration processes.
**Required Skills \&amp; Experience:** 
* **10\+ years** 
 of experience in IT with a strong focus on
 **Data Management** 
 .
* **5\+ years** 
 of hands\-on experience with
 **Informatica PowerCenter** 
 .
* **3\+ years** 
 of experience in
 **IDMC CDI** 
 .
* Proven experience in at least
 **one full life\-cycle PC\-to\-IDMC modernization/conversion project** 
 as a lead conversion specialist.
* Proficiency with
 **PC2CDI tools** 
 or
 **RPA** 
 for migration.
* **IDMC certification or bootcamp training** 
 is required.
* Strong understanding of
 **CDC concepts** 
 and
 **data loading strategies** 
 .
* **SQL mastery** 
 for data analysis and transformation.
* Excellent communication and interpersonal skills.
* Experience in the
 **Financial domain** 
 is highly desirable.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t>
        </is>
      </c>
    </row>
    <row r="38">
      <c r="A38" t="inlineStr">
        <is>
          <t>li-4330752474</t>
        </is>
      </c>
      <c r="B38" t="inlineStr">
        <is>
          <t>Analytics Engineer</t>
        </is>
      </c>
      <c r="C38" t="inlineStr">
        <is>
          <t>RemoteHunter</t>
        </is>
      </c>
      <c r="D38" t="inlineStr">
        <is>
          <t>linkedin</t>
        </is>
      </c>
      <c r="E38" t="inlineStr"/>
      <c r="F38" t="inlineStr"/>
      <c r="G38" t="inlineStr"/>
      <c r="H38" t="inlineStr"/>
      <c r="I38"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9">
      <c r="A39" t="inlineStr">
        <is>
          <t>li-4324530486</t>
        </is>
      </c>
      <c r="B39" t="inlineStr">
        <is>
          <t>Senior Data Engineer</t>
        </is>
      </c>
      <c r="C39" t="inlineStr">
        <is>
          <t>Equifax</t>
        </is>
      </c>
      <c r="D39" t="inlineStr">
        <is>
          <t>linkedin</t>
        </is>
      </c>
      <c r="E39" t="inlineStr"/>
      <c r="F39" t="inlineStr"/>
      <c r="G39" t="inlineStr">
        <is>
          <t>Alpharetta, GA</t>
        </is>
      </c>
      <c r="H39" t="inlineStr"/>
      <c r="I39" t="inlineStr">
        <is>
          <t>We're looking for a highly skilled and experienced Senior Data Engineer to join our team. You'll be instrumental in designing, building, and maintaining our next\-generation Data Ingestion platform and its infrastructure. This role requires a deep understanding of distributed systems and hands\-on expertise with cutting\-edge big data technologies in a cloud\-native environment.
 You will be responsible for creating robust, scalable, and fault\-tolerant data pipelines that process massive datasets for both real\-time and batch\-based analytics. Your work will directly enable our data scientists, analysts, and business teams to derive critical insights and make data\-driven decisions.
**What You’ll Do**
* Apply the knowledge of data characteristics and data supply pattern, develop rules and tracking process to support data quality model.
* Prepare data for analytical use by building data pipelines to gather data from multiple sources and systems.
* Integrate, consolidate, cleanse and structure data for use by our clients in our solutions.
* Perform design, creation, and interpretation of large and highly complex datasets.
* Stay up\-to\-date with the latest trends and advancements in GCP and related technologies, actively proposing and evaluating new solutions.
* Understand best practices for data management, maintenance, reporting and security and use that knowledge to implement improvements in our solutions.
* Implement security best practices in pipelines and infrastructure.
* Develop and implement data quality checks and troubleshoot data anomalies.
* Provide guidance and mentorship to junior data engineers.
* Review dataset implementations performed by junior data engineers.
**What Experience You Need**
* BS degree in a STEM major or equivalent discipline; Master’s Degree strongly preferred
* 5\+ years of experience as a data engineer or related role
* 5\+ years of software engineering experience
* Advanced skills using programming languages such as Python or SQL and intermediate level experience with scripting languages
* 5\+ years experience with Cloud technology: GCP, AWS, or Azure
* 5\+ years experience designing and developing cloud\-native solutions
* Experience building and maintaining moderately\-complex data pipelines, troubleshooting issues, transforming and entering data into a data pipeline in order for the content to be digested and usable for future projects
* Demonstrates advanced Git usage and CI/CD integration skills
****What could set you apart****
* 5\+ years of hands\-on experience in data engineering or a related field.
* Expert\-level proficiency in SQL, Python or relevant programming languages
* Demonstrated experience designing and implementing distributed data processing solutions at scale.
* In\-depth, hands\-on experience with BigData tools such as Apache Spark or Apache Beam.
* Proven experience with Google Cloud Platform (GCP) services for data engineering, including Dataflow, Dataproc, BigQuery, and Pub/Sub.
* Experience with workflow orchestration tools like Apache Airflow (or GCP's Cloud Composer).
* Solid understanding of data modeling, data warehousing, and ETL/ELT best practices.
* Background of Large Data Analysis and building AI ML Models would be a huge plus.
* Excellent problem\-solving skills and the ability to troubleshoot complex distributed systems.
* Effective communication and collaboration skills, with the ability to articulate technical concepts to both technical and non\-technical stakeholders</t>
        </is>
      </c>
    </row>
    <row r="40">
      <c r="A40" t="inlineStr">
        <is>
          <t>li-4342447487</t>
        </is>
      </c>
      <c r="B40" t="inlineStr">
        <is>
          <t>Principal Data Engineer</t>
        </is>
      </c>
      <c r="C40" t="inlineStr">
        <is>
          <t>Keurig Dr Pepper Inc.</t>
        </is>
      </c>
      <c r="D40" t="inlineStr">
        <is>
          <t>linkedin</t>
        </is>
      </c>
      <c r="E40" t="inlineStr"/>
      <c r="F40" t="inlineStr"/>
      <c r="G40" t="inlineStr">
        <is>
          <t>Frisco, TX</t>
        </is>
      </c>
      <c r="H40" t="inlineStr"/>
      <c r="I40" t="inlineStr">
        <is>
          <t>**Job Overview:**
 Are you passionate about harnessing data to unlock business insights and drive strategic growth? At Keurig Dr Pepper, we’re seeking a
 **Principal Data Engineer** 
 to lead the development and optimization of our modern data ecosystem. You’ll play a pivotal role in designing scalable data solutions, enabling advanced analytics, and mentoring teams across disciplines to maximize the value of data.
 Join our innovative team and help shape the future of enterprise data at one of North America’s leading beverage companies.
**As a Principal Data Engineer, you will…**
**Data Engineering \&amp; Architecture:**
* Architect and implement scalable data pipelines and transformation workflows using dbt, SnowSQL, and cloud\-native technologies.
* Design, build, and maintain enterprise\-grade data lakes, data warehouses, and transformation layers to support analytics and machine learning.
* Implement best practices for data ingestion, modeling, quality assurance, and lineage to ensure trusted and consistent data delivery.
* Create reusable frameworks and tools for automated deployment, monitoring, and lifecycle management of data assets.
* Optimize data platforms to deliver reliable, performant, and cost\-effective analytics infrastructure.
**AI\-Ready Data Ecosystems**
* Collaborate with Data Scientists to support AI/ML pipelines—enabling efficient feature engineering, model training, and real\-time inferencing.
* Integrate AI\-driven capabilities such as anomaly detection, intelligent alerting, and natural language enrichment into data workflows.
**Leadership \&amp; Collaboration:**
* Collaborate with cross\-functional teams—including Solution Architects, Product Managers, Data Scientists, and Analysts—to align on data strategy and business outcomes.
* Technically lead product teams involving external partners, ensuring timely delivery of high\-quality data solutions.
* Provide technical thought leadership, guiding project teams and business units through architectural decisions and best practices.
* Facilitate cross\-functional alignment to ensure scalable and sustainable data engineering practices.
**Governance \&amp; Optimization:**
* Define and enforce engineering standards and best practices across the analytics ecosystem.
* Lead architectural design reviews, ensuring technical rigor and adherence to change control processes.
* Continuously assess and optimize the performance, reliability, and scalability of the data platform.
* Contribute to roadmap development and long\-term strategy for the enterprise analytics platform.
**Who you are:**
 You're a strategic, hands\-on engineering leader who combines deep technical expertise with strong business acumen. You're passionate about solving complex data challenges, enabling AI, and mentoring teams to deliver enterprise\-grade data solutions.
**Key Skills \&amp; Expertise:**
**Technical Mastery
 *(Deep, hands\-on expertise expected)***
* Expert\-level knowledge of Snowflake architecture, SnowSQL, and data transformation workflows.
* Advanced proficiency with dbt for modeling, testing, versioning, and orchestrating ELT pipelines.
* Strong command of SQL, Python, and scalable data pipeline development.
* Proven experience designing and managing enterprise data warehouses and cloud\-native data platforms.
* Deep understanding of modern data modeling techniques (e.g., dimensional, data vault, star/snowflake schemas).
* Experience delivering platforms that support advanced analytics and machine learning solutions.
* Solid grasp of data architecture frameworks such as Data Warehouses, Data Lakes, and Data Hubs.
* Experience with commercial data science tools like KNIME, Alteryx, or similar platforms.
**Some Experience / Familiarity With
 *(Preferred, but not required at expert level)***
* AI/ML platforms such as Databricks, SageMaker, AutoML, or TensorFlow.
* Data integration and ELT tools like Informatica Cloud, Fivetran, or Azure Data Factory.
* BI tools: Power BI, Tableau, or MicroStrategy.
* Working with SAP ERP as a data source.
* Cloud platforms such as Azure, AWS, or GCP—especially storage, compute, and orchestration services.
* DevOps practices including Git workflows, CI/CD, and automation.
* UNIX/Linux environments and shell scripting.
**Leadership \&amp; Communication:**
* Ability to lead cross\-functional teams and manage complex data initiatives from design through delivery.
* Excellent communicator—able to convey complex technical concepts to both technical and non\-technical audiences.
* Proven track record of influencing architectural direction, mentoring team members, and driving business\-aligned outcomes.
* Skilled at deriving insights from data and translating them into clear, actionable recommendations.
**Problem Solving \&amp; Optimization:**
* Demonstrated success in building and optimizing data pipelines to maximize performance and maintainability.
* Strong analytical and troubleshooting skills with a focus on root cause analysis and long\-term solutions.
**Total Rewards:**
* Salary Range: $110,000 \- $168,000
* Actual placement within the compensation range may vary depending on experience, skills, and other factors
* Benefits, subject to election and eligibility: Medical, Dental, Vision, Disability, Paid Time Off (including paid parental leave, vacation, and sick time), 401k with company match, Tuition Reimbursement, and Mileage Reimbursement
* Annual bonus based on performance and eligibility
**Requirements:**
**Education:**
* Bachelor’s or Master’s degree in Computer Science, Data Science, Information Systems, or a related field.
**Experience:**
* 10\+ years in data management, including integration, modeling, and optimization.
* Hands\-on experience with Analytics tools and platforms like Snowflake or Informatica Cloud.
* Expert in SQL, SnowSql coding, ETL, and data warehousing.
**Core Skills:**
* Expertise in conceptual architecture, data integration design, and wireframing.
* Familiarity with DevOps and Agile technology environments (preferred).
* Strong presentation and change management skills.
**Nice to have / Cross trained In:**
* Exposure to SAP ERP and SAP\-based data integration.
* Experience with DevOps, CI/CD pipelines, and Git\-based workflows.
* Familiarity with AI/ML use cases in data operations (e.g., intelligent data quality, anomaly detection).
* Snowflake, dbt, or cloud platform certifications.
**Company Overview:**
 Keurig Dr Pepper (NASDAQ: KDP) is a leading beverage company in North America, with a portfolio of more than 125 owned, licensed and partner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 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 assist with initial resume screening and candidate matching. This technology helps us efficiently identify candidates whose qualifications align with our open roles. If you prefer not to have your application processed using artificial intelligence, you may opt out by emailing your resume and qualifications directly to kdpjobs@kdrp.com in lieu of clicking Apply. Please include the job title and location or Job ID \# in the email subject line.
**Total Rewards**
**Requirements**
**Company Overview**</t>
        </is>
      </c>
    </row>
    <row r="41">
      <c r="A41" t="inlineStr">
        <is>
          <t>li-4324358370</t>
        </is>
      </c>
      <c r="B41" t="inlineStr">
        <is>
          <t>Big Data Engineer</t>
        </is>
      </c>
      <c r="C41" t="inlineStr">
        <is>
          <t>Tata Consultancy Services</t>
        </is>
      </c>
      <c r="D41" t="inlineStr">
        <is>
          <t>linkedin</t>
        </is>
      </c>
      <c r="E41" t="inlineStr"/>
      <c r="F41" t="inlineStr"/>
      <c r="G41" t="inlineStr">
        <is>
          <t>New Castle, DE</t>
        </is>
      </c>
      <c r="H41" t="inlineStr"/>
      <c r="I41" t="inlineStr">
        <is>
          <t>**Job Description**
 Implement Big Data solutions using Hadoop, Spark, Kafka, and cloud\-native services.
 Build real\-time and batch data pipelines for analytics and reporting.
 Lead cross\-functional teams of data engineers, analysts, and developers.
 Collaborate with executives to define KPIs and reporting needs.
 Mentor junior team members and promote best practices in BI and Big Data.
 Salary Range: $100,000 to $115,000 per year
**Qualifications:** 
 BACHELOR OF COMPUTER SCIENCE</t>
        </is>
      </c>
    </row>
    <row r="42">
      <c r="A42" t="inlineStr">
        <is>
          <t>li-4334111081</t>
        </is>
      </c>
      <c r="B42" t="inlineStr">
        <is>
          <t>AVP, Data Engineer (Full Stack)</t>
        </is>
      </c>
      <c r="C42" t="inlineStr">
        <is>
          <t>LPL Financial</t>
        </is>
      </c>
      <c r="D42" t="inlineStr">
        <is>
          <t>linkedin</t>
        </is>
      </c>
      <c r="E42" t="inlineStr"/>
      <c r="F42" t="inlineStr"/>
      <c r="G42" t="inlineStr">
        <is>
          <t>Austin, TX</t>
        </is>
      </c>
      <c r="H42" t="inlineStr"/>
      <c r="I42" t="inlineStr">
        <is>
          <t>**LPL Financial**
**What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We are seeking experienced Data Engineers to support the modernization of the Investor Experience system. This position contributes to designing, developing, and delivering scalable data solutions that support millions of users. The role requires collaboration with multiple technical and business teams.
**Responsibilities**
* Design, develop, and maintain resilient, high‑performance data solutions using modern technologies and engineering practices.
* Work with business partners, architects, QA, and DevOps teams to ensure alignment with technical standards and project requirements.
* Participate in Agile ceremonies and maintain accurate technical documentation.
**What are we looking for?**
 We are seeking professionals who work effectively in team‑oriented, fast‑paced environments and who contribute to delivering reliable client and business outcomes. Candidates should demonstrate consistency, reliability, collaboration, and a commitment to continuous improvement.
**Requirements**
* 8\+ years of experience in software development using Angular, C\# .NET, AWS, Python, and SQL.
* 5\+ years of experience working with AWS services (e.g., Glue, EKS, S3, MongoDB/DocDB, Postgres, API Gateway, Kafka).
* 5\+ years of experience with Docker, Kubernetes, relational and NoSQL databases, and CI/CD pipeline development.
**Core Competencies**
* Proficiency in API development and batch processing using AWS tools and modern programming languages.
* Experience developing UI components and applications using AngularJS.
* Experience with data pipeline optimization and performance tuning.
* Demonstrated analytical and problem‑solving abilities.
* Experience working in Agile delivery environments.
**Preferences**
* Bachelor’s degree in Computer Science or a related field.
* Familiarity with Snowflake and/or relevant AWS certifications.
* Experience working with external‑facing platforms and advanced data‑modeling concepts.
**Pay Range:**
 $140,475\-$234,125/year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43">
      <c r="A43" t="inlineStr">
        <is>
          <t>li-4255576397</t>
        </is>
      </c>
      <c r="B43" t="inlineStr">
        <is>
          <t>Lead Data Engineer</t>
        </is>
      </c>
      <c r="C43" t="inlineStr">
        <is>
          <t>Zenith</t>
        </is>
      </c>
      <c r="D43" t="inlineStr">
        <is>
          <t>linkedin</t>
        </is>
      </c>
      <c r="E43" t="inlineStr"/>
      <c r="F43" t="inlineStr"/>
      <c r="G43" t="inlineStr">
        <is>
          <t>New York, NY</t>
        </is>
      </c>
      <c r="H43" t="inlineStr"/>
      <c r="I43" t="inlineStr">
        <is>
          <t>**Company Description** 
 PubW is a bespoke business unit set up to bring the full power of the Publicis Groupe together to support Walmart’s media and data needs. Through our Power of One model, we put Walmart at the center bringing together specialists in strategy, media investment, data, influencers, commerce, and content delivering a highly connected, purpose\-led and collaborative approach for our clients. PubW’s mission is to help Walmart navigate a period of intense change, continually keeping them “one more step ahead”. This means challenging conventions, driving continual progress, and pushing the marketplace to keep Walmart at the forefront of the media industry. Our approach is grounded in using data and technology to connect with real people across the full funnel, ensuring that Walmart’s investment in media is directly contributing to innovative marketing experiences, driving brand and business growth.
**Overview** 
 As a Lead Date Engineer, you will be focused on writing code and assembling large, complex sets of data using various technologies. You will be a part of the data processing team, focused on code optimization, in addition to other day\-to\-day responsibilities.
**Responsibilities** 
* Develop and implement a set of techniques or analytics applications to transform raw data into meaningful information using data\-oriented programming languages and visualization software
* Serve as coding and technical data engineering expert
* Drive agile\-based execution of data engineering deliverables
* Design, develop, validate, implement, maintain, monitor, document, and own end\-to\-end data engineering solutions
* Automate collection, persistence, processing, and reporting of data from internal and external platforms and data sources
* Develop and own API integrations to various external platforms towards getting data daily
* Work across cloud platforms, including GCP, AWS, and Azure and associated services
* Drive with a sense of urgency to meet internal and external stakeholders’ expectations and timelines
* Follow and enhance data engineering best practices
* Orchestrate a complex ask or requirement into logical set of deliverables
* Pioneer data accuracy and optimizing data engineering pipelines, including code, queries, schema, processes, and infrastructure usage
* Collaborate, communicate, and present across teams and meet organizational goals
* Guide and supervise products and processes developed by senior and junior data engineers
**Requirements:** 
 Employer will accept a Master’s degree in Computer Science, Information Technology or related field and 6 \- 10\+ years of Data Engineering experience or experience in any occupation in which the required experience was gained. Practical and deeper experience working on the below tech stack or areas is required.
* SQL
* Python
* AWS, GCP, Azure cloud solutions
* DataBricks
* Amazon Redshift
* Google Big Query
* Cloud Run or Lambda functions
* Business Intelligence
* Data Modelling
* API integrations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
 Veterans Encouraged to Apply
 Compensation Range: $125,000\-$140,000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1/26/2026\.</t>
        </is>
      </c>
    </row>
    <row r="44">
      <c r="A44" t="inlineStr">
        <is>
          <t>li-4268689313</t>
        </is>
      </c>
      <c r="B44" t="inlineStr">
        <is>
          <t>Senior Staff Data Engineer</t>
        </is>
      </c>
      <c r="C44" t="inlineStr">
        <is>
          <t>Empower Pharmacy</t>
        </is>
      </c>
      <c r="D44" t="inlineStr">
        <is>
          <t>linkedin</t>
        </is>
      </c>
      <c r="E44" t="inlineStr"/>
      <c r="F44" t="inlineStr"/>
      <c r="G44" t="inlineStr"/>
      <c r="H44" t="inlineStr"/>
      <c r="I44" t="inlineStr">
        <is>
          <t>Position Summary
 The Senior Staff Data Engineer plays a critical leadership role in Empower Pharmacy’s data engineering strategy by architecting enterprise\-wide solutions, mentoring senior engineering talent, and spearheading initiatives that drive innovation, scalability, and quality. This role bridges technical execution with strategic foresight, guiding cross\-functional initiatives that accelerate access to affordable, high\-quality medications. This position is ideal for a deeply experienced data engineer with a strong architectural mindset and a desire to grow into a Principal Engineer.
 Duties and Responsibilities
* Design and evolve modern cloud\-native data architecture across teams, including data lakes, lakehouses, data mesh domains, and scalable data marts.
* Own and improve shared Extract Load Transform (ELT) frameworks, data contracts, observability systems, and platform components used across engineering and analytics teams.
* Drive data modernization efforts, including the consolidation of data marts into a unified warehouse and adoption of advanced governance practices.
* Evaluate and introduce new technologies and practices – e.g., data build tool (dbt), Iceberg, streaming, machine learning pipelines – where they add value to platform goals.
* Design secure systems aligned with Health Insurance Portability and Accountability Act, GxP, and other compliance frameworks, in close collaboration with Governance, Risk, and Compliance and InfoSec teams.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Expertise in designing and implementing Amazon Web Service (AWS) serverless data platforms such as AWS Glue, Lambda, S3, Redshift, Athena, and Lake Formation, along with mastery in data modeling methodologies including Kimball, Inmon, and Data Vault.
* Advanced proficiency in pipeline development using tools like Fivetran, dbt, and custom ELT frameworks; orchestration tools such as Airflow or Dagster; and modern engineering practices including continuous integration/continuous deployment, infrastructure as code (IaC), and GitOps workflows.
**Key Competencies**
*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Minimum of 12 years of experience in data engineering, including at least 3 years in senior or staff\-level roles with a proven track record of architectural leadership and mentoring senior engineering talent.
* Requires a degree in computer science, engineering, statistics, or related quantitative discipline.
* AWS Certified SysOps Administrator; Certified Kubernetes Administrator or Docker Certified Associate; Apache Airflow Certification.
**Benefits**
 We offer comprehensive benefits to support your health, well\-being, and future, including medical, dental, and vision coverage, paid time off, 401(k) matching, wellness perks, IV therapy, and compounded medications. Learn more: https://careers.empowerpharmacy.com/benefits/</t>
        </is>
      </c>
    </row>
    <row r="45">
      <c r="A45" t="inlineStr">
        <is>
          <t>li-4343919584</t>
        </is>
      </c>
      <c r="B45" t="inlineStr">
        <is>
          <t>SAP Data Engineer</t>
        </is>
      </c>
      <c r="C45" t="inlineStr">
        <is>
          <t>IDR, Inc.</t>
        </is>
      </c>
      <c r="D45" t="inlineStr">
        <is>
          <t>linkedin</t>
        </is>
      </c>
      <c r="E45" t="inlineStr"/>
      <c r="F45" t="inlineStr"/>
      <c r="G45" t="inlineStr">
        <is>
          <t>Atlanta, GA</t>
        </is>
      </c>
      <c r="H45" t="inlineStr"/>
      <c r="I45" t="inlineStr">
        <is>
          <t>IDR is seeking an 
 **SAP Data Engineer** 
  to join one of our top clients for an opportunity in Atlanta, GA. This role involves designing, building, and optimizing data pipelines and architecture to support advanced analytics and business intelligence in a dynamic enterprise environment.
**Position Overview for the SAP Data Engineer:** 
* Develop and optimize ETL/ELT pipelines from SAP sources and other enterprise data sources
* Design, build, and maintain data architecture supporting analytics and BI initiatives
* Deep knowledge of SAP technologies including BW/4HANA, S/4HANA, ECC, BusinessObjects, and SAC
* Experience with Celonis data engineering and enterprise DataOps practices
* Collaborate with cross\-functional teams to ensure data governance, security, and performance
**Requirements for the SAP Data Engineer:** 
* 5 \- 8\+ years of hands\-on experience in Data Engineering with SAP BW/4HANA, SAP ECC/S4, BusinessObjects, SAC, and Celonis
* Strong knowledge of data integration techniques such as ODP, SLT, ABAP, SQL, and CDS views
* Experience developing and customizing BI extraction processes using ABAP
* Familiarity with SAP Datasphere, hybrid architecture, and SAP BPC
* Understanding of process excellence frameworks, Celonis EMS, DataOps, CI/CD practices, Snowflake, and Tableau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46">
      <c r="A46" t="inlineStr">
        <is>
          <t>li-4351604777</t>
        </is>
      </c>
      <c r="B46" t="inlineStr">
        <is>
          <t>Lead Data Engineer, Oracle Development</t>
        </is>
      </c>
      <c r="C46" t="inlineStr">
        <is>
          <t>Raymond James</t>
        </is>
      </c>
      <c r="D46" t="inlineStr">
        <is>
          <t>linkedin</t>
        </is>
      </c>
      <c r="E46" t="inlineStr"/>
      <c r="F46" t="inlineStr"/>
      <c r="G46" t="inlineStr">
        <is>
          <t>St. Petersburg, FL</t>
        </is>
      </c>
      <c r="H46" t="inlineStr"/>
      <c r="I46" t="inlineStr">
        <is>
          <t>**Job Description Summary**
 We are seeking a highly experienced and technically proficient Lead Developer to join our dynamic team. This role demands deep expertise in Oracle database development, Python/Spark, CI/CD automation, and data engineering. As a Lead Developer, you will drive the design and implementation of scalable solutions, lead a team of developers, and ensure seamless system integration and performance optimization
**Job Description**
***This position will follow our hybrid work model, we expect the selected candidate to be in the office 8\-10 days per month at the St. Petersburg, FL Corporate Office location.***
**Responsibilities**
* Project Leadership: Manage full development lifecycle—from requirements gathering to deployment—ensuring timely delivery and high\-quality outcomes.
* Oracle Development: Design and optimize complex SQL queries, stored procedures, and database schemas for performance and scalability.
* Database Optimization: Analyze system performance and implement strategies for efficient data storage and retrieval.
* Data Engineering: Use Pandas and Spark for data transformation, analysis, and manipulation.
* Python Development: Build and maintain robust Python applications and automation scripts.
* CI/CD Automation: Develop and manage CI/CD pipelines using Jenkins and other tools to streamline build, test, and deployment processes.
* Team Mentorship: Lead and mentor junior developers, fostering a collaborative and innovative engineering culture.
* Documentation: Produce and maintain detailed technical documentation for all development efforts.
**Skills**
* Experience: 10\+ years in software development, with a strong focus on Python and Oracle databases.
* Technical Proficiency: Expertise in SQL, Oracle, Python/Spark, Jenkins, Kubernetes, Pandas, and CI/CD practices.
* Optimization Skills: Solid understanding of database performance tuning and best practices.
* Leadership: Demonstrated success in leading development teams and managing complex projects.
* Analytical Thinking: Strong problem\-solving skills with a data\-driven approach.
* Communication: Excellent verbal and written communication abilities.
* Education: Bachelor’s degree in Computer Science, Engineering, or a related field (or equivalent experience).
**Preferred Qualifications**
* Certifications: Credentials in Oracle, Python, Kubernetes, or CI/CD tools.
* Agile Experience: Familiarity with Agile/Scrum methodologies.
* Cloud Knowledge: Experience with cloud platforms such as AWS, Azure, or Google Cloud.
**Education**
 Bachelor’s: Computer and Information Science (Required), Bachelor’s: Computer Engineering
**Work Experience**
 General Experience \- 6 to 10 years
**Certifications**
**Travel**
 Less than 25%
**Workstyle**
 Hybrid
 At Raymond James our associates use five guiding behaviors (Develop, Collaborate, Decide, Deliver, Improve) to deliver on the firm's core values of client\-first, integrity, independence and a conservative, long\-term view.
**We Expect Our Associates At All Levels To**
* Grow professionally and inspire others to do the same
* Work with and through others to achieve desired outcomes
* Make prompt, pragmatic choices and act with the client in mind
* Take ownership and hold themselves and others accountable for delivering results that matter
* Contribute to the continuous evolution of the firm
 At Raymond James – as part of our people\-first culture, we honor, value, and respect the uniqueness, experiences, and backgrounds of all of our Associates. When associates bring their best authentic selves, our organization, clients, and communities thrive. The Company is an equal opportunity employer and makes all employment decisions on the basis of merit and business needs.</t>
        </is>
      </c>
    </row>
    <row r="47">
      <c r="A47" t="inlineStr">
        <is>
          <t>li-4347356402</t>
        </is>
      </c>
      <c r="B47" t="inlineStr">
        <is>
          <t>Sr. Data Engineer (Remote)</t>
        </is>
      </c>
      <c r="C47" t="inlineStr">
        <is>
          <t>CrowdStrike</t>
        </is>
      </c>
      <c r="D47" t="inlineStr">
        <is>
          <t>linkedin</t>
        </is>
      </c>
      <c r="E47" t="inlineStr"/>
      <c r="F47" t="inlineStr"/>
      <c r="G47" t="inlineStr"/>
      <c r="H47" t="inlineStr"/>
      <c r="I47"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As a Senior Data Engineer, you will design and build reusable data integration components, frameworks, and libraries at scale to support Operational Data Store / Enterprise Data Lake Platforms.
****What You’ll Do****
* Design, develop, and maintain scalable, automated, framework driven and efficient data pipelines using scripting languages like Python, Airflow, Dbt and Cloud databases such as Snowflake, RedShift, etc.
* Implement data integration solutions for various data sources like SFDC, Product Telemetry, NetSuite and other systems, ensuring data accuracy, consistency, and completeness.
* Work closely with DevOps and data scientists to support their data platform automation needs.
****What You’ll Need****
* 12\+ years' experience in design and development of data pipeline automation extracting data from Cloud API based sources. Experience developing complex automation frameworks, queries, data modeling, and extract, transform, and load (ETL) processes in SQL, Python, DBT, Apache Airflow or similar technical languages.
* Deep Experience in scripting languages such as Python and Cloud database experience such as Snowflake, Redshift, etc. to facilitate rapid ingestion and dissemination of key data.
* Proficient in transforming structured and unstructured data. Experience working on CI/CD processes such as Jenkins, Gitlab CI/CD etc., and source control tools such as GitHub, etc.
* Experience identifying and solving issues concerning data management to improve data quality, and clean, prepare and optimize data for ingestion and consumption. You will work with your Data Engineering teammates to review design, code, and test plans to increase knowledge and application of key frameworks and methodologies.
* Work with internal and external stakeholders to assist with data\-related technical issues and support data infrastructure needs.
* Proven experience integrating and managing business data from enterprise applications to drive analytics and insights.
* Bachelor's Degree in Computer Science, Information Technology, Computer Engineering, or related IT discipline; or equivalent experience.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$125,000 \- $180,000 per year, with eligibility for bonuses, equity grants and a comprehensive benefits package that includes health insurance, 401k and paid time off.
 For detailed information about the U.S. benefits package, please click here.
 Expected Close Date of Job Posting is:01\-24\-2026,
****What You’ll Need****
* 12\+ years' experience in design and development of data pipeline automation extracting data from Cloud API based sources. Experience developing complex automation frameworks, queries, data modeling, and extract, transform, and load (ETL) processes in SQL, Python, DBT, Apache Airflow or similar technical languages.
* Deep Experience in scripting languages such as Python and Cloud database experience such as Snowflake, Redshift, etc. to facilitate rapid ingestion and dissemination of key data.
* Proficient in transforming structured and unstructured data. Experience working on CI/CD processes such as Jenkins, Gitlab CI/CD etc., and source control tools such as GitHub, etc.
* Experience identifying and solving issues concerning data management to improve data quality, and clean, prepare and optimize data for ingestion and consumption. You will work with your Data Engineering teammates to review design, code, and test plans to increase knowledge and application of key frameworks and methodologies.
* Work with internal and external stakeholders to assist with data\-related technical issues and support data infrastructure needs.
* Proven experience integrating and managing business data from enterprise applications to drive analytics and insights.
* Bachelor's Degree in Computer Science, Information Technology, Computer Engineering, or related IT discipline; or equivalent experience.</t>
        </is>
      </c>
    </row>
    <row r="48">
      <c r="A48" t="inlineStr">
        <is>
          <t>li-4337701013</t>
        </is>
      </c>
      <c r="B48" t="inlineStr">
        <is>
          <t>Lead, AI Data Engineer</t>
        </is>
      </c>
      <c r="C48" t="inlineStr">
        <is>
          <t>Mastercard</t>
        </is>
      </c>
      <c r="D48" t="inlineStr">
        <is>
          <t>linkedin</t>
        </is>
      </c>
      <c r="E48" t="inlineStr"/>
      <c r="F48" t="inlineStr"/>
      <c r="G48" t="inlineStr">
        <is>
          <t>O'Fallon, MO</t>
        </is>
      </c>
      <c r="H48" t="inlineStr"/>
      <c r="I48"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AI Data Engineer
 Mastercard Security Services is responsible for acquiring, engaging, and retaining customers by managing fraud and risk, enhancing cybersecurity, and improving the digital payments experience. We provide value\-added services and leverage expertise, data\-driven insights, and execution.
 The Cyber and Fraud Solutions Data Science team develops AI products to help issuers, acquirers, and merchants fight fraud. As a Lead AI Data Engineer, you will play a pivotal role in designing scalable data pipelines, building robust feature engineering workflows, and creating shared tools that empower data scientists across the organization. You will also lead efforts to integrate data pipelines with model APIs and support production\-grade AI systems.
**Responsibilities:**
* Lead the development of scalable, high\-performance data pipelines for structured and unstructured data used in AI/ML models.
* Design and manage feature stores to ensure consistent feature computation across training and inference environments.
* Collaborate with ML Engineering and ML Ops teams to build and maintain data quality and drift monitoring systems.
* Develop AI microservices that integrate data pipelines with model APIs for real\-time and batch inference.
* Recommend and implement improvements to data quality, efficiency, and pipeline resilience.
* Partner with cross\-functional teams to deliver robust analytical solutions using Mastercards global data assets.
* Organize and maintain tools for data transfer, mining, cleaning, processing, and validation.
* Contribute to the development of scalable AI infrastructure and reusable components for enterprise\-wide use.
**Required Skills:**
* Proven experience in Python and SQL for scripting, automation, and data integration.
* Hands\-on experience with big data technologies such as Spark, Kafka, Hive, Impala, Airflow, and NiFi.
* Familiarity with relational databases (PostgreSQL, Oracle) and cloud platforms (preferably AWS).
* Experience building and managing feature engineering workflows and feature stores.
* Understanding of ML workflows, including model training, inference, and monitoring.
* Experience with CI/CD tools (GitHub Actions, Jenkins) and infrastructure automation (Terraform).
* Strong knowledge of Linux/Unix systems and shell scripting.
* Excellent communication and collaboration skills, with the ability to work across technical and non\-technical teams.
* Subject matter expertise in payments, fraud, or cybersecurity or a demonstrated ability to quickly learn new domains.
* Creative, curious, and innovative mindset with a passion for solving complex problems.
**Nice To Have:**
* Experience with AWS cloud services for data engineering and ML workflows.
* Hands\-on experience with Databricks, including Medallion Architecture and Delta Lake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$138,000 \- $221,000 USD</t>
        </is>
      </c>
    </row>
    <row r="49">
      <c r="A49" t="inlineStr">
        <is>
          <t>li-4265214563</t>
        </is>
      </c>
      <c r="B49" t="inlineStr">
        <is>
          <t>Senior Data Engineer | Growth and Transformation</t>
        </is>
      </c>
      <c r="C49" t="inlineStr">
        <is>
          <t>Red Ventures</t>
        </is>
      </c>
      <c r="D49" t="inlineStr">
        <is>
          <t>linkedin</t>
        </is>
      </c>
      <c r="E49" t="inlineStr"/>
      <c r="F49" t="inlineStr"/>
      <c r="G49" t="inlineStr">
        <is>
          <t>Charlotte, NC</t>
        </is>
      </c>
      <c r="H49" t="inlineStr"/>
      <c r="I49" t="inlineStr">
        <is>
          <t>***This role is not open to visa sponsorship or transfer of visa sponsorship including those on OPT and STEM\-EXT OPT, nor is it available to work corp\-to\-corp.***
 Red Ventures operates dozens of digital first businesses and partners with leading brands to deepen customer relationships. Our Data Engineering team sits at the center of these efforts, designing modern, trusted data platforms that power real time decision making, AI solutions, and dynamic marketing experiences. We are hiring a Senior Data Engineer within the RV’s Client Growth and Transformation team to elevate our lakehouse architecture, lead complex data product builds, and mentor a growing team. Within RVGT, you will play a pivotal role in driving client success by designing and implementing strategic initiatives that boost customer acquisition and retention.
**What You'll Do**
* Design \&amp; evolve our cloud lakehouse \- Own end\-to\-end architecture (AWS, Databricks) for both batch and streaming pipelines, balancing cost, performance, and governance.
* Build high impact data products \- Develop scalable, well tested data models that drive lifetime value, churn, and propensity insights powering RV sites and CRM activations.
* Engineer reliable data pipelines \- Implement Python/Spark jobs, Kafka/Spark Streaming flows, dbt transformations, and Airflow orchestration with CI/CD (GitHub Actions, Terraform).
* Champion data quality \&amp; observability \- Embed Monte Carlo, Alation/Collibra policies, and unit/integration testing to keep our data trusted and audit\-ready.
* Enable analytics \&amp; AI \- Partner with analysts, ML engineers, and GenAI teams to surface governed tables in Power BI/Tableau and to support LLM\-driven agentic workflows.
* Influence \&amp; mentor \- Explain complex technical trade\-offs to business stakeholders and guide mid\-level engineers in best practices for distributed\-systems design.
**What We're Looking For**
* Cloud \&amp; big data platforms \- 5\+ years designing and developing on AWS and Databricks data lake and lakehouse architectures
* Programming \- Expert in SQL, Python/Scala
* Streaming \- Hands on with Kafka and Spark Structured Streaming in production
* Data modeling \&amp; warehousing \- Dimensional, data vault, and real time schemas; SQL performance tuning on data warehouses, including Snowflake and Databricks SQL
* Orchestration \&amp; DevOps \- Airflow, dbt, GitHub Actions, Terraform; strong CI/CD experience
* Governance \&amp; compliance \- Familiar with CCPA/SOC 2 controls; experience using Alation, Monte Carlo or Collibra
* Salesforce Data Cloud \- Expert in designing, implementing and maintaining data solutions
* Data architecture \- System design experience for batch and real time
* Domain experience \- Prior work in consumer finance, banking or fintech
* Soft skills \- Proven ability to translate technical concepts to non technical audiences; excellent written \&amp; verbal communication
**Preferred \&amp; Bonus Points**
* Salesforce Data Cloud and Adobe AEP certification
* AI experience leveraging GenAI, LLM, agentic workflows
* Experience enabling marketing cloud activations or personalization use cases
* Knowledge of data mesh architecture and data as a product operating models
**What You’ll Get From Us**
* Impact at scale \- Your work powers decisions that touch 100 M\+ consumers annually
* Modern stack \- Databricks, Airflow, Kafka, dbt, Monte Carlo, Terraform \- no legacy drag
* Growth \&amp; autonomy \- Clear technical career paths and the freedom to innovate
* Inclusive culture \- We win through diverse ideas and collaborative problem solving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Total Cash Compensation Range: $100,000\-$180,000\*
 Additionally, the following benefits are provided by Red Ventures, subject to eligibility requirements.
* Health Insurance Coverage (medical, dental, and vision)
* Life Insurance
* Short and Long\-Term Disability Insurance
* Flexible Spending Accounts
* Paid Time Off
* Holiday Pay
* 401(k) with match
* Employee Assistance Program
* Paid Parental Bonding Benefit Program
**Who We Are**
 Red Ventures is a global portfolio of high\-growth companies — spanning several U.S. businesses, a joint venture in the health services industry, and strategic investments in Europe and Puerto Rico. Their businesses include The Points Guy, Lonely Planet, Bankrate, the Allconnect Platform, RV Home Client Growth, RV Growth \&amp; Transformation, Sage Home Loans Corporation, RV Education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We offer competitive salaries and a comprehensive benefits program for full\-time employees, including medical, dental and vision coverage, paid time off, life insurance, disability coverage, employee assistance program, 401(k) plan and a paid parental leave program.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50">
      <c r="A50" t="inlineStr">
        <is>
          <t>li-4293017810</t>
        </is>
      </c>
      <c r="B50" t="inlineStr">
        <is>
          <t>Technical Lead, Market Data Engineer - Equities Technology</t>
        </is>
      </c>
      <c r="C50" t="inlineStr">
        <is>
          <t>Millennium</t>
        </is>
      </c>
      <c r="D50" t="inlineStr">
        <is>
          <t>linkedin</t>
        </is>
      </c>
      <c r="E50" t="inlineStr"/>
      <c r="F50" t="inlineStr"/>
      <c r="G50" t="inlineStr">
        <is>
          <t>Miami, FL</t>
        </is>
      </c>
      <c r="H50" t="inlineStr"/>
      <c r="I50" t="inlineStr">
        <is>
          <t>We are seeking a highly skilled Senior Engineer / Technical Lead with expertise in C\+\+ and the ability to quickly learn and master other technologies (e.g., Java, Streambase, etc.) to lead the technical transformation of our legacy platform into a modern technology architecture. This role requires a strong background in financial markets technology and real\-time market data systems. The ideal candidate will be a hands\-on technical leader who can guide a team of engineers, drive innovation, and ensure system stability while preparing to potentially step into a Team Lead role in the future.
**Key Responsibilities**
* Technical Leadership:
+ Act as the Technical Lead for a team of engineers, providing mentorship and guidance to drive technical excellence.
+ Lead the migration of legacy systems to modern architectures, ensuring scalability, reliability, and performance.
+ Collaborate with the Team Lead to define priorities, effort analysis, and estimates.
+ Contribute to the team's technical direction by driving new initiatives and adopting best practices.
* Architecture \&amp; Development:
+ Design and implement microservices and real\-time distributed solutions for market data systems.
+ Enhance and develop monitoring, automation, and tooling to improve operational efficiency.
+ Work closely with the low\-latency engineering team to integrate solutions across enterprise and colo environments.
* Stakeholder Collaboration:
+ Engage directly with portfolio managers, traders, C\-level management, IT teams, and external vendors to understand and address their needs.
+ Build and maintain strong relationships with stakeholders to ensure alignment and effective communication.
* Operational Excellence:
+ Define and enforce SLAs, SLOs, policies, metrics, and KPIs to proactively monitor and improve system performance.
+ Oversee production change review processes, monitor system health, and assist with new builds.
+ Ensure system stability while managing change in a fast\-paced environment.
**Required Skills**
* Technical Expertise:
+ Strong proficiency in C\+\+ with the ability to quickly learn and master other technologies (e.g., Java, Streambase, Python).
+ Extensive experience with real\-time market data systems and financial markets technology.
+ Proven ability to design and implement microservices and distributed systems.
* Leadership \&amp; Communication:
+ Experience managing and mentoring engineering teams, with the ability to step into a Team Lead role when needed.
+ Strong communication and relationship management skills, with the ability to engage effectively with traders, IT teams, and vendors.
+ Demonstrated ability to prioritize tasks in a high\-pressure, fast\-moving environment.
* Technical Knowledge:
+ Deep understanding of network protocols (e.g., TCP/IP, MCAST) and operating systems in low\-latency environments.
+ Familiarity with market data feed handlers and protocols for global trading venues (Americas, Europe, Asia).
+ Hands\-on experience with automation and scripting tools to support the environment.
**Desirable Skills**
* Familiarity with Reuters, Bloomberg, Exchange symbology, and data models.
* Experience with data distribution buses (e.g., Solace, Kafka).
* Knowledge of cloud platforms (e.g., AWS, GCP) and Site Reliability Engineering (SRE) practices.
* Exposure to AI tools for coding optimization and efficiency improvements.
**Why Join Us?**
* Be part of a high\-impact team driving the transformation of legacy systems into cutting\-edge technology architectures.
* Work in a dynamic environment with opportunities to engage directly with traders, portfolio managers, and senior leadership.
* Take on a technical leadership role with the potential to grow into a Team Lead position in the future.
* Collaborate with a global team of talented engineers to solve complex challenges in real\-time market data systems.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51">
      <c r="A51" t="inlineStr">
        <is>
          <t>li-4343826377</t>
        </is>
      </c>
      <c r="B51" t="inlineStr">
        <is>
          <t>Solutions Architect - (Data Engineering)</t>
        </is>
      </c>
      <c r="C51" t="inlineStr">
        <is>
          <t>Jobot</t>
        </is>
      </c>
      <c r="D51" t="inlineStr">
        <is>
          <t>linkedin</t>
        </is>
      </c>
      <c r="E51" t="inlineStr"/>
      <c r="F51" t="inlineStr"/>
      <c r="G51" t="inlineStr">
        <is>
          <t>Philadelphia, PA</t>
        </is>
      </c>
      <c r="H51" t="inlineStr"/>
      <c r="I51" t="inlineStr">
        <is>
          <t>Want to learn more about this role and Jobot? Click our Jobot logo and follow our LinkedIn page!
 Job details
**Shape the Future of Data \&amp; AI — Architect Solutions That Scale**
 This Jobot Job is hosted by Robert Donohue
 Are you a fit? Easy Apply now by clicking the "Easy Apply" button and sending us your resume.
 Salary $140,000 \- $170,000 per year
**A Bit About Us**
 We’re a global leader in data and AI/ML services and one of the fastest\-growing companies in the modern data stack space. We partner with top cloud platforms like Snowflake, AWS, Azure, GCP, Databricks, Fivetran, Pinecone, Glean, and dbt to deliver innovative data, cloud, and machine learning solutions that help enterprises unlock the true power of their data.
 With a decade of 40%\+ year\-over\-year growth, we’ve become a 6x Snowflake Partner of the Year (2020–2025\) and earned accolades as an award\-winning workplace in the US, LATAM, and India.
 We’re a remote\-first organization with a collaborative, casual culture that prizes autonomy, creativity, and curiosity. You’ll work alongside some of the brightest minds in data engineering and AI/ML — all driven by a shared passion to solve the toughest data challenges for leading global enterprises.
****Why join us?****
* Competitive Compensation $140,000 – $190,000\+ base salary (depending on experience)
* Remote\-First Work from anywhere in the US with occasional customer\-site travel nationwide
* Massive Growth Be part of a company growing 40% YOY, creating career advancement opportunities
* Cutting\-Edge Tech Build enterprise\-scale solutions leveraging Snowflake, Databricks, AWS, GCP, Azure, Kafka, and more
* Award\-Winning Culture Collaborative, inclusive, and committed to professional development
* Learning \&amp; Development Accelerated training, advanced certifications, and exposure to AI/ML innovation
* Time Off \&amp; Benefits 4 weeks PTO, 10 paid holidays, health/dental/vision insurance, 401(k), and additional perks
**Job Details**
 We’re seeking a Solutions Architect who thrives at the intersection of data engineering solutions. This is a customer\-facing, technical leadership role where you’ll design, build, and deliver scalable cloud and data architectures for enterprise clients.
 What You’ll Do
* Design and implement end\-to\-end data solutions that are secure, performant, and scalable
* Collaborate with enterprise customers to understand their challenges and translate business needs into technical roadmaps
* Lead architecture discussions, conduct POCs, create roadmaps, diagrams, and solution documentation
* Work hands\-on with modern data stack tools like Snowflake, Databricks, AWS, Azure, GCP, and streaming/integration tech (Kafka, Fivetran, dbt, Airflow)
* Support product adoption and services expansion by building trust with customer teams and executives
* Guide and mentor engineers, helping elevate their technical expertise
* Deliver presentations and demos that clearly communicate solutions to both technical and non\-technical audiences
 What You Bring
* 8\+ years as a Solutions Architect/Data Engineer designing and implementing production\-grade solutions
* 5\+ years customer\-facing experience with enterprise clients
* Strong proficiency in Python, Java, or Scala and advanced SQL skills
* Hands\-on experience with Snowflake, Databricks, Redshift, or EMR and distributed/cloud data platforms (AWS, Azure, GCP)
* Familiarity with streaming tools (Kafka, Spark), orchestration (Airflow), and data integration technologies (Fivetran, Matillion, ADF)
* Excellent communication skills for collaborating with clients and presenting solutions
* Bachelor’s degree in Computer Science or related field (or equivalent experience)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52">
      <c r="A52" t="inlineStr">
        <is>
          <t>li-4330762566</t>
        </is>
      </c>
      <c r="B52" t="inlineStr">
        <is>
          <t>Senior Trainer – Data Engineering</t>
        </is>
      </c>
      <c r="C52" t="inlineStr">
        <is>
          <t>Revature</t>
        </is>
      </c>
      <c r="D52" t="inlineStr">
        <is>
          <t>linkedin</t>
        </is>
      </c>
      <c r="E52" t="inlineStr"/>
      <c r="F52" t="inlineStr"/>
      <c r="G52" t="inlineStr">
        <is>
          <t>New Jersey, United States</t>
        </is>
      </c>
      <c r="H52" t="inlineStr"/>
      <c r="I52" t="inlineStr">
        <is>
          <t>**About the Role:** 
 We are looking for a
 **Senior Trainer \- Data Engineering** 
 with strong expertise in modern data platforms and AI\-driven data systems. The ideal candidate will be an experienced data engineer capable of delivering advanced training on end\-to\-end data engineering workflows \- from data ingestion and transformation to preparing high\-quality datasets for AI and machine learning applications.
 This role is central to training the next generation of Data Engineers and AI\-ready professionals, leveraging cutting\-edge tools such as Databricks, Apache Spark, Kafka, Airflow, Delta Lake, and Snowflake.
**About Revature:** 
 Revature is one of the largest and fastest\-growing employers of technology talent across the U.S., partnering with Fortune 500 companies, leading System Integrators, and Government Contractors to identify experienced professionals who can be effective leaders.
**Key Responsibilities:** 
* Deliver in\-depth, interactive, and hands\-on sessions on
 **advanced data engineering and AI integration** 
 .
* Train and mentor learners on:
* **Distributed processing** 
 using
 **Apache Spark** 
 and
 **Databricks.**
* **Data orchestration** 
 with
 **Airflow** 
 and
 **CI/CD pipelines** 
 for data workflows
* **Real\-time streaming** 
 using
 **Kafka** 
 and
 **Kinesis**
* **Lakehouse architectures** 
 using
 **Delta Lake** 
 ,
 **Snowflake** 
 , and
 **cloud\-native solutions**
* **Data preparation for AI/ML pipelines** 
 , including feature engineering and dataset versioning
* Working with
 **MLflow** 
 ,
 **Databricks AutoML** 
 , and
 **AI/ML integrations** 
 on cloud platforms
* Implementing
 **data governance, lineage, and monitoring** 
 best practices
* Guide learners through
 **AI\-ready data engineering projects** 
 , combining data pipelines with model development and deployment.
* Collaborate with curriculum designers to integrate emerging
 **AI and data science tools** 
 (e.g., Vector Databases, MLOps frameworks) into the training modules.
* Conduct performance evaluations, code reviews, and one\-on\-one learner mentoring sessions.
* Stay current with
 **AI trends** 
 ,
 **modern data infrastructure** 
 , and
 **cloud\-native innovations** 
 to continuously enrich the training experience.
**Required Skills \&amp; Qualifications:** 
* **Experience:** 
 5\+ years in
 **Data Engineering** 
 ,
 **Big Data** 
 , or
 **AI/ML Infrastructure Development** 
 .
**Technical Expertise:** 
* Strong programming skills in
 **Python (pandas \&amp; numpy)** 
 and
 **SQL** 
 .
* Hands\-on experience with
 **Databricks** 
 ,
 **Apache Spark** 
 , and
 **PySpark** 
 .
* Deep understanding of
 **data lakes** 
 ,
 **Delta Lake** 
 , and
 **lakehouse architecture** 
 .
* Proficiency with
 **streaming frameworks** 
 such as
 **Kafka** 
 or
 **Kinesis** 
 .
* Experience with
 **Airflow** 
 or other orchestration tools.
* Familiarity with
 **MLflow** 
 ,
 **TensorFlow** 
 , or
 **PyTorch** 
 for data\-to\-AI workflows.
* Cloud expertise in
 **AWS (Glue, Redshift, Sagemaker)** 
 ,
 **Azure (Data Factory, Synapse, ML Studio)** 
 , or
 **GCP (Dataflow, Vertex AI, BigQuery)** 
 .
**Education:** 
* Bachelor’s or Master’s in Computer Science, Data Science, or related technical discipline.
* Excellent communication, presentation, and mentoring skills.
* Prior experience as a
 **corporate trainer, instructor, or mentor** 
 in a data/AI\-focused program is preferred.
* Ready to
 **deliver on\-site and virtual training** 
 .
**Preferred Skills/Attributes:** 
* Certifications such as:
 **Databricks Certified Data Engineer or Machine Learning Professional**
* **AWS Certified Machine Learning – Specialty**
* **Google Professional Data Engineer / ML Engineer**
* Familiarity with
 **AI model lifecycle management** 
 ,
 **feature stores** 
 , and
 **MLOps best practices** 
 .
* Demonstrated ability to
 **bridge data engineering and AI/ML domains** 
 .
* Passion for teaching, mentoring, and simplifying complex, end\-to\-end data and AI systems.
**Equal Opportunity Employer :**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
**Note:** 
 Work authorization in the country you are applying to is required. Revature does not sponsor work visas</t>
        </is>
      </c>
    </row>
    <row r="53">
      <c r="A53" t="inlineStr">
        <is>
          <t>li-4343997002</t>
        </is>
      </c>
      <c r="B53" t="inlineStr">
        <is>
          <t>Assistant Director, Health Fund Product &amp; Data Engineering</t>
        </is>
      </c>
      <c r="C53" t="inlineStr">
        <is>
          <t>Building Service 32BJ Benefit Funds</t>
        </is>
      </c>
      <c r="D53" t="inlineStr">
        <is>
          <t>linkedin</t>
        </is>
      </c>
      <c r="E53" t="inlineStr"/>
      <c r="F53" t="inlineStr"/>
      <c r="G53" t="inlineStr">
        <is>
          <t>New York, NY</t>
        </is>
      </c>
      <c r="H53" t="inlineStr"/>
      <c r="I53" t="inlineStr">
        <is>
          <t>**Job Code** 
**N525HF**
**Department Name** 
**Health Fund Admin**
**Reports To** 
**Director, Health Fund Chief of Staff**
**FLSA Status** 
**Exempt**
**Union Code** 
**N/A**
**Management** 
**Yes**
**About Us:**
 Building Services 32BJ Benefit Funds (“the Funds”) is the umbrella organization responsible for administering Health, Pension, Retirement Savings, Training, and Legal Services benefits to over 100,000 SEIU 32BJ members. Our mission is to make significant contributions to the lives of our members by providing high quality benefits and services. Through our commitment, we embody five core values: Flexibility, Initiative, Respect, Sustainability, and Teamwork (FIRST). By following our core values, employees are open to different and new ways of doing things, take active steps to improve the organization, create an environment of trust and respect, approach their work with the intent of a positive outcome, and work collaboratively with colleagues.
 The Funds oversees and manages $9 billion of dollars in assets, which are made up of many, varied and complex funds. The dollars come from a number of sources, including the property owners who pay into the funds on behalf of their employees, and as such, requires those who oversee and manage the money to be highly skilled financial management people.
 For 2025 and beyond, 32BJ Benefit Funds will continue to drive innovation, equity, and technology insights to further help the lives of our hard\-working members and their families. We use cutting edge technology such as: M365, Dynamics 365 CRM, Dynamics 365 F\&amp;O, Azure, AWS, SQL, Snowflake, QlikView, and more.
 Please take a moment to watch our video to learn more about our culture and contributions to our members: youtu.be/hYNdMGLn19A
**Job Summary:**
 Under the supervision of the Health Fund Chief of Staff, the
 **Assistant Director, Health Fund Product \&amp; Data Engineering** 
 at the 32BJ Health Fund leads the Health Fund data engineering and product development teams. This role will lead the design, development, and optimization of data\-driven solutions that support Health Fund products and analytics. This role combines strategic leadership with hands\-on technical expertise to ensure scalable, secure, and innovative data platforms. The idea candidate will partner with cross\-functional teams to delivery high\-quality data engineering solutions that enhance product performance, improve member experience, and support organizational growth.
 The Assistant Director, Health Fund Product \&amp; Data Engineering supports the direction and overall data strategy that is focused on supporting the goals and the mission of the 32BJ Health Fund to provide best comprehensive health benefits to 200,000 32BJ SEIU Union members and their dependents. The team focuses on leveraging over 10 years of medical claims data, provider data and pricing data (internal and external) to inform improvements to the plan design, member navigation, direct contracting, and price transparency. The 32BJ Health Fund is at the forefront of leveraging data towards healthcare transformation and this role requires a strong and collaborative leader who is not content with the status quo, able to inspire, and who looks to form long\-lasting internal and external partnerships. This is an ideal opportunity for an accomplished professional, self\-driven strategic thinker, skilled at navigating and balancing internal business systems with mission\-based priorities.
**Essential Duties and Responsibilities:**
* Supervise, develop, and inspire a team of talented Data Engineering, Product Development, and other technical professionals.
* Motivate and gain the support of others to achieve organizational goals through emotional intelligence, accountability, and respect.
* Work closely with the Health Fund leadership to develop a data strategy that allows for efficient use of internal data, external data, and price transparency tools to drive rational benefit design, contracting and support for existing tools that heavily rely on data (provider search tools, internal CRM, member portal).
* Support strategy goals and objectives and work with cross\-functional teams on key objectives.
* Collaborate with the Chief of Staff to develop and execute the data engineering and product development roadmap aligned with organizational objectives
* Propose and develop high level KPls and metrics to measure the effectiveness of technical initiatives in serving our participants and advancing our mission.
* Facilitate and coordinate work on evolving data infrastructure architecture by collaborating closely with IT, Operations, and Health Fund leadership to support the full breadth of data projects and initiatives at the Health Fund.
* Lead, with the Chief of Staff and cross\-functional partners, the design and implementation of scalable data architecture and analytics solutions using Databricks platform.
* Support the team's professional development, performance review and the hiring process.
* Guide implementation of CI/CD practices using Azure DevOps for data and analytics workflows.
* Collaborate with IT to evaluate and recommend new technologies and tools to enhance the data engineering ecosystem.
* Foster a culture of continuous learning, collaboration, and technical excellence.
* Provide strong and compassionate supervision to a diverse team professionals.
* Partner with stakeholders to translate business requirements into technical specifications and data products.
* Coordinate sprint planning, backlog management, and release cycles using Azure DevOps.
* Ensure timely delivery of high\-quality data solutions that meet business needs.
* Support change management efforts related to the implementation, transformation recommendations, and business systems improvements.
* Spearhead design discussions with the team to support the development, deployment, testing, and maintenance of high\-quality solutions related to data analysis, data discovery, data pipeline automation, and roll\-out compelling visualizations for business analysis.
* Support a culture of data innovation within the team, with a mission\-focused perspective to enhance the support we provide to participants.
* Perform other duties as assigned by senior leadership and executive team.
**Qualifications (Competencies):**
* 5\+ years of experience in data engineering, product management, analytics, or related technical roles
* 2\+ years in a leadership or supervisory capacity managing technical teams
* Proven people management experience to lead and manage staff members, both direct and indirect reports, through effective planning and organization, supervision, and performance evaluation.
* Demonstrated experience with Databricks platform (Delta Lake, Apache Spark)
* Proven track record using Azure DevOps for project management, CI/CD, and version control
* Ability to maintain an organized approach, clarity of purpose, and goal orientation in a rapidly changing environment throughout the organization.
* Ability to develop talent and will require a leader who is focused on the well\-being and resource needs of the entire team.
* Strong proficiency in SQL and at least one programming language (Python, Scala, or Java preferred)
* Expertise in building and optimizing ETL/ELT pipelines and data workflows
* Experience with data science, machine learning, or AI initiatives
* Knowledge of data mesh, data fabric, or other modern data architecture patterns
* Prior exposure in the healthcare claims data industry preferred
**Soft Skills (Interpersonal Skills):**
* Outstanding verbal and written communication skills
* Ability to translate complex technical concepts for diverse audiences
* Experience presenting to executive leadership and stakeholders
* Strong interpersonal skills and ability to build collaborative relationships
* Resiliency in managing competing priorities and timelines to ensure a well­ balanced workload for the staff.
* Self\-starter who is highly motivated, collaborative, and innovative.
**Education:**
 Bachelor's degree in Computer Science, Data Science, Information Systems, Engineering, or related field
**Reasoning Ability:**
 High
**Certificates, Licenses, Registrations:**
 Preferred: Databricks Certifications (Data Engineer Associate, Professional, Platform Administrator), Microsoft Azure Certifications (Azure Data Engineer Associate, Azure Solutions Architect Expert)
**Physical Demands:** 
 The physical demands described here are representative of those that must be met by an employee to successfully perform the essential functions of this job. Reasonable accommodations may be made to enable individuals to perform the essential functions.
 The physical demands described here are representative of those that must be met by an employee to successfully perform the essential functions of this job. Reasonable accommodations may be made to enable individuals to perform the essential functions.
* Under 1/3 of the time: Standing, Walking, Climbing or Balancing, Stooping, Kneeling, Crouching, or Crawling
* Over 2/3 of the time: Talking or Hearing
* 100% of the time: Using Hands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t>
        </is>
      </c>
    </row>
    <row r="54">
      <c r="A54" t="inlineStr">
        <is>
          <t>li-4347524256</t>
        </is>
      </c>
      <c r="B54" t="inlineStr">
        <is>
          <t>Software Engineer II, BI Engineering</t>
        </is>
      </c>
      <c r="C54" t="inlineStr">
        <is>
          <t>Attentive</t>
        </is>
      </c>
      <c r="D54" t="inlineStr">
        <is>
          <t>linkedin</t>
        </is>
      </c>
      <c r="E54" t="inlineStr"/>
      <c r="F54" t="inlineStr"/>
      <c r="G54" t="inlineStr"/>
      <c r="H54" t="inlineStr"/>
      <c r="I54"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As part of the Empowering Insights \&amp; Reporting Pillar at Attentive, the Business Intelligence Engineering group transforms complex data into actionable insights and impactful reporting. We empower clients and internal teams with the metrics, analytics, reports, and visualizations needed to make informed decisions and shape strategies that drive meaningful growth.
 As a Software Engineer on the BI Engineering team, you’ll help build and shape the backbone for analytics needs across the organization. You’ll work with Analysts, Data \&amp; ML Engineers, as well as other internal teams to define and shape self\-service analytics and a data\-driven organization.  You’ll support the relationship between the BI/Analytics, External Reporting, Product, Data Platform and domain engineering teams as we build out robust data solutions for our AI and Core Products.
**What You'll Accomplish** 
* Partner with cross functional teams to define BI and analytics requirements
* Develop data models to feed dashboards for teams across the org, as well as client\-facing analytics
* Design dimensional data models and build scalable data pipelines
* Ingest data from third party applications \&amp; in\-house data stores
* Support internal and external reporting metrics creation
* Improve code quality through code reviews, testing, and advocating for best practices
**Your Expertise** 
* You have 2\+ years of data engineering experience
* You are proficient with SQL and Python
* You have experience with ETL/ELT development
* You are a team player with strong collaboration and communication skills
* You are excited by new technologies, but are conscious of choosing them for the right reasons
* Self Starter with a high desire to learn
**Nice To Haves** 
* You have experience with Airflow
* You have experience with AWS
* You have experience with DBT
* You have experience with Snowflake
* You have familiarity with a BI visualization tool like Looker or Tableau
**What We Use** 
* Our infrastructure runs primarily in Kubernetes hosted in AWS’s EKS
* Infrastructure tooling includes Istio, Datadog, Terraform, CloudFlare, and Helm
* Our backend is Java / Spring Boot microservices, built with Gradle, coupled with things like DynamoDB, AirFlow, Postgres,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 from health \&amp; wellness to equity, to help you bring your best self to work.
**US based applicants:
 \- The US base salary range for this full\-time position is $126,480 \- $180,000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55">
      <c r="A55" t="inlineStr">
        <is>
          <t>li-4330623366</t>
        </is>
      </c>
      <c r="B55" t="inlineStr">
        <is>
          <t>Data Engineer</t>
        </is>
      </c>
      <c r="C55" t="inlineStr">
        <is>
          <t>Precision Technologies</t>
        </is>
      </c>
      <c r="D55" t="inlineStr">
        <is>
          <t>linkedin</t>
        </is>
      </c>
      <c r="E55" t="inlineStr"/>
      <c r="F55" t="inlineStr"/>
      <c r="G55" t="inlineStr"/>
      <c r="H55" t="inlineStr"/>
      <c r="I55" t="inlineStr">
        <is>
          <t>**Job Title:Data Engineer (10\+ Years)** 
**Location:** 
 New york
 **(Onsite)** 
**Employment:** 
 Full Time/ W2
 **(NO C2C)** 
**Job Summary:** 
 We are seeking a
 **Senior Data Engineer with 10\+ years of hands\-on experience** 
 in designing, building, and optimizing
 **scalable, high\-performance data platforms and pipelines** 
 . The ideal candidate will have deep expertise in
 **data ingestion, ETL/ELT, data warehousing, big\-data processing, cloud\-native architectures, real\-time streaming, and analytics enablement** 
 , and will partner closely with
 **Analytics, Data Science, Product, and Engineering teams** 
 across the
 **full data lifecycle** 
 .
**Key Responsibilities:** 
* Design, develop, and maintain
 **end\-to\-end data pipelines** 
 for
 **structured, semi\-structured, and unstructured data** 
 using
 **batch and real\-time processing frameworks** 
 .
* Build and optimize
 **ETL/ELT pipelines** 
 using
 **Python, SQL, PySpark, Spark SQL** 
 , and orchestration tools such as
 **Apache Airflow, Azure Data Factory, AWS Glue, or Prefect** 
 .
* Develop
 **scalable big\-data solutions** 
 using
 **Apache Spark, Hadoop ecosystem** 
 , and distributed processing techniques for high\-volume data workloads.
* Design and manage
 **cloud\-based data platforms** 
 on
 **AWS, Azure, or GCP** 
 , including
 **Data Lakes, Lakehouse architectures, and Cloud Data Warehouses** 
 .
* Implement and optimize
 **data warehousing solutions** 
 using
 **Snowflake, Amazon Redshift, Google BigQuery, Azure Synapse** 
 , and dimensional modeling techniques.
* Develop
 **data transformation layers** 
 to support
 **analytics, reporting, and machine learning workloads** 
 , ensuring high data quality and performance.
* Build and maintain
 **real\-time and streaming data pipelines** 
 using
 **Apache Kafka, Kafka Streams, Spark Streaming, or Azure Event Hubs** 
 .
* Design and implement
 **data models** 
 using
 **star schema, snowflake schema, and normalized models** 
 , aligned with business and analytics requirements.
* Ensure
 **data quality, validation, reconciliation, and lineage** 
 using
 **data quality frameworks, metadata management, and governance tools** 
 .
* Implement
 **data security, access controls, encryption, and compliance** 
 standards across platforms, supporting
 **PII, GDPR, SOC, and regulatory requirements** 
 .
* Optimize
 **SQL performance, partitioning strategies, indexing, and query tuning** 
 across relational and analytical databases.
* Containerize and deploy data workloads using
 **Docker** 
 and orchestrate pipelines using
 **Kubernetes** 
 where applicable.
* Build and maintain
 **CI/CD pipelines for data engineering workflows** 
 using
 **Jenkins, GitHub Actions, Azure DevOps** 
 , and infrastructure\-as\-code tools.
* Monitor and troubleshoot data pipelines using
 **logging, alerting, and observability tools** 
 to ensure reliability and SLA adherence.
* Collaborate with
 **Data Architects, Data Scientists, BI Developers, and Product teams** 
 to deliver analytics\-ready datasets.
* Support
 **UAT, production releases, incident management, and root cause analysis** 
 for data platforms.
* Lead
 **architecture decisions** 
 , conduct
 **code reviews** 
 , mentor junior engineers, and enforce
 **data engineering best practices** 
 .
* Drive
 **data modernization, cloud migration, and performance optimization initiatives** 
 across enterprise data ecosystems.
**Required Skills:** 
* **Programming \&amp; Querying:** 
 Python, SQL, PySpark, Spark SQL
* **Big Data:** 
 Apache Spark, Hadoop, Kafka
* **Data Integration:** 
 Airflow, Azure Data Factory, AWS Glue
* **Data Warehousing:** 
 Snowflake, Redshift, BigQuery, Azure Synapse
* **Databases:** 
 PostgreSQL, Oracle, SQL Server, MongoDB
* **Cloud Platforms:** 
 AWS / Azure / GCP
* **Streaming:** 
 Kafka, Spark Streaming, Event Hubs
* **DevOps \&amp; Automation:** 
 Docker, Kubernetes, Jenkins, Git
* **Data Modeling:** 
 Star Schema, Snowflake Schema, Dimensional Modeling
* **Methodologies:** 
 Agile, SDLC, DataOps</t>
        </is>
      </c>
    </row>
    <row r="56">
      <c r="A56" t="inlineStr">
        <is>
          <t>li-4335558890</t>
        </is>
      </c>
      <c r="B56" t="inlineStr">
        <is>
          <t>AI/ML Data Engineer</t>
        </is>
      </c>
      <c r="C56" t="inlineStr">
        <is>
          <t>The College Board</t>
        </is>
      </c>
      <c r="D56" t="inlineStr">
        <is>
          <t>linkedin</t>
        </is>
      </c>
      <c r="E56" t="inlineStr"/>
      <c r="F56" t="inlineStr"/>
      <c r="G56" t="inlineStr"/>
      <c r="H56" t="inlineStr"/>
      <c r="I56" t="inlineStr">
        <is>
          <t>**College Board \- Technology**
**Location:** 
**This is a fully remote role that requires working EST hours. Candidates who live near CB offices have the option of being fully remote or hybrid (Tuesday and Wednesday in office).**
**Type: This is a full\-time position**
**About The Team**
 Aquifer is a small, highly collaborative team that implements data and analytics services powering higher‑education recruitment and student engagement for College Boards’ BigFuture Division. We experiment thoughtfully and ship durable, secure data products that personalize outreach and help partners execute strategic enrollment plans.
 Our team has a mix of engineers and architects that blends expertise in data engineering, analytics, and product strategy to deliver scalable solutions that transform how students connect with colleges. We value curiosity, reliability, and clear communication, and we work closely across disciplines to ensure every product is impactful, maintainable, and user\-focused.
**About The Opportunity**
 As an
 **AI/ML Data Engineer** 
 , you’ll design, build, and operate the data and ML plumbing that powers personalized student experiences at scale. You’ll create batch and streaming pipelines, ML‑ready datasets, feature/embedding stores, and the services that move models into production safely and compliantly. You’ll collaborate with Product, Data Science, and Analytics to turn raw events into reliable, privacy‑preserving features that drive real impact for students and higher‑ed partners.
**In This Role, You Will**
 ML Data Platform \&amp; Pipelines (40%)
* Design, build, and own batch and streaming ETL (e.g., Kinesis/Kafka → Spark/Glue → Step Functions/Airflow) for training, evaluation, and inference use cases.
* Stand up and maintain offline/online feature stores and embedding pipelines (e.g., S3/Parquet/Iceberg \+ vector index) with reproducible backfills.
* Implement data contracts \&amp; validation (e.g., Great Expectations/Deequ), schema evolution, and metadata/lineage capture (e.g., OpenLineage/DataHub/Amundsen).
* Optimize lakehouse/warehouse layouts and partitioning (e.g., Redshift/Athena/Iceberg) for scalable ML and analytics.
 Model Enablement \&amp; LLM DataOps (30%)
* Productionize training and evaluation datasets with versioning (e.g., DVC/LakeFS) and experiment tracking (e.g., MLflow).
* Build RAG foundations: document ingestion, chunking, embeddings, retrieval indexing, and quality evaluation (precision@k, faithfulness, latency, and cost).
* Collaborate with DS to ship models to serving (e.g., SageMaker/EKS/ECS), automate feature backfills, and capture inference data for continuous improvement.
 Reliability, Security \&amp; Compliance (15%)
* Define SLOs and instrument observability across data and model services (freshness, drift/skew, lineage, cost, and performance).
* Embed security \&amp; privacy by design (PII minimization/redaction, secrets management, access controls), aligning with College Board standards and FERPA.
* Build CI/CD for data and models with automated testing, quality gates, and safe rollouts (shadow/canary).
 Documentation \&amp; Enablement (15%)
* Maintain docs‑as‑code for pipelines, contracts, and runbooks; create internal guides and tech talks.
* Mentor peers through design reviews, pair/mob sessions, and post‑incident learning.
**About You**
 You have:
* 4\+ years in data engineering (or 3\+ with substantial ML productionization), with strong Python and distributed compute (Spark/Glue/Dask) skills.
* Proven experience shipping ML data systems (training/eval datasets, feature or embedding pipelines, artifact/version management, experiment tracking).
* MLOps/LLMOps: orchestration (Airflow/Step Functions), containerization (Docker), and deployment (SageMaker/EKS/ECS); CI/CD for data \&amp; models.
* Expert SQL and data modeling for lakehouse/warehouse (Redshift/Athena/Iceberg), with performance tuning for large datasets.
* Data quality \&amp; contracts (Great Expectations/Deequ), lineage/metadata (OpenLineage/DataHub/Amundsen), and drift/skew monitoring.
* Cloud experience preferably with AWS services such as S3, Glue, Lambda, Athena, Bedrock, OpenSearch, API Gateway, DynamoDB, SageMaker, Step Functions, Redshift and Kinesis BI tools like Tableau, Quicksight, or Looker for real\-time analytics and dashboards
* Security and privacy mindset; ability to design compliant pipelines handling sensitive student data.
* An ability to judiciously evaluate the feasibility, fairness, and effectiveness of AI solutions and articulate considerations and concerns around implementing models in the context of specific business applications
* Excellent communication, collaboration, and documentation habits.
**Preferred**
* RAG \&amp; vector search experience (OpenSearch KNN/pgvector/FAISS) and prompt/eval frameworks.
* Real‑time feature engineering (Kinesis/Kafka) and low‑latency stores for online inference.
* Testing strategies for ML systems (unit/contract tests, data fuzzing, offline/online parity checks).
* Experience in higher‑ed/assessments data domains.
**All Roles At College Board Require**
* A passion for expanding educational and career opportunities and mission\-driven work
* Authorization to work in the United States for any employer
* Curiosity and enthusiasm for emerging technologies, with a willingness to experiment with and adopt new AI\-driven solutions and a comfort learning and applying new digital tools independently and proactively.
* Clear and concise communication skills, written and verbal
* A learner's mindset and a commitment to growth: welcoming diverse perspectives, giving and receiving timely, respectful feedback, and continuously improving through iterative learning and user input.
* A drive for impact and excellence: solving complex problems, making data\-informed decisions, prioritizing what matters most, and continuously improving through learning, user input, and external benchmarking.
* A collaborative and empathetic approach: working across differences, fostering trust, and contributing to a culture of shared success.
**About Our Process**
* Application review will begin immediately and will continue until the position is filled. This role is expected to accept applications for a minimum of 5 business days.
* While the hiring process may vary, it generally includes: resume and application submission, recruiter phone/video screen, hiring manager interview, performance exercise such as live coding,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
*A Thoughtful Approach to Compensation*
* The hiring range for this role is $137K–$148K.
* Your exact salary will depend on your location, experience, and how your background compares to others in similar roles at the College Board.
* We aim to make our best offer upfront—rooted in fairness, transparency, and market data.
* We adjust salaries by location to ensure fairness, no matter where you live.
 You’ll have open, transparent conversations about compensation, benefits, and what it’s like to work at College Board throughout your hiring process. Check out our careers page for more.
**About College Board**
 College Board reaches more than 7 million students a year, helping them navigate the path from high school to college and career. We’re a mission\-driven, not\-for\-profit membership organization dedicated to excellence in education. Founded 125 years ago, we are committed to clearing a path for all students to own their future. We pioneered programs like the SAT® and AP® to expand opportunities for students and help them develop the skills they need. Our BigFuture® program helps students plan for college, pay for college, and explore careers. Learn more at
 **cb.org** 
 .
 College Board reaches more than 7 million students a year, helping them navigate the path from high school to college and career. We’re a mission\-driven, not\-for\-profit membership organization dedicated to excellence in education. Founded 125 years ago, we are committed to clearing a path for all students to own their future. We pioneered programs like the SAT® and AP® to expand opportunities for students and help them develop the skills they need. Our BigFuture® program helps students plan for college, pay for college, and explore careers. Learn more at
 **cb.org** 
 .
**Mission**
 Clearing a path for all students to own their future.
 Clearing a path for all students to own their future.
**What Guides Us**
 At College Board, our work is guided by four Operating Principles, and we seek team members who not only align with these principles but actively live them out in their day\-to\-day work .
* Prioritize and Simplify – We focus on what matters most, reduce complexity, and move quickly when needed.
* Say and Receive – We give and receive feedback candidly and kindly, welcoming growth and healthy debate.
* Go for Greatness – We pursue excellence using data, iteration, and bold thinking to raise the bar.
* Lead as One College Board – We build a culture of trust, inclusion, and shared responsibility for long\-term impact.
 At College Board, our work is guided by four Operating Principles, and we seek team members who not only align with these principles but actively live them out in their day\-to\-day work .
* Prioritize and Simplify – We focus on what matters most, reduce complexity, and move quickly when needed.
* Say and Receive – We give and receive feedback candidly and kindly, welcoming growth and healthy debate.
* Go for Greatness – We pursue excellence using data, iteration, and bold thinking to raise the bar.
* Lead as One College Board – We build a culture of trust, inclusion, and shared responsibility for long\-term impact.
**We Value and Provide Growth, Recognition, and Purpose**
 In addition to a competitive salary and benefits, we offer:
* Annual bonuses and opportunities for merit\-based raises and promotions
* A mission\-driven workplace where your impact matters
* A team that invests in your development and success
 In addition to a competitive salary and benefits, we offer:
* Annual bonuses and opportunities for merit\-based raises and promotions
* A mission\-driven workplace where your impact matters
* A team that invests in your development and success
**✨Learn More ✨**
 Learn more about College Board’s Operating Principles, Our Remote\-first Workplace Policy, Benefits, Recruiting Process and More.
 Learn more about College Board’s Operating Principles, Our Remote\-first Workplace Policy, Benefits, Recruiting Process and More.
**EEOC statement**
 College Board is proud to be an equal opportunity employer. We’re committed to equal employment opportunity regardless of race, color, ancestry, religion, sex, national origin, sexual orientation, age, citizenship, marital status, disability, gender identity, or Veteran status.
 College Board is proud to be an equal opportunity employer. We’re committed to equal employment opportunity regardless of race, color, ancestry, religion, sex, national origin, sexual orientation, age, citizenship, marital status, disability, gender identity, or Veteran status.</t>
        </is>
      </c>
    </row>
    <row r="57">
      <c r="A57" t="inlineStr">
        <is>
          <t>li-4349505443</t>
        </is>
      </c>
      <c r="B57" t="inlineStr">
        <is>
          <t>Data Engineer - Energy Trading</t>
        </is>
      </c>
      <c r="C57" t="inlineStr">
        <is>
          <t>Expand Energy</t>
        </is>
      </c>
      <c r="D57" t="inlineStr">
        <is>
          <t>linkedin</t>
        </is>
      </c>
      <c r="E57" t="inlineStr"/>
      <c r="F57" t="inlineStr"/>
      <c r="G57" t="inlineStr">
        <is>
          <t>Spring, TX</t>
        </is>
      </c>
      <c r="H57" t="inlineStr"/>
      <c r="I57" t="inlineStr">
        <is>
          <t>Our core values — Stewardship, Character, Collaborate, Learn, Disrupt — are the lens through which we evaluate every business decision. As a dynamic, growing company that offers extremely competitive compensation and benefits, our employees are our most valued assets and the foundation of Expands performance among our E\&amp;P competitors.
 We seek applicants from all backgrounds to ensure we get the best, most creative talent on our team. We realize that, historically, underrepresented groups feel the need to be 100% qualified in order to apply. If you meet any combination of our requirements, we encourage you to apply. We strive to hire people from a wide variety of backgrounds, not just because it’s the right thing to do, but because it makes our company stronger.
**Job Summary**
 The Data Engineer \- Energy Trading will be re\-imagining and designing solutions tailored to the dynamic and market\-driven needs of the Marketing \&amp; Commercial division (analysts, traders, originators and executive leadership). This role involves building robust data infrastructure across natural gas, LNGs, power, and related commodities while understanding the unique challenges of energy market data \- from pipeline flows and storage dynamics to the explosion in AI\-driven power demand. You'll work within our Fundamental \&amp; Quantitative Analytics team, collaborating closely with data scientists and traders while having the autonomy to move quickly and define best practices. We operate strategically to design commercial\-focused data architecture in collaboration with our IT teams, while serving as "special forces" for bespoke, short lead\-time data needs. Reporting structure within Fundamental \&amp; Quantitative Analytics team will be determined based on team composition and individual experience levels.
**Job Duties \&amp; Responsibilities**
* Design and implement data onboarding processes for diverse energy commodity datasets including gas flows, power generation, oil and gas production data, market pricing, weather, and other market fundamentals
* Build and maintain data pipelines across various integration methods including Snowflake data sharing, APIs, SFTP transfers, web scraping, and automation tools
* Work efficiently as part of Marketing \&amp; Commercial (analytics trading, origination) team, effectively coordinating with IT teams to rapidly onboard new datasets, and understand evolving business requirements
* Apply understanding of energy market data, commodity flows, and trading applications to optimize data models, integration approaches, and integrity checks/alerting, including developing robust processes and technical documentation
* Appropriately scope out projects and implement efficiently to meet requirements of commercial stakeholders (trading, analytics)
* Contribute to technical decision\-making to balance speed and scalability with long\-term objectives, ensuring data architecture supports current needs and future applications including AI/ML and LLM technologies
* Share knowledge with team members and help establish best practices for data engineering initiatives
* Develop and maintain data quality frameworks and validation processes critical for trading decisions
**Job Specific Skills**
* Solid understanding of energy commodity data characteristics and market structures, with demonstrated ability to quickly learn and work with stakeholders to address the unique challenges of integrating energy datasets
* Hands\-on experience with diverse data integration methods including Snowflake data sharing, REST APIs, SFTP/FTP, web scraping, and automation scripting
* Expert\-level experience with cloud data platforms (Snowflake preferred), Python/Pandas, SQL, and orchestration tools (Airflow, dbt)
* Proven ability to work effectively with business stakeholders, understand requirements quickly, and translate business needs into technical solutions
**Education**
 Minimum: High school diploma or GED
 Preferred: Bachelor’s degree \- from accredited university \- IT, MIS, Computer Science or related field
**Experience**
 Minimum: 2 \- 5 years related work experience
 Preferred: 3\+ years experience in data engineering with exposure to energy commodities (natural gas/NGL, power markets, crude oil, LNG, or related markets)
**Additional Qualifications**
* Natural Gas Market Experience: Experience with natural gas market data sources, pipeline flow data, storage reporting, and basis/location\-specific pricing datasets. Candidates from adjacent energy markets with strong technical skills will be considered
* Energy Trading Background: Experience at energy trading firms, commodity companies, or related commercially\-oriented energy organizations
* Cloud Platforms: Snowflake experience strongly preferred; AWS, Azure, or GCP experience with relevant services (Redshift, Lambda, S3, etc.)
* Real\-Time Data: Experience with streaming data and low\-latency requirements for trading applications
* Data Visualization: Experience with PowerBI, Spotfire, Tableau, or similar tools for energy market analysis
* Leadership Experience: Track record of leading technical projects and mentoring data engineering teams
* Vendor Management: Experience working with energy data vendors and managing complex data acquisition relationships
 Expand Energy takes necessary action to ensure that all applicants are treated without regard to their race, color, religion, sex, sexual orientation, age, gender identity, national origin, genetic information, disability, pregnancy, military or veteran status or any other protected characteristic as established by law.
 Expand Energy Corporation's operations are focused on discovering and developing its large and geographically diverse resource base of unconventional oil and natural gas assets onshore in the United States.
**Nearest Major Market:** 
 Houston
**Job Segment:** 
 Pipeline, Data Architect, SQL, Database, Computer Science, Energy, Data, Technology</t>
        </is>
      </c>
    </row>
    <row r="58">
      <c r="A58" t="inlineStr">
        <is>
          <t>li-4330733113</t>
        </is>
      </c>
      <c r="B58" t="inlineStr">
        <is>
          <t>Azure Databricks Data Engineer</t>
        </is>
      </c>
      <c r="C58" t="inlineStr">
        <is>
          <t>Ventures Unlimited Inc</t>
        </is>
      </c>
      <c r="D58" t="inlineStr">
        <is>
          <t>linkedin</t>
        </is>
      </c>
      <c r="E58" t="inlineStr"/>
      <c r="F58" t="inlineStr"/>
      <c r="G58" t="inlineStr">
        <is>
          <t>Seattle, WA</t>
        </is>
      </c>
      <c r="H58" t="inlineStr"/>
      <c r="I58" t="inlineStr">
        <is>
          <t>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t>
        </is>
      </c>
    </row>
    <row r="59">
      <c r="A59" t="inlineStr">
        <is>
          <t>li-4271340615</t>
        </is>
      </c>
      <c r="B59" t="inlineStr">
        <is>
          <t>Sr. Data Engineer</t>
        </is>
      </c>
      <c r="C59" t="inlineStr">
        <is>
          <t>AM Best</t>
        </is>
      </c>
      <c r="D59" t="inlineStr">
        <is>
          <t>linkedin</t>
        </is>
      </c>
      <c r="E59" t="inlineStr"/>
      <c r="F59" t="inlineStr"/>
      <c r="G59" t="inlineStr">
        <is>
          <t>Oldwick, NJ</t>
        </is>
      </c>
      <c r="H59" t="inlineStr"/>
      <c r="I59" t="inlineStr">
        <is>
          <t>* Flexible and hybrid work arrangements
* Paid time off/Paid company holidays
* Medical plan options/prescription drug plan
* Dental plan/vision plan options
* Flexible spending and health savings accounts
* 401(k) retirement savings plan with a Roth savings option and company matching contributions
* Educational assistance program
**Overview**
 The Sr. Data Engineer requires expertise in DataOps and is responsible for guaranteeing dependable, scalable and effective data processes and solutions by combining components, functions and skills from data engineering, software engineering and IT Operations. This role is critical to AM Best's goal of developing, maintaining and scaling a sophisticated platform for data and analytics.
**Responsibilities**
**Create and support scalable data solutions:**
* Build high performance data systems including databases, APIs, and data integration pipelines
* Implement a metadata\-driven architecture and infrastructure as code approach to automate and simplify the design, deployment, and management of data systems
* Facilitate the adoption of data and software engineering best practices, including code review, testing, and continuous integration and delivery (CI/CD)
* Develop and establish a data governance framework
* Continuous monitoring of process performance and implement improvements for efficiency including fine\-tuning existing ETL processes, optimizing queries, or refactoring code
* Assess and make optimal use of cloud platforms and technologies, especially Azure and Databricks to enhance system architecture
* Implement data quality checks and build processes to identify and resolve data issues
* Create and maintain documentation for data architecture, standards, and best practices
* Contribute designs, code, tooling, testing, and operational support
**Increase Operational Efficiency**
* Identify opportunities for process optimization and automation to enhance data operations efficiency
**Leadership And Innovation**
* Provide technical leadership to the data engineering team and actively lead design discussions
* Ensure that the new data infrastructure remains modern and efficient by staying knowledgeable of the latest tools, technologies, and methodologies in the data and analytics space
**Qualifications**
* 7 plus years of experience working as a Data Engineer, Data Architect, Database Developer or similar roles
* Bachelor's Degree in Computer Science, Data Science, Engineering or related field
**Skills**
* 7\+ years of experience in programming languages such as Python, Scala, Java, Rust or similar
* 7\+ years of experience in Oracle OLTP database design and development
* 7\+ years of experience in building ETL / ELT data pipelines using Apache Spark, Airflow, dbt or similar
* 7 years of experience in developing APIs that include REST, SOAP, RPC, GraphQL or similar
* 7 years of experience in OLAP / data warehouse design and development using dimensional (Kimball star\-schema), data vault or Inmon methodologies
* 5 years of experience in NoSQL database design and development preferably on MongoDB or similar
* 5 years of experience working with message broker platforms like RabbitMQ, Apache Kafka, Red Hat AMQ or similar
* 5 years of experience working with Azure or AWS cloud\-native technologies / services
* Working knowledge of CI/CD automation tools or services like Jenkins, Ansible, Chef, Puppet or similar
* Working knowledge of containerized platform or services like Docker, Kubernetes or similar
* Must be hands\-on, have a passion for data and problem solving, and an innovative mind\-set to help deliver results across projects
**Pluses**
* Experience working with Databricks data intelligence platform
* Experience working with business intelligence tools / platforms like PowerBI, Cognos, Tableau or similar
* Experience working with caching databases: Memcache,Redis or similar
* Experience working with search databases and platforms: Elasticsearch, Apache Solr or similar
* Experience working with data modeling tools: ERwin, ERStudio, Navicat, SqlDBM or similar
* Knowledge of data governance tools: Colibra, Alation or similar
* Knowledge of master data management tools: Informatica, TIBCO, Riversand, Ataccama or similar</t>
        </is>
      </c>
    </row>
    <row r="60">
      <c r="A60" t="inlineStr">
        <is>
          <t>li-4347395608</t>
        </is>
      </c>
      <c r="B60" t="inlineStr">
        <is>
          <t>Sr. Data Engineer (Remote)</t>
        </is>
      </c>
      <c r="C60" t="inlineStr">
        <is>
          <t>CrowdStrike</t>
        </is>
      </c>
      <c r="D60" t="inlineStr">
        <is>
          <t>linkedin</t>
        </is>
      </c>
      <c r="E60" t="inlineStr"/>
      <c r="F60" t="inlineStr"/>
      <c r="G60" t="inlineStr">
        <is>
          <t>Texas, United States</t>
        </is>
      </c>
      <c r="H60" t="inlineStr"/>
      <c r="I60"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As a Senior Data Engineer, you will design and build reusable data integration components, frameworks, and libraries at scale to support Operational Data Store / Enterprise Data Lake Platforms.
****What You’ll Do****
* Design, develop, and maintain scalable, automated, framework driven and efficient data pipelines using scripting languages like Python, Airflow, Dbt and Cloud databases such as Snowflake, RedShift, etc.
* Implement data integration solutions for various data sources like SFDC, Product Telemetry, NetSuite and other systems, ensuring data accuracy, consistency, and completeness.
* Work closely with DevOps and data scientists to support their data platform automation needs.
****What You’ll Need****
* 12\+ years' experience in design and development of data pipeline automation extracting data from Cloud API based sources. Experience developing complex automation frameworks, queries, data modeling, and extract, transform, and load (ETL) processes in SQL, Python, DBT, Apache Airflow or similar technical languages.
* Deep Experience in scripting languages such as Python and Cloud database experience such as Snowflake, Redshift, etc. to facilitate rapid ingestion and dissemination of key data.
* Proficient in transforming structured and unstructured data. Experience working on CI/CD processes such as Jenkins, Gitlab CI/CD etc., and source control tools such as GitHub, etc.
* Experience identifying and solving issues concerning data management to improve data quality, and clean, prepare and optimize data for ingestion and consumption. You will work with your Data Engineering teammates to review design, code, and test plans to increase knowledge and application of key frameworks and methodologies.
* Work with internal and external stakeholders to assist with data\-related technical issues and support data infrastructure needs.
* Proven experience integrating and managing business data from enterprise applications to drive analytics and insights.
* Bachelor's Degree in Computer Science, Information Technology, Computer Engineering, or related IT discipline; or equivalent experience.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$125,000 \- $180,000 per year, with eligibility for bonuses, equity grants and a comprehensive benefits package that includes health insurance, 401k and paid time off.
 For detailed information about the U.S. benefits package, please click here.
 Expected Close Date of Job Posting is:01\-24\-2026,
****What You’ll Need****
* 12\+ years' experience in design and development of data pipeline automation extracting data from Cloud API based sources. Experience developing complex automation frameworks, queries, data modeling, and extract, transform, and load (ETL) processes in SQL, Python, DBT, Apache Airflow or similar technical languages.
* Deep Experience in scripting languages such as Python and Cloud database experience such as Snowflake, Redshift, etc. to facilitate rapid ingestion and dissemination of key data.
* Proficient in transforming structured and unstructured data. Experience working on CI/CD processes such as Jenkins, Gitlab CI/CD etc., and source control tools such as GitHub, etc.
* Experience identifying and solving issues concerning data management to improve data quality, and clean, prepare and optimize data for ingestion and consumption. You will work with your Data Engineering teammates to review design, code, and test plans to increase knowledge and application of key frameworks and methodologies.
* Work with internal and external stakeholders to assist with data\-related technical issues and support data infrastructure needs.
* Proven experience integrating and managing business data from enterprise applications to drive analytics and insights.
* Bachelor's Degree in Computer Science, Information Technology, Computer Engineering, or related IT discipline; or equivalent experience.</t>
        </is>
      </c>
    </row>
    <row r="61">
      <c r="A61" t="inlineStr">
        <is>
          <t>li-4344187057</t>
        </is>
      </c>
      <c r="B61" t="inlineStr">
        <is>
          <t>Principal Analytics Engineer</t>
        </is>
      </c>
      <c r="C61" t="inlineStr">
        <is>
          <t>Warner Bros. Discovery</t>
        </is>
      </c>
      <c r="D61" t="inlineStr">
        <is>
          <t>linkedin</t>
        </is>
      </c>
      <c r="E61" t="inlineStr"/>
      <c r="F61" t="inlineStr"/>
      <c r="G61" t="inlineStr">
        <is>
          <t>Culver City, CA</t>
        </is>
      </c>
      <c r="H61" t="inlineStr"/>
      <c r="I6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**The Role**
 As a Principal Analytics Engineer, you will serve as a technical and strategic leader driving WBD’s enterprise\-wide data and analytics strategy.
 You’ll
 design and govern the semantic data layer, build robust and scalable data products, and enable self\-service analytics across domains such as commerce, product, and content.
 You will collaborate with senior executives, product leaders, and data teams to ensure data assets are
 accurate
 , trustworthy, and aligned with business priorities. This role requires deep technical
 expertise
 , business acumen, and the ability to influence at all levels of the organization.
**Meet Our Team:**
 The Data \&amp; Analytics organization is at the forefront of developing and
 maintaining
 frameworks, tools, and data products vital to WBD, including flagship streaming product Max and non\-streaming products such as Films Group, Sports, News and overall WBD eco\-system. Our mission is to foster unified analytics and drive data\-driven use cases by
 leveraging
 a robust multi\-tenant platform and semantic layer. We are committed to delivering innovative solutions that empower teams across the company to catalyze subscriber growth, amplify engagement, and execute
 timely
 , informed decisions, ensuring our continued success in an ever\-evolving digital landscape.
**Responsibilities**
* Define and champion WBD’s enterprise data \&amp; analytics strategy; create technical roadmaps that balance innovation, scalability, and business needs.
* Architect and govern data models, semantic layers, and analytic data products to ensure consistency, accuracy, and accessibility across business domains.
* Partner with executive stakeholders to translate strategic goals into actionable data initiatives, frameworks, and governance policies.
* Provide technical leadership on large\-scale, cross\-functional data initiatives; ensure alignment between platform architecture and analytics use cases.
* Drive the adoption of best practices in data modeling, metadata management, observability, and data quality.
* Serve as a thought leader, influencing industry practices and
 representing
 WBD in external forums, conferences, or publications.
* Mentor and coach senior engineers, fostering a culture of technical excellence
 and
 collaboration.
* Oversee operational excellence, including system reliability, platform performance, and cloud cost management.
**Qualifications**
* Bachelor’s degree
 required
 ; MS/PhD in Computer/Data Science, Engineering, Mathematics, or related field strongly preferred.
* 12\+ years of progressive experience in analytics engineering, data architecture, or advanced analytics leadership.
* Proven
 track record
 designing and governing semantic data layers and data product ecosystems at enterprise scale.
* Deep
 expertise
 in SQL and
 proficiency
 in general\-purpose programming (Python, Scala, or similar).
* Strong background with big\-data technologies (e.g., Spark, Delta Lake, Kafka, Snowflake, Databricks, or equivalent).
* Demonstrated success engaging with C\-level executives; ability to communicate complex technical concepts in clear, strategic language.
* Prior experience in Direct\-to\-Consumer (DTC) based businesses strongly preferred.
* Advanced experience with BI/visualization tools (e.g., Looker, Tableau, Power BI) and self\-service data enablement.
* Skilled at transforming complex, messy, or incomplete datasets into reliable, consistent models and data products.
* Familiarity with applied data science and machine learning; ability to guide responsible adoption of AI in production environments.
* Experience leading large, cross\-functional initiatives and influencing without direct authority.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$175,700\.00 \- $326,300\.00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62">
      <c r="A62" t="inlineStr">
        <is>
          <t>li-4293016797</t>
        </is>
      </c>
      <c r="B62" t="inlineStr">
        <is>
          <t>Technical Lead, Market Data Engineer - Equities Technology</t>
        </is>
      </c>
      <c r="C62" t="inlineStr">
        <is>
          <t>Millennium</t>
        </is>
      </c>
      <c r="D62" t="inlineStr">
        <is>
          <t>linkedin</t>
        </is>
      </c>
      <c r="E62" t="inlineStr"/>
      <c r="F62" t="inlineStr"/>
      <c r="G62" t="inlineStr">
        <is>
          <t>New York, NY</t>
        </is>
      </c>
      <c r="H62" t="inlineStr"/>
      <c r="I62" t="inlineStr">
        <is>
          <t>We are seeking a highly skilled Senior Engineer / Technical Lead with expertise in C\+\+ and the ability to quickly learn and master other technologies (e.g., Java, Streambase, etc.) to lead the technical transformation of our legacy platform into a modern technology architecture. This role requires a strong background in financial markets technology and real\-time market data systems. The ideal candidate will be a hands\-on technical leader who can guide a team of engineers, drive innovation, and ensure system stability while preparing to potentially step into a Team Lead role in the future.
**Key Responsibilities**
* Technical Leadership:
+ Act as the Technical Lead for a team of engineers, providing mentorship and guidance to drive technical excellence.
+ Lead the migration of legacy systems to modern architectures, ensuring scalability, reliability, and performance.
+ Collaborate with the Team Lead to define priorities, effort analysis, and estimates.
+ Contribute to the team's technical direction by driving new initiatives and adopting best practices.
* Architecture \&amp; Development:
+ Design and implement microservices and real\-time distributed solutions for market data systems.
+ Enhance and develop monitoring, automation, and tooling to improve operational efficiency.
+ Work closely with the low\-latency engineering team to integrate solutions across enterprise and colo environments.
* Stakeholder Collaboration:
+ Engage directly with portfolio managers, traders, C\-level management, IT teams, and external vendors to understand and address their needs.
+ Build and maintain strong relationships with stakeholders to ensure alignment and effective communication.
* Operational Excellence:
+ Define and enforce SLAs, SLOs, policies, metrics, and KPIs to proactively monitor and improve system performance.
+ Oversee production change review processes, monitor system health, and assist with new builds.
+ Ensure system stability while managing change in a fast\-paced environment.
**Required Skills**
* Technical Expertise:
+ Strong proficiency in C\+\+ with the ability to quickly learn and master other technologies (e.g., Java, Streambase, Python).
+ Extensive experience with real\-time market data systems and financial markets technology.
+ Proven ability to design and implement microservices and distributed systems.
* Leadership \&amp; Communication:
+ Experience managing and mentoring engineering teams, with the ability to step into a Team Lead role when needed.
+ Strong communication and relationship management skills, with the ability to engage effectively with traders, IT teams, and vendors.
+ Demonstrated ability to prioritize tasks in a high\-pressure, fast\-moving environment.
* Technical Knowledge:
+ Deep understanding of network protocols (e.g., TCP/IP, MCAST) and operating systems in low\-latency environments.
+ Familiarity with market data feed handlers and protocols for global trading venues (Americas, Europe, Asia).
+ Hands\-on experience with automation and scripting tools to support the environment.
**Desirable Skills**
* Familiarity with Reuters, Bloomberg, Exchange symbology, and data models.
* Experience with data distribution buses (e.g., Solace, Kafka).
* Knowledge of cloud platforms (e.g., AWS, GCP) and Site Reliability Engineering (SRE) practices.
* Exposure to AI tools for coding optimization and efficiency improvements.
**Why Join Us?**
* Be part of a high\-impact team driving the transformation of legacy systems into cutting\-edge technology architectures.
* Work in a dynamic environment with opportunities to engage directly with traders, portfolio managers, and senior leadership.
* Take on a technical leadership role with the potential to grow into a Team Lead position in the future.
* Collaborate with a global team of talented engineers to solve complex challenges in real\-time market data systems.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63">
      <c r="A63" t="inlineStr">
        <is>
          <t>li-4358452754</t>
        </is>
      </c>
      <c r="B63" t="inlineStr">
        <is>
          <t>Data Engineer</t>
        </is>
      </c>
      <c r="C63" t="inlineStr">
        <is>
          <t>The Value Maximizer</t>
        </is>
      </c>
      <c r="D63" t="inlineStr">
        <is>
          <t>linkedin</t>
        </is>
      </c>
      <c r="E63" t="inlineStr"/>
      <c r="F63" t="inlineStr"/>
      <c r="G63" t="inlineStr">
        <is>
          <t>New York, NY</t>
        </is>
      </c>
      <c r="H63" t="inlineStr"/>
      <c r="I63" t="inlineStr">
        <is>
          <t>**Key Responsibilities**
* Design, develop, and maintain ETL pipelines using AWS Glue, Glue Studio, and Glue Catalog
* Ingest, transform, and load large datasets from structured and unstructured sources into AWS data lakes/warehouses
* Work with S3, Redshift, Athena, Lambda, and Step Functions for data storage, query, and orchestration
* Build and optimize PySpark/Scala scripts within AWS Glue for complex transformations
* Implement data quality checks, lineage, and monitoring across pipelines
* Collaborate with business analysts, data scientists, and product teams to deliver reliable data solutions
* Ensure compliance with data security, governance, and regulatory requirements (BFSI preferred)
* Troubleshoot production issues and optimize pipeline performance. Required Qualifications
* 9\+ years of experience in Data Engineering, with at least 5\+ years on AWS cloud data services
* Strong expertise in AWS Glue, S3, Redshift, Athena, Lambda, Step Functions, CloudWatch
* Proficiency in PySpark, Python, SQL for ETL and data transformations
* Experience in data modeling (star, snowflake, dimensional models) and performance tuning
* Hands\-on experience with data lake/data warehouse architecture and implementation
* Strong problem\-solving skills and ability to work in Agile/Scrum environments. Preferred Qualifications
* AWS Certified Data Analytics \- Specialty or AWS Solutions Architect certification
* Familiarity with CI/CD pipelines for data engineering (CodePipeline, Jenkins, GitHub Actions)
* Knowledge of BI/Visualization tools like Tableau, Power BI, QuickSight</t>
        </is>
      </c>
    </row>
    <row r="64">
      <c r="A64" t="inlineStr">
        <is>
          <t>li-4358590455</t>
        </is>
      </c>
      <c r="B64" t="inlineStr">
        <is>
          <t>Data Engineer</t>
        </is>
      </c>
      <c r="C64" t="inlineStr">
        <is>
          <t>The Value Maximizer</t>
        </is>
      </c>
      <c r="D64" t="inlineStr">
        <is>
          <t>linkedin</t>
        </is>
      </c>
      <c r="E64" t="inlineStr"/>
      <c r="F64" t="inlineStr"/>
      <c r="G64" t="inlineStr">
        <is>
          <t>South Carolina, United States</t>
        </is>
      </c>
      <c r="H64" t="inlineStr"/>
      <c r="I64" t="inlineStr">
        <is>
          <t>**Key Responsibilities**
* Design, develop, and maintain ETL pipelines using AWS Glue, Glue Studio, and Glue Catalog
* Ingest, transform, and load large datasets from structured and unstructured sources into AWS data lakes/warehouses
* Work with S3, Redshift, Athena, Lambda, and Step Functions for data storage, query, and orchestration
* Build and optimize PySpark/Scala scripts within AWS Glue for complex transformations
* Implement data quality checks, lineage, and monitoring across pipelines
* Collaborate with business analysts, data scientists, and product teams to deliver reliable data solutions
* Ensure compliance with data security, governance, and regulatory requirements (BFSI preferred)
* Troubleshoot production issues and optimize pipeline performance. Required Qualifications
* 9\+ years of experience in Data Engineering, with at least 5\+ years on AWS cloud data services
* Strong expertise in AWS Glue, S3, Redshift, Athena, Lambda, Step Functions, CloudWatch
* Proficiency in PySpark, Python, SQL for ETL and data transformations
* Experience in data modeling (star, snowflake, dimensional models) and performance tuning
* Hands\-on experience with data lake/data warehouse architecture and implementation
* Strong problem\-solving skills and ability to work in Agile/Scrum environments. Preferred Qualifications
* AWS Certified Data Analytics \- Specialty or AWS Solutions Architect certification
* Familiarity with CI/CD pipelines for data engineering (CodePipeline, Jenkins, GitHub Actions)
* Knowledge of BI/Visualization tools like Tableau, Power BI, QuickSight</t>
        </is>
      </c>
    </row>
    <row r="65">
      <c r="A65" t="inlineStr">
        <is>
          <t>li-4351785852</t>
        </is>
      </c>
      <c r="B65" t="inlineStr">
        <is>
          <t>Data Engineer</t>
        </is>
      </c>
      <c r="C65" t="inlineStr">
        <is>
          <t>Prepaire Labs</t>
        </is>
      </c>
      <c r="D65" t="inlineStr">
        <is>
          <t>linkedin</t>
        </is>
      </c>
      <c r="E65" t="inlineStr"/>
      <c r="F65" t="inlineStr"/>
      <c r="G65" t="inlineStr">
        <is>
          <t>Boston, MA</t>
        </is>
      </c>
      <c r="H65" t="inlineStr"/>
      <c r="I65" t="inlineStr">
        <is>
          <t>Job Position: Data Engineer
 Location: Boston, MA (On\-site)
 Employment Type: Full\-time
 Salary:
 $120,000 – $145,000
**About the Role** 
 We are seeking a
 **Data Engineer** 
 to design and manage the data infrastructure that connects hospital systems, wearable devices, and multi\-omics datasets. This role is central to ensuring secure, compliant, and scalable data flows across the Prepaire platform.
**What You’ll Do** 
* Build and maintain robust
 **ETL pipelines** 
 for healthcare and omics data
* Design and manage data warehouses and data lakes
* Integrate data securely across clinical, wearable, and research sources
* Ensure compliance with
 **HIPAA, GDPR** 
 , and internal data governance standards
* Partner with analytics, ML, and product teams to enable data\-driven insights
**What We’re Looking For** 
* Strong experience with
 **SQL and NoSQL databases**
* Hands\-on experience with
 **Spark, Kafka** 
 , or similar data processing frameworks
* Proficiency with
 **AWS, GCP** 
 , or comparable cloud platforms
* Familiarity with healthcare data standards such as
 **FHIR and HL7**
**Education \&amp; Experience** 
* BSc or MSc in
 **Computer Science, Data Engineering** 
 , or a related field
* **3–5 years** 
 of relevant professional experience
**Why Join Prepaire** 
* Work on complex, high\-impact healthcare data systems
* Be part of a growing, cross\-functional engineering team
* Competitive salary and long\-term growth opportunities
 If you can join immediately and this sounds like you, we’d love to hear from you! Please apply directly through LinkedIn.</t>
        </is>
      </c>
    </row>
    <row r="66">
      <c r="A66" t="inlineStr">
        <is>
          <t>li-4358319931</t>
        </is>
      </c>
      <c r="B66" t="inlineStr">
        <is>
          <t>Data Engineer</t>
        </is>
      </c>
      <c r="C66" t="inlineStr">
        <is>
          <t>Artisan</t>
        </is>
      </c>
      <c r="D66" t="inlineStr">
        <is>
          <t>linkedin</t>
        </is>
      </c>
      <c r="E66" t="inlineStr"/>
      <c r="F66" t="inlineStr"/>
      <c r="G66" t="inlineStr">
        <is>
          <t>San Francisco, CA</t>
        </is>
      </c>
      <c r="H66" t="inlineStr"/>
      <c r="I66" t="inlineStr">
        <is>
          <t>**About Artisan**
 At Artisan, we’re building real AI employees \- not copilots, not assistants, but autonomous teammates.
 Our first, Ava, is an AI BDR. She finds and researches leads, writes emails in customers’ tone of voice, runs outbound sequences, self\-optimizes, and manages email deliverability infrastructure. She learns, adapts, and improves over time \- just like a human would.
 We went through Y Combinator (W24\) and have raised $35M\+ from top investors. We’re at $7M\+ ARR, with hundreds of customers including CookUnity, Quora, and SumUp.
 We’re currently working on Ava 2\.0, pushing the boundaries of what an AI employee can do. And we're hiring.
**Role Overview**
 You'll be the first Data Engineer on the Artisan team! We're managing a database of hundreds of millions of leads and creating real\-time intent signals which monitor data fields for those leads. You'll own everything data\-related at Artisan.
* Design, build, and maintain scalable data pipelines that process and transform large volumes of structured and unstructured data
* Manage ingestion from third\-party APIs, internal systems, and customer datasets
* Develop and maintain data models, data schemas, and storage systems optimized for ML and product performance
* Collaborate with ML engineers to prepare model\-ready datasets, embeddings, feature stores, and evaluation data
* Implement data quality monitoring, validation, and observability
* Work closely with product engineers to support new features that rely on complex data flows
* Optimize systems for performance, cost, and reliability
* Contribute to early architecture decisions, infrastructure design, and best practices for data governance
* Build tooling that enables the entire team to access clean, well\-structured data
**Location:** 
 San Francisco, New York, or Remote USA
**Team:** 
 Engineering
**Reports to:** 
 CPTO, Sam Stallings
**Who You Are**
* 3\+ years of experience as a Data Engineer
* Proficiency in Python, SQL, and modern data tooling (dbt, Airflow, Dagster, or similar)
* Comfort working in fast, ambiguous environments
* Experience designing and operating ETL/ELT pipelines in production
* Experience with cloud platforms (AWS, GCP, or Azure)
* Familiarity with data lakes, warehouses, and vector databases
* Experience integrating APIs and working with semi\-structured data (JSON, logs, event streams)
* Strong understanding of data modeling and optimization
* Bonus: experience supporting LLMs, embeddings, or ML training pipelines
* Bonus: startup experience
**Interview process**
* Introductory chat with our recruiter
* 45\-minute technical interview with an engineer
* Second 45\-minute technical interview with an engineer
* 30\-minute interview with Sam, our CPTO
* 30\-minute culture and values interview with Jaspar, our CEO
**Our culture and values**
* Founder mindset. Everyone acts like an owner: take initiative, think big, challenge ideas, and push for 10× outcomes
* Obsessed with impact. We apply the 80/20 rule, kill sunk costs quickly, and focus on what actually moves the needle
* Customer\-first, always. Every decision is made with the customer experience at the center
* High standards, every detail. Quality matters in everything we ship, from product and code to copy and design
* Clear, direct communication. We value candor, fast responses, and feedback
* Winning team energy. We bring positive vibes, low ego, zero drama, and genuinely enjoy building together
 Compensation Range: $150K \- $220K</t>
        </is>
      </c>
    </row>
    <row r="67">
      <c r="A67" t="inlineStr">
        <is>
          <t>li-4330844624</t>
        </is>
      </c>
      <c r="B67" t="inlineStr">
        <is>
          <t>Senior Associate, Insights Analytics Engineer</t>
        </is>
      </c>
      <c r="C67" t="inlineStr">
        <is>
          <t>LinkedIn</t>
        </is>
      </c>
      <c r="D67" t="inlineStr">
        <is>
          <t>linkedin</t>
        </is>
      </c>
      <c r="E67" t="inlineStr"/>
      <c r="F67" t="inlineStr"/>
      <c r="G67" t="inlineStr">
        <is>
          <t>New York, NY</t>
        </is>
      </c>
      <c r="H67" t="inlineStr"/>
      <c r="I6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can be located in our New York or Chicago offices.*
 As a
 **Senior Associate, Insights Analytics Engineer** 
 supporting the
 **Marketing Solutions** 
 business, you will leverage one of the richest proprietary datasets in the world. You will work with a high\-caliber, passionate team who believes that data can transform how a company does business. You will lead high\-impact programs and scale analytics tools that create value for our customers, our sales teams, and our business.
 Your work will help supercharge our go\-to\-market efforts by infusing data into how we sell and the stories we tell.  In this role, you will develop scaled customer insights solutions, used by thousands of sales professionals every day, by capturing complex business requirements, owning end\-to\-end technical development, and driving field\-wide deployment.  This includes prototyping, developing, and validating internal and customer\-facing solutions to build quality insights products.
 To be successful in this role, you will be a proactive, analytical product manager, using LinkedIn’s unique data and disciplined project management techniques to design and execute programs and tools focused on accelerating LinkedIn’s growth. Diverse internal partners you’ll collaborate with include—but are not limited to—Insights, Sales, Sales Readiness, Product Marketing, Engineering, Data Science, and Product.  You’ll embrace continuous learning and diverse feedback to ensure that your tools and programs are evolving and improving to meet the needs of our customers.  You like to dream big, work collaboratively to get stuff done, and know how to have fun along the way.
**Responsibilities** 
 :
* Partner cross\-functionally to design, plan, and execute strategy
* Create requirements and project plans for analytic programs and tools, and re\-prioritize based on impact and level of effort to complete
* Build a communications plan that ensures effective delivery and awareness of new Insights product or feature launches and incorporates feedback from key stakeholders
* Establish a high bar for compelling scaled insights business cases
* Identify scaled solutions for the most important customer challenges by leveraging LinkedIn’s unique data and act as an advisor to manage stakeholder expectations
* Leverage SQL/Python to extract and manipulate necessary data
* Analyze results to generate business insights
**Qualifications**
**Basic Qualifications**
* BA/BS in math, marketing, statistics, economics, business or related field
* 4\+ years of work experience in project or program management or a consulting role working cross\-functionally
* 3\+ years of experience with data analysis, data storytelling, and data visualization tools (e.g., Tableau, Power BI, etc.) to turn data into insights and present to internal and/or external stakeholders
* 2\+ years working with SQL to query large datasets (e.g., Pig, Hive, Presto, Spark SQL, etc.)
* 2\+ years working with Python for data manipulation, batch processing, machine learning, statistical analysis, etc.
**Preferred Qualifications**
* Experience in digital marketing analytics
* Business acumen and creative problem\-solving skills
* Experience managing complex, multi\-workstream programs
* Experience working with both technical and non\-technical stakeholders like sales to capture complex business requirements, solution, and drive full scale deployment (launch, adoption, impact assessment)
* Excellent interpersonal, communication, writing, presentation, statistical and data analysis skills
* Experience turning data into insights and presenting to internal (technical and non\-technical) stakeholders and external stakeholders
* Expert knowledge of MS Office (Outlook, Word, PowerPoint and Excel)
**Suggested Skills:**
* Stakeholder management
* Data visualization and storytelling
* Python
* Consulting
* SQL
 LinkedIn is committed to fair and equitable compensation practices.
 The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8">
      <c r="A68" t="inlineStr">
        <is>
          <t>li-4358319528</t>
        </is>
      </c>
      <c r="B68" t="inlineStr">
        <is>
          <t>Analytics Engineer</t>
        </is>
      </c>
      <c r="C68" t="inlineStr">
        <is>
          <t>Chartmetric</t>
        </is>
      </c>
      <c r="D68" t="inlineStr">
        <is>
          <t>linkedin</t>
        </is>
      </c>
      <c r="E68" t="inlineStr"/>
      <c r="F68" t="inlineStr"/>
      <c r="G68" t="inlineStr">
        <is>
          <t>New York, NY</t>
        </is>
      </c>
      <c r="H68" t="inlineStr"/>
      <c r="I68" t="inlineStr">
        <is>
          <t>* Lead the development of predictive analytics, anomaly detection systems, and data\-
 driven insights for Chartmetric’s music intelligence platform, taking ownership of the
 entire data pipeline from schema design to delivery.
* Design automated data quality frameworks, scalable analytics solutions, and AI\-powered
 insights to enhance artist performance tracking, audience engagement analysis, and
 market forecasting.
* Build real\-time data monitoring systems to detect irregular streaming patterns, fraudulent
 activities, and unexpected shifts in music consumption.
* Optimize large\-scale data pipelines, ensuring seamless integration of data from streaming
 platforms, social media, and audience engagement sources.
* Collaborate with product, engineering, and business teams to develop AI\-driven search
 and analytics tools, making complex data easily accessible to industry professionals.
* Play a key role in data strategy and cross\-functional collaboration, transforming raw data
 into actionable intelligence for artist managers, labels, and digital marketers.
* Specialize in advanced user data analytics and segmentation, developing sophisticated
 behavioral clustering models and customer journey analytics frameworks.
* Build and implement churn prevention analytics to drive subscription retention.
* Design and implement complex ETL pipelines specifically for user data integration
 across multiple platforms, creating a unified user data lake architecture that centralizes
 consumer information.
* Create dynamic segmentation models that automatically adapt to changing user behaviors
 and implement real\-time cohort analysis frameworks to track segment evolution over
 time.
* Build cross\-platform attribution models to measure marketing effectiveness across user
 segments, develop custom data visualization dashboards for user segment analysis, and
 create automated reporting systems to track segment performance metrics.
* Build ETL pipelines in Python to extract and transform data from streaming platforms
 (Spotify, Apple Music, YouTube) for artist performance analysis.
* Manage centralized data warehousing in Snowflake and AWS Redshift while utilizing
 PostgreSQL/BigQuery for relational data and MongoDB/Elastic Search for flexible
 user/music analytics.
* Implement high\-performance analytics with Clickhouse for massive datasets and
 Kafka/Kinesis for real\-time streaming data processing.
* Orchestrate data workflows with Airflow and developing predictive models using Scikit\-
 learn, TensorFlow, and Snowpark to identify breakout tracks/artists.
* Create visualization solutions through Tableau, Looker, and Hex for executive
 dashboards and collaborative data exploration.
* Apply advanced statistical methods and machine learning algorithms to build ranking
 system for artists, creators and tracks to help prioritize the stats updating in Chartmetric.
* Use Hex to create collaborative Python/SQL workbooks to serve data needs and reduce
 insight time for faster decisions.
* Leverage the use of LLM APIs to create meaningful workflows using agentic RAGs for
 building LLM based applications.
 REQUIREMENTS: A Master’s degree in Analytics, Data Science or closely related field
 with 3 years of experience as an Analytics Engineer or Data Analyst position, which
 includes minimum of 3 years of experience with Python, Snowflake, PostgreSQL,
 Clickhouse, AWS, Airflow, Tableau, Looker, Hex, and LLM. Telecommuting is
 permitted within the New York Metropolitan area.
**The Pay Range For This Role Is**
 169,000 \- 179,000 USD per year(New York)</t>
        </is>
      </c>
    </row>
    <row r="69">
      <c r="A69" t="inlineStr">
        <is>
          <t>li-4330745229</t>
        </is>
      </c>
      <c r="B69" t="inlineStr">
        <is>
          <t>Senior Associate, Insights Analytics Engineer</t>
        </is>
      </c>
      <c r="C69" t="inlineStr">
        <is>
          <t>LinkedIn</t>
        </is>
      </c>
      <c r="D69" t="inlineStr">
        <is>
          <t>linkedin</t>
        </is>
      </c>
      <c r="E69" t="inlineStr"/>
      <c r="F69" t="inlineStr"/>
      <c r="G69" t="inlineStr">
        <is>
          <t>Chicago, IL</t>
        </is>
      </c>
      <c r="H69" t="inlineStr"/>
      <c r="I6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can be located in our New York or Chicago offices.*
 As a
 **Senior Associate, Insights Analytics Engineer** 
 supporting the
 **Marketing Solutions** 
 business, you will leverage one of the richest proprietary datasets in the world. You will work with a high\-caliber, passionate team who believes that data can transform how a company does business. You will lead high\-impact programs and scale analytics tools that create value for our customers, our sales teams, and our business.
 Your work will help supercharge our go\-to\-market efforts by infusing data into how we sell and the stories we tell.  In this role, you will develop scaled customer insights solutions, used by thousands of sales professionals every day, by capturing complex business requirements, owning end\-to\-end technical development, and driving field\-wide deployment.  This includes prototyping, developing, and validating internal and customer\-facing solutions to build quality insights products.
 To be successful in this role, you will be a proactive, analytical product manager, using LinkedIn’s unique data and disciplined project management techniques to design and execute programs and tools focused on accelerating LinkedIn’s growth. Diverse internal partners you’ll collaborate with include—but are not limited to—Insights, Sales, Sales Readiness, Product Marketing, Engineering, Data Science, and Product.  You’ll embrace continuous learning and diverse feedback to ensure that your tools and programs are evolving and improving to meet the needs of our customers.  You like to dream big, work collaboratively to get stuff done, and know how to have fun along the way.
**Responsibilities** 
 :
* Partner cross\-functionally to design, plan, and execute strategy
* Create requirements and project plans for analytic programs and tools, and re\-prioritize based on impact and level of effort to complete
* Build a communications plan that ensures effective delivery and awareness of new Insights product or feature launches and incorporates feedback from key stakeholders
* Establish a high bar for compelling scaled insights business cases
* Identify scaled solutions for the most important customer challenges by leveraging LinkedIn’s unique data and act as an advisor to manage stakeholder expectations
* Leverage SQL/Python to extract and manipulate necessary data
* Analyze results to generate business insights
**Qualifications**
**Basic Qualifications**
* BA/BS in math, marketing, statistics, economics, business or related field
* 4\+ years of work experience in project or program management or a consulting role working cross\-functionally
* 3\+ years of experience with data analysis, data storytelling, and data visualization tools (e.g., Tableau, Power BI, etc.) to turn data into insights and present to internal and/or external stakeholders
* 2\+ years working with SQL to query large datasets (e.g., Pig, Hive, Presto, Spark SQL, etc.)
* 2\+ years working with Python for data manipulation, batch processing, machine learning, statistical analysis, etc.
**Preferred Qualifications**
* Experience in digital marketing analytics
* Business acumen and creative problem\-solving skills
* Experience managing complex, multi\-workstream programs
* Experience working with both technical and non\-technical stakeholders like sales to capture complex business requirements, solution, and drive full scale deployment (launch, adoption, impact assessment)
* Excellent interpersonal, communication, writing, presentation, statistical and data analysis skills
* Experience turning data into insights and presenting to internal (technical and non\-technical) stakeholders and external stakeholders
* Expert knowledge of MS Office (Outlook, Word, PowerPoint and Excel)
**Suggested Skills:**
* Stakeholder management
* Data visualization and storytelling
* Python
* Consulting
* SQL
 LinkedIn is committed to fair and equitable compensation practices.
 The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0">
      <c r="A70" t="inlineStr">
        <is>
          <t>li-4351686209</t>
        </is>
      </c>
      <c r="B70" t="inlineStr">
        <is>
          <t>Data Engineer</t>
        </is>
      </c>
      <c r="C70" t="inlineStr">
        <is>
          <t>Litera</t>
        </is>
      </c>
      <c r="D70" t="inlineStr">
        <is>
          <t>linkedin</t>
        </is>
      </c>
      <c r="E70" t="inlineStr"/>
      <c r="F70" t="inlineStr"/>
      <c r="G70" t="inlineStr">
        <is>
          <t>Denver, CO</t>
        </is>
      </c>
      <c r="H70" t="inlineStr"/>
      <c r="I70"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across North America. We are establishing offices in Austin, Boston, Chicago, Denver, New York City, Philadelphia, New Jersey, Raleigh, and Toronto to serve as key operational hubs, and we are actively seeking talented individuals to join our team in this exciting new phase.
 This position is located in our
 **Denver, CO office** 
 .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**Overview:** 
 As a Data Engineer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
**Key Responsibilities:**
* Design, implement, and optimize cloud\-based data warehouse solutions to enhance and expand our internal data and product offerings.
* Collaborate with Litera Data Architects to design and implement backend data structures and query components in relational and non\-relational data management systems.
* Take ownership of application data schema design and implementation, ensuring scalability and performance.
* Recommend appropriate data environments, structures, tools, development techniques, data security, and methodologies to meet project requirements.
* Participate effectively and collaboratively in a fast\-paced environment with globally located teams working in different time zones.
* Write and document clean, maintainable, and extensible code with a minimum number of defects.
* Collaborate with cross\-functional teams (PM, Dev, QA, DevOps) to complete tasks and ensure seamless integration of data solutions.
**Qualifications:**
* Bachelor's degree in computer science, IT, a related field, or equivalent work experience.
* 8\+ years of hands\-on experience in data engineering, database design, and implementing and maintaining full\-scale data warehouse solutions.
* Demonstrated experience working in Snowflake, SQL Server, dbt, Azure Data Factory and Rivery or similar modern ETL tools. Deep expertise in Snowflake (performance tuning, security, etc.) is desired.
* Expert understanding of data structures and data architecture principles.
* Proficiency in SQL and Python for data manipulation, transformation, and automation.
* Demonstrated proficiency in data integration utilizing APIs, including designing, developing, and maintaining connections. Skilled in troubleshooting and optimizing API performance to enhance data accuracy and efficiency.
* Experience with Snowflake Cortex, or other AI assisted data/software tools is a plus.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Litera is an equal opportunity employer. We celebrate diversity and are committed to creating an inclusive environment for all employees.</t>
        </is>
      </c>
    </row>
    <row r="71">
      <c r="A71" t="inlineStr">
        <is>
          <t>li-4358591198</t>
        </is>
      </c>
      <c r="B71" t="inlineStr">
        <is>
          <t>Data Analytics Engineer</t>
        </is>
      </c>
      <c r="C71" t="inlineStr">
        <is>
          <t>Kanak Elite Services</t>
        </is>
      </c>
      <c r="D71" t="inlineStr">
        <is>
          <t>linkedin</t>
        </is>
      </c>
      <c r="E71" t="inlineStr"/>
      <c r="F71" t="inlineStr"/>
      <c r="G71" t="inlineStr">
        <is>
          <t>Cincinnati, OH</t>
        </is>
      </c>
      <c r="H71" t="inlineStr"/>
      <c r="I71" t="inlineStr">
        <is>
          <t>Hi,
 Hope your are doing well.
 My name is Anjali, and I am a Sr Technical Recruiter at Kanak IT Services LLC. I am reaching out to you regarding the following job opportunity. If you are interested, share me your updated resume on anjali08@kanakits.com.
**Role: DATA ANALYTICS ENGINEER**
**Location: Cincinnati, OH (onsite)**
**We are forward\-thinking organization committed to harnessing the power of data to drive business success. We are seeking a skilled Data Visualization Developer with expertise in Spotfire and AWS Redshift to join our team and help us build and maintain robust data infrastructure.**
**Responsibilities**
* Design, develop, and maintain reports using Tibco Spotfire
* Optimize and manage existing reports.
* Collaborate with data engineers, analysts, and other stakeholders to understand data requirements and deliver solutions.
* Ensure data quality and integrity through rigorous testing and validation.
* Monitor and troubleshoot data pipeline issues, ensuring timely resolution.
* Develop and maintain documentation for data processes and architecture.
* Stay updated with the latest trends and best practices in data engineering and AWS technologies.
**Requirements**
* Bachelor's degree in computer science, Information Technology, or related field.
* Proven experience as a Data Engineer, with a focus on AWS Redshift.
* Strong proficiency in SQL and database management.
* Strong proficiency in Tibco Spotfire.
* Familiarity with AWS services such as AWS Quick sight, AWS redshift
* Knowledge of data warehousing concepts and best practices.
* Excellent problem\-solving skills and attention to detail.
* Strong communication skills and ability to work collaboratively.
* Knowledge on CICD process
**Preferred Qualifications**
* Certifications in Tibco Spotfire
* Knowledge of programming languages such as Python, SQL etc.
* Understanding of data governance and security practices.</t>
        </is>
      </c>
    </row>
    <row r="72">
      <c r="A72" t="inlineStr">
        <is>
          <t>li-4358590565</t>
        </is>
      </c>
      <c r="B72" t="inlineStr">
        <is>
          <t>Data Engineer</t>
        </is>
      </c>
      <c r="C72" t="inlineStr">
        <is>
          <t>Interactive Resources - iR</t>
        </is>
      </c>
      <c r="D72" t="inlineStr">
        <is>
          <t>linkedin</t>
        </is>
      </c>
      <c r="E72" t="inlineStr"/>
      <c r="F72" t="inlineStr"/>
      <c r="G72" t="inlineStr"/>
      <c r="H72" t="inlineStr"/>
      <c r="I72" t="inlineStr">
        <is>
          <t>**Job Title:** 
 Data Analytics Engineer
**Location:** 
 Hybrid – On\-site 2 days per week in the Denver Metro Area
**Job Type:** 
 Permanent / Direct Hire
**Compensation:** 
 Up to $110,000 – $135,000 per year, depending on experience
**About the Role** 
 A growing national organization in the healthcare services sector is seeking a
 **Data Analytics Engineer** 
 to join its analytics team. This position sits within a collaborative data group that supports multiple business units through a shared services model, providing excellent opportunities for professional growth and cross\-functional impact.
 The ideal candidate is passionate about turning data into actionable insight, building scalable data models, and driving business decisions through high\-quality analytics solutions. You’ll work closely with other data professionals and key stakeholders to design infrastructure and reporting that fuel operational excellence across a broad, distributed enterprise.
**Key Responsibilities** 
* Design, develop, and maintain scalable data pipelines and ETL (Extract, Transform, Load) processes for large, diverse datasets.
* Collaborate with engineering, analytics, and business teams to define data requirements and translate them into effective technical solutions.
* Build and optimize data models to ensure efficient data storage, retrieval, and analysis.
* Implement and uphold data governance practices to ensure accuracy, consistency, and compliance across systems.
* Develop and maintain dashboards, reports, and data visualizations that deliver actionable insights to leadership teams.
* Aggregate and standardize data from systems such as EHRs, finance, marketing, and operational platforms into unified analytics models to support performance scorecards and decision\-making tools.
**Required Skills \&amp; Qualifications** 
* Bachelor’s degree in Data Analytics, Data Science, Computer Science, or a related field.
* 2\+ years of experience in a data or business analytics role.
* Strong proficiency in SQL and solid understanding of data modeling, ETL frameworks, and data warehousing concepts.
* Excellent communication skills with experience engaging both technical and non\-technical stakeholders.
* Proven ability to independently own projects from concept through delivery.
* Detail\-oriented and organized, with a commitment to maintaining thorough documentation.
**Preferred Skills** 
* Experience with cloud\-based data platforms such as Snowflake.
* Familiarity with data transformation tools like dbt, or a willingness to learn and implement them.
* Proficiency in data visualization tools such as Power BI or Tableau.
* Exposure to healthcare\-related datasets (e.g., claims or EHR data) and an understanding of compliance frameworks such as HIPAA.
* Working knowledge of Python for data manipulation or automation.
* Understanding of machine learning concepts and how they can be applied within analytics solutions.
* Experience working in an Agile development environment.
* Familiarity with version control tools such as Git.
**Additional Information** 
 This is a hybrid position requiring two on\-site days per week in the Denver metro area. The organization values proactive problem\-solvers who are both technically strong and business\-minded. You’ll join a team where collaboration, curiosity, and continual learning are encouraged.</t>
        </is>
      </c>
    </row>
    <row r="73">
      <c r="A73" t="inlineStr">
        <is>
          <t>li-4358581655</t>
        </is>
      </c>
      <c r="B73" t="inlineStr">
        <is>
          <t>Data Engineer /Data Architect</t>
        </is>
      </c>
      <c r="C73" t="inlineStr">
        <is>
          <t>Node.Digital LLC</t>
        </is>
      </c>
      <c r="D73" t="inlineStr">
        <is>
          <t>linkedin</t>
        </is>
      </c>
      <c r="E73" t="inlineStr"/>
      <c r="F73" t="inlineStr"/>
      <c r="G73" t="inlineStr">
        <is>
          <t>Herndon, VA</t>
        </is>
      </c>
      <c r="H73" t="inlineStr"/>
      <c r="I73" t="inlineStr">
        <is>
          <t>**Location: Herndon, VA**
**Preferred: US Citizen**
**Job Description**
 Node is currently seeking a motivated, career and customer\-oriented Senior Data Engineer /Data Architect to begin an exciting and challenging career with our large Enterprise Application Support Program on one of our project delivery teams.
**Job Responsibilities**
* Design and implement effective database structures and models to store, retrieve, and analyze data
* Develop, construct, test, and maintain scalable data pipelines to collect, process, and integrate data from various sources
* Implement ETL (Extract, Transform, Load) processes to ensure data consistency and quality
* Integrate data from different sources, ensuring consistency, reliability, and accuracy
* Develop data APIs and automation scripts to streamline data integration and workflows
* Monitor and optimize database and data processing system performance
* Conduct performance tuning and troubleshoot data issues
**Requirements**
**Requirement:**
* Bachelor's degree in Computer Science, Management Information Systems, or relevant discipline (4 years of equivalent experience)
* 8\+ years' experience with:
* Proven experience as a Data Architect, Data Engineer, or in a similar role
* Extensive experience in designing and implementing data architectures
* Hands\-on experience in developing and managing data pipelines and ETL processes
* Proficiency in SQL and database management systems (e.g., MySQL, PostgreSQL, SQL Server)
* Experience with big data technologies (e.g., Hadoop, Spark) and ETL tools
* Strong programming skills in languages such as Python, Java, or Scala
 Company Overview:
 Node.Digital is an independent Digital Automation \&amp; Cognitive Engineering company that integrates best\-of\-breed technologies to accelerate business impact.
 Our Core Values help us in our mission. They include:
 OUR CORE VALUES
 Identifying the:RIGHT PEOPLE:and developing them to their full capabilities
 Our customer's "Mission" is our "Mission". Our:MISSION FIRST:approach is designed to keep our customers fully engaged while becoming their trusted partner
 We believe in:SIMPLIFYING:complex problems with a relentless focus on agile delivery excellence
 Our mantra is ":Simple\*Secure\*Speed:" in delivery of innovative services and solutions
**Benefits**
 We are proud to offer competitive compensation and benefits packages to include
* Medical
* Dental
* Vision
* Basic Life
* Health Saving Account
* 401K
* Three weeks of PTO
* 10 Paid Holidays
* Pre\-Approved Online Training</t>
        </is>
      </c>
    </row>
    <row r="74">
      <c r="A74" t="inlineStr">
        <is>
          <t>li-4358444036</t>
        </is>
      </c>
      <c r="B74" t="inlineStr">
        <is>
          <t>Data Engineer</t>
        </is>
      </c>
      <c r="C74" t="inlineStr">
        <is>
          <t>Old National Bank</t>
        </is>
      </c>
      <c r="D74" t="inlineStr">
        <is>
          <t>linkedin</t>
        </is>
      </c>
      <c r="E74" t="inlineStr"/>
      <c r="F74" t="inlineStr"/>
      <c r="G74" t="inlineStr">
        <is>
          <t>Chicago, IL</t>
        </is>
      </c>
      <c r="H74" t="inlineStr"/>
      <c r="I74" t="inlineStr">
        <is>
          <t>**Overview**
 Old National Bank has been serving clients and communities since 1834\. With over $70 billion in total assets, we are a regional powerhouse deeply rooted in the communities we serve. As a trusted partner, we thrive on helping our clients achieve their goals and dreams, and we are committed to social responsibility and investing in our communities through volunteering and charitable giving.
 We continually seek highly motivated and talented individuals as our people are critical to our success. In return, we offer competitive compensation with our salary and incentive program, in addition to medical, dental, and vision insurance. 401K, continuing education opportunities and an employee assistance program are also included in our benefit suite. Old National also offers a variety of Impact Network Groups led by team members who are passionate about driving engagement, creating awareness of diverse backgrounds and experiences, and building inclusion across the organization. We offer a unique opportunity to join a growing, community and client\-focused company that is firmly rooted in its core values.
**Responsibilities**
**Salary Range**
 The salary range for this position is $62,300 \- $199,000 per year. The base salary indicated for this position reflects the compensation range applicable to all levels of the role across the United States. Actual salary offers within this range may vary based on a number of factors, including the specific responsibilities of the position, the candidate’s relevant skills and professional experience, educational qualifications, and geographic location.
 We are currently seeking a Data Engineer. This position will require knowledge of enterprise data governance, data analysis, business analysis, and the technical tools to execute on those roadmaps. You will assist with creating a unified data model that will be central to all Data Governance activities and helping to set the foundation of our Master Data Management strategy. This includes crucial external and internal reporting, line of business specific needs, and system integration. Activities will include working with stakeholders, subject matter experts, business analysts, and technical teams to execute, maintain, and own the Old National Core Data Model.
**Key Accountabilities**
 Key Accountability 1: Create and Maintain Data Governance Data Quality Framework
* Enable technical frameworks with tech stack that enable monitoring, reporting, and remediation of data quality issues
* Partner with business stakeholders, data owners, and information owners to implement appropriate data quality rules
* Documents procedural level documents to support technical teams and business partners adherence to Data Quality Framework
 Key Accountability 2: Data Analysis and Profiling
* Support business partners with proper profiling techniques to better understand the data.
* Drive data accountability to understand data gaps and needs within systems and business processes
 Key Accountability 3: Data Cleansing Framework
* Direct framework and strategy to support data cleansing based on Data Quality Framework and Profiling activities.
* Partner with IT design a technical framework that will enable business partners and data analysts to transform their data in a consistent and traceable framework.
**Key Competencies for Position**
* Promotes Change \- Actively seeks information to understand the rationale, implications, and impact for changes. Remains agile by quickly modifying daily behavior, leveraging resources, and trying new approaches to effectively embrace change. Willing to act quickly, learn and adjust as needed. Identifies and recommends changes to leadership to improve performance. Aligns activities to meet individual, team and organizational goals
* Strategy in Action \- Breaks down larger goals into smaller achievable goals and communicates how they are contributing to the broader goal. Actively seeks to understand factors and trends that may influence role. Anticipates risks and develops contingency plans to manage risks. Identifies opportunities for improvement and seeks insights from other sources to generate potential solutions. Aligns activities to meet individual, team and organizational goals.
* Compelling Communication \- Effectively and transparently shares information and ideas with others. Tailors the delivery of communication in a way that engages the audience and that is easy to understand and retain. Unites others towards common goal. Asks for others' opinions and ideas and listens actively to gain their support when clarifying expectations, agreeing on a solution and checking for satisfaction.
* Makes Decisions \&amp; Solves Problems \- Takes ownership of the problem while collaborating with others on a resolution with an appropriate level of urgency. Collaborates and seeks to understand the root causes of problems. Evaluates the implications of new information or events and recommends solutions using decisions that are sound based on what is known at the time. Takes action that is consistent with available facts, constraints and probable consequences.
**Qualifications And Education Requirements**
* Bachelor’s degree in related field; advanced coursework/training related to data management, computer science, management information systems
* 3\+ years’ experience working with data analysis/profile tools, including but not limited to Informatica, SQL Server, MS Power Query, etc.
* 3\+ years’ working with data transformations and various ETL tools, DBT, FiveTran, Azure Data Factory
* 3\+ years’ experience working in a variety of data models, ODS, Relational, Fact/Dimension
* Understanding of reporting and data analytics to ensure overall accuracy
* Knowledge of industry leading practices in Analytics and Data Movement
* Strong written, verbal, and interpersonal skills to advance a data driven culture and work priorities.
* Working knowledge of data governance principles and frameworks
+ Source system profiling via a variety of tools and methods
+ Ability to write data quality rules (business facing and pseudo code)
+ Data lineage/data Catalog knowledge
+ Master data management
* Exposure to data platforms such as AWS, GCP, Azure, and/or Databricks
**Old National is proud to be an equal opportunity employer focused on fostering an inclusive workplace and committed to hiring a workforce comprised of diverse backgrounds, cultures and thinking styles.**
 As such,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We do not accept resumes from external staffing agencies or independent recruiters for any of our openings unless we have an agreement signed by the Director of Talent Acquisition, SVP, to fill a specific position
**Our culture is firmly rooted in our core values.**
**We are optimistic. We are collaborative. We are inclusive. We are agile. We are ethical.**
**We are Old National Bank. Join our team!**</t>
        </is>
      </c>
    </row>
    <row r="75">
      <c r="A75" t="inlineStr">
        <is>
          <t>li-4302981241</t>
        </is>
      </c>
      <c r="B75" t="inlineStr">
        <is>
          <t>Senior Data Engineer</t>
        </is>
      </c>
      <c r="C75" t="inlineStr">
        <is>
          <t>Carrot</t>
        </is>
      </c>
      <c r="D75" t="inlineStr">
        <is>
          <t>linkedin</t>
        </is>
      </c>
      <c r="E75" t="inlineStr"/>
      <c r="F75" t="inlineStr"/>
      <c r="G75" t="inlineStr"/>
      <c r="H75" t="inlineStr"/>
      <c r="I75"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**The Role:** 
 The Senior Data Engineer leads the evolution, reliability, and scalability of the modern data infrastructure across analytics, reporting, and business intelligence. This role is responsible for architecting, building, and maintaining robust, automated data pipelines, orchestrating workflows, integrating diverse data sources, and partnering with stakeholders across the business to deliver secure, compliant, high\-quality data solutions. Hands\-on responsibilities span the full data lifecycle, from architecting resilient ETL/ELT pipelines and developing real\-time and batch data integrations to automating reporting, optimizing technical debt, and enabling advanced analytics. Senior Data Engineers are operational stewards and technical mentors, driving improvements in system maturity, cost efficiency, automation, and collaborative practices.
**The Team:** 
 Our Data Engineering team develops and optimizes scalable data pipelines and cloud infrastructure to enable secure, automated reporting and analytics. We collaborate closely with partner, product, finance, and legal teams to deliver reliable integrations and self\-serve solutions that drive business insights and operational efficiency. The team leads technical incident management, data governance, and ongoing improvements while supporting cross\-functional mentorship and stakeholder needs.
**Minimum Qualifications:** 
* Expert\-level proficiency in Snowflake, dbt, and Python for data modeling, transformation, pipeline development, and advanced analytics.
* Advanced SQL skills for complex querying, large\-scale data model design, and database optimization.
* Proven experience architecting, building, testing, deploying, and maintaining scalable, automated ETL/ELT pipelines using modern orchestration tools such as Prefect and Airflow.
* Hands\-on administration of cloud\-based data warehouse and lake platforms—Snowflake, AWS (S3, Redshift), Google Cloud—including integration of new sources and performance optimization.
* Strong understanding of secure external data flows through SFTP, Files.com: Next\-Generation MFT, SFTP \&amp; File Sharing , and APIs, with a focus on reliability and compliance.
* Mastery of version control (Git, GitHub) and structured workflow management (Jira) for code review, audit trails, and operational transparency.
* Demonstrated ability to automate and simplify complex manual tasks, building robust, reusable pipeline components that reduce operational overhead.
* Depth in orchestrating workflows with custom scheduling, alerting, dependency management, monitoring, and error resolution.
* Dependability, adaptability, and a strong collaborative approach to engineering, thriving in dynamic and ambiguous environments.
**Preferred Qualifications:** 
* Extensive hands\-on experience in dynamic, fast\-paced settings, including startup or rapid\-growth environments, delivering technical solutions under shifting priorities.
* Direct background supporting cross\-functional teams—business intelligence, analytics, and data science—by enabling large\-scale integrations, multi\-tenant reporting, and advanced analytics tooling.
* Familiarity with both batch and event\-driven ingestion paradigms, including building near\-real\-time data pipelines utilizing Snowflake, dbt, and Python.
* Experience automating complex operational, financial, or compliance\-driven workflows within cloud data environments.
* Exposure to audit, privacy, and compliance frameworks (SOC, HIPAA, GDPR, ISO, SOX), particularly in implementing robust data governance and secure access controls.
* Experience working with regulated industries such as healthcare, healthtech, or SaaS environments.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$155,000\.00 \- $195,000\.00\.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76">
      <c r="A76" t="inlineStr">
        <is>
          <t>li-4358434433</t>
        </is>
      </c>
      <c r="B76" t="inlineStr">
        <is>
          <t>Data Engineer</t>
        </is>
      </c>
      <c r="C76" t="inlineStr">
        <is>
          <t>IDR, Inc.</t>
        </is>
      </c>
      <c r="D76" t="inlineStr">
        <is>
          <t>linkedin</t>
        </is>
      </c>
      <c r="E76" t="inlineStr"/>
      <c r="F76" t="inlineStr"/>
      <c r="G76" t="inlineStr">
        <is>
          <t>Atlanta, GA</t>
        </is>
      </c>
      <c r="H76" t="inlineStr"/>
      <c r="I76" t="inlineStr">
        <is>
          <t>IDR is seeking a Data Engineer to join one of our top clients for an opportunity in Atlanta, GA. This role involves leading data infrastructure projects within a company focused on BI and analytics modernization. The position offers the chance to work on impactful data initiatives in a dynamic environment.
**Position Overview for the Data Engineer:** 
* Design, build, and maintain data ingestion pipelines from source systems into the enterprise data lake
* Implement and manage data lake architecture, including data storage formats and lifecycle management
* Develop and optimize ELT/ETL processes for transforming raw data into curated datasets
* Support the creation and maintenance of data warehouses, including schema design and performance tuning
* Collaborate with stakeholders to ensure data structures support reporting and analytics needs
**Requirements for the Data Engineer:** 
* Experience working with modern cloud data warehouse platforms such as Snowflake, BigQuery, Redshift, or Synapse
* Strong SQL skills and thorough understanding of relational database concepts
* Hands\-on experience building data pipelines and working with data lakes and data warehouses
* Familiarity with cloud data platforms and storage options like AWS, Azure, or similar environments
* Experience with data integration tools, scripting, or orchestration frameworks
**What's in it for you?** 
* Competitive compensation package
* Full Benefits; Medical, Vision, Dental, and more!
* Opportunity to get in with an industry leading organization.
**Why IDR?** 
* 26\+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77">
      <c r="A77" t="inlineStr">
        <is>
          <t>li-4330608100</t>
        </is>
      </c>
      <c r="B77" t="inlineStr">
        <is>
          <t>Data Engineer</t>
        </is>
      </c>
      <c r="C77" t="inlineStr">
        <is>
          <t>Peyton Resource Group</t>
        </is>
      </c>
      <c r="D77" t="inlineStr">
        <is>
          <t>linkedin</t>
        </is>
      </c>
      <c r="E77" t="inlineStr"/>
      <c r="F77" t="inlineStr"/>
      <c r="G77" t="inlineStr"/>
      <c r="H77" t="inlineStr"/>
      <c r="I77" t="inlineStr">
        <is>
          <t>* Architect, develop, and operate scalable data pipelines that power analytics and machine learning use cases.
* Build and maintain well\-structured data warehouses and semantic models to enable self\-service reporting.
* Partner with cross\-functional teams to gather data needs and deliver reliable, accessible datasets.
* Establish data validation, monitoring, and quality controls to ensure accuracy and consistency.
* Work alongside analytics and data science teams to support model development and production workflows.
* Improve storage efficiency and query performance across cloud and relational data environments.
* Evaluate new data engineering technologies and promote engineering best practices within the team.
**Required Experience \&amp; Skills** 
* 3\+ years in data engineering,
 **data science** 
 , data platform development, or a closely related role.
* Advanced SQL skills and hands\-on experience with at least one programming language such as Python, Java, or Scala.
* Practical experience with cloud\-based data warehouses (Snowflake, Redshift, BigQuery, or similar).
* Strong foundation in data modeling, warehousing concepts, and pipeline development.
* Experience using modern data orchestration and transformation tools (e.g., Airflow, dbt).
* Strong communication skills with the ability to collaborate across technical and non\-technical teams.</t>
        </is>
      </c>
    </row>
    <row r="78">
      <c r="A78" t="inlineStr">
        <is>
          <t>li-4358630876</t>
        </is>
      </c>
      <c r="B78" t="inlineStr">
        <is>
          <t>Senior Data Engineer – Real-Time Data &amp; Visualization Focus</t>
        </is>
      </c>
      <c r="C78" t="inlineStr">
        <is>
          <t>enGen</t>
        </is>
      </c>
      <c r="D78" t="inlineStr">
        <is>
          <t>linkedin</t>
        </is>
      </c>
      <c r="E78" t="inlineStr"/>
      <c r="F78" t="inlineStr"/>
      <c r="G78" t="inlineStr"/>
      <c r="H78" t="inlineStr"/>
      <c r="I78" t="inlineStr">
        <is>
          <t>****Company****
 enGen
****Job Description****
**JOB SUMMARY**
* CANDIDATE MUST BE US Citizen (due to contractual/access requirements)\*\*\*
**This is a remote position available within the U.S.**
 In this role, you will be a key contributor to our data infrastructure, responsible for the design, development, and maintenance of efficient, reliable, and high\-quality data flow and storage. Your expertise will drive real\-time data ingestion and transformation processes, structuring data from diverse sources using Cloud platforms (Azure, GCP, AWS), Databases (BigQuery, Azure Data Explorer), and streaming technologies like Cribl, Kafka, and Azure Event Hubs. A primary responsibility will be creating impactful visualizations and dashboards for internal and enterprise reporting, leveraging tools like Power BI and Tableau to translate business needs into actionable insights. This role requires strong proficiency in scripting/query languages (KQL, SQL, Python, JavaScript) and strong skills in building and optimizing data pipelines, ensuring data quality and integrity throughout the data lifecycle.
****ESSENTIAL RESPONSIBILITIES****
* Design, develop, and maintain robust data processes and solutions to ensure the efficient movement and transformation of data across multiple systems
* Develop and maintain data models, databases, and data warehouses to support business intelligence and analytics needs
* Collaborate with stakeholders across IT, product, analytics, and business teams to gather requirements and provide data solutions that meet organizational needs
* Monitor work against production schedule, provide progress updates, and report any issues or technical difficulties to lead developers regularly
* Implement and manage data governance practices, ensuring data quality, integrity, and compliance with relevant regulations.
* Collaborate on the design and implementation of data security measures, including access controls, encryption, and data masking
* Mentor other associate and intermediate data engineers as needed
* Perform data analysis and provide insights to support decision\-making across various departments
* Stay current with industry trends and emerging technologies in data engineering, recommending new tools and best practices as needed
* Other duties as assigned or requested.
****EXPERIENCE****
**Required**
* 5 years of experience in design and analysis of algorithms, data structures, and design patterns in the building and deploying of scalable, highly available systems
* 5 years of experience in a data engineering, ETL development, or data management role.
* 5 years of experience in SQL and experience with database technologies (e.g., MySQL, PostgreSQL, MongoDB).
* 5 years of experience in data warehousing concepts and experience with data warehouse solutions (e.g., Snowflake, Redshift, BigQuery)
****Preferred****
* 7 years of experience with data pipeline and workflow management tools (e.g., Apache Airflow, AWS Glue, Azure Data Factory).
* 7 years of experience defining system architectures and exploring technical feasibility trade\-offs for optimizing short term execution while planning for long term technical capabilities
* 7 years of experience working with a variety of technology systems, designing solutions or developing data solutions in healthcare
* 7 years of experience with cloud platforms (AWS, Azure, GCP) and their respective data services
* 7 years of experience in data governance, data quality, and data security best practices
* 7 years of experience translating requirements, design mockups, prototypes or user stories into technical designs
* 7 years of experience in producing data\-related code that is fault\-tolerant, efficient, and maintainable
* 7 years of experience structuring and transforming data from multiple source systems.
* 7 years of experience creating data visualizations and dashboards using Power BI or Tableau for internal and external audiences.
* 7 years of experience using Cribl as a steaming and transformation solution.
****SKILLS****
* Demonstrated ability to achieve stretch goals in a highly innovative and fast\-paced environment
* Adaptability Strong ability to take on diverse tasks and projects, adapting to the evolving needs of the organization
* Analytical Thinking Strong analytical skills with a focus on detail and accuracy
* Interest and ability to learn other data development technologies/languages as needed
* Technical Proficiency Comfortable with a range of data tools and technologies, with a willingness to learn new skills as needed
* Strong track record in designing and implementing large\-scale data sources
* Strong sense of ownership, urgency, and drive
* Demonstrated passion for user experience and improving usability
* Team Collaboration A team player who can work effectively in cross\-functional environments
* Experience and willingness to mentor junior data engineers and help develop their skills and leadership
**EDUCATION**
****Required****
* Bachelor’s degree in Computer Science, Information Systems, Data Science, Computer Engineering or related field
****Preferred****
* Master's degree in Computer Science, Information Systems, Data Science, Computer Engineering or related field
**LICENSES or CERTIFICATIONS**
****Required****
* None
****Preferred****
* None
****Language (Other Than English)****
 None
**Travel Requirement**
 0% \- 25%
**PHYSICAL, MENTAL DEMANDS and WORKING CONDITIONS**
**Position Type**
 Office\- or Remote\-based
 Teaches / trains others
 Occasionally
 Travel from the office to various work sites or from site\-to\-site
 Rarely
 Works primarily out\-of\-the office selling products/services (sales employees)
 Never
 Physical work site required
 No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$147,500\.00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is>
      </c>
    </row>
    <row r="79">
      <c r="A79" t="inlineStr">
        <is>
          <t>li-4358348471</t>
        </is>
      </c>
      <c r="B79" t="inlineStr">
        <is>
          <t>Junior Data Engineer</t>
        </is>
      </c>
      <c r="C79" t="inlineStr">
        <is>
          <t>Calamos Investments</t>
        </is>
      </c>
      <c r="D79" t="inlineStr">
        <is>
          <t>linkedin</t>
        </is>
      </c>
      <c r="E79" t="inlineStr"/>
      <c r="F79" t="inlineStr"/>
      <c r="G79" t="inlineStr">
        <is>
          <t>Naperville, IL</t>
        </is>
      </c>
      <c r="H79" t="inlineStr"/>
      <c r="I79" t="inlineStr">
        <is>
          <t>***Summary of the Role***
 Calamos is seeking a Junior Data Engineer who is passionate about data and eager to grow their skills within the financial services industry. You'll join our Data Engineering Team as we continue to modernize our data platform using Databricks, transforming how the firm leverages data as a strategic asset.In this role, you'll participate in the lifecycle of data pipeline projects\&amp;mdash;from design and development through testing, documentation, and production support. You'll work hands\-on with Databricks to build scalable data solutions that power critical investment decisions and operations.As part of a collaborative team, you'll contribute beyond individual projects by participating in design sessions, engaging with stakeholders to understand their needs, and sharing in rotation\-based production support duties.
 **Primary Responsibilities** 
* Develop and maintain data pipelines in Databricks following Agile/Scrum methodology
* Write clean, well\-documented code that adheres to team and firm standards
* Participate in the on\-call rotation to monitor overnight data delivery SLAs, troubleshoot failures, and respond to data quality issues
* Collaborate with architects, engineers, and business stakeholders to understand requirements and deliver solutions
* Contribute to design sessions, code reviews, and continuous improvement initiatives
**Preferred Qualifications** 
* Bachelor's degree in Computer Science, Data Engineering, or related field
* 3\+ years of experience developing data pipelines in a modern data platform environment
* Strong Python development skills with experience in PySpark and Databricks
* Understanding of medallion architecture and data lakehouse concepts
* Experience with Azure cloud services (Data Lake Storage, Key Vault, Azure DevOps)
* Familiarity with Delta Lake and data quality frameworks
* Experience with modern CI/CD practices and infrastructure as code
* Strong SQL skills and understanding of data modeling principles
* Excellent communication skills with ability to translate technical concepts for business stakeholders
* Financial services industry experience is a plus
***Compensation Disclosure***
 The compensation for this role takes into account various factors, including work location, individual skill set, relevant experience, and other business needs. The estimated base salary range for this position is $90,000 \- $110,000\. Additionally, this position is eligible for an annual discretionary bonus.Please note that this is the current estimate of the base salary range intended for this role at the time of posting. The base salary range may be adjusted in the future.
 ***Benefits***
 Calamos offers a comprehensive benefits package, including health and welfare benefits (medical, dental, vision, flexible spending accounts, and employer\-paid short and long\-term disability), as well as retirement benefits (401(k) and profit sharing), paid time off, paid parental leave, and other wellness benefits.
 Equal Opportunity Employer
 This employer is required to notify all applicants of their rights pursuant to federal employment laws.
 For further information, please review the Know Your Rights notice from the Department of Labor.</t>
        </is>
      </c>
    </row>
    <row r="80">
      <c r="A80" t="inlineStr">
        <is>
          <t>li-4358453049</t>
        </is>
      </c>
      <c r="B80" t="inlineStr">
        <is>
          <t>Data Engineer Senior</t>
        </is>
      </c>
      <c r="C80" t="inlineStr">
        <is>
          <t>Ashley Furniture Industries</t>
        </is>
      </c>
      <c r="D80" t="inlineStr">
        <is>
          <t>linkedin</t>
        </is>
      </c>
      <c r="E80" t="inlineStr"/>
      <c r="F80" t="inlineStr"/>
      <c r="G80" t="inlineStr">
        <is>
          <t>Mesquite, TX</t>
        </is>
      </c>
      <c r="H80" t="inlineStr"/>
      <c r="I80" t="inlineStr">
        <is>
          <t>**Join The \#1 Furniture Company\-Join The \#1 Furniture Brand**
*Ashley Furniture Industries, Inc. is the largest manufacturer of furniture in the world. Established in 1945, Ashley offers one of the industry’s broadest product assortments to retail partners in 123 countries.*
**Summary**
**Data Pipeline Development**
* Design, develop, and maintain robust ETL/ELT pipelines for real\-time and batch data processing
* Build automated data ingestion workflows from various sources including APIs, databases, flat files, and streaming platforms
* Implement data transformation logic to cleanse, validate, and enrich raw data
* Optimize pipeline performance for high\-volume data processing
* Develop monitoring and alerting systems for pipeline health and data quality
 Infrastructure \&amp; Architecture
* Design and implement scalable data warehouse and data lake architectures
* Build and maintain cloud\-based data storage solutions using modern platforms (AWS, Azure, GCP)
* Implement data partitioning, indexing, and compression strategies for optimal performance
* Design disaster recovery and backup strategies for critical data systems
* Evaluate and integrate new technologies to improve data infrastructure capabilities
 Data Management \&amp; Governance
* Design, Develop and Maintain Data Models
* Implement data quality frameworks and validation rules
* Establish data lineage tracking and metadata management systems
* Ensure compliance with data privacy regulations (GDPR, CCPA, etc.)
* Develop and maintain data documentation and schema definitions
* Implement security measures including encryption, access controls, and audit logging
 Collaboration \&amp; Support
* Partner with data scientists, analysts, and business stakeholders to understand requirements
* Provide technical guidance on data architecture and best practices
* Support ad\-hoc data requests and troubleshoot data\-related issues
* Mentor junior team members and participate in code reviews
* Collaborate with DevOps teams to implement CI/CD practices for data workflows
 Performance \&amp; Optimization
* Monitor system performance and identify bottlenecks in data processing
* Optimize database queries and data models for improved efficiency
* Implement caching strategies and data compression techniques
* Conduct capacity planning for growing data volumes
* Troubleshoot and resolve production data issues
**Apply today and find your home at Ashley!**
**Benefits We Offer**
* Health, Dental, Vision, Employee Assistance Program
* Paid Vacation, Holidays, and Your Birthday off
* Generous Employee Discount on home furnishings
* Professional Development Opportunities
* Ashley Wellness Centers (location specific) and Medical Tourism
* Telehealth
* 401(k) and Profit Sharing
* Life Insurance
**Our Core Values**
* Honesty \&amp; Integrity
* Passion, Drive, Discipline
* Continuous Improvement/Operational Excellence
* Dirty Fingernail
* Growth Focused
**About**
 To learn more about Ashley Furniture, our community engagement programs, environmental stewardship, and our core values, please visit our Corporate Social Responsibility information page:
 Corporate Social Responsibility
*We are an equal opportunity employer and provide a drug\-free working environment. While Ashley appreciates the interest of all candidates only those meeting specific position requirements may be contacted. Principals Only.*</t>
        </is>
      </c>
    </row>
    <row r="81">
      <c r="A81" t="inlineStr">
        <is>
          <t>li-4358640795</t>
        </is>
      </c>
      <c r="B81" t="inlineStr">
        <is>
          <t>Data Engineer (Remote)</t>
        </is>
      </c>
      <c r="C81" t="inlineStr">
        <is>
          <t>Jobgether</t>
        </is>
      </c>
      <c r="D81" t="inlineStr">
        <is>
          <t>linkedin</t>
        </is>
      </c>
      <c r="E81" t="inlineStr"/>
      <c r="F81" t="inlineStr"/>
      <c r="G81" t="inlineStr">
        <is>
          <t>Illinois, United States</t>
        </is>
      </c>
      <c r="H81" t="inlineStr"/>
      <c r="I81" t="inlineStr">
        <is>
          <t>This position is posted by Jobgether on behalf of a partner company. We are currently looking for a Data Engineer \- REMOTE. In this role, you will play a crucial part in designing and enhancing the data platform that guarantees quality and governance, enabling timely and reliable analysis across enterprise systems. You will collaborate closely with senior engineers, analysts, and stakeholders in a dynamic, team\-oriented environment, contributing to well\-structured data solutions while furthering your technical expertise and ownership over systems.
**Accountabilities**
* Build and maintain data pipelines that support ingest, logging, validation, transformation, and secure data access.
* Contribute to the development and improvement of scalable ETL/ELT processes under guidance from senior engineers.
* Implement and evolve data models and storage patterns that support analytics and operational use cases.
* Apply data quality checks, monitoring, and documentation to ensure data is accurate, reliable, and well understood.
* Collaborate with internal teams and clients to understand data requirements and support analytics use cases.
* Contribute to the ongoing development of the VOR Data Platform, including tooling, standards, and automation.
* Participate in research, prototypes, and proof\-of\-concept work to evaluate new data and analytics technologies, including emerging AI\-driven tools.
* Follow established engineering practices and contribute ideas to improve reliability, performance, and developer experience.
**Requirements**
* 4–7 years of combined experience and education in Computer Science, Information Systems, Software Engineering, Data Engineering, or a related field.
* Hands\-on experience building and maintaining ETL/ELT data pipelines and working with data warehouses, data lakes, or analytics platforms.
* Experience working with SQL and familiarity with performance tuning and optimization concepts.
* Exposure to data visualization or BI tools such as Tableau, Power BI, Superset, or similar.
* Strong Python development experience.
* Familiarity with modern data tooling and workflows; experience using AI\-assisted development tools is a plus.
* Strong written and verbal communication skills, with the ability to explain technical concepts to both technical and non\-technical audiences.
* Ability to work effectively in a collaborative, remote\-first environment.
**Benefits**
* 401k matching
* PPO and HDHP medical/dental/vision insurance
* Education reimbursement up to $10,000/yr
* Complimentary life insurance
* Generous rollover PTO and 11 days of holiday leave
* Onsite gym facility and trainer
* Commuter Benefits Plan
* In\-office Cold Brew Coffee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2">
      <c r="A82" t="inlineStr">
        <is>
          <t>li-4358406520</t>
        </is>
      </c>
      <c r="B82" t="inlineStr">
        <is>
          <t>Data Engineer</t>
        </is>
      </c>
      <c r="C82" t="inlineStr">
        <is>
          <t>Freudenberg Sealing Technologies</t>
        </is>
      </c>
      <c r="D82" t="inlineStr">
        <is>
          <t>linkedin</t>
        </is>
      </c>
      <c r="E82" t="inlineStr"/>
      <c r="F82" t="inlineStr"/>
      <c r="G82" t="inlineStr">
        <is>
          <t>Plymouth, MI</t>
        </is>
      </c>
      <c r="H82" t="inlineStr"/>
      <c r="I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Save for retirement with the company's help.
**Health Insurance:** 
 Rely on comprehensive services whenever you need it.
**Sustainability \&amp; Social Commitment:** 
 We support social and sustainable projects and encourage employee involvement.
**Vacation:** 
 We offer time off to refresh and recharge.
**Paid Holidays:** 
 With paid\-time off, local holidays are all the way more relaxing.
 Plymouth, MI
 Hybrid Work
 Freudenberg\-NOK General Partnership
**Data Engineer**
**Responsibilities**
* Design and Build Data Pipelines: Develop, implement, and maintain robust, scalable data pipelines and ETL processes to integrate data from diverse sources.
* Cloud Data Infrastructure: Collaborate with IT and business teams to set up and optimize advanced cloud\-based data infrastructure, supporting AI\-driven models and analytics.
* Data Transformation \&amp; Modeling: Create algorithms and data models to convert raw data into actionable insights, aligning with business objectives.
* Data Quality \&amp; Security: Ensure data integrity, quality, and security across all systems, implementing validation, backup, recovery, and disaster recovery plans.
* Pipeline Optimization: Continuously evaluate and enhance data systems and processes for improved efficiency, reliability, and performance (including query tuning and indexing).
* Migration \&amp; Modernization: Lead migration of on\-premises data systems to cloud solutions, focusing on Azure and modern data architectures (e.g., real\-time processing, data warehousing).
* Collaboration: Work closely with data scientists, analysts, and other stakeholders to meet organizational data needs and drive strategic data management projects
**Qualifications**
* Bachelor’s or Master’s degree in Computer Science, Data Engineering, or a related field.
* Proficiency in Python and SQL; experience with both relational and non\-relational databases (MS SQL, Azure SQL Database).
* Hands\-on experience with Databricks, Azure Data Factory, and modern data warehouse tools.
* Familiarity with real\-time data processing tools (e.g., Kafka, Flink) is a plus.
* Experience with CI/CD pipelines, automation for data deployments, and infrastructure as code (e.g., Terraform).
* Strong understanding of data security, backup, and recovery best practices.
* Knowledge of cloud infrastructure management, particularly on the Azure platform.
* Domain Knowledge: Experience in automotive and/or chemical data domains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row>
    <row r="83">
      <c r="A83" t="inlineStr">
        <is>
          <t>li-4358473439</t>
        </is>
      </c>
      <c r="B83" t="inlineStr">
        <is>
          <t>Remote Data Engineer</t>
        </is>
      </c>
      <c r="C83" t="inlineStr">
        <is>
          <t>Jobgether</t>
        </is>
      </c>
      <c r="D83" t="inlineStr">
        <is>
          <t>linkedin</t>
        </is>
      </c>
      <c r="E83" t="inlineStr"/>
      <c r="F83" t="inlineStr"/>
      <c r="G83" t="inlineStr">
        <is>
          <t>California, United States</t>
        </is>
      </c>
      <c r="H83" t="inlineStr"/>
      <c r="I83" t="inlineStr">
        <is>
          <t>This position is posted by Jobgether on behalf of a partner company. We are currently looking for a Data Engineer \- REMOTE. In this role, you will play a crucial part in designing and enhancing the data platform that guarantees quality and governance, enabling timely and reliable analysis across enterprise systems. You will collaborate closely with senior engineers, analysts, and stakeholders in a dynamic, team\-oriented environment, contributing to well\-structured data solutions while furthering your technical expertise and ownership over systems.
**Accountabilities**
* Build and maintain data pipelines that support ingest, logging, validation, transformation, and secure data access.
* Contribute to the development and improvement of scalable ETL/ELT processes under guidance from senior engineers.
* Implement and evolve data models and storage patterns that support analytics and operational use cases.
* Apply data quality checks, monitoring, and documentation to ensure data is accurate, reliable, and well understood.
* Collaborate with internal teams and clients to understand data requirements and support analytics use cases.
* Contribute to the ongoing development of the VOR Data Platform, including tooling, standards, and automation.
* Participate in research, prototypes, and proof\-of\-concept work to evaluate new data and analytics technologies, including emerging AI\-driven tools.
* Follow established engineering practices and contribute ideas to improve reliability, performance, and developer experience.
**Requirements**
* 4–7 years of combined experience and education in Computer Science, Information Systems, Software Engineering, Data Engineering, or a related field.
* Hands\-on experience building and maintaining ETL/ELT data pipelines and working with data warehouses, data lakes, or analytics platforms.
* Experience working with SQL and familiarity with performance tuning and optimization concepts.
* Exposure to data visualization or BI tools such as Tableau, Power BI, Superset, or similar.
* Strong Python development experience.
* Familiarity with modern data tooling and workflows; experience using AI\-assisted development tools is a plus.
* Strong written and verbal communication skills, with the ability to explain technical concepts to both technical and non\-technical audiences.
* Ability to work effectively in a collaborative, remote\-first environment.
**Benefits**
* 401k matching
* PPO and HDHP medical/dental/vision insurance
* Education reimbursement up to $10,000/yr
* Complimentary life insurance
* Generous rollover PTO and 11 days of holiday leave
* Onsite gym facility and trainer
* Commuter Benefits Plan
* In\-office Cold Brew Coffee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4">
      <c r="A84" t="inlineStr">
        <is>
          <t>li-4330616532</t>
        </is>
      </c>
      <c r="B84" t="inlineStr">
        <is>
          <t>Analytics Engineer</t>
        </is>
      </c>
      <c r="C84" t="inlineStr">
        <is>
          <t>Keystone Cooperative</t>
        </is>
      </c>
      <c r="D84" t="inlineStr">
        <is>
          <t>linkedin</t>
        </is>
      </c>
      <c r="E84" t="inlineStr"/>
      <c r="F84" t="inlineStr"/>
      <c r="G84" t="inlineStr">
        <is>
          <t>Indianapolis, IN</t>
        </is>
      </c>
      <c r="H84" t="inlineStr"/>
      <c r="I84" t="inlineStr">
        <is>
          <t>**Job Description**
**Job Summary:**
 An Analytics Engineer plays a pivotal role in transforming raw data into actionable insights that drive business decisions. This position is ideal for individuals who possess a robust blend of technical proficiency, analytical acumen, and strategic thinking. The Analytics Engineer collaborates with cross\-functional teams to ensure data integrity, optimize data workflows, and facilitate data\-driven decision\-making.
**Duties And Responsibilities**
* Design, develop, and maintain data pipelines using ETL (Extract, Transform, Load) processes to ensure data is efficiently and accurately integrated from disparate sources into the data warehouse.
* Architect and manage scalable data warehouse solutions to store large volumes of structured and unstructured data, ensuring data is readily accessible for analysis.
* Develop and implement data models that reflect business processes and requirements, enabling effective data analysis and reporting.
* Establish and enforce data quality standards, performing routine data validation and cleansing to maintain high data integrity.
* Optimize data processing and query performance to enhance the efficiency of data retrieval and analysis.
* Work closely with business stakeholders to understand data needs and translate them into technical requirements, ensuring alignment with business goals.
* Create comprehensive technical documentation for data pipelines, data models, and analytics solutions, promoting knowledge sharing and ensuring continuity.
* Keep abreast of emerging technologies and best practices in data engineering and analytics, recommending and implementing innovative solutions where applicable.
**Required Skills**
* Proficiency in SQL, Python, and data warehousing technologies. Snowflake and dbt experience a plus.
* Experience with ETL tools such as Fivetran, Airbyte, Azure Data Factory.
* Knowledge of working with development best practices such as Version Control (Github) and working in a CI/CD environment
* Excellent analytical and problem\-solving skills, with a keen ability to troubleshoot and resolve data\-related issues.
* Effective written and verbal communication skills, with an ability to articulate complex technical concepts to non\-technical stakeholders.
* Demonstrated ability to work collaboratively in a team environment, managing multiple projects and priorities simultaneously.
* Ability to adapt to changing business requirements and work in a fast\-paced, dynamic environment.
**Education \&amp; Qualifications**
* Educational Background: Bachelor’s or Master’s degree in Computer Science, Statistics, Information Systems, or related quantitative field.</t>
        </is>
      </c>
    </row>
    <row r="85">
      <c r="A85" t="inlineStr">
        <is>
          <t>li-4358581402</t>
        </is>
      </c>
      <c r="B85" t="inlineStr">
        <is>
          <t>Snowflake Data Engineer USA ONSITE</t>
        </is>
      </c>
      <c r="C85" t="inlineStr">
        <is>
          <t>Kovan Technology Solutions</t>
        </is>
      </c>
      <c r="D85" t="inlineStr">
        <is>
          <t>linkedin</t>
        </is>
      </c>
      <c r="E85" t="inlineStr"/>
      <c r="F85" t="inlineStr"/>
      <c r="G85" t="inlineStr">
        <is>
          <t>Indianapolis, IN</t>
        </is>
      </c>
      <c r="H85" t="inlineStr"/>
      <c r="I85" t="inlineStr">
        <is>
          <t>**Role: Snowflake Data Engineer Delivery Lead**
**Location: Indianapolis, IN (Onsite)
 Experience: 10\+ Years**
**Role Overview**
 We are seeking an experienced
 **Snowflake Data Engineer (Delivery Lead)** 
 to architect, deliver, and scale modern analytics solutions. This role combines deep hands\-on expertise in Snowflake and dbt with leadership responsibilities, including technical direction, best\-practice definition, and stakeholder collaboration. You will lead end\-to\-end ELT initiatives and mentor analytics engineers while ensuring performance, governance, and cost efficiency.
**Key Responsibilities**
* Architect end\-to\-end ELT pipelines using Snowflake \&amp; dbt
* Define data models (star/snowflake, dimensional, marts)
* Lead dbt project structure, deployments, and CI/CD workflows
* Build and optimize dbt models, tests, macros, and documentation
* Optimize Snowflake performance and cost
* Implement data quality, observability, governance, and security (RBAC, masking)
* Collaborate with stakeholders and mentor engineers
**Required Skills**
* Strong hands\-on Snowflake experience
* Expertise in dbt (Core/Cloud) and advanced SQL
* Experience with AWS, Azure, or GCP
* Knowledge of data governance, security, and cost optimization
* CI/CD, Git, and DevOps experience</t>
        </is>
      </c>
    </row>
    <row r="86">
      <c r="A86" t="inlineStr">
        <is>
          <t>li-4358472630</t>
        </is>
      </c>
      <c r="B86" t="inlineStr">
        <is>
          <t>Data Engineer</t>
        </is>
      </c>
      <c r="C86" t="inlineStr">
        <is>
          <t>TalentAlly</t>
        </is>
      </c>
      <c r="D86" t="inlineStr">
        <is>
          <t>linkedin</t>
        </is>
      </c>
      <c r="E86" t="inlineStr"/>
      <c r="F86" t="inlineStr"/>
      <c r="G86" t="inlineStr"/>
      <c r="H86" t="inlineStr"/>
      <c r="I86" t="inlineStr">
        <is>
          <t>Design and deliver scalable OLTP, Business Intelligence, and Data Warehouse solutions using Microsoft Fabric, SSIS, SQL Server, and related BI technologies. Develop and maintain enterprise reports, support requirements gathering, evaluate and recommend technical approaches, and implement solutions within established timelines.
 This position is hybrid.
 NYC Salary range: $105,000 \- $130,000 annually; compensation is commensurate to geographic location.
* Regardless of seniority or role, uphold UNFCU's mission, core values, and guiding principles by providing an exceptional service experience to colleagues and members alike through consistent demonstration of our service excellence behaviors.
* Develop and maintain ETL/ELT processes using SSIS, Fabric Pipelines, and/or Azure Data Factory, including advanced Script Tasks (C\# or VB.NET) to automate file operations and apply custom business logic.
* Develop and implement solutions in Microsoft PowerBI and Microsoft Fabric, including Lakehouse/Warehouse modeling, Dataflows Gen2, Pipelines, and Semantic Models; support the modernization of existing ETL and reporting assets into Fabric and Azure cloud\-based frameworks.
* Design, develop, and optimize complex T\-SQL stored procedures, functions, and database objects for high\-volume OLTP and Data Warehouse environments, with expertise in transaction isolation levels, table hints, deadlocks, linked servers, OPENQUERY, triggers, and column\-level encryption.
* Perform advanced database performance tuning, including execution plan analysis, indexing strategies, partitioning, and transaction optimization.
* Contribute to the design and enhancement of OLTP and OLAP data models, ensuring alignment with business, analytical, and performance requirements.
* Build and support integrations that consume or expose REST APIs, including testing, validation, and troubleshooting using Postman and related API tools.
* Create and govern dashboards and visual analytics in Power BI or Tableau, ensuring accuracy, compliance with governance standards, and proper alignment with semantic models.
* Verify and maintain data quality and integrity across the data warehouse, semantic models, dashboards, reports, and data extracts.
* Troubleshoot and resolve database, ETL, reporting, data quality, performance, capacity, replication, and distributed data issues; participate in incident resolution and root\-cause remediation.
* Maintain thorough documentation, adhere to change control processes, and support regulatory, cybersecurity, and data protection compliance.
* Collaborate with Product Managers, Analysts, Engineers, and cross\-functional teams to enhance BI and data platform capabilities.
* Stay current with industry trends and participate in relevant training, conferences, and professional development programs. Participate in Credit Union training and development programs.
* Perform additional responsibilities as assigned.
* Ensure compliance with federal and state laws and regulations and UNFCU's Code of Ethics \&amp; Business Conduct.
* Bachelor's degree in Engineering or Computer Science
* 6 years of experience in reports and data warehouse development
* 5 years software development experience on Microsoft BI Platform including, , MS SQL Server
* 4 years of experience in DB Development (OLTP) using MS SQL
* 2 years of experience in building Data Marts using dimensional models
* 2 years of experience in building Dashboards and KPI visualization on Power BI and/or Tableau
* Strong reporting and data warehouse development skills on issues that are complex and evaluative in nature where troubleshooting may call for referencing an advanced knowledge base
* Large data migration experience
* Hands on experience using Oracle
 PDN\-a0ae108d\-47d9\-408a\-aa5e\-854a50922e4b</t>
        </is>
      </c>
    </row>
    <row r="87">
      <c r="A87" t="inlineStr">
        <is>
          <t>li-4330705096</t>
        </is>
      </c>
      <c r="B87" t="inlineStr">
        <is>
          <t>Senior Data Engineer_</t>
        </is>
      </c>
      <c r="C87" t="inlineStr">
        <is>
          <t>Health Gorilla</t>
        </is>
      </c>
      <c r="D87" t="inlineStr">
        <is>
          <t>linkedin</t>
        </is>
      </c>
      <c r="E87" t="inlineStr"/>
      <c r="F87" t="inlineStr"/>
      <c r="G87" t="inlineStr"/>
      <c r="H87" t="inlineStr"/>
      <c r="I87" t="inlineStr">
        <is>
          <t>**Want to revolutionize healthcare?**
 To create a healthcare system with effective health information exchange, healthcare organizations need more than a series of connections between each other. They need assurance that the data being exchanged is meaningful and to know it will be delivered when and where they need it.
 Founded in 2014, Health Gorilla provides access to actionable patient data, supporting a diverse set of clinical use cases and improving outcomes across the country. We work with some of the leading companies in health IT, value\-based care, and digital health, including Virta Health, The Garage, Medhost, and many others. Health Gorilla is one of the five original organizations approved as a Qualified Health Information Network (QHIN) and the only QHIN to also be designated as a Qualified Health Information Organization (QHIO).
 Health Gorilla is looking for a savvy Senior Data Engineer to join our team. If you've ever wanted to get in on the ground floor, then this is the role for you. As a Data Engineer, this role will require you to be responsible for every step of the data flow, where you will architect, build and manage databases, data pipelines, and data warehouses. The ideal candidate will have a successful track record of creating and maintaining an analytics infrastructure and pipeline that enables almost every other data function at the company. You while also keeping an eye out for trends or inconsistencies that will impact business goals. This is a high\-impact role that combines deep technical expertise with strategic thinking — ideal for someone who can both design and deliver enterprise\-grade data infrastructure and mentor others along the way.
**What you will do at Health Gorilla:**
* Architect and maintain scalable, reliable data pipelines to support analytics and operational workloads.
* Assemble large, complex data sets that meet functional / non\-functional business requirements
* Partner with data scientists, analysts, and engineering teams to ensure data accessibility, consistency, and quality across the organization.
* Implement data governance, security, and compliance best practices aligned with healthcare and interoperability standards.
* Drive automation and observability in data workflows, ensuring resilience, transparency, and cost efficiency.
* Evaluate and introduce new technologies, frameworks, and tools to enhance data capabilities.
* Collaborate with leadership to shape the data strategy roadmap, ensuring scalability for the company’s growth.
**What you bring to the role:**
* Bachelor’s or Master’s in Computer Science, Engineering, Applied Mathematics, or a related technical field.
* 5\+ years of experience building and scaling data pipelines, warehouses, and analytics environments.
* Proven expertise with AWS data services — including EMR, Redshift, Glue, S3, Athena, and Lambda.
* Experience with Databricks and Spark, with demonstrated ability to migrate or integrate from these systems to AWS\-native solutions.
* Strong command of SQL, Python, and at least one compiled language (e.g., Java or Scala).
* Deep understanding of ETL/ELT frameworks, data modeling, and data lake architectures.
* Hands\-on experience implementing data quality frameworks, CI/CD for data pipelines, and infrastructure as code.
* Familiarity with HIPAA\-compliant data handling, FHIR, or other healthcare interoperability standards is a strong plus.
* Excellent communication and leadership skills, with a track record of collaborating across functions and influencing technical direction.
**What You Will Love About Us!**
* Health Gorilla takes a market\-based approach to pay, and the base salary range for this role is $162,400 to $181,000, based on experience. Please note that ranges may be modified at any time, and there is no guarantee offers will be at the top of a posted range.
* New hire stock option grant
* 401(k) plan with discretionary annual matching
* Medical, dental, and vision insurance
* Short\-, long\-term disability, life insurance, and mental health \&amp; wellness support
* Unlimited PTO plus 12 Holidays
* Paid parental leave (up to 12 weeks)
* Monthly stipend for phone and internet
* Stipend for home office equipment (we provide the laptop)
***Beware of job scams:***
* We will only contact you from our @healthgorilla.COM email address and communicate via phone or zoom
* We will never ask you for money or to purchase items such as a laptop to work with us
* If your resume has your home address listed, we recommend replacing with just a city, state
 Our goal is to be a diverse workforce that is representative, at all job levels as we know the more inclusive we are, the better our product will be.
 Health Gorilla is an equal opportunity employer. Applicants will not be discriminated against because of race, color, creed, sex, sexual orientation, gender identity or expression, age, religion, national origin, citizenship status, disability, ancestry, marital status, veteran status, medical condition, genetic information, or any protected category prohibited by local, state or federal laws.</t>
        </is>
      </c>
    </row>
    <row r="88">
      <c r="A88" t="inlineStr">
        <is>
          <t>li-4330734733</t>
        </is>
      </c>
      <c r="B88" t="inlineStr">
        <is>
          <t>Data Engineer</t>
        </is>
      </c>
      <c r="C88" t="inlineStr">
        <is>
          <t>RemoteHunter</t>
        </is>
      </c>
      <c r="D88" t="inlineStr">
        <is>
          <t>linkedin</t>
        </is>
      </c>
      <c r="E88" t="inlineStr"/>
      <c r="F88" t="inlineStr"/>
      <c r="G88" t="inlineStr"/>
      <c r="H88" t="inlineStr"/>
      <c r="I88"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9">
      <c r="A89" t="inlineStr">
        <is>
          <t>li-4330854322</t>
        </is>
      </c>
      <c r="B89" t="inlineStr">
        <is>
          <t>Power BI Analytics Engineer</t>
        </is>
      </c>
      <c r="C89" t="inlineStr">
        <is>
          <t>Morgan McKinley</t>
        </is>
      </c>
      <c r="D89" t="inlineStr">
        <is>
          <t>linkedin</t>
        </is>
      </c>
      <c r="E89" t="inlineStr"/>
      <c r="F89" t="inlineStr"/>
      <c r="G89" t="inlineStr"/>
      <c r="H89" t="inlineStr"/>
      <c r="I89" t="inlineStr">
        <is>
          <t>**Power BI / Analytics Engineer (Contract)** 
**Location:** 
 Remote (US\-based)
**Engagement:** 
 6 Months Initial Contract
**Start:** 
 ASAP
**VISA:** 
 US or GC Only
**Overview** 
 We’re looking for a
 **senior Power BI–focused Analytics Engineer** 
 to take ownership of end\-to\-end analytics delivery for a high\-impact enterprise data programme.
 This role goes beyond dashboard development. The successful contractor will be responsible for
 **designing, building, and operationalising analytics solutions** 
 that support senior stakeholders, with a strong emphasis on automation, scalability, and production readiness.
**Required Technical Skills** 
* **Advanced Power BI**
* DAX
* M\-Code
* Data modelling
* Power BI Service deployment
* Gateways \&amp; RLS
* **Strong SQL / T\-SQL**
* **PySpark / Databricks**
* Data transformation and preparation for analytics
* Experience working with structured data platforms and analytics pipelines
**Desired Profile** 
* Senior\-level contractor who can operate
 **independently and proactively**
* Strong problem solver who:
* Designs solutions
* Comfortable owning workstreams end to end
* Production mindset, focused on automation, reliability, and scale
* Confident engaging with technical and non\-technical stakeholders</t>
        </is>
      </c>
    </row>
    <row r="90">
      <c r="A90" t="inlineStr">
        <is>
          <t>li-4351656414</t>
        </is>
      </c>
      <c r="B90" t="inlineStr">
        <is>
          <t>Data Platform Engineer</t>
        </is>
      </c>
      <c r="C90" t="inlineStr">
        <is>
          <t>Monogram Health</t>
        </is>
      </c>
      <c r="D90" t="inlineStr">
        <is>
          <t>linkedin</t>
        </is>
      </c>
      <c r="E90" t="inlineStr"/>
      <c r="F90" t="inlineStr"/>
      <c r="G90" t="inlineStr">
        <is>
          <t>Brentwood, TN</t>
        </is>
      </c>
      <c r="H90" t="inlineStr"/>
      <c r="I90" t="inlineStr">
        <is>
          <t>**Position:
 *Data Platform Engineer***
 The Data Engineering team is seeking a highly skilled and experienced Data Platform Engineer with expertise in Data Engineering, Database Modeling, and modern Cloud Data Platforms. The Data Platform Engineer designs, builds, and maintains scalable and secure data infrastructure, tools, and pipelines to support data analytics, machine learning, and business intelligence initiatives. They will also work closely with other teams, such as data analysts, data scientists, and software developers, to provide them with the data they need to perform their job functions.
**Responsibilities**
* Design and implement robust, scalable, and efficient data models and pipelines across cloud\-based platforms.
* Develop, optimize, and maintain ETL/ELT pipelines using Azure Data Factory and Databricks.
* Build and orchestrate Databricks Notebooks and Jobs using PySpark, Spark SQL, or Scala Spark.
* Develop and manage data models, data warehousing solutions, and data integration architectures in Azure.
* Implement Azure Functions, Azure WebApps, and Application Insights to support microservices and monitor distributed systems.
* Configure and manage Databricks clusters, including autoscaling, Photon acceleration, and job orchestration.
* Collaborate with cross\-functional teams to support data\-driven decision\-making and analytics use cases.
* Ensure data quality, governance, and security across the data lifecycle.
* Collaborate with product managers by estimating technical tasks and deliverables.
* Uphold the mission and values of Monogram Health in all aspects of your role and activities.
**Position Requirements**
* A bachelor's degree in computer science, data science, software engineering or related field.
* Minimum of five (5\) years in designing and hands\-on development in cloud\-based analytics solutions, which includes a minimum of three (3\) years’ hands on work with big data frameworks and tools, such as Apache Kafka and Spark.
* Expert level knowledge of Python or other scripting languages required.
* Proficiency in SQL and other data query languages.
* Understanding of data modeling and schema design principles
* Ability to work with large datasets and perform data analysis
* Designing and building data integration pipelines using API’s and Streaming ingestion methods is desirable.
* Familiarity with DevOps practices, including automation, CI/CD, and infrastructure as code (IaC).
* Thorough understanding of Azure Cloud Infrastructure offerings.
* Demonstrated problem\-solving and troubleshooting skills.
* Team player with demonstrated written and communication skills.
**Benefits**
* Comprehensive Benefits \- Medical, dental, and vision insurance, employee assistance program, employer\-paid and voluntary life insurance, disability insurance, plus health and flexible spending accounts
* Financial \&amp; Retirement Support – Competitive compensation, 401k with employer match, and financial wellness resources
* Time Off \&amp; Leave – Paid holidays, flexible vacation time/PSSL, and paid parental leave
* Wellness \&amp; Growth – Work life assistance resources, physical wellness perks, mental health support, employee referral program, and BenefitHub for employee discounts
 Monogram Health is a leading multispecialty provider of in\-home, evidence\-based care for the most complex of patients who have multiple chronic conditions. Monogram health takes a comprehensive and personalized approach to a person’s health, treating not only a disease, but all of the chronic conditions that are present \- such as diabetes, hypertension, chronic kidney disease, heart failure, depression, COPD, and other metabolic disorders.
 Monogram Health employs a robust clinical team, leveraging specialists across multiple disciplines including nephrology, cardiology, endocrinology, pulmonology, behavioral health, and palliative care to diagnose and treat health issues; review and prescribe medication; provide guidance, education, and counselling on a patient’s healthcare options; as well as assist with daily needs such as access to food, eating healthy, transportation, financial assistance, and more. Monogram Health is available 24 hours a day, 7 days a week, and on holidays, to support and treat patients in their home.
 Monogram Health’s personalized and innovative treatment model is proven to dramatically improve patient outcomes and quality of life while reducing medical costs across the health care continuum.</t>
        </is>
      </c>
    </row>
    <row r="91">
      <c r="A91" t="inlineStr">
        <is>
          <t>li-4330683519</t>
        </is>
      </c>
      <c r="B91" t="inlineStr">
        <is>
          <t>Senior Data Engineer</t>
        </is>
      </c>
      <c r="C91" t="inlineStr">
        <is>
          <t>E.A. Buck Financial Services</t>
        </is>
      </c>
      <c r="D91" t="inlineStr">
        <is>
          <t>linkedin</t>
        </is>
      </c>
      <c r="E91" t="inlineStr"/>
      <c r="F91" t="inlineStr"/>
      <c r="G91" t="inlineStr">
        <is>
          <t>Denver, CO</t>
        </is>
      </c>
      <c r="H91" t="inlineStr"/>
      <c r="I91" t="inlineStr">
        <is>
          <t>E.A. Buck is a fast\-growing financial services company with dual headquarters in Denver and Honolulu. We’re seeking a
 **Senior Data Engineer** 
 to join our team in Denver. The Senior Data Engineer will assist in the development and implementation of our enterprise data and data warehouse. This includes building scalable data pipelines integrating primarily from Salesforce, Excel, and other disparate sources into a unified, cloud\-based analytics platform, while establishing robust data governance frameworks and security controls essential for financial services compliance. The ideal candidate will bring 3\+ years of data engineering experience with expertise in modern cloud data platforms (Snowflake, AWS, Azure), SQL, Python, and ETL/ELT tools, combined with a strong understanding of data governance, RBAC implementation, data masking, and regulatory requirements (SEC, FINRA, SOC 2\).
**No agencies please.** 
**Salary / Benefits Package** 
 :
* Base Salary range of $110,000 to $130,000 per year, based on experience.
* Competitive benefits package including 100% employer paid health, dental, and vision insurance.
* Eligibility to enroll in health savings account, flexible savings account, and more.
* Paid vacation (PTO) and paid holidays.
* Join our mission\-driven company and partake in 401(k) with generous matching.
**Duties and Responsibilities:**
**Data Engineering:** 
* Data Integration – Implement ETL (Extract, Transform, Load) or ELT (Extract, Load, Transform) processes to move and integrate data from disparate sources.
* Data Modeling – Develop and implement data models that ensure the data warehouse is properly structured and organized for analysis.
* Data Quality \&amp; Integrity – Ensure the accuracy, completeness, and reliability of data through validation, quality checks, and error handling.
* Performance Optimization
 **–** 
 Monitor and tune the performance of databases, data loads, and queries to ensure efficiency and scalability.
**Data Governance:** 
* Security Framework – Design and implement role\-based access controls and manage role object ownership to safeguard sensitive data.
* Data Protection – Apply column\-level and row\-level security, and manage metadata to ensure proper protection and governance of data assets.
* Network Security – Enforce IP access restrictions and integrate single sign\-on (SSO) for secure data access.
* Performance Optimization – Optimize data processing by managing batch loads, data partitioning, cluster keys, and monitoring resource usage to maintain system efficiency.
**Job Requirements:**
* 3\+ years of data engineering experience
* Expert\-level SQL skills including complex queries, performance optimization, and database design
* Hands\-on Salesforce integration experience with REST/SOAP APIs, Bulk API, and data extraction patterns
* Cloud data warehouse expertise (Snowflake preferred) including security, optimization, and cost management
* Advanced Python proficiency with data libraries (Pandas, SQLAlchemy, FastAPI) and workflow orchestration tools
* Production experience with modern data stack including DBT, Fivetran, Git, CI/CD pipelines
* CRM and sales operations experience with complex data modeling and business process automation
* Financial services industry experience preferred</t>
        </is>
      </c>
    </row>
    <row r="92">
      <c r="A92" t="inlineStr">
        <is>
          <t>li-4358359277</t>
        </is>
      </c>
      <c r="B92" t="inlineStr">
        <is>
          <t>Sr. Data Engineer with Strong Databricks Experience /Data Analyst (Hands-On Technical)- Hybrid- MN</t>
        </is>
      </c>
      <c r="C92" t="inlineStr">
        <is>
          <t>Caliber Smart</t>
        </is>
      </c>
      <c r="D92" t="inlineStr">
        <is>
          <t>linkedin</t>
        </is>
      </c>
      <c r="E92" t="inlineStr"/>
      <c r="F92" t="inlineStr"/>
      <c r="G92" t="inlineStr">
        <is>
          <t>Stillwater, MN</t>
        </is>
      </c>
      <c r="H92" t="inlineStr"/>
      <c r="I92" t="inlineStr">
        <is>
          <t>**Sr. Data Engineer with Strong Databricks Experience /Data Analyst (Hands\-On Technical)**
**6\-Month Contract/Right to Hire**
**Hybrid: Up to 2 days/week onsite in Stillwater, MN**
**Responsibilities**
 Job Summary
* Ability to trace data lineage and diagnose data quality issues at the source
* Strong problem\-solving skills and ability to work independently
**Qualifications**
* 5\+ years hands\-on experience with enterprise data warehouses and ETL/ELT pipelines
* Strong Databricks experience required
* Expert\-level SQL skills; Python scripting experience preferred
* Experience optimizing data feeds, scheduling, and pipeline timing
* Experience consolidating data sources and deprecating legacy feeds
* Retail or grocery industry experience required (understanding of POS data, item costing, merchant data)
* Cloud platform experience (Azure or GCP)</t>
        </is>
      </c>
    </row>
    <row r="93">
      <c r="A93" t="inlineStr">
        <is>
          <t>li-4326593864</t>
        </is>
      </c>
      <c r="B93" t="inlineStr">
        <is>
          <t>Sr. Data Engineer</t>
        </is>
      </c>
      <c r="C93" t="inlineStr">
        <is>
          <t>Ambarella Inc</t>
        </is>
      </c>
      <c r="D93" t="inlineStr">
        <is>
          <t>linkedin</t>
        </is>
      </c>
      <c r="E93" t="inlineStr"/>
      <c r="F93" t="inlineStr"/>
      <c r="G93" t="inlineStr">
        <is>
          <t>Santa Clara, CA</t>
        </is>
      </c>
      <c r="H93" t="inlineStr"/>
      <c r="I93" t="inlineStr">
        <is>
          <t>We are seeking a
 **Sr. Data Engineer** 
 to join our team and help maintain, improve, and scale our computing resources powered by Kubernetes (K8s). This role is ideal for someone who enjoys working with large\-scale infrastructure, thrives in dynamic environments, and learns new technologies quickly.
**Responsibilities:** 
 Maintain and improve our Kubernetes clusters to ensure high availability, scalability, and efficiency of computing resources. Monitor, troubleshoot, and optimize cluster performance, networking, and storage. Collaborate with engineers to support ML/AI workloads, distributed systems, and high\-performance computing applications. Automate repetitive tasks and develop tools to improve developer and operational workflows. Stay up to date with Kubernetes ecosystem advancements and propose improvements.
**Qualifications:** 
 Strong foundation in software engineering with experience in
 **Kubernetes** 
 and containerized environments (Docker, containerd, etc.). Solid programming skills in one or more languages (e.g., Python, Go, or similar). Familiarity with Linux systems, networking, and data storage. Ability to learn new technologies quickly and adapt to changing requirements. Strong problem\-solving and debugging skills.
**Nice to Have (Plus):** 
 Prior experience running or experimenting with Kubernetes clusters at scale. Knowledge of monitoring and observability tools (e.g., Prometheus, Grafana). Experience with infrastructure\-as\-code (e.g., Helm, Terraform, Ansible). Exposure to ML/AI workloads, GPU scheduling, or distributed training frameworks.
**Why Join Us:** 
 Work with cutting\-edge infrastructure and AI/ML workloads. Opportunity to grow with a team building scalable, high\-performance systems. Collaborative culture with emphasis on learning, experimentation, and innovation.
 The base range is $150,000\-$165,000\. Your base salary will be determined based on your location, experience, and the pay of employees in similar positions. The successful candidate will have the opportunity to convert to a full\-time regular position. We also offer new\-hire RSU grants and the opportunity for annual RSU grants, as well as other highly competitive benefits</t>
        </is>
      </c>
    </row>
    <row r="94">
      <c r="A94" t="inlineStr">
        <is>
          <t>li-4330704956</t>
        </is>
      </c>
      <c r="B94" t="inlineStr">
        <is>
          <t>Analytics Engineer</t>
        </is>
      </c>
      <c r="C94" t="inlineStr">
        <is>
          <t>RemoteHunter</t>
        </is>
      </c>
      <c r="D94" t="inlineStr">
        <is>
          <t>linkedin</t>
        </is>
      </c>
      <c r="E94" t="inlineStr"/>
      <c r="F94" t="inlineStr"/>
      <c r="G94" t="inlineStr"/>
      <c r="H94" t="inlineStr"/>
      <c r="I94"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5">
      <c r="A95" t="inlineStr">
        <is>
          <t>li-4358502679</t>
        </is>
      </c>
      <c r="B95" t="inlineStr">
        <is>
          <t>Senior Data Engineer - REMOTE</t>
        </is>
      </c>
      <c r="C95" t="inlineStr">
        <is>
          <t>Jobgether</t>
        </is>
      </c>
      <c r="D95" t="inlineStr">
        <is>
          <t>linkedin</t>
        </is>
      </c>
      <c r="E95" t="inlineStr"/>
      <c r="F95" t="inlineStr"/>
      <c r="G95" t="inlineStr">
        <is>
          <t>Kansas, United States</t>
        </is>
      </c>
      <c r="H95" t="inlineStr"/>
      <c r="I95" t="inlineStr">
        <is>
          <t>This position is posted by Jobgether on behalf of a partner company. We are currently looking for a Data Engineer \- REMOTE. In this role, you will play a crucial part in designing and enhancing the data platform that guarantees quality and governance, enabling timely and reliable analysis across enterprise systems. You will collaborate closely with senior engineers, analysts, and stakeholders in a dynamic, team\-oriented environment, contributing to well\-structured data solutions while furthering your technical expertise and ownership over systems.
**Accountabilities**
* Build and maintain data pipelines that support ingest, logging, validation, transformation, and secure data access.
* Contribute to the development and improvement of scalable ETL/ELT processes under guidance from senior engineers.
* Implement and evolve data models and storage patterns that support analytics and operational use cases.
* Apply data quality checks, monitoring, and documentation to ensure data is accurate, reliable, and well understood.
* Collaborate with internal teams and clients to understand data requirements and support analytics use cases.
* Contribute to the ongoing development of the VOR Data Platform, including tooling, standards, and automation.
* Participate in research, prototypes, and proof\-of\-concept work to evaluate new data and analytics technologies, including emerging AI\-driven tools.
* Follow established engineering practices and contribute ideas to improve reliability, performance, and developer experience.
**Requirements**
* 4–7 years of combined experience and education in Computer Science, Information Systems, Software Engineering, Data Engineering, or a related field.
* Hands\-on experience building and maintaining ETL/ELT data pipelines and working with data warehouses, data lakes, or analytics platforms.
* Experience working with SQL and familiarity with performance tuning and optimization concepts.
* Exposure to data visualization or BI tools such as Tableau, Power BI, Superset, or similar.
* Strong Python development experience.
* Familiarity with modern data tooling and workflows; experience using AI\-assisted development tools is a plus.
* Strong written and verbal communication skills, with the ability to explain technical concepts to both technical and non\-technical audiences.
* Ability to work effectively in a collaborative, remote\-first environment.
**Benefits**
* 401k matching
* PPO and HDHP medical/dental/vision insurance
* Education reimbursement up to $10,000/yr
* Complimentary life insurance
* Generous rollover PTO and 11 days of holiday leave
* Onsite gym facility and trainer
* Commuter Benefits Plan
* In\-office Cold Brew Coffee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6">
      <c r="A96" t="inlineStr">
        <is>
          <t>li-4341544208</t>
        </is>
      </c>
      <c r="B96" t="inlineStr">
        <is>
          <t>Jr Data Engineer</t>
        </is>
      </c>
      <c r="C96" t="inlineStr">
        <is>
          <t>Accenture Federal Services</t>
        </is>
      </c>
      <c r="D96" t="inlineStr">
        <is>
          <t>linkedin</t>
        </is>
      </c>
      <c r="E96" t="inlineStr"/>
      <c r="F96" t="inlineStr"/>
      <c r="G96" t="inlineStr">
        <is>
          <t>Chantilly, VA</t>
        </is>
      </c>
      <c r="H96" t="inlineStr"/>
      <c r="I96"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**You Are:**
 A team player with an entrepreneurial mind. You have a strong record of leadership in an academic, professional, and/or extracurricular settings. You step up and volunteer to take on challenges to solve technical and strategic problems. Unafraid to experiment and drawn to problem solving. You are willing to share your ideas and work collaboratively in a team environment. You look closely at the way things work and often see a better approach to how it could be done You have excellent analytical and quantitative problem\-solving skills and thrive in the unknown and naturally a problem\-solver. You can see all around that the world is changing. You are ready to stretch boundaries –– and yourself.
**The Work:**
* Learn first\-hand how we help the federal government develop and implement their tech strategy, as well as how we manage our business to help maximize business outcomes for both our clients and Accenture
* Work with a diverse group of people across many different technologies
* Connect with your teammates to design and develop new technology product features
* Bridge the gap between technology and business by using your analytical expertise
* Develop front end solutions to design, develop, test and implement software
* Identifying and implementing process improvements to help deliver value
* Manage deadlines diligently, working with your team to achieve project milestones
* Support project management by reporting issues, risks, and status, and by assisting with financial activities as needed
**Here’s what you need:**
* Bachelor’s degree or Master’s degree
**Bonus Points if you are one or more:**
* Experience in application design using prototyping tools such as Adobe XD, Axure, Balsamiq, Sketch, etc
* Good working knowledge of Microsoft Suite (including Outlook, PowerPoint, Access, SharePoint, Project, Word)
* Experience with software configuration (Microsoft PowerApps, SharePoint, etc.) or eCommerce platform configuration (Shopify, Squarespace, Wix, etc.)
* Exposure to systems with Appian, Salesforce, SAP, ServiceNow, Oracle, Pega, or PeopleSoft components
* Exposure to Agile methods and tools, such as Jira
* Are known for being analytical, looking at things from all angles
* Are resourceful and intellectually curious
* Able to communicate complex ideas effectively – both verbally and in writing
**Security Clearance:**
* Active TS/SCI with polygraph clearance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$75,500—$131,200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97">
      <c r="A97" t="inlineStr">
        <is>
          <t>li-4330754812</t>
        </is>
      </c>
      <c r="B97" t="inlineStr">
        <is>
          <t>Data Engineer</t>
        </is>
      </c>
      <c r="C97" t="inlineStr">
        <is>
          <t>Base-2 Solutions</t>
        </is>
      </c>
      <c r="D97" t="inlineStr">
        <is>
          <t>linkedin</t>
        </is>
      </c>
      <c r="E97" t="inlineStr"/>
      <c r="F97" t="inlineStr"/>
      <c r="G97" t="inlineStr">
        <is>
          <t>Tysons Corner, VA</t>
        </is>
      </c>
      <c r="H97" t="inlineStr"/>
      <c r="I97" t="inlineStr">
        <is>
          <t>**Required Security Clearance**
**Top Secret/SCI with CI Polygraph**
**City**
**Tysons Corner**
**State/Territory**
**Virginia**
**Travel**
**None**
**Potential For Teleworking**
**No**
**Schedule**
**Full Time**
**DoD 8570 IAT Requirement**
**None**
**DoD 8570 IAM Requirement**
**None**
**DoD 8570 IASAE Requirement**
**None**
**DoD CSSP Requirement**
**None**
**Last Updated**
**1/7/26 2:36 PM**
**Requisition ID**
**165186**
 US Citizenship Required?:
**Yes**
**Pay Range**
 Work Type:
**On\-Site**
**Referral Eligibility**
**Eligible**
**Job Description**
 Base\-2 Solutions is seeking a Data Engineer who will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**Capabilities**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**Qualifications**
* 4\+ years of proven experience in data engineering, with expertise in designing, developing, and maintaining data ingestion, transformation, and loading pipelines and components.
**Required Skills/Experience**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NiFi, Hadoop, HDFS, and Kafka. Experience implementing data pipelines in the Cloudera Data Platform environment in highly preferred.
* Strong communication skills, with the ability to clearly convey complex technical concepts.
**Pay \&amp; Benefit Highlights**
**Compensation**
* Above market fixed salary or hourly pay.
* Up to $10,000 bonus for each referral.
* Additional bonuses for exceptional performance, assisting with business development and company growth.
**Health**
* 100% paid premiums for health insurance. Choose from over 5 gold\-level medical plans from CareFirst, Kaiser and UnitedHealthcare. Choose from PPO, POS. HMO, and HSA\-compatible.
* HSA and FSA options.
* 100% paid premiums for dental insurance.
* 100% paid premiums for vision insurance.
**Income Protection**
* 100% paid premiums for short\-term disability.
* 100% paid premiums for long\-term disability.
* 100% paid premiums for accidental death \&amp; dismemberment.
* 100% paid premiums for life insurance with a $200,000 max benefit.
**Retirement**
* 8% company contribution to 401k with immediate vesting.
* 401k pre\-tax and Roth options.
**Leave**
* Up to 20 days of flexible paid time off (PTO).
* 11 days of paid floating holidays.
**Work\-Life Balance**
* Flexible work schedules including flex time and compressed work period.
* Remote work including partial or fully remote (contract and project\-dependent).
 View our detailed Pay \&amp;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is>
      </c>
    </row>
    <row r="98">
      <c r="A98" t="inlineStr">
        <is>
          <t>li-4358541716</t>
        </is>
      </c>
      <c r="B98" t="inlineStr">
        <is>
          <t>Data Engineer Principal</t>
        </is>
      </c>
      <c r="C98" t="inlineStr">
        <is>
          <t>HealthPartners</t>
        </is>
      </c>
      <c r="D98" t="inlineStr">
        <is>
          <t>linkedin</t>
        </is>
      </c>
      <c r="E98" t="inlineStr"/>
      <c r="F98" t="inlineStr"/>
      <c r="G98" t="inlineStr">
        <is>
          <t>Bloomington, MN</t>
        </is>
      </c>
      <c r="H98" t="inlineStr"/>
      <c r="I98" t="inlineStr">
        <is>
          <t>**Job Description**
 HealthPartners is hiring a Data Engineer, Principal. Our mission is to provide simple and affordable healthcare. HealthPartners teams use data to improve patient and member experience, improve health, and reduce the per capita cost of health care. HealthPartners data engineers are responsible for building, managing and optimizing data pipelines that facilitate data movement in service of these goals by implementing and testing methods (or build systems) that improve data reliability and quality. Data engineers work in collaborative scrum teams with other developers, analysts and data scientists and may share work efforts in order to achieve sprint goals. They champion and embrace leading practices in the field, and develop processes to effectively store, manage and deliver data. As part of their role, data engineers are responsible for reducing manual data work and improving productivity; they employ and test innovative tools, techniques and architectures to detect patterns and automate common or repetitive data preparation and integration tasks.
**Accountabilities**
* All team members must champion and model our values of partnership, curiosity, compassion, integrity, and excellence, and must contribute to a culture of continuous learning.
* Work with stakeholders, data scientists and analysts to frame problems, clean and integrate data, and determine the best way to provision that data on demand
* Collaborate with other engineers to design technology solutions that achieve measurable results at scale
* Collaborate with data scientists to train, develop and operationalize learning models
* Provide technical thought leadership for efficient data pipeline processes, warehouse architecture and business intelligence functions.
* Identify, design and implement software architecture to manage software development tasks associated with developing, debugging, or designing software applications, operating systems, and databases according to provided design specifications.
* Build enhancements within an existing software architecture and envision future improvements to the architecture.
* Assist in the development of short, medium, and long\-term plans to achieve strategic objectives.
* Guide, mentor, influence, and adopt a cloud\-first modern data architectural direction, and consistently adopt the associated standards and best practices
* Monitor and analyze information and data systems and evaluate their performance to discover ways of enhancing them (such as new technologies and upgrades).
* Collaborate with cross\-function engineering teams to design interfaces that support data integration with internal and external platforms
* Data engineers perform other duties as required, to meet team sprint goals
**Required Skills/ Qualifications**
* Bachelor’s degree in computer science, data or social science, operations research, statistics, applied mathematics, econometrics, or a related quantitative field AND 4 or more years of experience in business analytics, data science, software development, data modeling and/or data engineering work OR Master's Degree in Computer Science, Math, Software is acceptable
* 10 or more years of programming experience with command in at least two or more of the following programming languages: SQL, Python, Java, R or Spark
* Expert proficiency in SQL; experience with Oracle, PostgreSQL, MySQL, or Microsoft SQL Server
* 10 or more years of experience using a combination of tools such as Azure Data Factory, Synapse, Data Explorer, App Insights, Power BI, and Databricks
* 3 or more years of experience using Azure CosmosDB and Azure Data Lake Storage
* Must be motivated, self\-driven, curious, and creative
* Proven ability to lead projects and teams with minimal guidance
* Must be skilled communicator, and demonstrate an ability to work with end users and business leaders
* Demonstrate the ability to support and complement the work of a diverse development and/or operations team
* Lead a collaborative, cross\-functional team, Active participation in sprint reviews
* Expert and a minimum of five year’s experience in the following domains: Data management, software engineering, I\&amp;O (infrastructure and operations)
**Preferred Qualifications**
* Knowledge of health care operations
* Exposure to agile/scrum
* Ability to work in a hybrid cloud environment consisting of on premise and public cloud infrastructure. An ideal candidate will have experience with one or more of the following skill sets
+ Expert in Relational databases like Oracle, SQL server
+ Expert in Optimizing and tuning SQL/Oracle queries, stored procedures and triggers
+ Expert in Python (numpy, pandas, matplotlib etc) and Jupyter notebooks for exploratory data analysis, machine learning, and process automation
+ Expert in areas of CI/CD, Continuous testing, and site reliability engineering.
+ Expert in Microsoft Azure applications such as Azure Data Factory, Synapse, Purview, Databricks /Spark, Power BI, PowerApps.
+ Expert in event streaming tools like NiFi, Kafka and Flink
+ Expert in data processing tools, like Apache’s Sqoop, Spark and Hive
+ Expert in Document or NoSQL datastores, particularly MongoDB
+ Expert in Power BI data models using advanced Power Query and DAX
+ Expert in in AI/ML Ops
* Interest and desire to contribute to emerging practices around DataOps (CI/CD, IaC, configuration management, etc.)
* Collaborate effectively with product management, program management, engineers, and stakeholders.
* Excellent analytical and critical thinking skills
* Ability to influence without authority and thrive in an ambiguous environment.</t>
        </is>
      </c>
    </row>
    <row r="99">
      <c r="A99" t="inlineStr">
        <is>
          <t>li-4358358342</t>
        </is>
      </c>
      <c r="B99" t="inlineStr">
        <is>
          <t>Data Engineer III</t>
        </is>
      </c>
      <c r="C99" t="inlineStr">
        <is>
          <t>TalentAlly</t>
        </is>
      </c>
      <c r="D99" t="inlineStr">
        <is>
          <t>linkedin</t>
        </is>
      </c>
      <c r="E99" t="inlineStr"/>
      <c r="F99" t="inlineStr"/>
      <c r="G99" t="inlineStr">
        <is>
          <t>Johnston, RI</t>
        </is>
      </c>
      <c r="H99" t="inlineStr"/>
      <c r="I99"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Are you passionate about building robust data ecosystems that power advanced analytics and business insights? Join our dynamic team as a
 **Data Engineer III** 
 , where you'll design and implement cutting\-edge data pipelines, integrate diverse data sources, and ensure the highest standards of data quality, security, and compliance. This is your opportunity to work on impactful projects that shape the future of data\-driven decision\-making.
**What You'll Do** 
* **Architect \&amp; Innovate:** 
 Design and maintain scalable data pipelines and infrastructure for ingestion, integration, and storage of structured and unstructured data.
* **Enable Analytics:** 
 Deliver clean, reliable datasets for Business Intelligence, Advanced Analytics, and Data Science teams.
* **Optimize Performance:** 
 Implement modern practices using
 **Microsoft Fabric** 
 ,
 **SQL Server** 
 ,
 **SSIS** 
 ,
 **Power BI Premium** 
 , and big data frameworks like
 **Spark** 
 .
* **Ensure Quality:** 
 Validate solutions through rigorous testing and maintain data integrity across all systems.
* **Collaborate \&amp; Lead:** 
 Partner with Product Owners, Architects, Analysts, and Data Scientists on medium\-to\-large projects, and lead small\-to\-medium initiatives independently.
* **Drive Continuous Improvement:** 
 Automate processes, optimize data delivery, and redesign infrastructure for scalability.
**What We're Looking For** 
* Prefer 4 year/bachelor's degree or master's degree in computer science, Information Technology, Computer Engineering, or equivalent experience
* 5\+ years relatable work experience
* Ability to design and optimize SQL queries across cloud data warehouses, with strong proficiency in TSQL.
* Skilled in data orchestration and ETL tools such as Azure Data Factory or SSIS, and eager to adopt Fabric Data Factory (Pipelines \&amp; Dataflows Gen2\).
* Background in CI/CD and version control for data solutions (e.g., Git, deployment pipelines), with interest in DevOps practices for analytics platforms.
* Familiarity with modern data lake architectures, including Delta Lake and medallion design patterns.
* Knowledge of columnar storage formats and lakehouse technologies such as Delta Lake and Parquet for scalable data processing.
* Hands\-on work with big data frameworks like Apache Spark (PySpark or Scala) for batch workloads is helpful.
* Understanding BI and semantic modeling concepts, including star schema design and performance tuning is helpful.
 Compensation, Grade, and Job Title will be determined based on qualifications, experience, and technical skillset.
 Well qualified candidates may be considered for a data engineer IV.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
**\#LI\-TA1** 
 PDN\-a0bace42\-a9c9\-4dfb\-b90b\-cf7769c6aca8</t>
        </is>
      </c>
    </row>
    <row r="100">
      <c r="A100" t="inlineStr">
        <is>
          <t>li-4351706449</t>
        </is>
      </c>
      <c r="B100" t="inlineStr">
        <is>
          <t>Analytics Engineer - Finance and Operations</t>
        </is>
      </c>
      <c r="C100" t="inlineStr">
        <is>
          <t>DC BLOX</t>
        </is>
      </c>
      <c r="D100" t="inlineStr">
        <is>
          <t>linkedin</t>
        </is>
      </c>
      <c r="E100" t="inlineStr"/>
      <c r="F100" t="inlineStr"/>
      <c r="G100" t="inlineStr">
        <is>
          <t>Atlanta, GA</t>
        </is>
      </c>
      <c r="H100" t="inlineStr"/>
      <c r="I100" t="inlineStr">
        <is>
          <t>**About DC BLOX**
 At DC BLOX, we’re shaping the future of digital infrastructure. Our mission is to empower businesses with robust, secure, and reliable solutions that enable them to thrive in an increasingly connected world.
 Founded on the principles of innovation, integrity, and customer\-centricity, DC BLOX provides cutting\-edge colocation, cloud services, and network solutions tailored to our clients' unique needs.
 Our team is made up of passionate professionals dedicated to excellence. We foster a collaborative and inclusive workplace culture where every voice is valued and innovation is encouraged. Whether you’re an experienced industry veteran or just starting your career, DC BLOX offers a range of opportunities for growth and development.
 DC Blox operates on a hybrid schedule. We work in the office Tuesday \- Thursday and remote on Mondays and Fridays.
**Description Summary**
 The Analytics Engineer, Finance and Operations owns the semantic layer and certified datasets that Finance, Project Controls, and Data Center Operations rely on. You will work directly with business units, the PMO, and Finance to model schemas, define governed metrics, and deliver Power BI dashboards that reconcile to financial and operational systems. You will elicit requirements, translate business logic into trusted models, and manage data contracts and curation across sources so leaders have one version of the truth. This role is hands on and outcome focused, enabling faster close cycles, clearer project visibility, and reliable operational reporting in a mission critical digital infrastructure and construction environment.
**Essential Duties**
* Model subject areas for projects, costs, revenue, procurement, labor, and capacity as clean dimensional schemas that support reusable, governed metrics across Finance and Operations.
* Build, publish, and maintain certified Power BI datasets and reports, including DAX measures, data refresh schedules, performance tuning, and security aligned to access policies.
* Define and maintain a metrics catalog and data dictionary that provide one version of the truth for margin, forecast accuracy, change orders, and close cycle KPIs.
* Validate numbers with automated tests, reconciliation to source systems and the general ledger, and documented acceptance criteria with Finance and Project Controls.
* Collaborate with business units, the PMO, and Finance, partnering with the Senior Engineers or Platform teams to turn curated tables into reliable semantic models, and design for graceful adaptation to upstream schema changes.
* Enable secure self\-service by coaching super users, publishing certified datasets, and maintaining clear usage guidelines and change notes.
* Embed security and compliance practices by design, including access reviews, SoD alignment, and evidence that supports audits and reporting.
* Document data models, lineage, and runbooks, and contribute to a shared backlog and release plan in partnership with Project Management and Business Partners.
**Education/Training/Experience**
* 2\+ years in analytics engineering, BI development, or closely related data roles with measurable impact for Finance and Operations stakeholders.
* Strong SQL and dimensional modeling skills, with proven experience building Power BI datasets and DAX measures that scale to enterprise usage.
* Experience validating financial and project data, including reconciliations to the general ledger and operational sources such as construction or field systems.
* Familiarity working within an engineered delivery process that includes backlogs, change control, testing, and production cutovers.
* Communication and documentation skills that drive adoption, including producing data dictionaries, release notes, and user enablement guides.
* Experience with dbt or similar modeling tools, version control, and scripting for data quality tests.</t>
        </is>
      </c>
    </row>
    <row r="101">
      <c r="A101" t="inlineStr">
        <is>
          <t>li-4358433485</t>
        </is>
      </c>
      <c r="B101" t="inlineStr">
        <is>
          <t>Data Engineer Skill Level 3</t>
        </is>
      </c>
      <c r="C101" t="inlineStr">
        <is>
          <t>Onyx Point, LLC.</t>
        </is>
      </c>
      <c r="D101" t="inlineStr">
        <is>
          <t>linkedin</t>
        </is>
      </c>
      <c r="E101" t="inlineStr"/>
      <c r="F101" t="inlineStr"/>
      <c r="G101" t="inlineStr">
        <is>
          <t>Tysons Corner, VA</t>
        </is>
      </c>
      <c r="H101" t="inlineStr"/>
      <c r="I101" t="inlineStr">
        <is>
          <t>**TO BE CONSIDERED FOR THIS POSITION YOU MUST CURRENTLY HAVE AN ACTIVE TS/SCI WITH POLYGRAPH SECURITY CLEARANCE WITH THE FEDERAL GOVERNMENT. (U.S. CITIZENSHIP REQUIRED).**
**What You’ll Do**
* Work with AI team members to operationalize data pipelines and ML tasks.
* Provide day\-to\-day support of deploying Python\-native ML pipelines and perform data engineering tasks to enable AI/ML capabilities.
* Present results to a diverse audience in presentation or report form.
* Support architectural leadership, technical support, and advisement services to ensure identity management system technologies are integrated and meeting the appropriate security requirements.
* Support leadership who engage with senior level executives at a public facing Federal agency and provide subject matter expertise in security architecture and other key domain areas.
**What You’ll Need To Succeed**
* Minimum 7 years experience
* Bachelor's Degree in Computer Science, Information Technology Management or Engineering, or other comparable degree or experience
* Active TS/SCI with the ability to maintain a CI polygraph clearance required
* Experience in Data/ML engineering
* Strong Experience with ETL, data labeling, and data preparation
* Experience with one or more of the following technologies: Cloudera, DataBricks, Snowflake, NiFi, Python, SQL, Kafka
* Strong experience designing, developing, and deploying data solutions in classified AWS cloud environments up to IL6\+
* Strong experience designing, implementing, and maintaining data architecture and services to be used for AI/ML. Additionally, operationalizing and maintaining AI/ML models in production.
* Strong communication skills, ability to communicate technical concepts in both layman and technical terms to technical and non\-technical stakeholders
**Compensation:**
 We are committed to providing fair and competitive compensation. The salary range for our positions vary depending on accepted contractual position skill level. These salaries fall within the range of $78,000 to $275,000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**Additional Perks:**
* Flexible work arrangements, including remote work options
* Flexible Spending Accounts (FSAs)
* Employee referral programs
* Bonus opportunities
* Technology allowance
* A diverse, inclusive, and supportive workplace culture</t>
        </is>
      </c>
    </row>
    <row r="102">
      <c r="A102" t="inlineStr">
        <is>
          <t>li-4351666722</t>
        </is>
      </c>
      <c r="B102" t="inlineStr">
        <is>
          <t>US_East | Data Engineer_L2</t>
        </is>
      </c>
      <c r="C102" t="inlineStr">
        <is>
          <t>Expedite Talent Solutions</t>
        </is>
      </c>
      <c r="D102" t="inlineStr">
        <is>
          <t>linkedin</t>
        </is>
      </c>
      <c r="E102" t="inlineStr"/>
      <c r="F102" t="inlineStr"/>
      <c r="G102" t="inlineStr">
        <is>
          <t>Bloomfield, NJ</t>
        </is>
      </c>
      <c r="H102" t="inlineStr"/>
      <c r="I102" t="inlineStr">
        <is>
          <t>* Possible 3 Month CTH \| No Fees \| Do Not Re\-Post\| Confidential
 TMR ID: EWTFR7
 Role: AI/Llama Engineer
 Work location: Bay Area
 Background and Meet and Greet: MANDATORY
 Job Description:
 Experience Level: Mid–Senior (7\+ years total experience, 3–4 years in AI/ML engineering)
 We are looking for a highly skilled Llama Engineer to design, optimize, and productionize AI/LLM solutions leveraging the Llama ecosystem. The engineer will work closely with CIO Org teams to build scalable, secure, and high\-performance GenAI capabilities that directly support Meta’s next\-generation AI roadmap.
 Key Responsibilities
* Develop, fine\-tune, and optimize Llama\-based models for internal and product\-facing use\-cases.
* Build RAG pipelines, embeddings, retrieval layers (FAISS/HNSW), and inference services.
* Implement tokenization, quantization, pruning, and model distillation to improve performance and reduce latency.
* Create scalable microservices for LLM inference, evaluation, and monitoring.
* Collaborate with cross\-functional teams on safety, privacy, governance, and data quality.
* Troubleshoot model behavior, improve prompt reliability, and drive continuous LLM performance improvements.
* Contribute to Meta’s Llama CoE, tooling, and best practices documentation.
**Required Skills**
* 4–8 years of experience in Machine Learning / NLP / LLM Engineering.
* Hands\-on expertise with Llama, PyTorch, Transformers, and distributed training.
* Strong knowledge of vector databases, embedding models, and RAG patterns.
* Experience deploying LLM systems using Python, REST/gRPC, Docker, Kubernetes.
* Familiarity with Meta internal stack (e.g., Axon, FBLearner, FAISS, internal Llama frameworks) is a strong plus.
* Excellent problem\-solving, debugging, and performance\-tuning skills.
 Key Responsibilities:
* 
* Develop, fine\-tune, and optimize Llama\-based models for internal and product\-facing use\-cases.
* Build RAG pipelines, embeddings, retrieval layers (FAISS/HNSW), and inference services.
* Implement tokenization, quantization, pruning, and model distillation to improve performance and reduce latency.
* Create scalable microservices for LLM inference, evaluation, and monitoring.
* Collaborate with cross\-functional teams on safety, privacy, governance, and data quality.
* Troubleshoot model behavior, improve prompt reliability, and drive continuous LLM performance improvements.
* Contribute to Meta’s Llama CoE, tooling, and best practices documentation.
 What are the Mandatory skills and skill proficiencies required for this position?
* 
* 4–8 years of experience in Machine Learning / NLP / LLM Engineering.
* Hands\-on expertise with Llama, PyTorch, Transformers, and distributed training.
* Strong knowledge of vector databases, embedding models, and RAG patterns.
* Experience deploying LLM systems using Python, REST/gRPC, Docker, Kubernetes.
* Familiarity with Meta internal stack (e.g., Axon, FBLearner, FAISS, internal Llama frameworks) is a strong plus.
* Excellent problem\-solving, debugging, and performance\-tuning skills.
 The following details must accompany your submission:
 First Name, Middle name, and Last Name:
 City and State:
 Open to Relocate?
 Rate:
 Availability:
 Phone \#:
 Mobile \#:
 Email address:
 Visa type:
 Visa Expiration Date:
 Hiring Status:
 Soemia Pineda \- ERM
* North America
 Tel.: \+\*\*\*?</t>
        </is>
      </c>
    </row>
    <row r="103">
      <c r="A103" t="inlineStr">
        <is>
          <t>li-4330004695</t>
        </is>
      </c>
      <c r="B103" t="inlineStr">
        <is>
          <t>Data Engineer, Jr</t>
        </is>
      </c>
      <c r="C103" t="inlineStr">
        <is>
          <t>Jobs via Dice</t>
        </is>
      </c>
      <c r="D103" t="inlineStr">
        <is>
          <t>linkedin</t>
        </is>
      </c>
      <c r="E103" t="inlineStr"/>
      <c r="F103" t="inlineStr"/>
      <c r="G103" t="inlineStr">
        <is>
          <t>Huntsville, AL</t>
        </is>
      </c>
      <c r="H103" t="inlineStr"/>
      <c r="I103" t="inlineStr">
        <is>
          <t>RESPONSIBILITIES:
 Kforce has a client that is seeking a Data Engineer, Jr in Huntsville, AL.
 Duties:
* Responsible for carrying out engineering tasks to deliver an advanced visual analytic application to include: Developing data analytics for desktop and web\-developed visual analytic software; Facilitating the bulk analysis of relational information utilizing advanced graphics, visualization, and high\-performance computing, as well as using the specified open source, COTS, and GOTS technologies; And establishing an application that produces manageable, actionable intelligence from streams of a structured and semi\-structured data
* Design strategies for enterprise database systems and set standards for operations, programming, and security
* Design and construct large relational databases
* Integrate new systems with existing warehouse structure and refine system performance and functionality
 REQUIREMENTS:
* Bachelor's degree in a related field or in lieu of degree 4 additional years of experience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04">
      <c r="A104" t="inlineStr">
        <is>
          <t>li-4351944453</t>
        </is>
      </c>
      <c r="B104" t="inlineStr">
        <is>
          <t>Software Developer (Data Engineer)</t>
        </is>
      </c>
      <c r="C104" t="inlineStr">
        <is>
          <t>Washington Metropolitan Area Transit Authority (WMATA)</t>
        </is>
      </c>
      <c r="D104" t="inlineStr">
        <is>
          <t>linkedin</t>
        </is>
      </c>
      <c r="E104" t="inlineStr"/>
      <c r="F104" t="inlineStr"/>
      <c r="G104" t="inlineStr">
        <is>
          <t>Washington, DC</t>
        </is>
      </c>
      <c r="H104" t="inlineStr"/>
      <c r="I104" t="inlineStr">
        <is>
          <t>**Job Description**
**Department Marketing Statement:**
**Join WMATA¿s Enterprise Applications Team and Drive Innovation!**
 WMATA is looking for an
 **experienced Data Engineer** 
 to help drive our next wave of digital transformation. In this role, you¿ll harness the power of
 **Oracle Cloud Infrastructure (OCI)** 
 and
 **Microsoft Azure** 
 , working with advanced technologies like
 **Lakehouse architecture,** 
**Data Integration's** 
 and
 **Autonomous Data Warehouse** 
 .
 Your mission: build scalable, high\-performance data pipelines that enable enterprise analytics and unlock actionable insights across the organization.
**Minimum Qualifications**
****Minimum** 
**Education****
* Graduationfromanaccreditedcollege oruniversitywithaBachelor'sDegreeinMathematics, Computer Science, Engineering or related field.
* Inlieuofdegree,ahighschool diplomaorGEDandadditionalfour(4\)years ofexperiencein progressively responsible and diversified information systems, communication systems management and technical experience in a large organization.
**Minimum Experience**
* Five(5\)yearsofexperienceinprogressivelyresponsibleanddiversifiedinformationsystems, communication systems management and technical experience in a large organization.
****Minimum** 
**Certification/Licensure****
* N/A
**Preferred Qualifications**
* Experience in design, development and maintenance of operational applications preferably includingresponsibilitiesasseniortechnicalstaffandprojectmanagerandasseniortechnical staff and project manager is preferred.
**Medical Group**
 Satisfactorily complete the medical examination for this position, if required. The incumbent must be able to perform the essential functions of this position either with or without reasonable accommodations.
**Summary**
 The Software Developer is responsible for resolving the most complex application system problems within Digital Modernization. The incumbent plans, leads, coordinates, and participates in the design, development, quality assurance, installation, testing, and maintenance of assigned software/hardware systems to achieve project objectives and minimize the real\-time operational impact of changes on current and developing application systems. The Developer ensures that established system functionality, reliability, performance and availability are maintained throughout the system development cycle, from initial inception through implementation and routine monitoring. The incumbent serves as functionalareataskleaderandmayserveasprojectleaderoncomplexsystemsortechnicaltaskforces by planning, assigning, scheduling. They may monitor contractor performance for effectiveness in meeting objectives and solving problems, as well as coordinating projects within Digital Modernization. The Developer is responsible for one or more application projects to include identification and resolution of technical problems. The incumbent has considerable latitude for independent technical and professional judgment within approved plans and established guidelines.
**Essential Functions**
****PrincipalJob** 
**Duties****
* Providestechnicalleadershipand/orspecializedtechnicalassistanceinproblem\-solvingand application systems development.
* Providesexpertassistanceinassignedcriticalsystemsareaswithinthe department.
* Develops,enhancesandmaintainsapplicationsandintegrationswithinDigitalModernization's portfolio
* Preparesconcisereportssuitableforalllevelsofmanagementregardingprojectsandtechnical issues within assigned areas of responsibility.
* Performsassignmentsusingafullcomplementofsoftwareengineeringskillssuchas requirementsspecification,systemdesign,softwaredevelopment,qualityassurance, documentation, and testing.
* Functions as project engineer for system configuration management plan, with assigned responsibilityandisdesignatedastheprimepointofcontact.Responsibleforthemaintenance and execution of project configuration version control when making changes to existing application software or designing new software.
* Isresponsibleforbeingoncallduring"off"hoursandmustrespondtoemergencyoutageseither via telephone, email, or in person and assists on\-site staff until normal operations are resumed.
* Providestechnicalleadershipand/orspecializedtechnicalassistanceinproblemsolvingand application systems development.
* Isresponsibleforahighlevelofoperationalperformanceandsoftwarereliabilitywithinmajor application systems throughout Digital Modernization.
* Develops,reviewsandupdatesvarioussystemsorsoftwareasrequired,incompliancewith WMATA Standards and Criteria and Standard Specifications with industry standards, best industry practices, and current or future WMATA practices.
* Developsandreviewsotherdepartmenttechnicalspecificationsandtaskordersforprocurement of hardware, software, test equipment and services.
* Performsfailureanalysisandpreparesreportsincludingrootcauseandrecommendedcorrective actionforstakeholdersandmanagement.Evaluatesandprovideguidanceonsystemchangesto determine feasibility, alternative solutions, and back out procedures.
* Workscloselywithenduserstounderstandtheirinformationrequirementsandtodirectresolution of their problems.
* Maintainsup\-to datesupportrequestsandprojectworkplans.Preparesstatusreportstocompare progress with work plans.
* Advises supervisory staff concerning system modifications and applications system deficiencies, enduserrequirements,andcomputerhardware,andrecommendssoftwaresupport,workmethod and practice improvements.
* Worksvariablehourstoavoidadverseimpactonoperationsand availability.
****Other** 
**Duties****
* Maintainsandpromotesawarenessandaccountabilitywithsafetypoliciesandprocedureswhile performing job functions. Promotes a positive safety culture and encourages reporting of safety consistentwithourAgencySafetyPlan,otherregulatoryrequirementswithintheSafety Management System and just culture principles.
****The functions listed are not intended to limit specific duties and responsibilities of any particular position. Nor is it intended to limit in any way the right of managers and supervisors to assign, direct and control the work of employees under their supervision.****
****Evaluation Criteria****
 Consideration will be given to applicants whose resumes demonstrate the required education and experience. Applicants should include all relevant education and work experience.
 Evaluation criteria may include one or more of the following:
 ' Skills and/or behavioral assessment
 ' Personal interview
 ' Verification of education and experience (including certifications and licenses)
 ' Criminal Background Check (a criminal conviction is not an automatic bar to employment)
 ' Medical examination including a drug and alcohol screening (for safety sensitive positions)
 ' Review of a current motor vehicle report
**Closing**
 WMATA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law.
 This posting is an announcement of a vacant position under recruitment. It is not intended to replace the official job description. Job descriptions are available upon confirmation of an interview.</t>
        </is>
      </c>
    </row>
    <row r="105">
      <c r="A105" t="inlineStr">
        <is>
          <t>li-4330704439</t>
        </is>
      </c>
      <c r="B105" t="inlineStr">
        <is>
          <t>Data Engineer</t>
        </is>
      </c>
      <c r="C105" t="inlineStr">
        <is>
          <t>Jobs via Dice</t>
        </is>
      </c>
      <c r="D105" t="inlineStr">
        <is>
          <t>linkedin</t>
        </is>
      </c>
      <c r="E105" t="inlineStr"/>
      <c r="F105" t="inlineStr"/>
      <c r="G105" t="inlineStr"/>
      <c r="H105" t="inlineStr"/>
      <c r="I105" t="inlineStr">
        <is>
          <t>Dice is the leading career destination for tech experts at every stage of their careers. Our client, JC CORPORATIONS, is seeking the following. Apply via Dice today!
 Key Responsibilities
* Provide technical leadership across AI architecture, model integration, and delivery.
* Architect end\-to\-end AI pipelines using Databricks (Delta, Unity Catalog, MLflow, Model Serving).
* Integrate GenAI platforms (Mosaic AI, Genie, Azure OpenAI) and orchestrate them via an MCP server for NL SQL and conversational intelligence.
* Implement governed, cost\-optimized MLOps pipelines with retraining, lineage, and observability.
* Build multi\-agent architectures combining text, tabular, and image models.
* Enforce role\-based security and governance through Unity Catalog.
* Collaborate with UI (React) teams to integrate model outputs in Databricks web apps.
* Lead feedback\-driven model improvements and cross\-functional mentoring.
 Core Skills
* Databricks Platform: SQL Warehouse, Unity Catalog, MLflow, Model Serving, OCR.
* GenAI Tools: Mosaic AI, Genie, Azure OpenAI, LangChain, Vector Search, MCP Server for orchestrating AI tools and context.
* ML Techniques: Isolation Forest, PSI/KSI drift detection, model retraining.
* Vision Models: ViT, Grad\-CAM, explainability methods.
* Data Engineering: Spark, Python, Delta Lake, REST APIs.
* Governance \&amp; Security: RBAC, lineage, masking, compliance policies.
* Soft Skills: Architecture design, stakeholder alignment, communication.
**Preferred Profile**
* 8\+ years in AI/ML or Data Science, 3\+ years on Databricks.
* Proven experience with LLM\-driven architectures (RAG, NL SQL).
* Ability to design multi\-modal, scalable, and cost\-efficient AI systems.
* Familiarity with A2A protocols and Databricks Mosaic AI/Genie.
* Experience deploying MCP Server to orchestrate multi\-agent GenAI tool access.</t>
        </is>
      </c>
    </row>
    <row r="106">
      <c r="A106" t="inlineStr">
        <is>
          <t>li-4330724293</t>
        </is>
      </c>
      <c r="B106" t="inlineStr">
        <is>
          <t>Azure Data Engineer</t>
        </is>
      </c>
      <c r="C106" t="inlineStr">
        <is>
          <t>Jobs via Dice</t>
        </is>
      </c>
      <c r="D106" t="inlineStr">
        <is>
          <t>linkedin</t>
        </is>
      </c>
      <c r="E106" t="inlineStr"/>
      <c r="F106" t="inlineStr"/>
      <c r="G106" t="inlineStr"/>
      <c r="H106" t="inlineStr"/>
      <c r="I106" t="inlineStr">
        <is>
          <t>Dice is the leading career destination for tech experts at every stage of their careers. Our client, TechSpace Solutions Inc., is seeking the following. Apply via Dice today!
**Job Title: Azure Data Engineer**
**Location: Remote \-\-** 
**Bellevue, WA/Tempe, AZ/Richardson, TX**
**Duration: 12\+ months**
**Must Have Skills**
* SQL \&amp; Strong T\-SQL
* Apache Spark
* Azure Synapse Analytics
* Azure Data Factory (ADF)
* SQL Server Analysis Services (SSAS)
**Nice To Have Skills**
* Microsoft Fabric (Azure Fabric)
**Key Responsibilities**
* Design, develop, and maintain ETL/ELT pipelines using Azure Data Factory
* Perform data ingestion from multiple source systems and apply transformations based on business rules
* Collaborate with business stakeholders to gather and finalize data requirements
* Conduct data cleansing, validation, and profiling to ensure data quality
* Develop and optimize T\-SQL queries, stored procedures, and performance tuning
* Work with Azure Synapse and Spark for large\-scale data processing and analytics
* Build and maintain SSAS models for reporting and analytical needs
* Ensure scalability, reliability, and performance of data solutions</t>
        </is>
      </c>
    </row>
    <row r="107">
      <c r="A107" t="inlineStr">
        <is>
          <t>li-4330881644</t>
        </is>
      </c>
      <c r="B107" t="inlineStr">
        <is>
          <t>Staff Data Engineer (EL Focus - Azure/Snowflake)</t>
        </is>
      </c>
      <c r="C107" t="inlineStr">
        <is>
          <t>Life Science Connect</t>
        </is>
      </c>
      <c r="D107" t="inlineStr">
        <is>
          <t>linkedin</t>
        </is>
      </c>
      <c r="E107" t="inlineStr"/>
      <c r="F107" t="inlineStr"/>
      <c r="G107" t="inlineStr">
        <is>
          <t>Horsham, PA</t>
        </is>
      </c>
      <c r="H107" t="inlineStr"/>
      <c r="I107" t="inlineStr">
        <is>
          <t>**About Life Science Connect**
 Life Science Connect is dedicated to uniting life sciences professionals and suppliers to accelerate research, development, and manufacturing. We help professionals discover market opportunities by facilitating mutually beneficial connections between audiences and strategic partners. This accelerates the advancement of life\-improving, life\-extending, and life\-saving therapies and devices. We serve a loyal, satisfied readership that demands original, compelling content with utility. Our comprehensive suite of capabilities for B2B sales and marketing enablement contributes significantly to the creation and maintenance of robust business development pipelines for our partners.
**The Mission: Data Force Multiplier**
 Life Science Connect is pivoting from a traditional publisher to a
 **Data Authority** 
 . We are building a modern "Efficiency Stack" centered on
 **Azure, Snowflake, and dbt** 
 to power our proprietary intent scoring and analytics products.
 We are seeking an expert, hands\-on
 **Staff Data Engineer** 
 to be the technical backbone of our data ingestion strategy.
 This is a critical, high\-impact role focused specifically on the
 **Extraction and Load (EL)** 
 portion of our architecture. You will not just build pipelines; you will architect the ingestion framework that feeds our entire analytics ecosystem. Your success will be measured by your ability to deliver high\-quality, reliable, and timely raw data to our Analytics Engineering team, acting as a force multiplier that enables them to focus purely on business logic and transformation.
**Key Responsibilities**
* EL Pipeline Architecture \&amp; Execution
* Ingestion Architecture: Own the design, development, and optimization of scalable data ingestion pipelines using Azure Data Factory (ADF). You will move beyond basic "drag\-and\-drop" configurations to build resilient, parameterized frameworks.
* Complex Source Integration: Design robust pipelines for high\-volume, complex sources including Salesforce, Google Analytics (GA4\), and internal APIs. You will be responsible for building custom connectors (using Python/Azure Functions) when native ADF connectors encounter API limits or sampling constraints.
* Snowflake Landing: Architect efficient loading patterns into Snowflake (Snowpipe, External Stages), ensuring that the "Raw Layer" is optimized for cost and performance before transformation begins.
* Analytics Collaboration \&amp; Schema Governance
* The "dbt" Bridge: Act as the primary partner to the Analytics Engineering team. You will collaborate on Raw Layer schema design, ensuring that data lands in a structure that is easily consumable by dbt, preventing "garbage in" scenarios.
* Data Reliability: Provide the downstream teams with thoroughly documented reliable raw data feeds. You are the guarantee that the data in the warehouse matches the source of truth.
* Pipeline Orchestration \&amp; Optimization
* Advanced Orchestration: Design dependency\-aware pipeline orchestrations that manage the full data lifecycle, ensuring data arrives in the correct order and at the required frequency.
* Performance Tuning: Continuously monitor pipeline performance (latency, throughput) and optimize ADF resource allocation to control costs without sacrificing speed.
* Engineering Standards \&amp; Security
* CI/CD Implementation: Define and lead the implementation of CI/CD pipelines for data workflows. You will enforce automated testing and deployment processes using Git/GitHub, treating infrastructure as code.
* Security \&amp; Compliance: Implement security best practices within the ingestion layer, specifically regarding Azure Key Vault for credential management and PIPL/GDPR compliance for PII handling.
**The Ideal Candidate Profile**
* Experience: 7\+ years of professional experience in data engineering with a focus on high\-volume production pipelines.
* The "Hybrid" Skillset: You have expert\-level proficiency with Azure Data Factory (ADF), but you are also a strong coder. You are proficient in Python and SQL, capable of writing custom scripts for API interactions, data validation, and complex logic that GUI tools cannot handle.
* API Mastery: You understand the nuances of integrating with complex SaaS APIs (Salesforce, GA4\). You know how to handle rate limits, pagination, and token management programmatically.
* Warehouse Expertise: You have extensive experience loading data into Snowflake and understand the architectural implications of loading patterns on warehouse costs.
* Stakeholder Focus: You understand that your "customer" is the Analytics Engineer. You take pride in delivering clean, reliable raw data that makes their job easier.
**Why Join Now?**
* Strategic Impact: You will build the foundation of our "Data Authority" platform, handling the data that drives our revenue.
* Modern Stack: Work with a clean, modern stack—Azure, Snowflake, Python, and dbt—without the burden of on\-prem legacy debt.
* Empowerment: You report to the Director of Data Architecture with a mandate to define the standards for how data enters our ecosystem.
**We Invest in YOU**
 At Life Science Connect, our commitment to empowering innovation and facilitating growth within the life sciences sector extends to our employees. We offer a comprehensive total compensation program designed to support your overall health, financial well\-being, and professional development.
**In Addition To a Competitive Salary, You'll Enjoy**
* Medical/vision/prescription/dental coverage for you and your family
* 100% company\-paid short\- and long\-term disability insurance
* 100% company\-paid life insurance
* 401(k) with dollar\-for\-dollar company match up to 6%
* 15 vacation days and 6 personal days on day 1
* 13 company\-paid holidays
 To view all our job postings and showcases for some of our employees, visit: https://lifescienceconnect.com/careers/
**Principals only. We do not accept unsolicited resumes from third\-party recruiters or staffing agencies. No visa sponsorship is available for this position.**</t>
        </is>
      </c>
    </row>
    <row r="108">
      <c r="A108" t="inlineStr">
        <is>
          <t>li-4330624908</t>
        </is>
      </c>
      <c r="B108" t="inlineStr">
        <is>
          <t>Data Engineer - DataBricks</t>
        </is>
      </c>
      <c r="C108" t="inlineStr">
        <is>
          <t>Jobs via Dice</t>
        </is>
      </c>
      <c r="D108" t="inlineStr">
        <is>
          <t>linkedin</t>
        </is>
      </c>
      <c r="E108" t="inlineStr"/>
      <c r="F108" t="inlineStr"/>
      <c r="G108" t="inlineStr">
        <is>
          <t>Newark, NJ</t>
        </is>
      </c>
      <c r="H108" t="inlineStr"/>
      <c r="I108" t="inlineStr">
        <is>
          <t>Dice is the leading career destination for tech experts at every stage of their careers. Our client, Contech Systems, Inc., is seeking the following. Apply via Dice today!
**JOB DESCRIPTION Senior Databricks Data Engineer**
*(Hybrid Newark, NJ 2 days/month onsite, with flexibility to come in as needed)*
 Contract to Hire
 We re hiring a
 **Senior Databricks Data Engineer** 
 to help build Horizon s next\-generation healthcare data platform. You ll design large\-scale pipelines, implement medallion architecture, optimize Spark performance, and shape the modeling patterns for analytics, clinical, and enterprise data.
 If you're a true builder who knows the difference between "running Spark jobs" and actually
 **engineering data systems** 
 , this is your playground.
**Senior Databricks Data Engineer Responsibilities**
* Architect, design, and develop large\-scale ETL/ELT pipelines in Databricks, Spark, and Delta Lake.
* Implement medallion architecture and best practices for scalable data modeling.
* Build workflows, notebooks, jobs, and orchestration patterns within Databricks.
* Optimize Spark performance (clusters, caching, partitions, Z\-ordering, autoscaling, shuffles).
* Apply data quality frameworks (expectations, validations, profiling).
* Work with cross\-functional partners to translate requirements into actionable data solutions.
* Contribute to governance: lineage, cataloging, RBAC, compliance, metadata management.
* Troubleshoot and resolve issues across ETL pipelines, notebooks, and compute clusters.
* Mentor junior engineers as the team expands.
**Senior Databricks Data Engineer Required Skills**
* Expert\-level experience with Databricks, Spark, PySpark, and Delta Lake.
* Strong SQL and Python.
* Proven experience designing complex pipelines and distributed jobs.
* Experience with cloud platforms (Azure or AWS).
* Solid understanding of data modeling (conceptual, logical, physical).
* Experience with healthcare datasets (claims, eligibility, provider, clinical) is a major plus.
* Ability to work end\-to\-end: design build optimize document.
**Senior Databricks Data Engineer Bonus Skills**
* Knowledge of FHIR or other healthcare interoperability standards.
* Experience with orchestration tools (Airflow, ADF, Databricks Jobs).
* CI/CD for data engineering.
**\#Contech**</t>
        </is>
      </c>
    </row>
    <row r="109">
      <c r="A109" t="inlineStr">
        <is>
          <t>li-4330862833</t>
        </is>
      </c>
      <c r="B109" t="inlineStr">
        <is>
          <t>Data Engineer</t>
        </is>
      </c>
      <c r="C109" t="inlineStr">
        <is>
          <t>Jobs via Dice</t>
        </is>
      </c>
      <c r="D109" t="inlineStr">
        <is>
          <t>linkedin</t>
        </is>
      </c>
      <c r="E109" t="inlineStr"/>
      <c r="F109" t="inlineStr"/>
      <c r="G109" t="inlineStr">
        <is>
          <t>Cincinnati, OH</t>
        </is>
      </c>
      <c r="H109" t="inlineStr"/>
      <c r="I109" t="inlineStr">
        <is>
          <t>Dice is the leading career destination for tech experts at every stage of their careers. Our client, Javen Technologies, Inc, is seeking the following. Apply via Dice today!
 Must Have:
* ETL
* Python
* SQL
 Nice To Have:
* AWS Sagemaker
* DBT
* Snowflake
 Squad: Machine Learning Data Enablement squad in the Data Insights Tribe.
 Required: In office 4 days a week minimum (Monday \- Thursday).
* We’re hiring a Data Engineer to join our newly launched Machine Learning Data Enablement team at Fifth Third Bank.
* This team is focused on building high\-quality, scalable data pipelines that power machine learning models across the enterprise, deployed in AWS SageMaker.
* We’re looking for an early\-career professional who’s excited to grow in a hands\-on data engineering role.
* Ideal candidates will have experience working on machine learning – related projects or have partnered with data science teams to support model development and deployment — and have a strong interest in enabling ML workflows through robust data infrastructure.
* You’ll work closely with data scientists and ML engineers to deliver curated, production\-ready datasets and help shape how machine learning data is delivered across the bank.
* You should have solid SQL and Python skills, a collaborative mindset, and a strong interest in modern data tooling.
* Experience with Snowflake, dbt, or cloud data platforms is a strong plus.
* Familiarity with ML tools like SageMaker or Databricks is helpful but not required — we’re happy to help you learn.
* This is a hands\-on role with high visibility and high impact.
* You’ll be joining a team at the ground level, helping to define how data powers machine learning at scale.</t>
        </is>
      </c>
    </row>
    <row r="110">
      <c r="A110" t="inlineStr">
        <is>
          <t>li-4330765149</t>
        </is>
      </c>
      <c r="B110" t="inlineStr">
        <is>
          <t>C++ Market Data Engineer (USA)</t>
        </is>
      </c>
      <c r="C110" t="inlineStr">
        <is>
          <t>Trexquant Investment LP</t>
        </is>
      </c>
      <c r="D110" t="inlineStr">
        <is>
          <t>linkedin</t>
        </is>
      </c>
      <c r="E110" t="inlineStr"/>
      <c r="F110" t="inlineStr"/>
      <c r="G110" t="inlineStr">
        <is>
          <t>New York, NY</t>
        </is>
      </c>
      <c r="H110" t="inlineStr"/>
      <c r="I110" t="inlineStr">
        <is>
          <t>Trexquant is a growing systematic fund at the forefront of quantitative finance, with a core team of highly accomplished researchers and engineers. To keep pace with our expanding global trading operations, we are seeking a C\+\+ Market Data Engineer to design and build ultra\-low\-latency feed handlers for premier vendor feeds and major exchange multicast feeds. This is a high\-impact role that sits at the heart of Trexquant's trading platform; the quality, speed, and reliability of your code directly influence every strategy we run.
**Responsibilities**
* Design \&amp; implement high\-performance feed handlers in modern C\+\+ for equities, futures, and options across global venues (e.g., NYSE, CME, Refinitiv RTS, Bloomberg B\-PIPE)
* Optimize for micro\- and nanosecond latency using lock\-free data structures, cache\-friendly memory layouts, and kernel\-bypass networking where appropriate
* Build reusable libraries for message decoding, normalization, and publication to internal buses shared by research, simulation, and live trading systems
* Collaborate with cross\-functional teams to tune TCP/UDP multicast stacks, kernel parameters, and NIC settings for deterministic performance
* Provide robust failover, gap\-recovery, and replay mechanisms to guarantee data integrity under packet loss or venue outages
* Instrument code paths with precision timestamping and performance metrics; drive continuous latency regression testing and capacity planning
* Partner closely with quantitative researchers to understand downstream data requirements and to fine\-tune delivery formats for both simulation and live trading
* Produce clear architecture documents, operational run\-books, and post\-mortems; participate in a 24×7 follow\-the\-sun support rotation for mission\-critical market\-data services
**Requirements**
* BS/MS/PhD in Computer Science, Electrical Engineering, or related field
* 3\+ years of professional C\+\+ (14,17,20\) development experience focused on low\-latency, high\-throughput systems
* Proven track record building or maintaining real\-time market\-data feeds (e.g., Refinitiv RTS/TREP, Bloomberg B\-PIPE, OPRA, CME MDP, ITCH)
* Strong grasp of concurrency, lock\-free algorithms, memory\-model semantics, and compiler optimizations
* Familiarity with serialization formats (FAST, SBE, Protocol Buffers) and time\-series databases or in\-memory caches
* Comfort with scripting in Python for prototyping, testing, and ops automation
* Excellent problem\-solving skills, ownership mindset, and ability to thrive in a fast\-paced trading environment
* Familiarity with containerization (Docker/K8s) and public\-cloud networking (AWS, GCP)
**Benefits**
* Competitive salary, plus bonus based on individual and company performance
* Collaborative, casual, and friendly work environment while solving the hardest problems in the financial markets
* PPO Health, dental and vision insurance premiums fully covered for you and your dependents
* Pre\-Tax Commuter Benefits
 Applications are now open for our NYC office, opening in September 2026\.
 The base salary range is $175,000\.00 \- $200,00\.00 depending on the candidate's educational and professional background. Base salary is one component of Trexquant's total compensation, which may also include a discretionary, performance\-based bonus."
 Trexquant is an Equal Opportunity Employer</t>
        </is>
      </c>
    </row>
    <row r="111">
      <c r="A111" t="inlineStr">
        <is>
          <t>li-4330714288</t>
        </is>
      </c>
      <c r="B111" t="inlineStr">
        <is>
          <t>Snowflake Data Platform Engineer</t>
        </is>
      </c>
      <c r="C111" t="inlineStr">
        <is>
          <t>Jobs via Dice</t>
        </is>
      </c>
      <c r="D111" t="inlineStr">
        <is>
          <t>linkedin</t>
        </is>
      </c>
      <c r="E111" t="inlineStr"/>
      <c r="F111" t="inlineStr"/>
      <c r="G111" t="inlineStr">
        <is>
          <t>Newark, NJ</t>
        </is>
      </c>
      <c r="H111" t="inlineStr"/>
      <c r="I111" t="inlineStr">
        <is>
          <t>Dice is the leading career destination for tech experts at every stage of their careers. Our client, Contech Systems, Inc., is seeking the following. Apply via Dice today!
**Job Title: Snowflake Data Platform Engineer**
**Location:** 
 Penn Plaza \- NJ
**Department:** 
 Data Engineering / Analytics
**Reports To:** 
 \[Insert Manager Title]
**Position Summary**
 We are seeking a
 **Snowflake Data Platform Engineer** 
 to design, implement, and maintain our enterprise Snowflake environment. This role focuses on platform administration, performance optimization, security, and integration with other data services. The ideal candidate will have deep expertise in Snowflake architecture, cloud infrastructure, and automation practices.
**Snowflake Data Platform Engineer Key Responsibilities** 
* Data Pipeline Development
+ Design and implement scalable ETL/ELT processes using Snowflake.
+ Develop and maintain data models, schemas, and views for analytics.
+ Optimize queries and storage for performance and cost efficiency.
* Platform Management
+ Deploy, Configure and manage Snowflake accounts, roles, and permissions.
+ Monitor system performance and troubleshoot issues.
+ Implement best practices for data governance and security.
**Snowflake Data Platform Engineer Security \&amp; Compliance**
* Configure role\-based access control (RBAC) and data security policies.
* Ensure compliance with organizational data governance and regulatory standards.
* Manage encryption, masking, and secure data sharing.
* Integration \&amp; Automation
+ Integrate Snowflake with cloud storage, APIs, and third\-party tools.
+ Automate workflows using orchestration tools (e.g., Airflow, dbt).
+ Support CI/CD pipelines for data engineering projects.
* Integrate Snowflake with cloud storage, ETL tools, and enterprise systems.
* Develop reusable scripts for operational tasks and platform management.
- 
* Collaboration \&amp; Support
* Partner with data engineers, analysts, and BI teams to enable efficient workflows.
* Provide technical support and troubleshooting for Snowflake\-related issues.
* Document platform architecture, operational procedures, and best practices.
* Provide technical guidance on Snowflake capabilities and best practices.
* Document processes, standards, and architecture.
**Snowflake Data Platform Engineer Required Qualifications**
* Bachelor's degree in Computer Science, Information Systems, or related field (or equivalent experience).
* 3\+ years of experience in data engineering or data warehousing.
* 3\+ years of experience in Snowflake administration and platform engineering.
* Hands\-on experience with Snowflake and SQL development.
* Strong knowledge of ETL/ELT tools and data integration techniques.
* Familiarity with cloud platforms (AWS, Azure).
* Understanding of data security, networking, role\-based access, identity management and governance.
**Snowflake Data Platform Engineer Preferred Qualifications**
* Snowflake certification (SnowPro Core or Advanced Architect).
* Experience with dbt, Airflow, or similar orchestration tools.
* Knowledge of Python or other scripting languages.
* Exposure to data modeling and performance tuning and cost optimization strategies in Snowflake.
* Certifications in Snowflake or cloud technologies.
**Snowflake Data Platform Engineer Soft Skills**
* Strong analytical and problem\-solving skills.
* Excellent communication and collaboration abilities.
* Ability to work in a fast past highly matrixed agile environment</t>
        </is>
      </c>
    </row>
    <row r="112">
      <c r="A112" t="inlineStr">
        <is>
          <t>li-4350797708</t>
        </is>
      </c>
      <c r="B112" t="inlineStr">
        <is>
          <t>MDM Data Engineer</t>
        </is>
      </c>
      <c r="C112" t="inlineStr">
        <is>
          <t>Jobs via eFinancialCareers</t>
        </is>
      </c>
      <c r="D112" t="inlineStr">
        <is>
          <t>linkedin</t>
        </is>
      </c>
      <c r="E112" t="inlineStr"/>
      <c r="F112" t="inlineStr"/>
      <c r="G112" t="inlineStr">
        <is>
          <t>Springfield, MA</t>
        </is>
      </c>
      <c r="H112" t="inlineStr"/>
      <c r="I112" t="inlineStr">
        <is>
          <t>**Objectives of the role**
 As an MDM Data Engineer, you will work in a fast\-paced, innovative, and collaborative environment on exciting data management directives. You will design, build, and measure complex Informatica Power Center and MDM processes to master data for different Master Data domains in MassMutual. This role involves working on a range of projects including batch pipelines, data modeling, and Master Data solutions to implement robust data collection and processing pipelines to meet specific business needs.
**The Team**
 The Data Platform Data Engineering team comprises a diverse group of data engineers, analysts, and data architects who are passionate about data integrity and innovation. The team is motivated by the opportunity to drive business decisions through accurate and reliable data. We foster a collaborative culture where knowledge\-sharing and continuous learning are encouraged. Our MDM team is dedicated to mastering data management processes that are essential for MassMutual's data\-driven strategies.
**The Impact:**
* Design, construct, and evaluate intricate ELT/ETL tasks: Assimilate data from diverse sources into a high\-quality, reliable data repository, directly impacting the accuracy of MassMutual's data\-driven decisions.
* Develop Master Data Management (MDM) solutions: Implement solutions across various master data domains within MassMutual, ensuring data consistency and reliability.
* Provide comprehensive support for MDM solutions: Manage data ingestion, master record creation, outbound data extracts, and API integration to maintain seamless data operations.
* Implement data modeling policies and procedures: Establish standards for data modeling, contributing to the efficiency and consistency of data processes.
* Collaborate across departments: Engage with various teams to understand emerging data patterns, translating high\-level business needs into precise technical specifications.
* Actively engage in the development and rollout of MDM Solutions and other Information Management initiatives at MassMutual.
* Establish data quality benchmarks and develop tools/processes to ensure data accuracy.
**The Minimum Qualifications**
* Bachelor’s degree in computer science or engineering.
* 5\+ years of experience with Informatica Power Center.
* 5\+ years of experience in data analytics, data modeling, and database design.
* 3\+ years of coding and scripting (Python, Java, Scala) and design experience.
* 3\+ years of experience with the Informatica MDM platform in the customer/party subject area.
* 3\+ years of experience in ELT methodologies, SQL tuning, and troubleshooting.
* 3\+ years of experience with Oracle database and AWS.
* 2\+ years of experience with basic UNIX commands and shell scripts.
**The Ideal Qualifications**
* Master’s degree in computer science or engineering.
* Familiarity with agile project delivery processes.
* Proficiency in SQL and data access/analysis.
* Ability to manage diverse projects impacting multiple roles and processes.
* Experience with Python, Kafka, and database technologies like Vertica or Redshift.
* Experience designing and implementing automated ETL processes.
* Experience with RESTful APIs and near real\-time mastering via SIF.
* Willingness to provide Level 2 support for batch processing cycles outside business hours.
**What to Expect as Part of MassMutual and the Team**
* Regular collaboration with the Data Management Team.
* Focused one\-on\-one time with your manager.
* Access to mentorship opportunities.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row>
    <row r="113">
      <c r="A113" t="inlineStr">
        <is>
          <t>li-4330853611</t>
        </is>
      </c>
      <c r="B113" t="inlineStr">
        <is>
          <t>Senior Snowflake Data Engineer</t>
        </is>
      </c>
      <c r="C113" t="inlineStr">
        <is>
          <t>Jobs via Dice</t>
        </is>
      </c>
      <c r="D113" t="inlineStr">
        <is>
          <t>linkedin</t>
        </is>
      </c>
      <c r="E113" t="inlineStr"/>
      <c r="F113" t="inlineStr"/>
      <c r="G113" t="inlineStr">
        <is>
          <t>New York, NY</t>
        </is>
      </c>
      <c r="H113" t="inlineStr"/>
      <c r="I113" t="inlineStr">
        <is>
          <t>Dice is the leading career destination for tech experts at every stage of their careers. Our client, KE Staffing, is seeking the following. Apply via Dice today!
**Job Requirements Senior Snowflake Data Engineer**
* Strong experience with Python and Snowflake for building scalable data pipelines
* Advanced SQL and Snowflake data modeling expertise
* Experience delivering end\-to\-end data engineering solutions
* Proven ability to optimize performance, cost, and data quality
* Experience with cloud\-based data platforms
* Understanding of data security and governance
* Ability to collaborate with cross\-functional teams in complex environments
 Analyze and summarize business operations, customer and/or economic data in order to improve business intelligence, optimize operating effectiveness and predict business outcomes. \- Identify trends and patterns in business data; create data visualizations to support business decision making. –
 Build new and/or modify existing database/data warehouse/data mart and business intelligence solutions to meet business and system requirements. \- Collaborate with business units and senior management to conduct needs assessment to support business unit objectives. \- Provides input on highly complex Data Science and Big Data projects. –
 Effectively communicate findings and insight to stakeholders and provide business strategy recommendations for optimizing business performance. \- Lead, guide, and mentor less experienced staff; Direct the work of others as needed. –
 Perform other duties as assigned.</t>
        </is>
      </c>
    </row>
    <row r="114">
      <c r="A114" t="inlineStr">
        <is>
          <t>li-4330694431</t>
        </is>
      </c>
      <c r="B114" t="inlineStr">
        <is>
          <t>Staff Data Engineer</t>
        </is>
      </c>
      <c r="C114" t="inlineStr">
        <is>
          <t>Jobs via Dice</t>
        </is>
      </c>
      <c r="D114" t="inlineStr">
        <is>
          <t>linkedin</t>
        </is>
      </c>
      <c r="E114" t="inlineStr"/>
      <c r="F114" t="inlineStr"/>
      <c r="G114" t="inlineStr"/>
      <c r="H114" t="inlineStr"/>
      <c r="I114" t="inlineStr">
        <is>
          <t>Dice is the leading career destination for tech experts at every stage of their careers. Our client, Divit Technologies, Inc., is seeking the following. Apply via Dice today!
**Job Role:** 
 Staff Data Engineer
**Job Location:** 
 Remote (Anywhere in US only)
**Job Description:**
**MUST HAVE:**
* Must have a minimum of 10\-12 years of hands\-on development experience implementing batch and events driven applications using Java, Kafka, Spark, Scala, PySpark and Python.
* Experience with Apache Kafka and Connectors, Java, Springboot in building event driven services, Python in building ML pipelines.
* Develop data pipelines responsible for ingesting large amounts of different kinds of data from various sources.
* Help evolve data architecture and work on Next Generation real time pipeline algorithms and architecture in addition to supporting and maintaining current pipelines and legacy systems.
* Write code and develop worker nodes for business logic, ETL and orchestration processes.
* Develop algorithms for better attribution rules and category classifiers.
* Work with stakeholders throughout the organization to identify opportunities for leveraging company data to drive search, discovery, and recommendations.
* Work closely with architects, engineers, data analysts, data scientists, contractors/consultants and project managers in assessing project requirements, design, develop and support data ingestions and API services.
* Work with Data Scientists in building feature engineering pipelines and integrating machine learning models during the content enrichment process.
* Able to influence on priorities working with various partners including engineers, project management office and leadership.
* Mentor junior team members, define architecture, code review, hands\-on development and deliver the work in sprint cycle.
* Participate in design discussions with Architects and other team members for the design of new systems and re\-engineering of components of existing systems.
* Wear an Architect hat when required to bring new ideas to the table, thought leadership and forward thinking.
* Take a holistic approach to building solutions by thinking of the big picture and overall solution.
* Work on moving away from legacy systems into next generation architecture.
* Take complete ownership from requirements, solution design, development, production launch and post launch production support. Participate in code reviews and regular on\-call rotations.
* Desire to apply the best solution in the industry, apply correct design patterns during development and learn best practices and data engineering tools and technologies.
* Performs any other functions and duties assigned and necessary for the smooth and efficient operation
**EDUCATION \&amp; EXPERIENCE:**
* BS or MS in Computer Science (or related field) with 12\+ years of hands\-on software development experience working in large\-scale data processing pipelines.
* Must have skills are Apache Spark, Scala and PySpark with 2\-4 years of experience building production grade batch pipelines that handle large volumes of data.
* Must have at least 8\+ years of experience in Java and API / Microservices.
* Must have at least 5\+ years of experience in Python.
* 5\+ years of experience in understanding and writing complex SQL and stored procedures for processing raw data, ETL, data validation, using databases such as SQL Server, Redis and other NoSQL DBs.
* Knowledge of Big data technologies, Hadoop, HDFS.
* Expertise with building events driven pipelines with Kafka and Java / Spark.
* Expertise with Amazon AWS stack such as EMR, EC2, S3\.
* Experience working with APIs to collect and ingest data as well build the APIs for business logic.
* Experience working with setting up, maintaining, and debugging production systems and infrastructure.
* Experience in building fault\-tolerant and resilient systems.
* Experience in building worker nodes, knowledge of REST principles and data engineering design patterns.
* In\-depth knowledge of Java, SpringBoot, Spark, Scala, PySpark, Python, Orchestration tools, ESB, SQL, Stored procedures, Docker, RESTful web services, Kubernetes, CI/CD, Observability techniques, Kafka, Release processes, caching strategies, versioning, B\&amp;D, BitBucket / Git and AWS Cloud Ecosystem, NoSQL Databases, Hazelcast.
* Strong software development, architecture diagramming, problem\-solving and debugging skills.
* Phenomenal communication and influencing skills
**NICE TO HAVE:**
* Exposure to Machine Learning (ML), LLM models, using AI during coding, build with AI.
* Knowledge of Elastic APM, ELK stack and search technologies such as Elasticsearch / Solr.
* Some experience in workflow orchestration tools such as Air Flow</t>
        </is>
      </c>
    </row>
    <row r="115">
      <c r="A115" t="inlineStr">
        <is>
          <t>li-4330607301</t>
        </is>
      </c>
      <c r="B115" t="inlineStr">
        <is>
          <t>AWS Data Engineer with Dynamo DB</t>
        </is>
      </c>
      <c r="C115" t="inlineStr">
        <is>
          <t>Jobs via Dice</t>
        </is>
      </c>
      <c r="D115" t="inlineStr">
        <is>
          <t>linkedin</t>
        </is>
      </c>
      <c r="E115" t="inlineStr"/>
      <c r="F115" t="inlineStr"/>
      <c r="G115" t="inlineStr">
        <is>
          <t>Miami Beach, FL</t>
        </is>
      </c>
      <c r="H115" t="inlineStr"/>
      <c r="I115" t="inlineStr">
        <is>
          <t>Dice is the leading career destination for tech experts at every stage of their careers. Our client, ARK Infotech Spectrum, is seeking the following. Apply via Dice today!
**Role: AWS Data Engineer with Dynamo DB Exp.**
**Location: Onsite (Miami FL)**
**Job Description**
* Hands on data engineering experience with proven track record of building production data pipelines
* Expert level proficiency in Python for data processing, ETL development, and automation (PySpark)
* Deep experience with AWS Glue including job development, crawlers, triggers, and workflow orchestration
* Strong expertise in Dynamo DB data modeling, capacity planning, streams, and performance optimization
* Solid understanding of AWS ecosystem: S3, Lambda, Step Functions, Cloud Watch, IAM, KMS, Kinesis
* Proficiency with Postman for API development, testing, and collaboration
* Strong SQL skills and understanding of data warehousing principles
* Experience with version control (Git), CI/CD tools, and infrastructure as code (Cloud Formation/Therefrom)</t>
        </is>
      </c>
    </row>
    <row r="116">
      <c r="A116" t="inlineStr">
        <is>
          <t>li-4330684445</t>
        </is>
      </c>
      <c r="B116" t="inlineStr">
        <is>
          <t>Data Engineer (Operations)</t>
        </is>
      </c>
      <c r="C116" t="inlineStr">
        <is>
          <t>Jobs via Dice</t>
        </is>
      </c>
      <c r="D116" t="inlineStr">
        <is>
          <t>linkedin</t>
        </is>
      </c>
      <c r="E116" t="inlineStr"/>
      <c r="F116" t="inlineStr"/>
      <c r="G116" t="inlineStr">
        <is>
          <t>Toronto, OH</t>
        </is>
      </c>
      <c r="H116" t="inlineStr"/>
      <c r="I116" t="inlineStr">
        <is>
          <t>Dice is the leading career destination for tech experts at every stage of their careers. Our client, Collabera LLC, is seeking the following. Apply via Dice today!
 Must haves :
* 3 5 years of experience supporting production data pipelines with L1/L2 operational ownership and SLA\-driven incident management
* Strong Python and SQL skills for data validation, troubleshooting, and operational analysis (joins, partitions, group by)
* Hands\-on experience with AWS services, particularly S3, CloudWatch, and EMR
* Working knowledge of Airflow and enterprise job schedulers (GEM or equivalent) for monitoring and failure recovery
* Proven ability to perform root cause analysis, read logs, follow, and enhance operational runbooks
* Capital Markets domain exposure, with experience supporting market data and working directly with traders, quants, and analysts
 Pay Rate Range: 60\-70/hr Open for Rate exceptions</t>
        </is>
      </c>
    </row>
    <row r="117">
      <c r="A117" t="inlineStr">
        <is>
          <t>li-4330754301</t>
        </is>
      </c>
      <c r="B117" t="inlineStr">
        <is>
          <t>Google Cloud Platform Data Engineer</t>
        </is>
      </c>
      <c r="C117" t="inlineStr">
        <is>
          <t>Jobs via Dice</t>
        </is>
      </c>
      <c r="D117" t="inlineStr">
        <is>
          <t>linkedin</t>
        </is>
      </c>
      <c r="E117" t="inlineStr"/>
      <c r="F117" t="inlineStr"/>
      <c r="G117" t="inlineStr"/>
      <c r="H117" t="inlineStr"/>
      <c r="I117" t="inlineStr">
        <is>
          <t>Dice is the leading career destination for tech experts at every stage of their careers. Our client, TechVirtue LLC, is seeking the following. Apply via Dice today!
 Role: Google Cloud Platform Data Engineer
 Location: Remote
 Duration: long term
**Required**
 At least 5 years of Information Technology experience
 Proficiency in Python is highly desirable.
 Experience working in an agile environment.
 Strong knowledge of ETL tools and processes.
 Expertise in Google Cloud Platform services (BigQuery, Cloud Storage, Dataflow, Dataproc, Cloud Composer)</t>
        </is>
      </c>
    </row>
    <row r="118">
      <c r="A118" t="inlineStr">
        <is>
          <t>li-4330724306</t>
        </is>
      </c>
      <c r="B118" t="inlineStr">
        <is>
          <t>Need Data Engineer - Dallas, TX / New York, NY</t>
        </is>
      </c>
      <c r="C118" t="inlineStr">
        <is>
          <t>Jobs via Dice</t>
        </is>
      </c>
      <c r="D118" t="inlineStr">
        <is>
          <t>linkedin</t>
        </is>
      </c>
      <c r="E118" t="inlineStr"/>
      <c r="F118" t="inlineStr"/>
      <c r="G118" t="inlineStr">
        <is>
          <t>Dallas, TX</t>
        </is>
      </c>
      <c r="H118" t="inlineStr"/>
      <c r="I118" t="inlineStr">
        <is>
          <t>Dice is the leading career destination for tech experts at every stage of their careers. Our client, Radiantze, is seeking the following. Apply via Dice today!
**Role: Data Engineer**
**Location: Dallas, TX / New York, NY**
**Duration: Long Term**
**Qualifications, Capabilities, and Skills:**
* 10\+ years of experience in data engineering, specifically with Databricks and AWS Glue.
* Strong hands\-on practical experience delivering system design, application development, testing, and operational stability and advanced features on Databricks.
* Solid experience on designing ETL reusable frameworks and using best practices of implementations in Databricks and AWS
* Advanced proficiency in data processing frameworks and tools, including knowledge in Parquet and Iceberg.
* Proficiency in automation and continuous delivery methods.
* Proficient in all aspects of the Software Development Life Cycle.
* Advanced understanding of agile methodologies such as CI/CD, Application Resiliency, and Security.
* Demonstrated proficiency in data applications and technical processes within a technical discipline (e.g., cloud, artificial intelligence, machine learning, mobile, etc.).
* In\-depth knowledge of the financial services industry and their IT systems.
* Practical cloud\-native experience.
**Preferred Qualifications, Capabilities, and Skills:**
* Databricks Certification
* AWS Certification
 Regards,
 Radiantze Inc</t>
        </is>
      </c>
    </row>
    <row r="119">
      <c r="A119" t="inlineStr">
        <is>
          <t>li-4330694429</t>
        </is>
      </c>
      <c r="B119" t="inlineStr">
        <is>
          <t>Lead Data Engineer - Remote / Telecommute</t>
        </is>
      </c>
      <c r="C119" t="inlineStr">
        <is>
          <t>Jobs via Dice</t>
        </is>
      </c>
      <c r="D119" t="inlineStr">
        <is>
          <t>linkedin</t>
        </is>
      </c>
      <c r="E119" t="inlineStr"/>
      <c r="F119" t="inlineStr"/>
      <c r="G119" t="inlineStr">
        <is>
          <t>Dallas, TX</t>
        </is>
      </c>
      <c r="H119" t="inlineStr"/>
      <c r="I119" t="inlineStr">
        <is>
          <t>Dice is the leading career destination for tech experts at every stage of their careers. Our client, Cynet Systems, is seeking the following. Apply via Dice today!
 We are looking for
 **Lead Data Engineer** 
**\- Remote / Telecommute** 
 for our client in
 **Dallas, TX**
**Job Title: Lead Data Engineer \- Remote / Telecommute**
**Job Location: Dallas, TX**
**Job Type: Contract**
**Job Description:**
**Responsibilities:**
* Design and implement end\-to\-end data pipelines using Cloud Dataflow (Python/Apache Beam) for batch and streaming data.
* Develop, optimize, and maintain BigQuery stored procedures (SPs), SQL scripts, and user\-defined functions (UDFs) for complex transformations and business logic implementation.
* Build and manage data orchestration workflows using Cloud Composer (Airflow) with appropriate operators and dependencies.
* Establish secure and efficient connections to source systems for data ingestion and integration.
* Manage data ingestion workflows from on\-premise and cloud sources into Google Cloud Storage (GCS) and BigQuery.
* Execute history data migration from legacy data warehouses (preferably Snowflake, Teradata, Netezza, Oracle, SQL Server) to BigQuery, ensuring accuracy and performance optimization.
* Design and maintain data validation and testing frameworks for ensuring data quality and reliability across pipelines.
* Implement data governance practices, including metadata management, lineage tracking, and access control.
* Collaborate with data analysts and architects to define scalable and reusable data models, views, and semantic layers in BigQuery.
* Troubleshoot data pipeline failures, perform root cause analysis, and implement preventive measures.
* Optimize cost and performance of Google Cloud Platform workloads using best practices for BigQuery and Dataflow.
**Technical And Soft Skills Required:**
* Strong hands\-on experience in Google Cloud Platform (Google Cloud Platform) with expertise in BigQuery, Dataflow, Cloud Composer, and GCS.
* Proficient in Python programming for data engineering (Dataflow pipelines, validation scripts, automation).
* Expertise in BigQuery SQL, Stored Procedures, Views, and User Defined Functions (UDFs).
* Experience with data migration from on\-premise or cloud data warehouses (preferably Snowflake, Teradata, Netezza, Oracle, SQL Server) to BigQuery.
* Strong understanding of ETL/ELT frameworks, data modeling, and schema design (Star/Snowflake).
* Familiarity with data governance, metadata, and lineage frameworks on Google Cloud Platform.\- Knowledge of data validation and testing techniques, including reconciliation, rule\-based checks, and automation.
* Hands\-on experience in workflow orchestration using Cloud Composer (Airflow) with custom operators.
* Strong SQL tuning and BigQuery performance optimization skills.
* Good communication and collaboration skills to work with cross\-functional teams in Agile environments.
* Proven ability to troubleshoot, optimize, and enhance complex data workflows at scale.</t>
        </is>
      </c>
    </row>
    <row r="120">
      <c r="A120" t="inlineStr">
        <is>
          <t>li-4358570663</t>
        </is>
      </c>
      <c r="B120" t="inlineStr">
        <is>
          <t>Sr. Distinguished, Data Engineer - Enterprise Data Storage and Consumption Platforms Data Engineer</t>
        </is>
      </c>
      <c r="C120" t="inlineStr">
        <is>
          <t>Capital One</t>
        </is>
      </c>
      <c r="D120" t="inlineStr">
        <is>
          <t>linkedin</t>
        </is>
      </c>
      <c r="E120" t="inlineStr"/>
      <c r="F120" t="inlineStr"/>
      <c r="G120" t="inlineStr">
        <is>
          <t>McLean, VA</t>
        </is>
      </c>
      <c r="H120" t="inlineStr"/>
      <c r="I120"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Storage \&amp; Consumption Platform team within Enterprise Data, serving as a Senior Director\-level Individual Contributor (IC). This role demands a visionary and hands\-on leader to drive the technical strategy for consumption platforms leveraged by all lines of business. Your focus is on maturing platform scalability, Operational Excellence, Performance, and Resiliency. We require deep expertise in AWS infrastructure ,Lakehouse architecture, Snowflake, Databricks platform and BI tools to mature these enterprise\-scale systems and execute technical strategy.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Identify, benchmark and contribute towards opportunities to improve system availability, security, reliability, cost optimization and performance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software engineering or data engineering
* At least 5 years of people management experience
* At least 3 years of experience with Big Data and data streaming
* At least 3 years of experience with cloud\-based data platforms (Amazon Web Services, Microsoft Azure, Google Cloud Platform)
* At least 9 years of experience in data engineering writing production quality code with a focus on distributed systems
**Preferred Qualifications:**
* Masters’ Degree
* 10\+ years of experience in data engineering
* 3\+ years of experience implementing big data frameworks and processing solutions
* 3\+ years of data modeling experience
* 2\+ years of experience with ontology standards for defining a domain
* 2\+ years of experience using Python, SQL or Scala
* 1\+ year of experience deploying machine learning models
***Capital One will consider sponsoring a new qualified applicant for employment authorization for this position***
 Preferred Qualifications:
* Master's Degree
* 5\+ years of experience with Agile engineering practices
* 8\+ years in\-depth experience with the Hadoop stack (MapReduce, Pig, Hive, Hbase)
* 8\+ years experience with NoSQL implementation (Mongo, Cassandra)
* 8\+ years experience developing Java based software solutions
* 8\+ years experience in at least one scripting language
* 8\+ years experience developing software solutions to solve complex business problems
* 8\+ years experience with Relational Database Systems and SQL
* 8\+ years experience designing, developing, and implementing ETL
* 8\+ years experience with UNIX/Linux including basic commands and shell scripting
* 8\+ years of experience providing technical leadership
* 8\+ years of experience leading the full life\-cycle of IT development and platform support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$286,200 \- $326,700 for Sr. Dir, Data Engineering
 McLean, VA: $314,800 \- $359,300 for Sr. Dir, Data Engineering
 New York, NY: $343,400 \- $392,000 for Sr. Dir, Data Engineering
 Richmond, VA: $286,200 \- $326,700 for Sr. Dir, Data Engineering
 San Francisco, CA: $343,400 \- $392,000 for Sr. Dir,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1">
      <c r="A121" t="inlineStr">
        <is>
          <t>li-4358482657</t>
        </is>
      </c>
      <c r="B121" t="inlineStr">
        <is>
          <t>Senior Data Engineer | $25M funded HealthTech Start-up</t>
        </is>
      </c>
      <c r="C121" t="inlineStr">
        <is>
          <t>evoke</t>
        </is>
      </c>
      <c r="D121" t="inlineStr">
        <is>
          <t>linkedin</t>
        </is>
      </c>
      <c r="E121" t="inlineStr"/>
      <c r="F121" t="inlineStr"/>
      <c r="G121" t="inlineStr">
        <is>
          <t>New York, United States</t>
        </is>
      </c>
      <c r="H121" t="inlineStr"/>
      <c r="I121" t="inlineStr">
        <is>
          <t>**Senior Data Engineer \| $160k – $220k \+ Equity \| New York** 
 We’re working with a fast\-growing, $25M\-funded AI HealthTech startup founded by serial entrepreneurs (prior exits worth billions), on a mission to transform healthcare workforce management.
 The company builds AI agents that automate the toughest operational challenges in hospitals and clinics — smarter onboarding, 24/7 staffing optimisation, and complex payroll automation. You’ll join a small, high\-impact engineering team and build systems that directly affect how caregivers deliver care.
 They are hiring for a
 **Senior Software Engineer, Data,** 
 to design and scale pipelines/integrations with Airbyte, Dagster, RPA tools, and Postgres.
**Tech Stack:** 
 Python, Node.js, Postgres, Kubernetes, CI/CD, Airbyte, Dagster, Python, GCP
**Package:** 
 $160,000 – $220,000 \+ equity \+ benefits
 You should apply if you have:
* 5\+ years of software engineering experience with a focus on data systems
* Strong experience with SQL and Postgres
* Have worked with Airbyte, Dagster or similar
* Experience with CI/CD pipelines and working in cloud environments
**Please note: visa sponsorship is not available for these roles.**</t>
        </is>
      </c>
    </row>
    <row r="122">
      <c r="A122" t="inlineStr">
        <is>
          <t>li-4330872794</t>
        </is>
      </c>
      <c r="B122" t="inlineStr">
        <is>
          <t>Data Engineer at Major Japanese Bank</t>
        </is>
      </c>
      <c r="C122" t="inlineStr">
        <is>
          <t>Jobs via Dice</t>
        </is>
      </c>
      <c r="D122" t="inlineStr">
        <is>
          <t>linkedin</t>
        </is>
      </c>
      <c r="E122" t="inlineStr"/>
      <c r="F122" t="inlineStr"/>
      <c r="G122" t="inlineStr">
        <is>
          <t>Phoenix, AZ</t>
        </is>
      </c>
      <c r="H122" t="inlineStr"/>
      <c r="I122" t="inlineStr">
        <is>
          <t>Dice is the leading career destination for tech experts at every stage of their careers. Our client, NSD International, Inc., is seeking the following. Apply via Dice today!
* Only candidates who are based in AZ will be considered.
**Summary**
 The Software Engineer, Data will be responsible for designing, developing, and maintaining robust data solutions that enable efficient storage, processing, and analysis of large\-scale datasets. This role focuses on building scalable data pipelines, optimizing data workflows, and ensuring data integrity across systems. The engineer collaborates closely with cross\-functional teams including data scientists, analysts, and business stakeholders to translate requirements into technical solutions that support strategic decision\-making. A successful candidate will have strong programming skills, deep knowledge of data architecture, and experience with modern cloud and big data technologies, while adhering to best practices in security, governance, and performance optimization.
 Principal Duties And Responsibilities: Design and implement scalable, reliable, and secure data solutions. Proficient in SQL and data modeling concepts. Develop data models and schemas optimized for performance and maintainability. Build and maintain ETL/ELT pipelines to ingest, transform, and load data from multiple sources. Optimize data workflows for efficiency and cost\-effectiveness. Collaborate closely with data analysts and business teams to understand their requirements. Build frameworks for data ingestion pipelines that handle various data sources, including batch and real\-time data. Participate in technical decision\-making. Design, develop, test, deploy, and maintain data processing pipelines. Design and build scalable, reliable infrastructure with a strong focus on quality, security, and privacy techniques. Communicate complex technical concepts effectively to diverse audiences. Understand business KPIs and translate them into technical solutions. Create detailed technical documentation covering processes, frameworks, best practices, and operational support. Provide constructive feedback during code reviews.
 Position Specifications: Bachelor's degree in Computer Science, Computer Engineering, or Information Systems Technology 5\+ years of overall experience in software development using Python Strong experience with SQL and database technologies (Relational and NoSQL). Hands\-on experience with data pipeline frameworks (e.g., Apache Spark, Airflow, Kafka). Familiarity with cloud platforms (Google Cloud Platform) and data services. Knowledge of data modeling, ETL/ELT processes, and performance optimization. Strong analytical and communication skills: verbal and written</t>
        </is>
      </c>
    </row>
    <row r="123">
      <c r="A123" t="inlineStr">
        <is>
          <t>li-4330844624</t>
        </is>
      </c>
      <c r="B123" t="inlineStr">
        <is>
          <t>Senior Associate, Insights Analytics Engineer</t>
        </is>
      </c>
      <c r="C123" t="inlineStr">
        <is>
          <t>LinkedIn</t>
        </is>
      </c>
      <c r="D123" t="inlineStr">
        <is>
          <t>linkedin</t>
        </is>
      </c>
      <c r="E123">
        <f>HYPERLINK("https://www.linkedin.com/jobs/view/4330844624", "https://www.linkedin.com/jobs/view/4330844624")</f>
        <v/>
      </c>
      <c r="F123" t="inlineStr"/>
      <c r="G123" t="inlineStr">
        <is>
          <t>New York, NY</t>
        </is>
      </c>
      <c r="H123" t="inlineStr"/>
      <c r="I12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can be located in our New York or Chicago offices.*
 As a
 **Senior Associate, Insights Analytics Engineer** 
 supporting the
 **Marketing Solutions** 
 business, you will leverage one of the richest proprietary datasets in the world. You will work with a high\-caliber, passionate team who believes that data can transform how a company does business. You will lead high\-impact programs and scale analytics tools that create value for our customers, our sales teams, and our business.
 Your work will help supercharge our go\-to\-market efforts by infusing data into how we sell and the stories we tell.  In this role, you will develop scaled customer insights solutions, used by thousands of sales professionals every day, by capturing complex business requirements, owning end\-to\-end technical development, and driving field\-wide deployment.  This includes prototyping, developing, and validating internal and customer\-facing solutions to build quality insights products.
 To be successful in this role, you will be a proactive, analytical product manager, using LinkedIn’s unique data and disciplined project management techniques to design and execute programs and tools focused on accelerating LinkedIn’s growth. Diverse internal partners you’ll collaborate with include—but are not limited to—Insights, Sales, Sales Readiness, Product Marketing, Engineering, Data Science, and Product.  You’ll embrace continuous learning and diverse feedback to ensure that your tools and programs are evolving and improving to meet the needs of our customers.  You like to dream big, work collaboratively to get stuff done, and know how to have fun along the way.
**Responsibilities** 
 :
* Partner cross\-functionally to design, plan, and execute strategy
* Create requirements and project plans for analytic programs and tools, and re\-prioritize based on impact and level of effort to complete
* Build a communications plan that ensures effective delivery and awareness of new Insights product or feature launches and incorporates feedback from key stakeholders
* Establish a high bar for compelling scaled insights business cases
* Identify scaled solutions for the most important customer challenges by leveraging LinkedIn’s unique data and act as an advisor to manage stakeholder expectations
* Leverage SQL/Python to extract and manipulate necessary data
* Analyze results to generate business insights
**Qualifications**
**Basic Qualifications**
* BA/BS in math, marketing, statistics, economics, business or related field
* 4\+ years of work experience in project or program management or a consulting role working cross\-functionally
* 3\+ years of experience with data analysis, data storytelling, and data visualization tools (e.g., Tableau, Power BI, etc.) to turn data into insights and present to internal and/or external stakeholders
* 2\+ years working with SQL to query large datasets (e.g., Pig, Hive, Presto, Spark SQL, etc.)
* 2\+ years working with Python for data manipulation, batch processing, machine learning, statistical analysis, etc.
**Preferred Qualifications**
* Experience in digital marketing analytics
* Business acumen and creative problem\-solving skills
* Experience managing complex, multi\-workstream programs
* Experience working with both technical and non\-technical stakeholders like sales to capture complex business requirements, solution, and drive full scale deployment (launch, adoption, impact assessment)
* Excellent interpersonal, communication, writing, presentation, statistical and data analysis skills
* Experience turning data into insights and presenting to internal (technical and non\-technical) stakeholders and external stakeholders
* Expert knowledge of MS Office (Outlook, Word, PowerPoint and Excel)
**Suggested Skills:**
* Stakeholder management
* Data visualization and storytelling
* Python
* Consulting
* SQL
 LinkedIn is committed to fair and equitable compensation practices.
 The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24">
      <c r="A124" t="inlineStr">
        <is>
          <t>li-4330745229</t>
        </is>
      </c>
      <c r="B124" t="inlineStr">
        <is>
          <t>Senior Associate, Insights Analytics Engineer</t>
        </is>
      </c>
      <c r="C124" t="inlineStr">
        <is>
          <t>LinkedIn</t>
        </is>
      </c>
      <c r="D124" t="inlineStr">
        <is>
          <t>linkedin</t>
        </is>
      </c>
      <c r="E124">
        <f>HYPERLINK("https://www.linkedin.com/jobs/view/4330745229", "https://www.linkedin.com/jobs/view/4330745229")</f>
        <v/>
      </c>
      <c r="F124" t="inlineStr"/>
      <c r="G124" t="inlineStr">
        <is>
          <t>Chicago, IL</t>
        </is>
      </c>
      <c r="H124" t="inlineStr"/>
      <c r="I12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can be located in our New York or Chicago offices.*
 As a
 **Senior Associate, Insights Analytics Engineer** 
 supporting the
 **Marketing Solutions** 
 business, you will leverage one of the richest proprietary datasets in the world. You will work with a high\-caliber, passionate team who believes that data can transform how a company does business. You will lead high\-impact programs and scale analytics tools that create value for our customers, our sales teams, and our business.
 Your work will help supercharge our go\-to\-market efforts by infusing data into how we sell and the stories we tell.  In this role, you will develop scaled customer insights solutions, used by thousands of sales professionals every day, by capturing complex business requirements, owning end\-to\-end technical development, and driving field\-wide deployment.  This includes prototyping, developing, and validating internal and customer\-facing solutions to build quality insights products.
 To be successful in this role, you will be a proactive, analytical product manager, using LinkedIn’s unique data and disciplined project management techniques to design and execute programs and tools focused on accelerating LinkedIn’s growth. Diverse internal partners you’ll collaborate with include—but are not limited to—Insights, Sales, Sales Readiness, Product Marketing, Engineering, Data Science, and Product.  You’ll embrace continuous learning and diverse feedback to ensure that your tools and programs are evolving and improving to meet the needs of our customers.  You like to dream big, work collaboratively to get stuff done, and know how to have fun along the way.
**Responsibilities** 
 :
* Partner cross\-functionally to design, plan, and execute strategy
* Create requirements and project plans for analytic programs and tools, and re\-prioritize based on impact and level of effort to complete
* Build a communications plan that ensures effective delivery and awareness of new Insights product or feature launches and incorporates feedback from key stakeholders
* Establish a high bar for compelling scaled insights business cases
* Identify scaled solutions for the most important customer challenges by leveraging LinkedIn’s unique data and act as an advisor to manage stakeholder expectations
* Leverage SQL/Python to extract and manipulate necessary data
* Analyze results to generate business insights
**Qualifications**
**Basic Qualifications**
* BA/BS in math, marketing, statistics, economics, business or related field
* 4\+ years of work experience in project or program management or a consulting role working cross\-functionally
* 3\+ years of experience with data analysis, data storytelling, and data visualization tools (e.g., Tableau, Power BI, etc.) to turn data into insights and present to internal and/or external stakeholders
* 2\+ years working with SQL to query large datasets (e.g., Pig, Hive, Presto, Spark SQL, etc.)
* 2\+ years working with Python for data manipulation, batch processing, machine learning, statistical analysis, etc.
**Preferred Qualifications**
* Experience in digital marketing analytics
* Business acumen and creative problem\-solving skills
* Experience managing complex, multi\-workstream programs
* Experience working with both technical and non\-technical stakeholders like sales to capture complex business requirements, solution, and drive full scale deployment (launch, adoption, impact assessment)
* Excellent interpersonal, communication, writing, presentation, statistical and data analysis skills
* Experience turning data into insights and presenting to internal (technical and non\-technical) stakeholders and external stakeholders
* Expert knowledge of MS Office (Outlook, Word, PowerPoint and Excel)
**Suggested Skills:**
* Stakeholder management
* Data visualization and storytelling
* Python
* Consulting
* SQL
 LinkedIn is committed to fair and equitable compensation practices.
 The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25">
      <c r="A125" t="inlineStr">
        <is>
          <t>li-4358680729</t>
        </is>
      </c>
      <c r="B125" t="inlineStr">
        <is>
          <t>Data Engineer</t>
        </is>
      </c>
      <c r="C125" t="inlineStr">
        <is>
          <t>Base Power Company</t>
        </is>
      </c>
      <c r="D125" t="inlineStr">
        <is>
          <t>linkedin</t>
        </is>
      </c>
      <c r="E125">
        <f>HYPERLINK("https://www.linkedin.com/jobs/view/4358680729", "https://www.linkedin.com/jobs/view/4358680729")</f>
        <v/>
      </c>
      <c r="F125">
        <f>HYPERLINK("https://jobs.ashbyhq.com/base-power/a0e10a3b-30ee-415e-9398-5defb4a10e2d?source=LinkedIn&amp;urlHash=b9Bm", "https://jobs.ashbyhq.com/base-power/a0e10a3b-30ee-415e-9398-5defb4a10e2d?source=LinkedIn&amp;urlHash=b9Bm")</f>
        <v/>
      </c>
      <c r="G125" t="inlineStr">
        <is>
          <t>Austin, TX</t>
        </is>
      </c>
      <c r="H125" t="inlineStr"/>
      <c r="I125" t="inlineStr">
        <is>
          <t>**About Base**
 Base is America’s next\-generation power company. We’re rebuilding the foundation of modern civilization–electricity–by deploying a vast network of distributed batteries that is transforming today’s fragile, centralized grid into a resilient and abundant system. We are engineers, operators, and creatives solving some of the most complex, interdisciplinary challenges of our time.
**About The Role**
 You will design, build, and operate the core data infrastructure. In this role, you’ll own critical data pipelines and datasets that support product development, grid operations, analytics, and business reporting.
 You’ll work closely with engineers, operators, business teams, and analytics to understand data needs and turn them into scalable, reliable systems. This is a hands\-on role with real ownership, your work will shape our data architecture as we grow and ensure it can scale with the company.
**What You’ll Do**
* Design, build, and maintain reliable data pipelines that ingest data from product, operational, and third\-party systems into our data platform
* Develop and own core data models and canonical datasets used across the company for analytics, reporting, and decision\-making
* Build and operate batch and streaming data workflows with a focus on correctness, performance, and scalability
* Partner closely with EPD, operations, manufacturing, and business teams to understand data requirements and deliver practical solutions
* Improve data quality, observability, and documentation so teams can confidently use data without deep context
* Help define and evolve our data architecture, tooling, and best practices as the company scales
**What You'll Bring**
* Deep experience in data engineering, or backend engineering with a strong data focus
* Are comfortable building and maintaining production data pipelines using Go, Python, SQL, and modern data orchestration frameworks.
* Have experience working with data warehouses and/or data lakes (e.g., BigQuery, Snowflake, Redshift, Databricks, or similar)
* Have worked with distributed data processing or streaming systems (e.g., Spark, Kafka, Flink, or equivalents)
* Care deeply about data quality, schema design, and building datasets that others can trust and understand
* Enjoy working in fast\-moving environments with evolving requirements and ambiguous problems
* Take pride in building simple, reliable systems that solve real problems
* Familiarity with cloud infrastructure and infrastructure\-as\-code (e.g., AWS/GCP, Terraform)
**Our Values**
* First Principles Thinking: Question assumptions. Principles \&gt; rules.
* Operate at Base Pace: Focus on what matters, act quickly, and learn by doing.
* Give \&amp; Get Feedback: Be direct, be humble, and maintain a growth mindset.
* Everyone’s an Owner: Follow through on commitments and own results.
* Strong Opinions, Loosely Held: Drive clarity and make calls with imperfect information.
* Committed to the Mission: Rebuilding the grid is a big challenge. We work hard because we care deeply about the impact we’re creating. We work in\-person. It’s not a 9\-to\-5\. We are all\-in.
* Fun \&amp; Optimism Coexist with Grit: Collaboration and celebration coincide with the intensity of building real things.
**Do the best work of your life at Base.**</t>
        </is>
      </c>
    </row>
    <row r="126">
      <c r="A126" t="inlineStr">
        <is>
          <t>li-4358780389</t>
        </is>
      </c>
      <c r="B126" t="inlineStr">
        <is>
          <t>Senior Data Engineer (Python Developer)</t>
        </is>
      </c>
      <c r="C126" t="inlineStr">
        <is>
          <t>Ryan</t>
        </is>
      </c>
      <c r="D126" t="inlineStr">
        <is>
          <t>linkedin</t>
        </is>
      </c>
      <c r="E126">
        <f>HYPERLINK("https://www.linkedin.com/jobs/view/4358780389", "https://www.linkedin.com/jobs/view/4358780389")</f>
        <v/>
      </c>
      <c r="F126">
        <f>HYPERLINK("https://ryan.wd1.myworkdayjobs.com/RyanCareers/job/Dallas/Senior-Data-Engineer\u002d\u002dPython-Developer-_R0017737-1?source=LinkedIn&amp;urlHash=-zv8", "https://ryan.wd1.myworkdayjobs.com/RyanCareers/job/Dallas/Senior-Data-Engineer\u002d\u002dPython-Developer-_R0017737-1?source=LinkedIn&amp;urlHash=-zv8")</f>
        <v/>
      </c>
      <c r="G126" t="inlineStr">
        <is>
          <t>Dallas, TX</t>
        </is>
      </c>
      <c r="H126" t="inlineStr"/>
      <c r="I126" t="inlineStr">
        <is>
          <t>**Why Ryan?**
* Hybrid Work Options
* Award\-Winning Culture
* Generous Personal Time Off (PTO) Benefits
* 14\-Weeks of 100% Paid Leave for New Parents (Adoption Included)
* Monthly Gym Membership Reimbursement OR Gym Equipment Reimbursement
* Benefits Eligibility Effective Day One
* 401K with Employer Match
* Tuition Reimbursement After One Year of Service
* Fertility Assistance Program
* Four\-Week Company\-Paid Sabbatical Eligibility After Five Years of Service
 The Senior Data Engineer is responsible for the identifying, developing, and maintaining the technologies that enable the efficient flow of data throughout the organization. This role requires an enterprise mindset to build out robust, high\-performance technology.
**Duties And Responsibilities, Aligned With Key Results**
**People**
* Use a variety of programming languages and tools to develop, test, and maintain data pipelines within the Platform Reference Architecture.
* Working directly with management, product teams and practice personnel to understand their platform data requirements
* Maintaining a positive work atmosphere by behaving and communicating in a manner that encourages productive interactions with customers, co\-workers and supervisors
* Developing and engaging with team members by creating a motivating work environment that recognizes, holds team members accountable, and rewards strong performance
* Fostering an innovative, inclusive and diverse team environment, promoting positive team culture, encouraging collaboration and self\-organization while delivering high quality solutions
**Client**
* Collaborating on an Agile team to design, develop, test, implement and support highly scalable data solutions
* Collaborating with product teams and clients to deliver robust cloud\-based data solutions that drive tax decisions and provide powerful experiences
* Analyzing user feedback and activity and iterate to improve the services and user experience
**Value**
* Securing data in alignment with internal information and data security policies, best practices and client requirements
* Creating and implementing robust cloud\-based data solutions that scale effectively, and provide powerful experiences for both internal teams and clients
* Performing unit tests and conducting reviews with other team members to make sure solutions and code are rigorously designed, elegantly coded and effectively tuned for performance
* Staying on top of tech trends, experimenting with and learning new technologies, participating in internal \&amp; external technology communities and mentoring other members of the engineering community
* Perform other duties as assigned
**Education And Experience**
 Bachelor’s and/or Master’s degree in a related field.
* 7\+ years of experience developing data technologies.
* 7\+ years of experience deploying ETL solutions in production environments.
* 7\+ years of experience with cloud\-based data services, preferably in AWS or Azure.
* 7\+ years of experience developing Python, Scala, Java, .Net or similar solutions in a backend or data wrangling capacity.
* 7\+ years of experience in mixed Windows/Linux environments.
**Additional Required Skills And Experience**
* Results\-proven track record of exceeding goals and evidence of the ability to consistently make good decisions through a combination of analysis, experience and judgment
* Fluency in one or more databases, preferably relational and NoSQL is a plus.
* Experience with distributed data platforms is a plus.
* Exposure to AI/ML pipelines is preferred.
* Experience deploying, monitoring, and maintaining data pipelines in production environments
**Computer Skills**
 To perform this job successfully, an individual must have intermediate knowledge of Microsoft Project, Word, Excel, Access, PowerPoint, Outlook, and Internet navigation and research.
**Supervisory Responsibilities**
 Requires supervisory responsibilities, including training employees, assigning work, and assuring quality throughout any deliverables
**Work Environment**
* Standard indoor working environment.
* Occasional long periods of sitting while working at computer.
* Position requires regular interaction with employees at all levels of the Firm and interface with external vendors as necessary.
* Independent travel requirement: As Needed</t>
        </is>
      </c>
    </row>
    <row r="127">
      <c r="A127" t="inlineStr">
        <is>
          <t>li-4354607381</t>
        </is>
      </c>
      <c r="B127" t="inlineStr">
        <is>
          <t>Data Engineer - AI/ML</t>
        </is>
      </c>
      <c r="C127" t="inlineStr">
        <is>
          <t>Fintech</t>
        </is>
      </c>
      <c r="D127" t="inlineStr">
        <is>
          <t>linkedin</t>
        </is>
      </c>
      <c r="E127">
        <f>HYPERLINK("https://www.linkedin.com/jobs/view/4354607381", "https://www.linkedin.com/jobs/view/4354607381")</f>
        <v/>
      </c>
      <c r="F127" t="inlineStr"/>
      <c r="G127" t="inlineStr">
        <is>
          <t>Tampa, FL</t>
        </is>
      </c>
      <c r="H127" t="inlineStr"/>
      <c r="I127" t="inlineStr">
        <is>
          <t>We are seeking a Data Engineer with strong AI/ML expertise to modernize and scale our Business Intelligence (BI) capabilities. This role will design and build data pipelines, deploy machine learning solutions, and operationalize intelligent analytics to drive decision\-making across the organization. The ideal candidate blends data engineering best practices with applied machine learning, MLOps, and AI.
**Key Responsibilities**
 Project Responsibility: End\-to\-end data pipelines and integrations
**Technical Competencies**
* Advanced SQL optimization and complex query design
* Kafka streaming applications and connector development
* Databricks workflow development with medallion architecture
* Data governance implementation and compliance
* Performance tuning for large\-scale data processing
* Data security and privacy best practices
* Apache NiFi pipeline development for invoice and PO processing
* Integration with purpose\-built data stores (Druid, MongoDB, OpenSearch, Postgres)
* Build and maintain end\-to\-end ML pipelines for training, deployment, and monitoring of models.
* Design and optimize data architectures for large\-scale ML workloads
* Explore and implement LLM\-based solutions, RAG architectures, and generative AI for business use cases.
**Soft Skills**
* Cross\-functional collaboration with product and engineering teams
* Technical mentoring for junior data engineers
* Analytical thinking for complex data problems
* Stakeholder communication for data requirements
* Process improvement and efficiency focus
* Quality mindset for data accuracy and reliability Vendor Management:
* Direct communication with data platform vendors
* Evaluates vendor tools for specific data use cases
* Provides technical feedback on vendor product roadmaps
* Coordinates with vendors for data integration projects
**Qualifications**
*Bachelor’s/Master’s in Computer Science, Data Engineering, Statistics, or related field.*
*5\+ years in data engineering; 2\+ years applying ML in production.*
**Our Benefits:** 
* Hybrid Work
* Employer Matched 401K
* Company Paid Medical Insurance Option for Employee and Dependent Children
* Company Paid Dental Insurance for Employee
* Company Paid Vision Insurance for Employee
* Company Paid Long and Short\-Term Disability
* Company Paid Life and AD\&amp;D Insurance
* 18 Paid Vacation Days a Year
* Six Paid Holidays
* Employee Recognition Programs
* Holiday Bonus
* Incentive Compensation
* Community Outreach Opportunities
* Business Casual Dress Code
**About Fintech:** 
 Fintech, a pioneering accounts payable (AP) automation solutions provider, has dedicated nearly 35 years to automating invoice processing between retail and hospitality businesses, and their supply chain partners. Backed by leading investors TA Associates and General Atlantic, it stands as a leader in this sector. Its flagship product, PaymentSource®, was first built for the alcohol industry to provide invoice payment automation between alcohol distributors and their customers across all 50 states. Today, it is utilized by over 267,000 businesses nationwide for invoice payment and collection associated with all B2B business transactions. This proven platform automates invoice payment, streamlines payment collection, and facilitates comprehensive data capture for over 1\.1 million business relationships. Recognizing operational hurdles, Fintech expanded its payment capabilities to include scan\-based trading/consignment selling for its vendors and retailers and built an advanced CRM tool with functionality to fortify vendor, supplier, and distributor field execution, addressing diverse profit center challenges. For more information about Fintech and its range of solutions, please visit
 **www.fintech.com** 
 .
*Fintech is a Drug\-Free Workplace. Fintech is an Equal Opportunity Employer that does not discriminate on the basis of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 Fintech’s management team is dedicated to this policy with respect to recruitment, hiring, placement, promotion, transfer, training, compensation, benefits, employee activities, access to facilities and programs and general treatment during employment.* 
*We E\-Verify.*</t>
        </is>
      </c>
    </row>
    <row r="128">
      <c r="A128" t="inlineStr">
        <is>
          <t>li-4358760203</t>
        </is>
      </c>
      <c r="B128" t="inlineStr">
        <is>
          <t>Data Engineer III - Remote (6001)</t>
        </is>
      </c>
      <c r="C128" t="inlineStr">
        <is>
          <t>itD</t>
        </is>
      </c>
      <c r="D128" t="inlineStr">
        <is>
          <t>linkedin</t>
        </is>
      </c>
      <c r="E128">
        <f>HYPERLINK("https://www.linkedin.com/jobs/view/4358760203", "https://www.linkedin.com/jobs/view/4358760203")</f>
        <v/>
      </c>
      <c r="F128" t="inlineStr"/>
      <c r="G128" t="inlineStr"/>
      <c r="H128" t="inlineStr"/>
      <c r="I128" t="inlineStr">
        <is>
          <t>itD is seeking a
 **Data Engineer** 
 to design, build, and maintain scalable advertising data pipelines that power revenue reporting, analytics, and decision\-making across monetization platforms. This role contributes directly to data reliability, performance, and insight generation by delivering high\-quality datasets that support advertising efficiency and business growth. The ideal candidate brings deep experience in ads data platform engineering, data pipeline development, and revenue metrics analysis, with a proven ability to deliver reliable, production\-grade data solutions.
**Location:** 
 Remote (U.S.\-based; Pacific Time collaboration preferred)
 We provide comprehensive medical benefits, a 401(k) plan, paid holidays, and more. Please note that we are only considering direct W2 candidates at this time, as we are unable to offer sponsorship.
**Responsibilities**
* Develop, maintain, and optimize large\-scale advertising data pipelines and warehouse tables supporting monetization and reporting use cases.
* Build and author scalable, high\-performance ETL/ELT pipelines with strict SLA requirements.
* Support revenue metrics reporting, KPI development, and opportunity score calculations used for advertising insights.
* Perform data quality validation, troubleshoot pipeline and data issues, and conduct root cause analysis to ensure data integrity.
* Provide technical guidance on data source selection, data modeling, and SQL/Presto query optimization.
* Assist with data governance, privacy compliance, and Tier\-0 certification processes for critical data assets (tables, pipelines, dashboards).
* Collaborate with cross\-functional teams including product, sales, analytics, and engineering to deliver actionable, high\-quality data and support ad hoc data requests.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3–5 years of experience in data engineering, with a focus on advertising, monetization, or revenue\-focused data platforms.
* Advanced SQL expertise with deep experience using Presto for large\-scale data analysis and pipeline development.
* Proven experience designing and building scalable ETL/ELT pipelines and data warehouses.
* Strong data modeling experience supporting analytical and reporting use cases.
* Strong Python coding experience for data processing, pipeline development, and automation.
* Extensive experience with KPI and revenue metrics reporting, including metric design, analysis, and visualization.
* Demonstrated expertise in data quality management, troubleshooting, and root cause analysis.
* Solid understanding of advertising data models, campaign structures, and ads reporting requirements.
* Excellent written and verbal communication skills for technical documentation and stakeholder collaboration.
**Preferred Qualifications And Skills**
* Experience with Hive tables and data warehouse optimization.
* Knowledge of data governance, privacy compliance, and permission management frameworks.
* Experience supporting Tier\-0 or highly critical data assets with strict SLAs.
* Ability to work effectively with cross\-functional teams including sales, product, and analytics.
* Prior experience in large\-scale advertising or monetization platforms.
* Exposure to AI\-driven analytics or advanced data use cases.
**Education**
* Bachelor’s degree in a relevant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29">
      <c r="A129" t="inlineStr">
        <is>
          <t>li-4358552745</t>
        </is>
      </c>
      <c r="B129" t="inlineStr">
        <is>
          <t>Sr. Data Engineer - Databricks</t>
        </is>
      </c>
      <c r="C129" t="inlineStr">
        <is>
          <t>DATAECONOMY</t>
        </is>
      </c>
      <c r="D129" t="inlineStr">
        <is>
          <t>linkedin</t>
        </is>
      </c>
      <c r="E129">
        <f>HYPERLINK("https://www.linkedin.com/jobs/view/4358552745", "https://www.linkedin.com/jobs/view/4358552745")</f>
        <v/>
      </c>
      <c r="F129" t="inlineStr"/>
      <c r="G129" t="inlineStr">
        <is>
          <t>Chicago, IL</t>
        </is>
      </c>
      <c r="H129" t="inlineStr"/>
      <c r="I129" t="inlineStr">
        <is>
          <t>DATAECONOMY is one of the fastest\-growing Data \&amp; Analytics company with global presence. We are well\-differentiated and are known for our Thought leadership, out\-of\-the\-box products, cutting\-edge solutions, accelerators, innovative use cases, and cost\-effective service offerings.
 We offer products and solutions in Cloud, Data Engineering, Data Governance, AI/ML, DevOps and Blockchain to large corporates across the globe. Strategic Partners with AWS, Collibra, cloudera, neo4j, DataRobot, Global IDs, tableau, MuleSoft and Talend.
**Position: Data Architect/ Sr. Data Engineer**
**Location: Chicago, IL/ Hybrid**
**Experience: 10\+yrs**
**Full time role**
**Job Description:**
* Bachelor’s degree in computer science, Information Technology, or a related field; Master’s degree.
* Strong experience on Python.
* Extensive hands\-on experience in Azure Databricks.
* Proficiency with Snowflake, Spark, SQL.
* Strong understanding of data pipelines through CI/CD
* Excellent analytical, problem\-solving, and communication skills.</t>
        </is>
      </c>
    </row>
    <row r="130">
      <c r="A130" t="inlineStr">
        <is>
          <t>li-4330736007</t>
        </is>
      </c>
      <c r="B130" t="inlineStr">
        <is>
          <t>Data Engineer</t>
        </is>
      </c>
      <c r="C130" t="inlineStr">
        <is>
          <t>Blue Ridge Care</t>
        </is>
      </c>
      <c r="D130" t="inlineStr">
        <is>
          <t>linkedin</t>
        </is>
      </c>
      <c r="E130">
        <f>HYPERLINK("https://www.linkedin.com/jobs/view/4330736007", "https://www.linkedin.com/jobs/view/4330736007")</f>
        <v/>
      </c>
      <c r="F130">
        <f>HYPERLINK("https://jobs.apploi.com/view/1691694?utm_campaign=integration&amp;utm_medium=job-board-feed&amp;utm_source=linkedin-feed&amp;urlHash=mpZA", "https://jobs.apploi.com/view/1691694?utm_campaign=integration&amp;utm_medium=job-board-feed&amp;utm_source=linkedin-feed&amp;urlHash=mpZA")</f>
        <v/>
      </c>
      <c r="G130" t="inlineStr">
        <is>
          <t>Winchester, VA</t>
        </is>
      </c>
      <c r="H130" t="inlineStr"/>
      <c r="I130" t="inlineStr">
        <is>
          <t>**Join Blue Ridge Care as a Data Engineer**
 At
 **Blue Ridge Care** 
 , we deliver extraordinary care to improve life’s journey. As a mission\-driven, not\-for\-profit healthcare system, we provide integrated services in hospice, serious illness care, the Program of All\-Inclusive Care for the Elderly (PACE), community thrift shops, and grief support. Our goal is simple: to reimagine how communities experience aging, serious illness, and end\-of\-life care through compassionate, personalized, and high\-quality services.
**Position Summary**
 We are seeking a highly skilled Data Engineer to join our team to enhance our developing internal data platform. The data engineer is a key member of the Data and Analytics team at Blue Ridge Care with responsibility for designing, developing, and maintaining the infrastructure and systems required for data storage, processing, and analysis. They will play a crucial role in the delivery of data and reporting to leaders across the organization to support data\-driven decision\-making. They will collaborate closely with the head of IT and Security, forming a dotted\-line connection for project alignment and task execution.
**Hybrid Work:** 
 This role is primarily remote; however, periodic travel to the office will be required based on business needs.
**Essential Duties \&amp; Responsibilities**
* Designs and develops data pipelines that extract data from various sources, transforms it into the desired format, and loads it into the appropriate data storage systems using CI/CD tools and practices.
* Integrates data from different sources, including databases, data warehouses, APIs, and external systems.
* Creates robust data models and architectures to support analytics initiatives.
* Collaborates with business stakeholders to understand their analytics needs and delivers comprehensive reports, dashboards, and models.
* Collaborates with data analysts to optimize models and algorithms for data quality, security, and governance.
* Ensures data consistency and integrity during the integration process, performing data validation and cleaning as needed.
* Ensures all data engineering activities comply with HIPAA and other relevant healthcare data privacy regulations.
* Monitors and tunes data systems, identifies and resolves performance bottlenecks, and implements caching and indexing strategies to enhance query performance.
* Implements data quality checks and validations within data pipelines to ensure the accuracy, consistency, and completeness of data.
* Establishes the governance of data and algorithms used for analysis, analytical applications, and automated decision making.
* Fosters the creation of a data\-driven culture, related competencies, and data literacy across the enterprise.
* Defines delivery models, methods and practices for creation of data products to ensure consistent application and use of data and analytics solutions.
* Assists in the development, tracking, and reporting of organizational key performance indicators (KPIs) and additional data to support strategic planning and the annual planning and budgeting process.
* Deliver on agreed\-upon impact metrics, including pipeline reliability, data quality improvements, and stakeholder satisfaction.
* Pursues ongoing learning opportunities and certifications (e.g. AWS Certified Data Analytics, Azure Data Engineer Associate).
**Qualifications/Experience**
* Education: A bachelor’s or master’s degree in computer science, data science, software engineering, information systems, or related quantitative field.
* Experience: At least two years of work experience in data management disciplines, including data integration, modeling, optimization and data quality, or other areas directly relevant to data engineering responsibilities and tasks.
* Proven project experience developing and maintaining data warehouses in big data solutions.
* Ability to design, build, and deploy data solutions that capture, explore, transform, and utilize data to support AI, ML, and BI tools.
* Strong ability in programming languages such as Python, Java, and C/C\+\+ with experience writing production code.
* Ability in data science languages/tools such as SQL, R, SAS, or Excel.
* Proficiency in the design and implementation of modern data architectures and concepts such as cloud services (AWS, Azure, GCP) and modern data warehouse tools (Snowflake, Databricks, Microsoft Fabric).
* Experience with database technologies such as SQL, Oracle, Hadoop, or Teradata.
* Ability to collaborate within and across teams of different technical knowledge to support delivery and educate end users on data products.
* Ability to communicate complex technical concepts to non\-technical stakeholders.
* Expert problem\-solving skills, including debugging skills, allowing the determination of sources of issues in unfamiliar code or systems, and the ability to recognize and solve repetitive problems.
* Familiarity with working with Medicare and other health\-related data sets preferred.
* Experience with data analysis tools like SQL, Excel and statistical software.
**Benefits**
* Health Insurance
* Dental Insurance
* Vision Insurance
* Retirement with Company Match
* Paid Time Off
* Paid Volunteer Time
* Thrift Shop Discount
 Hybrid Work: This role is primarily remote; however, periodic travel to the office will be required based on business needs.
**Blue Ridge Care is a non\-profit, equal opportunity employer. We celebrate diversity and are committed to creating an inclusive environment for all employees and patients served.**</t>
        </is>
      </c>
    </row>
    <row r="131">
      <c r="A131" t="inlineStr">
        <is>
          <t>li-4351797060</t>
        </is>
      </c>
      <c r="B131" t="inlineStr">
        <is>
          <t>Data Engineer</t>
        </is>
      </c>
      <c r="C131" t="inlineStr">
        <is>
          <t>LendingTree</t>
        </is>
      </c>
      <c r="D131" t="inlineStr">
        <is>
          <t>linkedin</t>
        </is>
      </c>
      <c r="E131">
        <f>HYPERLINK("https://www.linkedin.com/jobs/view/4351797060", "https://www.linkedin.com/jobs/view/4351797060")</f>
        <v/>
      </c>
      <c r="F131">
        <f>HYPERLINK("https://grnh.se/8d8uj92j1us&amp;urlHash=7nHe", "https://grnh.se/8d8uj92j1us&amp;urlHash=7nHe")</f>
        <v/>
      </c>
      <c r="G131" t="inlineStr">
        <is>
          <t>Seattle, WA</t>
        </is>
      </c>
      <c r="H131" t="inlineStr"/>
      <c r="I131" t="inlineStr">
        <is>
          <t>* PLEASE NOTE: We offer a hybrid 3\-2 work schedule at our Seattle office \-\- (Three days in the office, two days of teleworking) to accommodate the need for flexibility.
* Applicants must be authorized to work for ANY employer in the U.S. We are unable to sponsor or take over sponsorship of an employment Visa at this time.
 QuoteWizard by LendingTree is seeking a Data Engineer to join our Data Engineering team. We have an exciting opportunity to deliver a near real\-time data lake and low\-latency data warehouse using world class cloud data tools and platforms including Snowflake and Matillion. Data Engineering provides a solid data foundation for analytics and machine learning teams that drive business decisions and strategy that power customer journeys across multiple CRM platforms.
 We are seeking a data engineer who will be passionate about building streaming data pipelines, and will partner with our business, technology architects and operations, software engineers, analysts, data scientists, and senior leaders to develop and implement solutions to meet critical data/analytic related business needs and capabilities, while implementing technologies, platforms, and tools aligned to LendingTree's data strategy.
**RESPONSIBILITIES**
* Create real\-time streaming data solutions.
* Implement large scale, high\-performance data analytics, and data integration platforms.
* Design and develop ETL solutions.
* Design and develop frameworks and other approaches for rapid development of high\-quality data and reporting solutions.
* Perform complex data analysis to identify trends, patterns, and opportunities.
* Design, develop, and support database applications spanning multiple lines of business.
* Consult on database design and code reviews across the organization as needed.
* Evaluate performance and perform appropriate troubleshooting as necessary.
* Work with business users to understand project requirements and resolve issues.
* Craft and maintain technical documents including educational materials, standards, and best practices.
* Participate in on\-call rotation for off\-hours support.
* Collaborate effectively across various departments and teams to implement solutions.
* Collaborate on the product roadmap for data engineering to define capabilities of the platforms and services and delivery timelines.
**QUALIFICATIONS**
* 5\+ years of experience with highly scalable, distributed transactional platforms.
* 5\+ years of experience in data warehousing, and ETL development
* Expert in SQL optimization, query writing, and debugging
* Experience designing and implementing transactional databases, data lakes, and data warehouses.
* Knowledge of data warehousing industry standards and standard methodologies.
* Understand dimensional and transactional database modeling.
* Excellent data presentation skills, utilizing dashboards and other technologies.
* Excellent verbal and written communication skills.
* Design and implement projects with minimal guidance.
* Experience with Agile methodologies.
* Dedication to being a phenomenal teammate \- sharing success and struggles equally.
* Experience collaborating with data and software engineers by sharing knowledge, pairing, mobbing, designing solutions together, and code reviewing one another's work.
* Passion for learning and implementing new tools and supporting standard methodologies.
**PREFERRED EXPERIENCE**
* B.S. in Computer Science, Mathematics or equivalent
* Experience working with Snowflake
* Experience with data visualization tools, such as Power BI
* Experience working with modern ETL tools
* Experience with scripting languages like PowerShell
* Experience with programming languages such as Python, C\#
* Experience with Git/GitHub/GitLab
* Experience with Azure Dev Ops/Jira
**COMPANY**
 QuoteWizard, a LendingTree company, is a dynamic insurance lead generation agency based in Seattle. We have been ranked by the INC 500 as one of the fastest growing private companies in the nation. We have also been listed by the Puget Sound Business Journal as a top company in Seattle.
**What you should know about LendingTree, our parent company:**
* We're a publicly\-traded company (TREE).
* We've welcomed several other companies into the LendingTree family to augment our efforts at helping borrowers make their most sensible financial choices.
* We've built the LendingTree app and My LendingTree dashboard to give consumers tools to manage and monitor their financial health.
*Benefits: Medical, dental, vision insurance, 401(k) matching, life insurance, pet insurance, and a competitive PTO (paid time off) policy*
*The base pay range for this position in Colorado/New York/California is $105,000\-125,000 however, base pay offered may vary depending on job\-related knowledge, skills, and experience*
**CULTURE**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
***This is an opportunity for full\-time employment. Please no third parties or Corp to Corp.***
***CCPA Disclosure***</t>
        </is>
      </c>
    </row>
    <row r="132">
      <c r="A132" t="inlineStr">
        <is>
          <t>li-4330844868</t>
        </is>
      </c>
      <c r="B132" t="inlineStr">
        <is>
          <t>Data Engineer</t>
        </is>
      </c>
      <c r="C132" t="inlineStr">
        <is>
          <t>MBTA</t>
        </is>
      </c>
      <c r="D132" t="inlineStr">
        <is>
          <t>linkedin</t>
        </is>
      </c>
      <c r="E132">
        <f>HYPERLINK("https://www.linkedin.com/jobs/view/4330844868", "https://www.linkedin.com/jobs/view/4330844868")</f>
        <v/>
      </c>
      <c r="F132">
        <f>HYPERLINK("https://www.governmentjobs.com/careers/mbta/jobs/5184507/data-engineer&amp;urlHash=vOJb", "https://www.governmentjobs.com/careers/mbta/jobs/5184507/data-engineer&amp;urlHash=vOJb")</f>
        <v/>
      </c>
      <c r="G132" t="inlineStr">
        <is>
          <t>Boston, MA</t>
        </is>
      </c>
      <c r="H132" t="inlineStr"/>
      <c r="I132" t="inlineStr">
        <is>
          <t>At the MBTA, we envision a thriving region enabled by a best\-in\-class transit system. Our mission is to serve the public by providing safe, reliable, and accessible transportation. MBTA’s Core Values are built around safety, service, equity, sustainability, and culture. Each employee that works for the MBTA performs their roles based on our vision, mission, and values. This includes attendance, participation, and contribution in local safety committee meetings as needed.
**Job Summary**
 The Data Engineer will be responsible for expanding, enhancing, and maintaining MBTA’s data warehouse and related infrastructure for effective utilization by internal and external stakeholders. The position will be a vital partner in implementing the MBTA’s broader data strategy. The role involves data warehouse management (including SQL\-based programming to structure data flows and data sources, providing input on data architecture, as well as managing the Extract, Transform and Load (ETL) process, automated data flows, error handling, and other related tasks), and working closely with other members of the Information Management and Technology teams team to promote effective data utilization. This individual will ensure a positive end\-user experience, application availability, and address errors efficiently, as well as oversee the mapping of data sources, data movement, interfaces, and analytics, with the goal of ensuring data quality.
**Duties \&amp; Responsibilities**
* Design, develop, and document ETL processes, technical architecture, data pipelines, and performance.
* Develop integration process data flows and data mapping analyses.
* Address application and data\-related problems regarding systems integration, compatibility, and multiple\-platform integration.
* Develop and promote data integration methodologies and standards.
* Develop and implement key components as needed to create testing criteria to guarantee the fidelity and performance of application and data architecture.
* Identify and develop opportunities for code and data reuse, migration, or retirement of systems.
* Work independently and collaboratively to identify issues, perform root\-cause analysis that would lead to proper and timely issue resolutions.
* Take ownership over data flow errors, communicating about them and working to resolve them as efficiently as possible.
* Establish methods and procedures for tracking data quality, completeness, redundancy, and improvement.
* Work closely with the rest of the Business Intelligence team and other internal stakeholders to understand the needs of the business and build data resources to best meet those needs.
* Perform all other duties and projects that may be assigned.
**Supervision**
* No direct reports.
**Minimum Requirements \&amp; Qualifications**
* Bachelor’s Degree from an accredited institution in Computer Science, Information Systems, Business Administration or another related field.
* Three (3\) years of experience in data engineering or a related role.
* Experience working within an application or Database Production support role and/or experience with scripting and object\-oriented programming languages and/or experience with Relational Databases.
* Experience using ETL tools in a data analyses, data engineering, or similar role.
* Business Intelligence (BI) knowledge with exposure to BI from an ETL perspective.
* Demonstrable experience SQL and core data management principles (such as ETL/ELT, data warehousing architecture, query design, and performance tuning).
* Experience defining/modeling/implementing an Enterprise Data Warehouse using best practices.
* Experience with database schema, objection management, data modeling \&amp; architecture, and data warehouse design.
* Experience with interactive reporting platforms (Tableau, Power BI, etc.).
* Proven track record of self\-starting and growth in related field(s).
* Developing and maintaining formal documentation that describes data and data structures including data modelling.
* Superior attention to detail skills and an ability to think critically and conceptually.
* Team oriented and flexible with proven track record in collaborating with multiple stakeholders.
* Strong verbal and written skills.
* Ability to quickly learn new technologies.
**Substitutions Include**
* A High School Diploma or GED with an additional seven (7\) years of directly related experience substitutes for the Bachelor’s degree requirement.
* An Associate’s degree from an accredited institution an additional three (3\) years of directly related experience substitutes for the Bachelor’s degree requirement.
* A Master’s degree in a related subject substitute for two (2\) years of general experience.
* A nationally recognized certification, or statewide/professional certification in a related field substitutes for one year of experience
**Preferred Experience And Skills**
* Hands\-on experience and expertise in Advanced SQL, Advanced Python programming, AWS Services (such as S3, Redshift, Glue ETL, IAM, DMS, Appflow, VPC and others), SnowFlake, FiveTran, Informatica, KAFKA, Airflow, Oracle Cloud and other open\-source tools.
* Six (6\) years of DWH experience.
* Three (3\) years of exposure to Business Intelligence (BI) from an ETL perspective.
* Six (6\) years of ETL development experience.
* Three (3\) years of Cloud based technological experience.
* Proficiency with interactive reporting platforms (Tableau, Power BI, etc.).
* Proven success with documentation of processes, distributing to end\-users and supporting those users.
* Five (5\) years' experience with advanced data management systems (e.g., PostgreSQL, etc.).
* Deep expertise in data modeling and structuring using Python/R.
* Experience with systems migration experience is highly desirable.
* Experience in high volume data environments.
**Job Conditions:**
* Ability to effectively read, comprehend, communicate, and respond to instructions, orders, signs, notices, inquiries, etc. in English.
* Be at least eighteen (18\) years of age, except if participating in an approved high school internship / co\-op program.
* Ability to commute to assigned work locations in the Boston, MA metro area, as required by the role.
* Ability to provide internal and external customers with courteous and professional experiences.
* Ability to work effectively, independently, and as part of a diverse workforce team (or supervise, if required).
* Ability to uphold the rights and interests of the MBTA while building and maintaining effective relationships with employees and co\-workers.
* Ability to adhere to rules, regulations, collective bargaining agreements (if applicable), and policies of the MBTA, including the EEO, anti\-discrimination, anti\-harassment, and anti\-retaliation policies.
* Have a satisfactory work record for the two (2\) years immediately prior to the closing date of this posting (unless if current student or recent graduate), including overall employment, job performance, discipline, and safety records (infractions and/or offenses occurring after the closing of the posting and before the filling of a vacancy may preclude a candidate from consideration for selection).
* Ability to pass a Criminal Offender Record Information (CORI) check, comprehensive background screening, and / or medical Clinic screening, potentially including physical examination and drug and alcohol screenings.
* Ability to work all shifts and / or locations assigned, directed, or necessary for this position, including (for some transit / operations roles) up to twenty\-four (24\) hours per day, seven (7\) days per week as necessary to accommodate severe weather conditions, emergencies, or any other circumstances that may potentially impact service or the safety of service.
* Intern / co\-op staff must be enrolled full or part\-time in an accredited educational program and maintain a cumulative GPA of at least 2\.5 for the entire duration of the internship / co\-op. Additionally, interns / co\-ops must have valid work authorization and U.S. Social Security Number prior to starting pre\-employment screenings / pre\-boarding, working in their positions, and throughout the duration of their program.
**Disclaimers and Definitions:**
* General Disclaimer: The statements contained in this job description are intended to describe a summary, general nature, and complexity of typical job functions and do not represent an exhaustive list of all duties, tasks, and responsibilities required of staff assigned to this position.
* Application Completion: It is each applicant’s responsibility to ensure application details are entered completely and correctly, including updated work and education histories (past and current). Incomplete applications may not be considered. Attachments do not substitute for application fields. The recruitment team does not have access to existing employee data / history.
* Application Deadlines: Applicants should apply as soon as possible, as the MBTA may stop considering applicants after a sufficiently large applicant pool is established.
* Work Environment: The physical demands and work environment characteristics described here\-in are representative of those an employee may encounter while performing the essential functions of this job. Reasonable accommodations can be made to enable individuals with disabilities to perform essential functions. See job description for role\-specific requirements.
* Work Eligibility: All employees must be legally authorized to work in the United States and on an unrestricted basis. The MBTA does not have an employer work sponsorship program. However, if you have unrestricted work authorization, or are sponsored by a separate entity, you are welcome to apply. Further, all persons hired will require a U.S. Social Security Number prior to starting the position and employees will be required to complete a Form I\-9 to verify their identity and eligibility to work in the U.S.
* Interviews: Candidates should ensure they arrive on time, are prepared, can remain for the duration, and if remote, are in a quiet place without distraction, for the interview. Candidates who do not attend their interview without advance authorization, including an email confirmation of a rescheduled time/date from Human Resources, will be considered a no\-show and disqualified from consideration for the position. Related to rescheduling, on a one\-time basis, and due to something emergent, you may be allowed to reschedule the interview. In addition, Human Resources may require documentation supporting the request. However, should you need to reschedule, you will need to contact your Recruiter directly by email.
* Safety Sensitive Positions: Employees working in this classification will be subject to periodic physical examinations plus random drug and alcohol testing.
* On\-call or 24/7 Positions: Employees working in this classification must be available to respond to page / text / call and report to work as determined by assigned department or the Authority.
* Essential / Emergency Staff: During declared "states of emergency," employees working in this classification are required to report to work for their assigned work hours or as directed by management.
* ADA Accommodations: The MBTA makes reasonable accommodations for applicants with disabilities. If you require an accommodation during this process, please contact the MBTA's ADA Unit at 617\-222\-5751 or hradaaa@mbta.com .
* Diversity, Equity, and Inclusion: The MBTA is an Equal Employment Opportunity Employer . For terms, descriptions, and definitions related to diversity, equity, inclusion, veteran status, and immediate family members that you may find on the application form, please visit mbta.com/careers\-app\-definitions .
* Intern / Co\-Op Benefits: Employees taking part in an internship or co\-op at the MBTA are eligible to receive accrued paid sick leave as well as a monthly transportation pass, based on the city from which the intern / co\-op commutes to work, at no cost. However, no additional benefits are currently offered for interns or co\-ops.</t>
        </is>
      </c>
    </row>
    <row r="133">
      <c r="A133" t="inlineStr">
        <is>
          <t>li-4358750253</t>
        </is>
      </c>
      <c r="B133" t="inlineStr">
        <is>
          <t>Senior Data Engineer (Python Developer)</t>
        </is>
      </c>
      <c r="C133" t="inlineStr">
        <is>
          <t>tax.com</t>
        </is>
      </c>
      <c r="D133" t="inlineStr">
        <is>
          <t>linkedin</t>
        </is>
      </c>
      <c r="E133">
        <f>HYPERLINK("https://www.linkedin.com/jobs/view/4358750253", "https://www.linkedin.com/jobs/view/4358750253")</f>
        <v/>
      </c>
      <c r="F133" t="inlineStr"/>
      <c r="G133" t="inlineStr">
        <is>
          <t>Dallas, TX</t>
        </is>
      </c>
      <c r="H133" t="inlineStr"/>
      <c r="I133" t="inlineStr">
        <is>
          <t>**Why Ryan?**
* Hybrid Work Options
* Award\-Winning Culture
* Generous Personal Time Off (PTO) Benefits
* 14\-Weeks of 100% Paid Leave for New Parents (Adoption Included)
* Monthly Gym Membership Reimbursement OR Gym Equipment Reimbursement
* Benefits Eligibility Effective Day One
* 401K with Employer Match
* Tuition Reimbursement After One Year of Service
* Fertility Assistance Program
* Four\-Week Company\-Paid Sabbatical Eligibility After Five Years of Service
 The Senior Data Engineer is responsible for the identifying, developing, and maintaining the technologies that enable the efficient flow of data throughout the organization. This role requires an enterprise mindset to build out robust, high\-performance technology.
**Duties And Responsibilities, Aligned With Key Results**
**People**
* Use a variety of programming languages and tools to develop, test, and maintain data pipelines within the Platform Reference Architecture.
* Working directly with management, product teams and practice personnel to understand their platform data requirements
* Maintaining a positive work atmosphere by behaving and communicating in a manner that encourages productive interactions with customers, co\-workers and supervisors
* Developing and engaging with team members by creating a motivating work environment that recognizes, holds team members accountable, and rewards strong performance
* Fostering an innovative, inclusive and diverse team environment, promoting positive team culture, encouraging collaboration and self\-organization while delivering high quality solutions
**Client**
* Collaborating on an Agile team to design, develop, test, implement and support highly scalable data solutions
* Collaborating with product teams and clients to deliver robust cloud\-based data solutions that drive tax decisions and provide powerful experiences
* Analyzing user feedback and activity and iterate to improve the services and user experience
**Value**
* Securing data in alignment with internal information and data security policies, best practices and client requirements
* Creating and implementing robust cloud\-based data solutions that scale effectively, and provide powerful experiences for both internal teams and clients
* Performing unit tests and conducting reviews with other team members to make sure solutions and code are rigorously designed, elegantly coded and effectively tuned for performance
* Staying on top of tech trends, experimenting with and learning new technologies, participating in internal \&amp; external technology communities and mentoring other members of the engineering community
* Perform other duties as assigned
**Education And Experience**
 Bachelor’s and/or Master’s degree in a related field.
* 7\+ years of experience developing data technologies.
* 7\+ years of experience deploying ETL solutions in production environments.
* 7\+ years of experience with cloud\-based data services, preferably in AWS or Azure.
* 7\+ years of experience developing Python, Scala, Java, .Net or similar solutions in a backend or data wrangling capacity.
* 7\+ years of experience in mixed Windows/Linux environments.
**Additional Required Skills And Experience**
* Results\-proven track record of exceeding goals and evidence of the ability to consistently make good decisions through a combination of analysis, experience and judgment
* Fluency in one or more databases, preferably relational and NoSQL is a plus.
* Experience with distributed data platforms is a plus.
* Exposure to AI/ML pipelines is preferred.
* Experience deploying, monitoring, and maintaining data pipelines in production environments
**Computer Skills**
 To perform this job successfully, an individual must have intermediate knowledge of Microsoft Project, Word, Excel, Access, PowerPoint, Outlook, and Internet navigation and research.
**Supervisory Responsibilities**
 Requires supervisory responsibilities, including training employees, assigning work, and assuring quality throughout any deliverables
**Work Environment**
* Standard indoor working environment.
* Occasional long periods of sitting while working at computer.
* Position requires regular interaction with employees at all levels of the Firm and interface with external vendors as necessary.
* Independent travel requirement: As Needed</t>
        </is>
      </c>
    </row>
    <row r="134">
      <c r="A134" t="inlineStr">
        <is>
          <t>li-4351787415</t>
        </is>
      </c>
      <c r="B134" t="inlineStr">
        <is>
          <t>Data Engineer – Data &amp; AI Platform</t>
        </is>
      </c>
      <c r="C134" t="inlineStr">
        <is>
          <t>AUTOGUIDOVIE</t>
        </is>
      </c>
      <c r="D134" t="inlineStr">
        <is>
          <t>linkedin</t>
        </is>
      </c>
      <c r="E134">
        <f>HYPERLINK("https://www.linkedin.com/jobs/view/4351787415", "https://www.linkedin.com/jobs/view/4351787415")</f>
        <v/>
      </c>
      <c r="F134" t="inlineStr"/>
      <c r="G134" t="inlineStr">
        <is>
          <t>Milano, TX</t>
        </is>
      </c>
      <c r="H134" t="inlineStr"/>
      <c r="I134" t="inlineStr">
        <is>
          <t>Descrizione azienda
**Autoguidovie** 
 è la più grande azienda privata di trasporto pubblico locale su gomma in Italia.
 La nostra missione è realizzare una mobilità sostenibile, accessibile, sicura e orientata al cliente.
 Innovazione, digitalizzazione e dati sono i pilastri della nostra strategia per trasformare il futuro del trasporto pubblico.
 Posizione
 Per sostenere questa evoluzione, stiamo cercando un/una
**Data Engineer**
 con
 **2–4 anni di esperienza** 
 da inserire nel
 **Data \&amp; AI Team** 
 , a diretto riporto del
 **Chief Digital, Innovation \&amp; Information Officer** 
 .
 Il ruolo contribuirà in modo concreto alla realizzazione della nuova
 **Data Platform** 
 aziendale, uno degli asset più strategici previsti dal Piano Industriale.
**Cosa Farai**
 Entrerai a far parte di un team giovane, multidisciplinare e in forte crescita. Lavorerai a stretto contatto con analisti, product manager e stakeholder del business, contribuendo a progettare e costruire Data Product che creano valore per cittadini, territori e persone di Autoguidovie.
**Le Tue Responsabilità Includeranno**
* Collaborare con data analyst e stakeholder aziendali per comprendere i requisiti e tradurli in soluzioni tecniche efficaci.
* Contribuire alla progettazione, sviluppo e implementazione di pipeline e job dati utilizzando i servizi Azure (Databricks, Data Lake, SQL Data Warehouse, Event Hub, ecc.).
* Supportare i Product Manager e i colleghi del Data \&amp; AI Team durante tutto il ciclo di vita dei Data Product.
* Proporre soluzioni che generino valore per clienti, cittadinanza e funzioni aziendali, con spirito proattivo e orientamento all’impatto.
* Sperimentare nuove tecnologie con approccio concreto e orientato al learning continuo.
* Partecipare all’implementazione di best practice di Data Quality, Data Governance e AI Governance.
* Fornire supporto tecnico agli utenti finali e contribuire alla diffusione della cultura del dato.
 Requisiti
**Chi Cerchiamo**
**Le Persone Che Vorremmo Incontrare**
* Possiedono una laurea in Informatica, Ingegneria Informatica o discipline affini (o esperienza equivalente).
* Hanno 2–4 anni di esperienza nello sviluppo di soluzioni data\-driven su cloud, preferibilmente Microsoft Azure.
* Conoscono in modo approfondito i servizi Azure Data (Data Lake, Databricks, SQL Data Warehouse, Event Hub, ecc.).
* Hanno competenze solide in SQL, Python e PySpark e li hanno utilizzati in progetti reali e consistenti.
* Hanno familiarità con concetti e strumenti di DevOps / MLOps, o con tecnologie come Stream Analytics / Kafka.
* Sanno lavorare in team e in autonomia, con attenzione ai dettagli, problem solving e rispetto delle scadenze.
* Comunicano efficacemente con interlocutori tecnici e non tecnici, parlano correntemente italiano e si adattano a contesti dinamici.
 Altre informazioni
 Altre informazioni
**Cosa Offriamo**
* RAL indicativamente compresa tra i 32k e 42k euro, in base all’esperienza matura e dimostrata durante la selezione;
* Sede di lavoro: Milano (zona Forlanini / Mecenate), con modalità di lavoro ibrida (1 giorno di lavoro agile a settimana);
* Buoni pasto e assicurazione sanitaria;
* Una squadra motivata e la possibilità di portare innovazione tangibile nel settore della mobilità sostenibile;
* Un ambiente di lavoro collaborativo e orientato al valore, in un gruppo di lavoro multidisciplinare che unisce competenze tecniche e di business;
* Opportunità di crescita professionale con coaching e mentorship dedicati, e uno spazio settimanale protetto per la sperimentazione di nuove tecnologie, librerie e framework;
* La partecipazione attiva alla creazione da zero di una nuova AI Platform e allo sviluppo di decine di casi d'uso innovativi.</t>
        </is>
      </c>
    </row>
    <row r="135">
      <c r="A135" t="inlineStr">
        <is>
          <t>li-4351707921</t>
        </is>
      </c>
      <c r="B135" t="inlineStr">
        <is>
          <t>Data Engineer</t>
        </is>
      </c>
      <c r="C135" t="inlineStr">
        <is>
          <t>Quantitative Systems</t>
        </is>
      </c>
      <c r="D135" t="inlineStr">
        <is>
          <t>linkedin</t>
        </is>
      </c>
      <c r="E135">
        <f>HYPERLINK("https://www.linkedin.com/jobs/view/4351707921", "https://www.linkedin.com/jobs/view/4351707921")</f>
        <v/>
      </c>
      <c r="F135" t="inlineStr"/>
      <c r="G135" t="inlineStr">
        <is>
          <t>Austin, Texas Metropolitan Area</t>
        </is>
      </c>
      <c r="H135" t="inlineStr"/>
      <c r="I135" t="inlineStr">
        <is>
          <t>**Data Engineer** 
 Austin, TX
 Join a team focused on building and maintaining the data infrastructure that powers investment research and analytics. In this role, you'll collaborate closely with data scientists, quantitative researchers, and business stakeholders to ensure data is accurate, accessible, and reliable across the organization.
**What You'll Do** 
* Develop and manage end\-to\-end ETL pipelines using tools like Airflow, Dagster, or similar orchestration frameworks.
* Explore and onboard new datasets, taking the time to understand their structure, quirks, and real\-world context.
* Maintain clean, well\-documented datasets that are trusted across multiple teams.
* Work directly with internal stakeholders to identify data needs and guide them to the right sources.
* Assess external data providers to make sure the most effective datasets are being used for each business case.
**What You'll Bring** 
* Proficiency in Python and SQL for data processing and analysis.
* Hands\-on experience building scalable data pipelines; familiarity with Spark or Pandas is a plus.
* A sharp eye for detail and persistence in identifying and resolving data inconsistencies.
* Ability to clearly explain technical concepts to teammates with varying levels of technical expertise.
* 1–3 years of relevant experience, though candidates with deeper experience are also encouraged to apply.
**Who You'll Work Well With** 
* Engineers who enjoy diving into complex datasets and solving messy data problems.
* Teammates who take ownership, define their own path forward, and see projects through from start to finish.
* Builders who care about reliability, documentation, and continuous improvement.
**Why This Role** 
* Your work will directly influence how data informs business and investment decisions.
* You'll gain exposure to a wide variety of financial and alternative datasets.</t>
        </is>
      </c>
    </row>
    <row r="136">
      <c r="A136" t="inlineStr">
        <is>
          <t>li-4358760531</t>
        </is>
      </c>
      <c r="B136" t="inlineStr">
        <is>
          <t>Data Engineer II</t>
        </is>
      </c>
      <c r="C136" t="inlineStr">
        <is>
          <t>Redfin</t>
        </is>
      </c>
      <c r="D136" t="inlineStr">
        <is>
          <t>linkedin</t>
        </is>
      </c>
      <c r="E136">
        <f>HYPERLINK("https://www.linkedin.com/jobs/view/4358760531", "https://www.linkedin.com/jobs/view/4358760531")</f>
        <v/>
      </c>
      <c r="F136">
        <f>HYPERLINK("https://careers.redfin.com/us/en/job/REFREDUS59561EXTERNALENUS/Data-Engineer-II?utm_source=linkedin&amp;utm_medium=phenom-feeds&amp;urlHash=hSbp", "https://careers.redfin.com/us/en/job/REFREDUS59561EXTERNALENUS/Data-Engineer-II?utm_source=linkedin&amp;utm_medium=phenom-feeds&amp;urlHash=hSbp")</f>
        <v/>
      </c>
      <c r="G136" t="inlineStr">
        <is>
          <t>Seattle, WA</t>
        </is>
      </c>
      <c r="H136" t="inlineStr"/>
      <c r="I136" t="inlineStr">
        <is>
          <t>This position is a hybrid role requiring employees to work from our headquarters location in Seattle, WA every Tuesday and Wednesday, and remote all other days.
 Redfin is revolutionizing the $75 billion real estate industry. We use data, beautiful software, and innovative design to put customers first at every step in the home\-buying and selling process. Get ready to dive headfirst into our award\-winning website and mobile apps, solving complex business problems in a highly visible, customer\-centric way. If you value doing great work in a collaborative environment, join our team!
 As a Data Engineer II, you will share ownership of Redfin’s Data Platform, owning business critical data integrations and operational excellence. You will work closely with Engineering and Analytics teams to create and support data pipelines and transformations. The ideal candidate is a data pipeline builder who enjoys optimizing existing systems as well as building new systems from the ground up. We are also looking for someone who is self\-directed and comfortable supporting the data needs of multiple systems and teams.
**Responsibilities**
* Design, develop, and support complex data pipelines from a wide variety of data sources for Redfin
* Work with other Engineering teams to design and implement data exchange systems from structured and unstructured data sources
* Work with end users to gather requirements and design solutions that provide the the data they need in the format they need it in
* Ensure 100% accuracy in everything you do \- make sure that all code and processes are fully tested and verified before running in production
* Identify and implement internal process improvements by automating manual processes and optimizing for accuracy, performance and coding best practices
* Support and maintain dev / test / prod environments
* Serve as part of weekly on call rotation
**Qualifications**
* 3\+ years experience with a modern programming language (Python, Java, etc). Python is preferred
* 3\+ years experience with complex SQL, data modeling and database technologies (Postgres, MySQL, Snowflake, etc). Snowflake is preferred
* Experience creating and maintaining complex data pipelines
* Experience with batch and streaming data pipelines
* Experience with both structured and unstructured data sets
* Ability to translate business needs into technical requirements
* Experience with Git / Jenkins / Airflow / Docker / Kubernetes / Spark is a plus
* Experience with API development is a plus
* Experience with cloud services (AWS / Azure / GCP) is a plus. AWS is preferred
* Ability to structure data to make it accessible, performant, and resilient to change
* Experience with message queuing and stream processing data is a plus
* Ability to handle ambiguity and function in a fast paced, constantly changing environment
* Ability to communicate well with both technical and non technical users
 Illinois, Maryland, Minnesota, Massachusetts, Colorado, New York City, New Jersey, Jersey City, California, D.C. and Washington candidates only:
 Base Pay Range: $108,300\.00 \- 162,200\.00\.
 The position may also be eligible for an annual bonus, incentives, and other employment\-related benefits including, but not limited to, medical, dental, and vision benefits, 401K retirement plan, and paid time off. More information regarding these benefits and others can be found here.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**Redfin is an equal opportunity employer committed to hiring a diverse workforce.**
 A diverse,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row>
    <row r="137">
      <c r="A137" t="inlineStr">
        <is>
          <t>li-4351972987</t>
        </is>
      </c>
      <c r="B137" t="inlineStr">
        <is>
          <t>Senior Data Engineer</t>
        </is>
      </c>
      <c r="C137" t="inlineStr">
        <is>
          <t>Karoo Health</t>
        </is>
      </c>
      <c r="D137" t="inlineStr">
        <is>
          <t>linkedin</t>
        </is>
      </c>
      <c r="E137">
        <f>HYPERLINK("https://www.linkedin.com/jobs/view/4351972987", "https://www.linkedin.com/jobs/view/4351972987")</f>
        <v/>
      </c>
      <c r="F137" t="inlineStr"/>
      <c r="G137" t="inlineStr"/>
      <c r="H137" t="inlineStr"/>
      <c r="I137" t="inlineStr">
        <is>
          <t>**An Industry Defining Company** 
 Karoo is a venture\-backed startup, prior to Series A, on a mission to transform cardiovascular care. Our platform is designed to empower large provider groups and health systems to succeed in value\-based care contracts with payers by improving patient outcomes and reducing cost of care through better coordination, analytics, and disease management. While our initial focus is cardiology, we are building a scalable operating system for managing complex conditions across the healthcare spectrum.
 This is a rare opportunity to join a mission\-driven founding team at a pivotal stage and help define the future of healthcare technology, with the power to improve the lives of patients with cardiovascular disease, the number one cause of death in America today.
**The Role** 
 Karoo Health is seeking a skilled and dedicated developer to join our Engineering team. As a software engineer at Karoo Health, you show a clear passion for quality and love to bring software to life. You are energized by the idea of building something new and want to work on problems that matter.
 In order to do this job well, you must be a curious and eager problem solver with a hunger for building well\-designed, high\-quality solutions.  You have a passion for great work and strive to produce simple solutions to complex problems. Knowing there are always multiple answers to a problem, you know how to engage in a constructive dialogue to find the best path forward. 
 When applying, please include a description of why you’re interested in this role.
**What You'll Do** 
* **Design and Architect Data Systems** 
 : Lead the design, construction, installation, and optimization of highly reliable, scalable, and secure data architecture.
* **Develop Data Pipelines** 
 : Build and maintain complex, production\-grade data pipelines to ingest, process, and enrich large volumes of healthcare data.
* **Data Quality and Governance** 
 : Establish and enforce data quality standards, monitoring, and validation processes to ensure the accuracy, completeness, and consistency of data used for analytics.
* **Performance Optimization** 
 : Implement query tuning, indexing, and partitioning strategies to maximize the performance and efficiency of data processing systems and data retrieval.
* **Cloud Infrastructure** 
 : Design and deploy scalable, secure, cloud infrastructure leveraging infrastructure\-as\-code best practices.
* **Safeguard Data** 
 : Ensure strict compliance with healthcare data regulations (e.g., HIPAA, HITRUST) and implement data security best practices.
**What We're Looking For** 
* Bachelor's degree in Computer Science, Software Engineering, or related field, or equivalent work experience
* Minimum 5 years of dedicated professional experience in a Data Engineering role, preferably within a startup or fast\-paced healthcare technology environment.
* Expert proficiency in
**SQL** 
 and at least one programming language used for data processing (
**Python** 
 or Scala).
* Deep experience designing and managing
**Data Warehouses** 
 (e.g., Snowflake, Google BigQuery, AWS Redshift) and experience with Data Lake technologies (e.g., S3, Delta Lake).
* Demonstrated hands\-on experience with
**Big Data processing frameworks** 
 like
**Apache Spark** 
 or Dask.
* Deep understanding of
**cloud platforms (AWS preferred)** 
 and cloud\-native development, including services like S3, Lambda, and RDS.
* Hands\-on experience with workflow orchestration tools such as
**Apache Airflow** 
 or AWS Step Functions for managing data pipelines.
* Expert knowledge of system architecture, scalability, and performance optimization for data systems.
* Experience with test automation, CI/CD, and DevOps best practices for data deployments.
* Ability to work independently and make high\-impact technical decisions.
* Must be legally authorized to work in the United States and not require employer sponsorship now or in the future
**Why Join Us** 
* Competitive salary and equity in an early\-stage startup.  The starting salary for this role is between $150K \- $175K annually based on factors such as cost of living, experience, etc.
* Opportunity to define the technical solution from the ground up
* Possibly fully remote work environment with flexible hours
* Health benefits, learning stipends, and professional development support
* A collaborative and transparent company culture that values creativity and ownership
**Equal Opportunity Statement** 
 At Karoo Health Inc (“Karoo”), we believe that improving healthcare starts with creating a more equitable and inclusive world, both inside and outside our organization. We are committed to fostering a diverse workforce that reflects the communities we serve, and to building a culture where every team member feels valued, supported, and empowered. Our commitment to inclusion is reflected in initiatives such as equitable compensation practices, employee resource groups, inclusive benefits, and more.
 Karoo Health is proud to be an equal opportunity employer. We maintain a strict policy of non\-discrimination for all applicants and employees. What does that mean for you? It means that we are dedicated to providing a workplace that is inclusive, respectful, and free from discrimination or harassment of any kind.
 Employment decisions at Karoo Health are made based on merit, qualifications, and business need, without regard to race, religion, color, national origin, sex, sexual orientation, gender identity or expression, age, disability, marital status, veteran status, political affiliation, or any other characteristic protected under applicable law. This policy applies to every aspect of the employment journey, from recruitment and hiring to compensation, benefits, training, promotion, performance evaluation, and beyond.
 We’re committed to doing the right thing, always, and that includes creating a fair and inclusive hiring process and workplace for all.
**Karoo Health welcomes all.** 
 In the United States, compensation is determined by factors including location, role level, job\-related skills, experience, and market conditions. Some positions may also be eligible for bonuses, equity, or other benefits. To learn more about Karoo Health’s benefits, please contact our
 People Team
 .</t>
        </is>
      </c>
    </row>
    <row r="138">
      <c r="A138" t="inlineStr">
        <is>
          <t>li-4330608100</t>
        </is>
      </c>
      <c r="B138" t="inlineStr">
        <is>
          <t>Data Engineer</t>
        </is>
      </c>
      <c r="C138" t="inlineStr">
        <is>
          <t>Peyton Resource Group</t>
        </is>
      </c>
      <c r="D138" t="inlineStr">
        <is>
          <t>linkedin</t>
        </is>
      </c>
      <c r="E138">
        <f>HYPERLINK("https://www.linkedin.com/jobs/view/4330608100", "https://www.linkedin.com/jobs/view/4330608100")</f>
        <v/>
      </c>
      <c r="F138" t="inlineStr"/>
      <c r="G138" t="inlineStr"/>
      <c r="H138" t="inlineStr"/>
      <c r="I138" t="inlineStr">
        <is>
          <t>* Architect, develop, and operate scalable data pipelines that power analytics and machine learning use cases.
* Build and maintain well\-structured data warehouses and semantic models to enable self\-service reporting.
* Partner with cross\-functional teams to gather data needs and deliver reliable, accessible datasets.
* Establish data validation, monitoring, and quality controls to ensure accuracy and consistency.
* Work alongside analytics and data science teams to support model development and production workflows.
* Improve storage efficiency and query performance across cloud and relational data environments.
* Evaluate new data engineering technologies and promote engineering best practices within the team.
**Required Experience \&amp; Skills** 
* 3\+ years in data engineering,
 **data science** 
 , data platform development, or a closely related role.
* Advanced SQL skills and hands\-on experience with at least one programming language such as Python, Java, or Scala.
* Practical experience with cloud\-based data warehouses (Snowflake, Redshift, BigQuery, or similar).
* Strong foundation in data modeling, warehousing concepts, and pipeline development.
* Experience using modern data orchestration and transformation tools (e.g., Airflow, dbt).
* Strong communication skills with the ability to collaborate across technical and non\-technical teams.</t>
        </is>
      </c>
    </row>
    <row r="139">
      <c r="A139" t="inlineStr">
        <is>
          <t>li-4330645958</t>
        </is>
      </c>
      <c r="B139" t="inlineStr">
        <is>
          <t>Data Engineer (4466)</t>
        </is>
      </c>
      <c r="C139" t="inlineStr">
        <is>
          <t>HIRECLOUT</t>
        </is>
      </c>
      <c r="D139" t="inlineStr">
        <is>
          <t>linkedin</t>
        </is>
      </c>
      <c r="E139">
        <f>HYPERLINK("https://www.linkedin.com/jobs/view/4330645958", "https://www.linkedin.com/jobs/view/4330645958")</f>
        <v/>
      </c>
      <c r="F139" t="inlineStr"/>
      <c r="G139" t="inlineStr">
        <is>
          <t>Camarillo, CA</t>
        </is>
      </c>
      <c r="H139" t="inlineStr"/>
      <c r="I139" t="inlineStr">
        <is>
          <t>**Job Title: Data Engineer**
**Role Overview**
 Join a municipal IT department supporting a vibrant community of over 200,000 residents. This city is rich in cultural heritage and fueled by thriving industries, offering a unique opportunity to apply your technical expertise to impactful public services. As a Data Engineer, you will modernize data workflows, ensure data integrity across hundreds of applications, and empower stakeholders with actionable insights through advanced integrations and business intelligence solutions. This role is pivotal in enabling data\-driven decision\-making, optimizing systems, and fostering a more connected, efficient city government.
**Key Responsibilities**
* Design, build, and maintain ETL pipelines for legacy and modern systems using Python, Java, SQL, or similar languages
* Develop seamless integration solutions between internal systems and third\-party vendors
* Collaborate with database administrators to optimize database performance and accessibility
* Ensure data consistency, integrity, and compliance with regulations (e.g., CJIS)
* Use APIs, web services, and direct database connections for real\-time and batch data processing
* Analyze vendor integration requests to deliver curated and compliant data sets
* Partner with integration specialists to streamline connectivity and automate workflows
* Investigate and resolve data discrepancies, failures, and performance bottlenecks
* Work with system administrators to uphold data security and enforce best practices in access control
* Support BI initiatives by structuring data for dashboards and enabling self\-service insights
* Maintain clear documentation of workflows, integrations, and dependencies
* Develop migration strategies for modern infrastructure (cloud, hybrid, or upgraded databases)
* Perform data analysis to uncover trends and actionable insights
* Gather requirements and deliver BI solutions aligned with organizational goals
* Train and support end\-users in leveraging BI tools
* Evaluate and recommend new tools, platforms, and third\-party solutions
* Conduct unit/integration testing and code reviews to ensure quality and maintainability
* Contribute to process improvements and team productivity
**Education \&amp; Qualifications**
* Bachelor’s degree in Computer Science, IT, Business Administration, or a related field
* 5\+ years of hands\-on experience in Data Engineering, Integration Engineering, or Data Analysis
* Proficiency in SQL, Python, or other ETL scripting languages
* Strong knowledge of database systems (MS SQL Server, MySQL, etc.), design, and optimization
* Experience with BI tools (Power BI, Tableau, Qlik)
* Expertise in data modeling techniques (star/snowflake, dimensional)
* Hands\-on experience with ETL tools (SSIS, Talend, Airflow, or similar)
* Familiarity with APIs, SFTP, XML/JSON, and message queues
* Experience in data visualization, dashboards, and data warehousing
* Strong communication and problem\-solving skills, with the ability to support both technical and non\-technical stakeholders
* Familiarity with project management and requirements\-gathering methodologies
**Preferred Experience**
* Background in local government or public safety environments (e.g., police, fire)
* Knowledge of version control systems (Git, TFS) and collaborative workflows
* Hybrid experience spanning technical and business analysis roles
* Familiarity with cloud platforms (AWS, Azure)
**Why Us**
* Meaningful projects that directly support the local community
* Competitive annual salary: $130,000 – $135,000
* Collaborative, mission\-driven environment with opportunities for growth
* Access to modern tools and the chance to help shape the city’s data\-driven future
**Benefits And Perks**
* Medical, dental, and vision coverage
* Additional benefits to be discussed during the application process
 Applicants must be currently authorized to work in the United States on a full\-time basis now and in the future. This position does not offer sponsorship.</t>
        </is>
      </c>
    </row>
    <row r="140">
      <c r="A140" t="inlineStr">
        <is>
          <t>li-4358920225</t>
        </is>
      </c>
      <c r="B140" t="inlineStr">
        <is>
          <t>Associate Data Engineer</t>
        </is>
      </c>
      <c r="C140" t="inlineStr">
        <is>
          <t>Phenom</t>
        </is>
      </c>
      <c r="D140" t="inlineStr">
        <is>
          <t>linkedin</t>
        </is>
      </c>
      <c r="E140">
        <f>HYPERLINK("https://www.linkedin.com/jobs/view/4358920225", "https://www.linkedin.com/jobs/view/4358920225")</f>
        <v/>
      </c>
      <c r="F140" t="inlineStr"/>
      <c r="G140" t="inlineStr">
        <is>
          <t>Ambler, PA</t>
        </is>
      </c>
      <c r="H140" t="inlineStr"/>
      <c r="I140" t="inlineStr">
        <is>
          <t>**Job Requirements**
 Our purpose is to help a billion people find the right job! Phenom is an AI\-Powered talent experience platform that is redefining the HR tech space. We have grown into a global organization with offices in 6 countries and over 1,600 employees. As an HR tech unicorn organization, innovation and creativity is within our DNA. Come help us make every talent moment Phenomenal!
 We are looking for a passionate and driven associate engineer to join our data engineering team to support the extension of our data pipelines for ontology\-based use cases. This is an excellent opportunity for a recent graduate to work on real\-world data integration challenges and gain hands\-on experience with modern data technologies and semantic data modeling.
 As an Associate Data Engineer, you will work closely with experienced engineers to develop data ingestion pipelines, transform datasets for semantic alignment, and support intelligent data products that power personalization, analytics, and AI use cases.
***Please note:***
*This is a full\-time, hybrid position located at the headquarters in Ambler, PA, requiring three (3\) days per week in\-office. Candidates must currently reside within a fifty (50\) mile radius of Ambler, PA. At this time, the Company will not sponsor, transfer, or extend employment\-based visas for this position, including but not limited to H\-1B, TN, or F\-1 OPT.*
**What You’ll Do**
* Design, develop, and maintain scalable data pipelines to ingest and enrich new data sources.
* Implement data transformations and mappings to align raw data with enterprise ontologies and taxonomies.
* Collaborate with ontology specialists, data scientists, and application teams to understand semantic requirements.
* Develop frameworks for metadata tagging, entity resolution, and relationship extraction.
* Ensure data quality, observability, and reliability in extended pipelines.
* Optimize data workflows for low\-latency and real\-time use cases where applicable.
* Support deployment of use cases such as semantic search, skill inference, and personalized recommendations.
**Requirements**
* Degree in Data Science, Computer Science, Information Systems or related fields.
* Strong logical reasoning, problem\-solving, and analytical thinking skills.
* Curiosity and interest in building a career in data engineering.
* Exposure to at least one programming language (preferably Python or Java).
* Good knowledge of databases and SQL.
* Interest in data modeling, pipelines, or semantic technologies (ontology, taxonomies, knowledge graphs).
* Completed coursework, internships, or personal projects related to data engineering or data science would be an asset(s).
* Familiarity with tools like Airflow, Spark, or any data integration platforms would be an asset(s).
* Exposure to graph databases or semantic web concepts would be an asset(s).
**Salary**
* Expected salary range $70,000 \- $90,000
 Please note the Salary range is subject to change in the future in accordance with Phenom’s policies
**Benefits**
* We want you to be your best self and to pursue your passions!
* Health and wellness benefits/programs to support holistic employee health
* Flexible hours and working schedules, as well as parental leave for new parents
* Growing organization with career pathing and development opportunities
* Tons of perks and extras in every location for all Phenoms!</t>
        </is>
      </c>
    </row>
    <row r="141">
      <c r="A141" t="inlineStr">
        <is>
          <t>li-4335245236</t>
        </is>
      </c>
      <c r="B141" t="inlineStr">
        <is>
          <t>Data Engineer I</t>
        </is>
      </c>
      <c r="C141" t="inlineStr">
        <is>
          <t>Inspira Financial</t>
        </is>
      </c>
      <c r="D141" t="inlineStr">
        <is>
          <t>linkedin</t>
        </is>
      </c>
      <c r="E141">
        <f>HYPERLINK("https://www.linkedin.com/jobs/view/4335245236", "https://www.linkedin.com/jobs/view/4335245236")</f>
        <v/>
      </c>
      <c r="F141" t="inlineStr"/>
      <c r="G141" t="inlineStr">
        <is>
          <t>Oak Brook, IL</t>
        </is>
      </c>
      <c r="H141" t="inlineStr"/>
      <c r="I141"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We are seeking a talented entry level Data Engineer who can create scalable data platform solutions while collaborating with an experienced team of product development professionals. You will join a cross\-functional, DevOps based, Agile team responsible for the entire product development life cycle, encompassing conception, discovery, framing, development, deployment, measurement, and continuous improvement. As a Data Engineer, you should possess expertise in modern data\-centric coding languages, development frameworks, and third\-party libraries. Additionally, we value individuals who are team players, possess a keen eye for visual design, and prioritize outcomes over outputs. If you are ready to advance your career and contribute to a rapidly growing company dedicated to delivering innovative products and ensuring an exceptional client experience, we eagerly await your application!
 At Inspira, we believe in empowering engineers to build smarter platforms \- one where human expertise is amplified, not replaced, by AI tools. We seek engineers who have demonstrated experience using AI responsibly to accelerate their development workflow, improve code quality, and solve complex problems more efficiently.
 The Data Engineer I will report to the Data Engineering Manager in the Data Engineering Team.
**Duties \&amp; Responsibilities**
 By collaborating closely with fellow product development team members, data engineers play a pivotal role in driving team\-level success through the demonstration of the following key attributes:
* Collaborating with Users, Engineers, Designers, and Product Managers to foster ideation and deliver cutting\-edge software solutions.
* Employing Test First and Acceptance Criteria Driven approaches to continuously test and deliver high\-quality software.
* Designing and developing data pipelines while adhering to industry best practices and standards.
* Ensuring solutions meet non\-functional requirements, such as security, performance, maintainability, scalability, usability, and reliability.
* Develop and maintain basic Extract, Transform, Load (ETL) and Extract, Load, Transform (ELT) data pipelines in Talend.
* Write and optimize SQL queries for data analysis, data extraction, data manipulation and writing and modifying existing SQL queries for better performance in Snowflake.
* Clean, validate, and transform raw data to ensure quality and integrity.
* Learn and apply techniques in evolving technologies such as Generative and Agentic AI
* Train and assist with data modeling and the management of databases, such as relational and NoSQL databases.
* Help troubleshoot issues with data infrastructure and pipelines as and when Prod support schedules require to be on call rotation.
* Contribute to documenting data workflows and best practices.
* Perform performance tuning and monitoring of data processes.
* Actively pursuing continuous professional growth by staying updated on new development tools, programming techniques, and computing equipment. Engaging in educational opportunities, keeping informed through professional publications, nurturing personal and professional networks, and actively participating in relevant professional organizations.
* Through the successful execution of these responsibilities, the data engineer will make significant contributions to the overall achievements of our team and organization!
**Preferred Qualifications**
**Education \&amp; Experience:**
* 0\-2 years of experience in Data Engineering.
* Bachelor’s degree preferred in Computer Science, Computer Engineering, Software Engineering, Statistics, Data Science, or similar/related Engineering/Science based disciplines.
* Microsoft Certified Azure Data Fundamentals preferred
* Snowflake SnowPro Certification preferred
* Snowflake SnowPro Certification Data Engineer preferred
**Skills \&amp; Abilities**
 The ideal candidate will have a proven track record of demonstration:
* Strong Programming Skills: Proficiency in programming languages such as SQL/T\-SQL, Python is essential. Data engineers should have a deep understanding of data structures, algorithms, and the ability to write clean, efficient, and maintainable code.
* Data / Database Skills: Knowledge and competence with relational and noSQL databases (e.g., SQL Server, MongoDB) including proficiency with Data Definition Languages, Data Mark\-Up Languages and ability to design and create database tables, views, functions and stored procedures
* Design and implement OLAP databases to serve internal and external consumer use cases
* Design and implement resilient and performant data pipeline and transformation processes
* Design and implement hybrid data cloud services, leveraging public could providers (i.e. Azure) and specialty providers (i.e. Snowflake)
* Cloud Skills: Experience working in Hybrid and Cloud based environments where essentially all things are handled “as code” and promoted via automated pipelines which incorporate audit, quality, and security controls.
* Support the development of enterprise data warehouse strategy ensuring rapid delivery while taking responsibility for applying standards, principles, theories, and concepts
* Support enterprise data governance initiatives, and drive efforts in defining data standards, designing classification taxonomies, developing data management processes, ensuring proper meta\-data management
* Work cross\-functionally with other internal business units, such as marketing and operations
* Data Engineering Tools/Platforms
* Platform/Framework (Snowflake, Azure MSSQL)
* ETL (Qlik Replicate, Talend, SSIS)
* Job Orchestration (ActiveBatch, Tidal, Airflow)
* Entity Data Modeling (ER/Studio, Erwin)
* Problem\-Solving and Analytical Skills: Data engineers must possess strong problem\-solving abilities and the capacity to analyze complex technical challenges. They should be able to break down problems into manageable components and devise effective solutions.
* Software Product Development Lifecycle: Familiarity with the software development lifecycle (SDLC) is crucial. This includes understanding requirements gathering, system design, implementation, testing, deployment, and maintenance in an Agile/Scaled Agile manner. Experience with Scrum, Kanban, Extreme Programming, or other outcome based iterative development approach required.
* Knowledge of Development Tools and Frameworks: Data engineers should be proficient in using development tools and frameworks relevant to their domain. This can include version control systems (e.g., Git), integrated development environments (e.g., Visual Studio Code, IntelliJ), and frameworks specific to data platform development
* Collaboration and Communication: Effective collaboration with cross\-functional teams is vital for data engineers. Strong communication skills, both written and verbal, enable them to clearly express ideas, collaborate with colleagues, and convey technical concepts to non\-technical stakeholders.
* Continuous Learning: The field of software engineering is constantly evolving, so a mindset of continuous learning is crucial. Staying updated with new technologies, programming languages, frameworks, and industry trends is highly valued.
* Testing and Debugging: Proficiency in automated software testing techniques, including unit testing, integration testing, and debugging, is important for ensuring the reliability and quality of software applications.
* Knowledge of Security Best Practices: Strong understanding of secure coding practices and the ability to apply them effectively in software development. Ability to implement security controls, conduct code reviews, and perform security\-focused testing, ensuring adherence to industry standards and minimizing the risk of potential exploits.
* Compliance: Familiarity with regulatory compliance requirements and industry\-specific security standards, such as GDPR, HIPAA, PCI\-DSS, and ISO 27001\. Ability to design and implement software solutions that meet these compliance standards, ensuring the protection of sensitive data and maintaining regulatory compliance.
* System Design and Architecture: Data engineers should have a solid understanding of data platform system design principles and architecture patterns. This includes scalability, performance optimization, and the ability to design robust and efficient software systems.
* Adaptability and Flexibility: Data engineers often encounter changing requirements, tight deadlines, and evolving technologies. Being adaptable, flexible, and able to quickly learn and adapt to new tools and frameworks is crucial.
* Strong experience with advanced analytics tools for Object\-oriented/object function scripting using languages such as Python
* Strong experience in working with and optimizing existing ETL processes and data integration and data preparation flows and helping to move them in production
* Exceptional analytical skills and strong attention to detail
* Ability to prioritize, plan and take initiative
* Highly self\-motivated and directed
* Experience in a high availability environment preferred
* Knowledge of ITIL/ITSM Foundational practices and framework preferred
**Pay Range**
 $68,800\-$79,600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142">
      <c r="A142" t="inlineStr">
        <is>
          <t>li-4330776124</t>
        </is>
      </c>
      <c r="B142" t="inlineStr">
        <is>
          <t>Data Engineer</t>
        </is>
      </c>
      <c r="C142" t="inlineStr">
        <is>
          <t>Sogeti</t>
        </is>
      </c>
      <c r="D142" t="inlineStr">
        <is>
          <t>linkedin</t>
        </is>
      </c>
      <c r="E142">
        <f>HYPERLINK("https://www.linkedin.com/jobs/view/4330776124", "https://www.linkedin.com/jobs/view/4330776124")</f>
        <v/>
      </c>
      <c r="F142">
        <f>HYPERLINK("https://career.us.sogeti.com/jobs/faces/home?jobId=15103&amp;urlHash=Z545", "https://career.us.sogeti.com/jobs/faces/home?jobId=15103&amp;urlHash=Z545")</f>
        <v/>
      </c>
      <c r="G142" t="inlineStr">
        <is>
          <t>Bellevue, WA</t>
        </is>
      </c>
      <c r="H142" t="inlineStr"/>
      <c r="I142" t="inlineStr">
        <is>
          <t>**Role: Data Engineer (Synapse)** 
**Location: Bellevue, WA** 
 Development activities:
* Ability to gather and understand requirements by studying features/ user stories created for requirements and work on implementing them.
* Design and development for the change requests from client.
* Ability to analyze existing data flow and suggest for any enhancements/ improvements based on technical expertise.
* Preparing test scenarios/ test cases for the user stories and sharing the unit testing results as part of the development completion.
 Operations activities:
* Monitor data extract, transform, and load (ETL) jobs, pipelines and work to fix the job failures.
* Troubleshooting to identify data issues and solving any data discrepancies and providing business intelligence insights.
* Provide support to the users on any data related questions/issues reported during UAT and PROD cycles.
**Technical skills:**
 Expertise/ at least 7\+ years of experience in
* Microsoft SQL Server
* Database and ETL design concepts
* T SQL
* SQL server Analysis server
* Fluent in DAX queries (good to have)
* Azure Synapse – including creating scripts for ETL using Python(pyspark)
* Experience with excel – includes creating data pivots to different sources for analyzing
* Good to have prior experience with Microsoft projects, process, and tools (like VSTS, VSO)
**Education Requirements** 
* Bachelor’s Degree
**Life at Sogeti:** 
 Sogeti supports all aspects of your well\-being throughout the changing stages of your life and career. For eligible employees, we offer:
* Flexible work options
* 401(k) with 150% match up to 6%
* Employee Share Ownership Plan
* Medical, Prescription, Dental \&amp; Vision Insurance
* Life Insurance
* 100% Company\-Paid Mobile Phone Plan
* 3 Weeks PTO \+ 7 Paid Holidays
* Paid Parental Leave
* Adoption, Surrogacy \&amp; Cryopreservation Assistance
* Subsidized Back\-up Child/Elder Care \&amp; Tutoring
* Career Planning \&amp; Coaching
* $5,250 Tuition Reimbursement \&amp; 20,000\+ Online Courses
* Employee Resource Groups
* Counseling \&amp; Support for Physical, Financial, Emotional \&amp; Spiritual Well\-being
* Disaster Relief Programs
**About Sogeti** 
 Part of the Capgemini Group, Sogeti makes business value through technology for organizations that need to implement innovation at speed and want a local partner with global scale. With a hands\-on culture and close proximity to its clients, Sogeti implements solutions that will help organizations work faster, better, and smarter. By combining its agility and speed of implementation through a DevOps approach, Sogeti delivers innovative solutions in quality engineering, cloud and application development, all driven by AI, data and automation.
 Become Your Best \| www.sogeti.us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135K to 145K per annum.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row>
    <row r="143">
      <c r="A143" t="inlineStr">
        <is>
          <t>li-4359350138</t>
        </is>
      </c>
      <c r="B143" t="inlineStr">
        <is>
          <t>SAP Data Engineer</t>
        </is>
      </c>
      <c r="C143" t="inlineStr">
        <is>
          <t>CG Infinity</t>
        </is>
      </c>
      <c r="D143" t="inlineStr">
        <is>
          <t>linkedin</t>
        </is>
      </c>
      <c r="E143">
        <f>HYPERLINK("https://www.linkedin.com/jobs/view/4359350138", "https://www.linkedin.com/jobs/view/4359350138")</f>
        <v/>
      </c>
      <c r="F143" t="inlineStr"/>
      <c r="G143" t="inlineStr">
        <is>
          <t>Sugar Land, TX</t>
        </is>
      </c>
      <c r="H143" t="inlineStr"/>
      <c r="I143" t="inlineStr">
        <is>
          <t>**Position Title: SAP Data Engineer**
**Experience Level:** 
 Mid\-Level (5\+ Years)
**Location:** 
 Houston, TX
**Schedule:** 
 4 days per week in office hybrid
**Employment Type:** 
 Full\-Time
**Position Summary:**
 CG Infinity is seeking an experienced
 **SAP Data Engineer** 
 with a strong background in
 **data migration** 
 to join our IT consulting team. This role involves working on diverse projects across multiple industries, supporting clients in implementing, optimizing, and migrating data within SAP environments. The ideal candidate will have hands\-on experience with SAP data tools, ETL processes, and a deep understanding of data governance and quality standards.
**Key Responsibilities:**
* Design, develop, and implement data migration strategies for SAP systems (ECC, S/4HANA, etc.)
* Perform data extraction, transformation, and loading (ETL) using SAP tools such as SAP Data Services (BODS), LTMC, and LSMW
* Collaborate with functional and technical teams to ensure accurate and timely migration of master and transactional data
* Conduct data validation, cleansing, and reconciliation to maintain data integrity during migration
* Develop and maintain data models, mapping documents, and migration templates
* Support clients in data governance, quality assurance, and compliance throughout the migration process
* Troubleshoot and resolve data\-related issues during project execution
* Provide technical expertise and best practices for SAP data management and migration
**Required Qualifications:**
* Bachelor’s degree in Computer Science, Information Systems, or related field
* 5\+ years of experience in SAP data engineering and migration projects
* Proficiency in SAP Data Services (BODS), LTMC, LSMW, and related SAP data tools
* Strong knowledge of SAP modules (FI, MM, SD, etc.) and their data structures
* Experience with data profiling, cleansing, and validation techniques
* Familiarity with SQL, ETL processes, and data modeling
* Excellent problem\-solving skills and ability to work in dynamic, client\-facing environments
**Preferred Skills:**
* Experience with S/4HANA migration projects
* Knowledge of cloud platforms (AWS, Azure) and data integration tools
* Understanding of data governance frameworks and GDPR compliance
* Strong communication and stakeholder management skills
**Why Join Us?**
* Work on challenging projects across multiple industries
* Opportunity to grow your SAP expertise in a consulting environment
* Collaborative team culture with continuous learning and development
 Powered by JazzHR
 omXfntnAWI</t>
        </is>
      </c>
    </row>
    <row r="144">
      <c r="A144" t="inlineStr">
        <is>
          <t>li-4358660483</t>
        </is>
      </c>
      <c r="B144" t="inlineStr">
        <is>
          <t>Data Analytics Engineer</t>
        </is>
      </c>
      <c r="C144" t="inlineStr">
        <is>
          <t>Liberty Mutual Insurance</t>
        </is>
      </c>
      <c r="D144" t="inlineStr">
        <is>
          <t>linkedin</t>
        </is>
      </c>
      <c r="E144">
        <f>HYPERLINK("https://www.linkedin.com/jobs/view/4358660483", "https://www.linkedin.com/jobs/view/4358660483")</f>
        <v/>
      </c>
      <c r="F144">
        <f>HYPERLINK("https://searchjobs.libertymutualgroup.com/careers/job/618514276077?microsite=libertymutual.com&amp;domain=libertymutual.com&amp;utm_source=Job+Board&amp;utm_campaign=LinkedIn+Jobs&amp;extcmp=bof-paid-text-lkin-aljb&amp;urlHash=8tB1", "https://searchjobs.libertymutualgroup.com/careers/job/618514276077?microsite=libertymutual.com&amp;domain=libertymutual.com&amp;utm_source=Job+Board&amp;utm_campaign=LinkedIn+Jobs&amp;extcmp=bof-paid-text-lkin-aljb&amp;urlHash=8tB1")</f>
        <v/>
      </c>
      <c r="G144" t="inlineStr"/>
      <c r="H144" t="inlineStr"/>
      <c r="I144" t="inlineStr">
        <is>
          <t>**Description**
 If you are passionate about data engineering and want an opportunity to work with the latest technologies, then Modeling Data Solutions has the position for you.
 Modeling Data Solutions is seeking an experienced data analytics engineer to join its personal lines property team. This is an exciting opportunity to join the US Data Science Infrastructure department helping to support creating cutting edge pricing programs. You will play a critical role in designing and developing the data solutions needed for research and development as well as providing front line data support in launching new products into market. You will collaborate with multiple stakeholders including data scientists and product analysts to gather requirements, design, and implement robust data solutions.
* This is a ranged posting, level offered will be based on skills and experience at manager discretion.\*\*
* This role may have in\-office requirements depending on candidate location.\*\*
**Responsibilities**
* Design, develop, and optimize data pipelines and ETL processes to ensure high\-quality data is available for analysis.
* Analyze complex datasets to identify trends, patterns, and actionable insights that drive business performance.
* Implement data quality checks and governance best practices to ensure data accuracy and reliability.
* Utilize python, Spark, and SQL queries to extract, transform, and analyze data from various sources.
* Work closely with cross\-functional teams to understand their analytical needs and provide tailored solutions that meet business objectives.
* Stay current with industry trends, emerging tools, and best practices in data analytics and engineering to continuously enhance analytical capabilities.
**Qualifications**
* Strong written and oral communication skills required
* Bachelor\`s Degree in Computer Science, Computer Engineering, or related discipline preferred
* Master\`s in same or related disciplines strongly preferred
* 3\-5 years experience in coding for data management, data warehousing, or other data environments, including, but not limited to, working in Python, SQL, ETL, Spark, Snowflake.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45">
      <c r="A145" t="inlineStr">
        <is>
          <t>li-4330910818</t>
        </is>
      </c>
      <c r="B145" t="inlineStr">
        <is>
          <t>Staff Data Engineer</t>
        </is>
      </c>
      <c r="C145" t="inlineStr">
        <is>
          <t>Veho</t>
        </is>
      </c>
      <c r="D145" t="inlineStr">
        <is>
          <t>linkedin</t>
        </is>
      </c>
      <c r="E145">
        <f>HYPERLINK("https://www.linkedin.com/jobs/view/4330910818", "https://www.linkedin.com/jobs/view/4330910818")</f>
        <v/>
      </c>
      <c r="F145" t="inlineStr"/>
      <c r="G145" t="inlineStr">
        <is>
          <t>Boston, MA</t>
        </is>
      </c>
      <c r="H145" t="inlineStr"/>
      <c r="I145" t="inlineStr">
        <is>
          <t>**About The Role**
 As a Staff Data Engineer on the Data Platform team, you will play a key leadership role in developing the core data systems and applications that power Veho’s Analytics and AI workloads. Your work will focus on building efficient, cost\-effective data tools that empower stakeholders across the business. You will drive the architecture and development of critical initiatives, including: new tooling for enforcing data contracts between teams, overhauling our event\-to\-warehouse data pipelines, a new data catalog, new testing and data sampling tooling, and upgrading our vendor data integrations. Your impact will be direct and tangible, shaping the tools and features used daily by both HQ and Ground Operations.
 Reporting to the Tech Lead Manager of the Data Platform Team, you’ll collaborate with cross\-functional teams to ensure our data platform not only meets but exceeds standards for engineering quality, reliability, and performance.
**Responsibilities Include**
* Architecting, building, testing, and deploying data tools that empower engineering teams to move quickly without compromising operational goals
* Modifying designs and specifications of complex applications
* Collaborating and adding value through participation in peer code reviews, providing comments and suggestions
* Working with technical and non\-technical end\-users, other engineers, and product managers in a cross\-functional, quick\-moving, and collaborative environment
* Analyzing code, requirements, system risks, and software reliability and providing recommendations on how to leverage our technology more efficiently
* Working with Product to confirm requirements, prioritization, and development of new features
* Acting as a player\-coach alongside Engineering peers, to build high\-quality software efficiently while also fostering team growth through mentorship and collaboration
**What You Bring**
* Has 8\+ years of experience building, testing, and deploying backend applications and distributed data systems
* Deep understanding of distributed systems, and how they can go wrong. You dream in DAGs. Martin Kleppman permanently on your bedside table.
* Experience with Infrastructure\-as\-Code systems like Terraform, AWS CDK, or Pulumi.
* Enjoys taking initiative, is a self\-starter, is willing to move fast and ship quickly, and is excited about collaborating on big challenges
* Enthusiastic about working closely with cross\-functional team members to develop creative solutions to novel problems
* Tech Stack: DBT, Databricks, Kinesis, EMR, Sigma, Airflow, Iceberg, Pulumi
**Location:** 
 NYC, Boston.
**Relocation:** 
 Not available
**Visa Sponsorship:** 
 H1B sponsorship not available</t>
        </is>
      </c>
    </row>
    <row r="146">
      <c r="A146" t="inlineStr">
        <is>
          <t>li-4339053071</t>
        </is>
      </c>
      <c r="B146" t="inlineStr">
        <is>
          <t>Azure Data Engineer</t>
        </is>
      </c>
      <c r="C146" t="inlineStr">
        <is>
          <t>Capgemini</t>
        </is>
      </c>
      <c r="D146" t="inlineStr">
        <is>
          <t>linkedin</t>
        </is>
      </c>
      <c r="E146">
        <f>HYPERLINK("https://www.linkedin.com/jobs/view/4339053071", "https://www.linkedin.com/jobs/view/4339053071")</f>
        <v/>
      </c>
      <c r="F146" t="inlineStr"/>
      <c r="G146" t="inlineStr">
        <is>
          <t>Atlanta, GA</t>
        </is>
      </c>
      <c r="H146" t="inlineStr"/>
      <c r="I14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Atlanta, GA/ Chicago, IL**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**Job Responsibilities**
 Design, develop, and maintain scalable data pipelines and ETL processes using Databricks.
 Design an develop Python scripts for data transformation, automation, and integration tasks.
 Develop and optimize SQL queries for data extraction, transformation, and loading.
 Collaborate with data scientists, analysts, and business stakeholders
 Ensure data integrity, security, and compliance with organizational standards.
 Participate in code reviews and contribute to best practices in data engineering
**Required Skills**
 5\-10 years of professional experience in data engineering or related roles.
 Strong proficiency in Databricks (including Spark\-based data processing).
 Strong programming skills in Python
 Advanced knowledge of SQL for querying and data modeling.
 Familiarity with Azure cloud and ADF
 Understanding of ETL frameworks, data governance, and performance tuning.
 Knowledge of CI/CD practices and version control (Git).
 Exposure to BI tools (Power BI, Tableau) for data visualization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47">
      <c r="A147" t="inlineStr">
        <is>
          <t>li-4359340320</t>
        </is>
      </c>
      <c r="B147" t="inlineStr">
        <is>
          <t>Data Engineer II</t>
        </is>
      </c>
      <c r="C147" t="inlineStr">
        <is>
          <t>Centene Corporation</t>
        </is>
      </c>
      <c r="D147" t="inlineStr">
        <is>
          <t>linkedin</t>
        </is>
      </c>
      <c r="E147">
        <f>HYPERLINK("https://www.linkedin.com/jobs/view/4359340320", "https://www.linkedin.com/jobs/view/4359340320")</f>
        <v/>
      </c>
      <c r="F147" t="inlineStr"/>
      <c r="G147" t="inlineStr">
        <is>
          <t>Ohio, United States</t>
        </is>
      </c>
      <c r="H147" t="inlineStr"/>
      <c r="I147"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 Designs and implements standardized data management procedures around data staging, data ingestion, data preparation, data provisioning, and data destruction (scripts, programs, automation, assisted by automation, etc.)
* Designs, develops, implements, tests, documents, and operates large\-scale, high\-volume, high\-performance data structures for business intelligence analytics
* Designs, develops, and maintains real\-time processing applications and real\-time data pipelines
* Ensure quality of technical solutions as data moves across Centene’s environments
* Provides insight into the changing data environment, data processing, data storage, and utilization requirements for the company and offers suggestions for solutions
* Develops, constructs, tests, and maintains architectures using programming language and tools
* Identifies ways to improve data reliability, efficiency, and quality; use data to discover tasks that can be automated
* Performs other duties as assigned
* Complies with all policies and standards
**Education/Experience** 
 A Bachelor's degree in a quantitative or business field (e.g., statistics, mathematics, engineering, computer science) and requires 2 – 4 years of related experience. Or equivalent experience acquired through accomplishments of applicable knowledge, duties, scope and skill reflective of the level of this position.
**Technical Skills**
* One or more of the following skills are desired.
* SQL
* Python
* SAS
* Power BI
* Informatica
* Teradata
 Pay Range $63,600\.00 \- $114,600\.00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48">
      <c r="A148" t="inlineStr">
        <is>
          <t>li-4358521022</t>
        </is>
      </c>
      <c r="B148" t="inlineStr">
        <is>
          <t>Data Engineer</t>
        </is>
      </c>
      <c r="C148" t="inlineStr">
        <is>
          <t>Crunchbase</t>
        </is>
      </c>
      <c r="D148" t="inlineStr">
        <is>
          <t>linkedin</t>
        </is>
      </c>
      <c r="E148">
        <f>HYPERLINK("https://www.linkedin.com/jobs/view/4358521022", "https://www.linkedin.com/jobs/view/4358521022")</f>
        <v/>
      </c>
      <c r="F148" t="inlineStr"/>
      <c r="G148" t="inlineStr"/>
      <c r="H148" t="inlineStr"/>
      <c r="I148" t="inlineStr">
        <is>
          <t>**About The Company** 
 Crunchbase is a leading platform that delivers comprehensive intelligence on private companies worldwide. Leveraging live private company data, artificial intelligence, and market activity from over 80 million users, Crunchbase provides predictive solutions that help investors, dealmakers, and analysts understand market movements and make informed decisions. Our mission is to empower organizations with data\-driven insights, fostering innovation and growth in the entrepreneurial ecosystem. With a culture rooted in collaboration, transparency, and continuous learning, Crunchbase is committed to building a diverse and talented team dedicated to transforming the way private market data is accessed and utilized.
**About The Role** 
 We are seeking a highly skilled Staff Data Engineer to join our dynamic team. In this role, you will be responsible for designing, implementing, and maintaining the core data systems that underpin our data\-driven products. You will work closely with cross\-functional teams—including engineering, product management, and analytics—to develop scalable, robust, and efficient data solutions tailored to our company's specific needs. Your expertise will be critical in architecting data pipelines, optimizing data storage and retrieval, and ensuring high data quality standards. As a leader within the data engineering team, you will guide complex projects from conception to deployment, mentor junior engineers, and stay abreast of emerging technologies to continuously enhance our data ecosystem.
**Qualifications** 
* Bachelor’s or Master’s degree in Computer Science, Engineering, or a related field
* 6\+ years of professional experience in data engineering
* Proficiency in Python and SQL
* Experience with data pipelines, ETL processes, and data warehousing
* Hands\-on experience with end\-to\-end solutions in a production environment
* Knowledge of streaming data systems such as Kafka
* Experience with databases like Postgres, Elasticsearch, and Redis
* Familiarity with cloud platforms such as AWS, Azure, GCP, or Snowflake
* Understanding of containerization technologies including Docker and Kubernetes
* Experience with CI/CD practices and tools
* Strong leadership and mentorship capabilities
* Curiosity and comfort using AI tools to enhance productivity and creativity
* Ability to apply AI responsibly, maintaining data privacy and accuracy
**Responsibilities** 
* Design and evolve the core components of the data platform, owning complex initiatives end\-to\-end
* Architect scalable data structures and pipelines optimized for analytics, machine learning, and AI workloads
* Collaborate with engineering, product, and analytics teams to deliver seamless data integrations
* Continuously optimize data storage, processing, and retrieval for performance and resilience
* Evaluate and implement emerging technologies to strengthen the data ecosystem and developer productivity
* Develop and maintain robust data quality checks and contribute to data governance standards
* Mentor and coach other engineers, fostering a culture of technical excellence and continuous learning
* Ensure data security, privacy, and compliance are integrated into all data solutions
* Stay current with industry trends and emerging tools to recommend innovative data engineering practices
**Benefits** 
* Competitive salary range of $210,000 – $235,000, with stock options as part of the total compensation package
* Remote\-first work environment with flexible scheduling within approved states
* Comprehensive health benefits including medical, dental, and vision coverage for employees and their families
* Generous support for professional development and continuous learning
* 401(k) and Roth retirement plans with financial advisory services
* Monthly wellness stipend to support physical and mental health
* Home office setup allowance and internet stipend to enable effective remote work
* Charitable giving match and community impact initiatives
* Inclusive, innovative, and transparent company culture focused on growth and impact
 Equal Opportunity
 Crunchbase is an equal opportunity employer. We celebrate diversity and are committed to creating an inclusive environment for all employees. We do not discriminate based on race, creed, color, ethnicity, national origin, religion, sex, sexual orientation, gender identity or expression, age, height, weight, veteran status, military obligations, or marital status. We consider all qualified applicants, including those with arrest and conviction records.</t>
        </is>
      </c>
    </row>
    <row r="149">
      <c r="A149" t="inlineStr">
        <is>
          <t>li-4330765383</t>
        </is>
      </c>
      <c r="B149" t="inlineStr">
        <is>
          <t>Data Engineer - Python/AWS</t>
        </is>
      </c>
      <c r="C149" t="inlineStr">
        <is>
          <t>Michael Page</t>
        </is>
      </c>
      <c r="D149" t="inlineStr">
        <is>
          <t>linkedin</t>
        </is>
      </c>
      <c r="E149">
        <f>HYPERLINK("https://www.linkedin.com/jobs/view/4330765383", "https://www.linkedin.com/jobs/view/4330765383")</f>
        <v/>
      </c>
      <c r="F149" t="inlineStr"/>
      <c r="G149" t="inlineStr">
        <is>
          <t>Charlotte, NC</t>
        </is>
      </c>
      <c r="H149" t="inlineStr"/>
      <c r="I149" t="inlineStr">
        <is>
          <t>We are seeking a skilled Data Engineer to join our client's team in Charlotte, NC. This person will be responsible for the design and development of data/batch processing, data manipulation, data mining, and data extraction/ transformation/ loading into large data domains using Python/Pyspark and AWS tools.
**Client Details** 
 The employer is a well\-established organization in the Financial Services industry, known for its strong market presence and innovative approach. As part of a large organization, they offer a professional environment that emphasizes excellence and technical advancement.
**Description** 
* Lead end\-to\-end delivery of data and application solutions, including scoping, estimating, planning, design, development, testing, deployment, and production support while adhering to SDLC standards.
* Design, develop, and maintain scalable ETL pipelines and batch processing solutions, collaborating with developers, business analysts, and stakeholders to translate requirements into technical designs.
* Produce and present technical design documentation and solution alternatives that align with business objectives, ensuring data quality, defect tracking, and risk management.
* Monitor project progress, coordinate vendors and contractors, resolve or escalate issues, and apply industry best practices and emerging technologies to ensure successful delivery.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
**Profile** 
* Data engineering background with hands\-on development experience using Python, PySpark, and ETL tools, including designing mappings, HLD/LLD, coding, and unit testing
* Extensive experience with AWS services (Glue, Lambda, MSK/Kafka, S3, Step Functions, RDS, EKS), relational databases, and advanced SQL development and performance tuning.
* Proven ability in data modeling, data analysis, data profiling, REST API integration, UNIX scripting, and workload automation tools such as Control\-M and Autosys.
* Experience working in Agile/Scrum environments with CI/CD DevOps tools (GitHub, Jenkins), familiarity with multiple ETL platforms, and knowledge of MDM, data warehousing, and analytics.
**Job Offer** 
* Opportunity to work in a large organization within the Financial Services industry.
* Access to comprehensive benefits through Michael Page.
* Exposure to innovative technology projects in a professional environment.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is>
      </c>
    </row>
    <row r="150">
      <c r="A150" t="inlineStr">
        <is>
          <t>li-4330745203</t>
        </is>
      </c>
      <c r="B150" t="inlineStr">
        <is>
          <t>Senior Data Engineer</t>
        </is>
      </c>
      <c r="C150" t="inlineStr">
        <is>
          <t>Insight Global</t>
        </is>
      </c>
      <c r="D150" t="inlineStr">
        <is>
          <t>linkedin</t>
        </is>
      </c>
      <c r="E150">
        <f>HYPERLINK("https://www.linkedin.com/jobs/view/4330745203", "https://www.linkedin.com/jobs/view/4330745203")</f>
        <v/>
      </c>
      <c r="F150" t="inlineStr"/>
      <c r="G150" t="inlineStr">
        <is>
          <t>Irving, TX</t>
        </is>
      </c>
      <c r="H150" t="inlineStr"/>
      <c r="I150" t="inlineStr">
        <is>
          <t>**Main Accountabilities** 
* Collaborate with cross\-functional teams to understand and define business intelligence needs and translate them into data modeling solutions
* Develops, builds and maintains scalable data pipelines, data schema design, and dimensional data modelling in Databricks and AWS for all system data sources, API integrations, and bespoke data ingestion files from external sources. Includes Batch and real\-time pipelines.
* Responsible for data cleansing, standardization, and quality control
* Create data models that will support comprehensive data insights, business intelligence tools, and other data science initiatives
* Create data models and ETL procedures with traceability, data lineage and source control
* Design and implement data integration and data quality framework
* Implement data monitoring best practices with trigger\-based alerts for data processing KPIs and anomalies
* Investigate and remediate data problems, performing and documenting thorough and complete root cause analyses. Make recommendation for mitigation and prevention of future issues.
* Work with Business and IT to assess efficacy of all legacy data sources, making recommendations for migration, anonymization, archival and/or destruction.
* Continually seek to optimize performance through database indexing, query optimization, stored procedures, etc.
* Ensure compliance with data governance and data security requirements, including data life cycle management, purge and traceability.
* Create and manage documentation and change control mechanisms for all technical design, implementations and systems maintenance
**Must Have Knowledge** 
* Bachelor's or graduate degree in computer science, information systems or related field preferred, or similar combination of education and experience
* At least 4 years’ experience designing and managing data pipelines, schema modeling, and data processing systems.
* Experience with Databricks a plus (or similar tools like Microsoft Fabric, Snowflake, etc.) to drive scalable data solutions.
* Experience with SAP a plus
* Proficient in Python, with a track record of solving real\-world data challenges.
* Advanced SQL skills, including experience with database design, query optimization, and stored procedures.
* Experience with Terraform or other infrastructure\-as\-code tools is a plus.
* Must be willing and able to work in a hybrid office environment, with 4 days per week in office in the North America headquarters in the Dallas, Texas area
**Job Description** 
 The AWS Senior Data Engineer will own the planning, design, and implementation of data structures for the client in their AWS environment. This role will be responsible for incorporating all internal and external data sources into a robust, scalable, and comprehensive data model within AWS to support business intelligence and analytics needs throughout the company.</t>
        </is>
      </c>
    </row>
    <row r="151">
      <c r="A151" t="inlineStr">
        <is>
          <t>li-4330705937</t>
        </is>
      </c>
      <c r="B151" t="inlineStr">
        <is>
          <t>AWS/AZURE Data Engineer Career Break Acceptable</t>
        </is>
      </c>
      <c r="C151" t="inlineStr">
        <is>
          <t>Precision Technologies</t>
        </is>
      </c>
      <c r="D151" t="inlineStr">
        <is>
          <t>linkedin</t>
        </is>
      </c>
      <c r="E151">
        <f>HYPERLINK("https://www.linkedin.com/jobs/view/4330705937", "https://www.linkedin.com/jobs/view/4330705937")</f>
        <v/>
      </c>
      <c r="F151" t="inlineStr"/>
      <c r="G151" t="inlineStr"/>
      <c r="H151" t="inlineStr"/>
      <c r="I151" t="inlineStr">
        <is>
          <t>We’re hiring
 **AWS/AZURE** 
**Data Engineer** 
 with 5
 **\+ years experience** 
 for our
 **direct clients and implementation partners** 
 with
 **active full\-time openings** 
 !
 Client Location :
 **New York, New Jersey, Texas, Georgia, Pennsylvania, Connecticut, Massachusetts \&amp; Chicago IL. — Covering both East Coast and West Coast opportunities.** 
 📢
 **We welcome applications from candidates looking to restart their careers after a break!** 
**Title:** 
**AWS/AZURE** 
**Data Engineer** 
**What We’re Looking For:** 
* Minimum 5
 **\+ years** 
 of hands\-on experience in
 **designing** 
 ,
 **building** 
 , and
 **optimizing scalable data pipelines** 
 ,
 **data integration workflows** 
 , and
 **data warehousing solutions** 
 across enterprise\-level environments.
* Deep expertise in
 **ETL/ELT development** 
 ,
 **data ingestion** 
 , and
 **data transformation** 
 using industry\-standard tools such as
 **Apache Spark** 
 ,
 **Airflow** 
 ,
 **Talend** 
 , or
 **Informatica** 
 .
* Proven experience working with
 **cloud platforms** 
 including
 **AWS** 
 (
 **Glue** 
 ,
 **Redshift** 
 ,
 **S3** 
 ),
 **Azure** 
 (
 **Data Factory** 
 ,
 **Synapse** 
 ,
 **Blob Storage** 
 ), or
 **GCP** 
 (
 **BigQuery** 
 ,
 **Dataflow** 
 ) for data engineering workloads.
* Advanced proficiency in
 **SQL** 
 ,
 **Python** 
 , or
 **Scala** 
 for implementing robust, efficient, and reusable
 **data processing logic** 
 .
* Strong familiarity with
 **data lake** 
 and
 **lakehouse architectures** 
 , leveraging file formats such as
 **Parquet** 
 ,
 **Avro** 
 , or
 **ORC** 
 for optimized storage and performance.
* Solid experience in
 **data modeling** 
 ,
 **dimensional modeling** 
 ,
 **data governance** 
 , and
 **metadata management** 
 , ensuring accuracy, security, and compliance.
* Hands\-on experience with
 **real\-time streaming** 
 and
 **event\-driven architectures** 
 using tools like
 **Apache Kafka** 
 ,
 **AWS Kinesis** 
 , or
 **Azure Event Hubs** 
 .
* Skilled in
 **CI/CD pipeline setup** 
 and
 **source control practices** 
 using tools like
 **Git** 
 ,
 **Jenkins** 
 ,
 **Azure DevOps** 
 , or
 **GitLab CI/CD** 
 for automated and collaborative delivery.
* Demonstrated success in
 **performance tuning** 
 ,
 **data quality validation** 
 , and maintaining
 **pipeline reliability** 
 for mission\-critical data workloads.
* Excellent
 **problem\-solving** 
 ,
 **root cause analysis** 
 , and
 **debugging skills** 
 with a proactive approach to improving
 **data accuracy** 
 ,
 **efficiency** 
 , and
 **platform scalability** 
 .
* Experience working in
 **Agile/Scrum environments** 
 , collaborating cross\-functionally with
 **data scientists** 
 ,
 **business analysts** 
 , and
 **DevOps teams** 
 to deliver end\-to\-end data solutions.
**Please reach me at \+1 732\-348\-5149 or you can send me your updated resume at javeed@ptcit.com** 
 📢
 **Next Steps:** 
**We will review all applications carefully. Rest assured, we will reach out to you soon with an update. We appreciate your patience and understanding as we complete this process.**</t>
        </is>
      </c>
    </row>
    <row r="152">
      <c r="A152" t="inlineStr">
        <is>
          <t>li-4358721286</t>
        </is>
      </c>
      <c r="B152" t="inlineStr">
        <is>
          <t>Data Engineer</t>
        </is>
      </c>
      <c r="C152" t="inlineStr">
        <is>
          <t>Luxoft</t>
        </is>
      </c>
      <c r="D152" t="inlineStr">
        <is>
          <t>linkedin</t>
        </is>
      </c>
      <c r="E152">
        <f>HYPERLINK("https://www.linkedin.com/jobs/view/4358721286", "https://www.linkedin.com/jobs/view/4358721286")</f>
        <v/>
      </c>
      <c r="F152" t="inlineStr"/>
      <c r="G152" t="inlineStr">
        <is>
          <t>Irvine, CA</t>
        </is>
      </c>
      <c r="H152" t="inlineStr"/>
      <c r="I152" t="inlineStr">
        <is>
          <t>**Project description** 
 Luxoft is looking for a Senior Data Engineer for development of new application to be used by investors and investment committees to review their portfolio data, tailored to specific user groups.
**Responsibilities** 
* Work with complex data structures and provide innovative ways to a solution for complex data delivery requirements
* Evaluate new and alternative data sources and new integration techniques
* Contribute to data models and designs for the data warehouse
* Establish standards for documentation and ensure your team adheres to those standards
* Influence and develop a thorough understanding of standards and best practices used by your team
**Skills** 
**Must have** 
* Seasoned data engineer who has hands\-on experience in AWS to conduct end\-to\-end data analysis and data pipeline build\-out using Python, Glue, S3, Airflow, DBT, Redshift, RDS, etc.
* Extensive Python API design experience, preferably Fast API
* Strong SQL knowledge
**Nice to have** 
* Pyspark
* Databricks
* ETL design</t>
        </is>
      </c>
    </row>
    <row r="153">
      <c r="A153" t="inlineStr">
        <is>
          <t>li-4330646743</t>
        </is>
      </c>
      <c r="B153" t="inlineStr">
        <is>
          <t>DATA ENGINEER</t>
        </is>
      </c>
      <c r="C153" t="inlineStr">
        <is>
          <t>Jobs via Dice</t>
        </is>
      </c>
      <c r="D153" t="inlineStr">
        <is>
          <t>linkedin</t>
        </is>
      </c>
      <c r="E153">
        <f>HYPERLINK("https://www.linkedin.com/jobs/view/4330646743", "https://www.linkedin.com/jobs/view/4330646743")</f>
        <v/>
      </c>
      <c r="F153" t="inlineStr"/>
      <c r="G153" t="inlineStr">
        <is>
          <t>New York, NY</t>
        </is>
      </c>
      <c r="H153" t="inlineStr"/>
      <c r="I153" t="inlineStr">
        <is>
          <t>Dice is the leading career destination for tech experts at every stage of their careers. Our client, AaraTechnologies Inc, is seeking the following. Apply via Dice today!
**Company:** 
 AaraTech Inc
**Experience:** 
 1\- 2 Years
**About the Role:**
 AaraTech Inc is seeking a
 **Healthcare Data Engineer** 
 to support the development and maintenance of data pipelines and integrations for healthcare systems. This role is ideal for early\-career professionals who want hands\-on experience working with healthcare data, clinical and claims datasets, and cloud\-based data platforms while supporting analytics, reporting, and compliance initiatives.
**Key Responsibilities:**
* Develop, maintain, and optimize ETL/ELT pipelines for healthcare data ingestion and transformation.
* Work with healthcare data sources such as EHR/EMR, claims, clinical, and operational datasets.
* Support data modeling, integration, and schema design aligned with healthcare use cases.
* Collaborate with analysts, data scientists, and healthcare stakeholders to deliver reliable datasets.
* Perform data validation, quality checks, and reconciliation to ensure data accuracy.
* Assist in managing cloud data environments (AWS, Azure, or Google Cloud Platform) for healthcare analytics.
* Support healthcare data standards and interoperability formats (HL7, FHIR exposure preferred).
* Maintain documentation for data pipelines, workflows, and healthcare data definitions.
* Monitor performance and optimize queries and data workflows for reporting and analytics.
**Skills \&amp; Qualifications:**
* 1\- 2 years of experience as a Data Engineer or similar data\-focused role.
* Strong experience with SQL and relational databases.
* Knowledge of Python for data processing and automation.
* Understanding of ETL tools, data pipelines, and data warehousing concepts.
* Exposure to cloud platforms (AWS, Google Cloud Platform, or Azure) and services such as S3, BigQuery, Azure Data Lake.
* Familiarity with Apache Spark, Airflow, or similar frameworks (preferred).
* Basic understanding of healthcare data domains (clinical, claims, provider, or patient data).
* Awareness of healthcare compliance standards such as HIPAA (preferred).
* Strong problem\-solving, debugging, and analytical skills.
* Ability to collaborate with cross\-functional data, analytics, and healthcare teams.
**Why Join AaraTech Inc?**
* Excellent opportunity to build a career in Healthcare Data Engineering.
* Work with modern data tools and healthcare cloud technologies.
* Supportive team environment with mentorship.
* Competitive salary and benefits.
* Remote\-friendly role with training and certification support.</t>
        </is>
      </c>
    </row>
    <row r="154">
      <c r="A154" t="inlineStr">
        <is>
          <t>li-4315003795</t>
        </is>
      </c>
      <c r="B154" t="inlineStr">
        <is>
          <t>Co-op-Data Engineer-Reedsville, PA-June-December 2026</t>
        </is>
      </c>
      <c r="C154" t="inlineStr">
        <is>
          <t>Philips</t>
        </is>
      </c>
      <c r="D154" t="inlineStr">
        <is>
          <t>linkedin</t>
        </is>
      </c>
      <c r="E154">
        <f>HYPERLINK("https://www.linkedin.com/jobs/view/4315003795", "https://www.linkedin.com/jobs/view/4315003795")</f>
        <v/>
      </c>
      <c r="F154">
        <f>HYPERLINK("https://philips.wd3.myworkdayjobs.com/jobs-and-careers/job/Reedsville/Co-op-Data-Engineer-Reedsville\u002d\u002dPA-January-June-2025_565943/?source=LinkedIn&amp;urlHash=JmXw", "https://philips.wd3.myworkdayjobs.com/jobs-and-careers/job/Reedsville/Co-op-Data-Engineer-Reedsville\u002d\u002dPA-January-June-2025_565943/?source=LinkedIn&amp;urlHash=JmXw")</f>
        <v/>
      </c>
      <c r="G154" t="inlineStr">
        <is>
          <t>Reedsville, PA</t>
        </is>
      </c>
      <c r="H154" t="inlineStr"/>
      <c r="I154" t="inlineStr">
        <is>
          <t>Job Title
 Co\-op\-Data Engineer\-Reedsville, PA\-June\-December 2026
**Job Description**
 Are you interested in an co\-op opportunity with Philips? We welcome individuals who are currently pursuing an undergraduate (BS) degree to participate in 6 month co\-op opportunities at our site in Reedsville, PA Through this role you will gain meaningful, hands\-on experience working for a HealthTech company.
* Supporting the R\&amp;D Reliability team by developing data engineering tools and support R\&amp;D with improvements
* Data analysis and reporting. Lead or support project teams as needed
* Support CONQ database transition and improvements. Migrate data and write new scripts to allow the transducer reliability team to have the data they need consistently.
**You're The Right Fit If**
* Pursuing a Bachelor's degree in one of the following areas of study: Data Science, Data Analytics, Electrical Engineering, Computer Science
* Experience with T\-SQL, Python, SAP, Microsoft Power Apps, SAP\-ME, Object Oriented Programming Problem\-solving methodology (i.e., Shainin Red\-X, DMAIC, PDCA), manufacturing process knowledge,
* Experience with a regulated work environment, Project Management Self\-starter, Driven to improve, Big picture thinking, Takes initiative.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hourly pay range for this position is $25\.00 to $29\.00, plus overtime eligible. The actual base pay offered may vary within the posted ranges depending on multiple factors including job\-related knowledge/skills, experience, business needs, geographical location, and internal equity.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Reedsville.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155">
      <c r="A155" t="inlineStr">
        <is>
          <t>li-4330716532</t>
        </is>
      </c>
      <c r="B155" t="inlineStr">
        <is>
          <t>Data Engineer</t>
        </is>
      </c>
      <c r="C155" t="inlineStr">
        <is>
          <t>Jobs via Dice</t>
        </is>
      </c>
      <c r="D155" t="inlineStr">
        <is>
          <t>linkedin</t>
        </is>
      </c>
      <c r="E155">
        <f>HYPERLINK("https://www.linkedin.com/jobs/view/4330716532", "https://www.linkedin.com/jobs/view/4330716532")</f>
        <v/>
      </c>
      <c r="F155" t="inlineStr"/>
      <c r="G155" t="inlineStr">
        <is>
          <t>Columbus, OH</t>
        </is>
      </c>
      <c r="H155" t="inlineStr"/>
      <c r="I155" t="inlineStr">
        <is>
          <t>Dice is the leading career destination for tech experts at every stage of their careers. Our client, Cyber Space Technologies LLC, is seeking the following. Apply via Dice today!
 Data Engineer with strong experience in Databricks and Python to work on large\-scale data platforms and analytics solutions. This role requires hands\-on development and close collaboration with business and technology teams in a fully onsite environment.
 Key Responsibilities:
 Design, build, and maintain scalable data pipelines using Databricks and Python
 Develop and optimize ETL/ELT processes for large, complex datasets
 Work with structured and semi\-structured data from multiple sources
 Collaborate with data architects, analysts, and stakeholders to deliver data solutions
 Ensure data quality, performance, and reliability across pipelines
 Support production deployments, monitoring, and issue resolution
 Follow best practices for data engineering, security, and compliance standards
 Required Skills \&amp; Qualifications:
 Strong experience as a Data Engineer
 Hands\-on expertise with Databricks
 Strong Python development skills
 Experience with Spark and distributed data processing
 Solid understanding of data modeling and data warehousing concepts
 Experience working in enterprise environments
 Preferred Qualifications:
**Experience With JPMC Or Other Large Financial Institutions**
 Experience working with Deloitte or similar consulting firms
 Knowledge of cloud platforms (AWS, Azure, or Google Cloud Platform)
 Experience with SQL and performance tuning
**CST** 
 provides its clients with complete, cost\-effective, end\-to\-end personnel solutions across a range of industrial domains.
 **CST's mission** 
 is to empower businesses around the world to make better, faster operational decisions.</t>
        </is>
      </c>
    </row>
    <row r="156">
      <c r="A156" t="inlineStr">
        <is>
          <t>li-4330765149</t>
        </is>
      </c>
      <c r="B156" t="inlineStr">
        <is>
          <t>C++ Market Data Engineer (USA)</t>
        </is>
      </c>
      <c r="C156" t="inlineStr">
        <is>
          <t>Trexquant Investment LP</t>
        </is>
      </c>
      <c r="D156" t="inlineStr">
        <is>
          <t>linkedin</t>
        </is>
      </c>
      <c r="E156">
        <f>HYPERLINK("https://www.linkedin.com/jobs/view/4330765149", "https://www.linkedin.com/jobs/view/4330765149")</f>
        <v/>
      </c>
      <c r="F156" t="inlineStr"/>
      <c r="G156" t="inlineStr">
        <is>
          <t>New York, NY</t>
        </is>
      </c>
      <c r="H156" t="inlineStr"/>
      <c r="I156" t="inlineStr">
        <is>
          <t>Trexquant is a growing systematic fund at the forefront of quantitative finance, with a core team of highly accomplished researchers and engineers. To keep pace with our expanding global trading operations, we are seeking a C\+\+ Market Data Engineer to design and build ultra\-low\-latency feed handlers for premier vendor feeds and major exchange multicast feeds. This is a high\-impact role that sits at the heart of Trexquant's trading platform; the quality, speed, and reliability of your code directly influence every strategy we run.
**Responsibilities**
* Design \&amp; implement high\-performance feed handlers in modern C\+\+ for equities, futures, and options across global venues (e.g., NYSE, CME, Refinitiv RTS, Bloomberg B\-PIPE)
* Optimize for micro\- and nanosecond latency using lock\-free data structures, cache\-friendly memory layouts, and kernel\-bypass networking where appropriate
* Build reusable libraries for message decoding, normalization, and publication to internal buses shared by research, simulation, and live trading systems
* Collaborate with cross\-functional teams to tune TCP/UDP multicast stacks, kernel parameters, and NIC settings for deterministic performance
* Provide robust failover, gap\-recovery, and replay mechanisms to guarantee data integrity under packet loss or venue outages
* Instrument code paths with precision timestamping and performance metrics; drive continuous latency regression testing and capacity planning
* Partner closely with quantitative researchers to understand downstream data requirements and to fine\-tune delivery formats for both simulation and live trading
* Produce clear architecture documents, operational run\-books, and post\-mortems; participate in a 24×7 follow\-the\-sun support rotation for mission\-critical market\-data services
**Requirements**
* BS/MS/PhD in Computer Science, Electrical Engineering, or related field
* 3\+ years of professional C\+\+ (14,17,20\) development experience focused on low\-latency, high\-throughput systems
* Proven track record building or maintaining real\-time market\-data feeds (e.g., Refinitiv RTS/TREP, Bloomberg B\-PIPE, OPRA, CME MDP, ITCH)
* Strong grasp of concurrency, lock\-free algorithms, memory\-model semantics, and compiler optimizations
* Familiarity with serialization formats (FAST, SBE, Protocol Buffers) and time\-series databases or in\-memory caches
* Comfort with scripting in Python for prototyping, testing, and ops automation
* Excellent problem\-solving skills, ownership mindset, and ability to thrive in a fast\-paced trading environment
* Familiarity with containerization (Docker/K8s) and public\-cloud networking (AWS, GCP)
**Benefits**
* Competitive salary, plus bonus based on individual and company performance
* Collaborative, casual, and friendly work environment while solving the hardest problems in the financial markets
* PPO Health, dental and vision insurance premiums fully covered for you and your dependents
* Pre\-Tax Commuter Benefits
 Applications are now open for our NYC office, opening in September 2026\.
 The base salary range is $175,000\.00 \- $200,00\.00 depending on the candidate's educational and professional background. Base salary is one component of Trexquant's total compensation, which may also include a discretionary, performance\-based bonus."
 Trexquant is an Equal Opportunity Employer</t>
        </is>
      </c>
    </row>
    <row r="157">
      <c r="A157" t="inlineStr">
        <is>
          <t>li-4330865550</t>
        </is>
      </c>
      <c r="B157" t="inlineStr">
        <is>
          <t>Parts and Service Data Engineer / Data Scientist at Stellantis</t>
        </is>
      </c>
      <c r="C157" t="inlineStr">
        <is>
          <t>hackajob</t>
        </is>
      </c>
      <c r="D157" t="inlineStr">
        <is>
          <t>linkedin</t>
        </is>
      </c>
      <c r="E157">
        <f>HYPERLINK("https://www.linkedin.com/jobs/view/4330865550", "https://www.linkedin.com/jobs/view/4330865550")</f>
        <v/>
      </c>
      <c r="F157" t="inlineStr"/>
      <c r="G157" t="inlineStr">
        <is>
          <t>Auburn Hills, MI</t>
        </is>
      </c>
      <c r="H157" t="inlineStr"/>
      <c r="I157" t="inlineStr">
        <is>
          <t>***hackajob** 
 is collaborating with
 **Archer** 
 to connect them with exceptional tech professionals for this role.*
**Overview**
 Mopar is seeking a technically skilled and innovative Data Engineer / Data Scientist to drive advanced analytics and data solutions. This role is central to designing, building, and optimizing data pipelines, developing predictive models, and delivering actionable insights that empower HQ stakeholders. The ideal candidate will blend strong engineering skills with analytical expertise to support data\-driven decision\-making and operational excellence across the region.
**Key Responsibilities**
**Data Engineering \&amp; Pipeline Development:**
* Design, implement, and maintain robust data pipelines (ETL/ELT) to collect, process, and transform large\-scale structured and unstructured datasets from diverse automotive sources.
* Ensure data quality, integrity, and accessibility by developing automated validation and monitoring tools.
* Optimize data workflows for performance, scalability, and reliability, supporting both batch and real\-time analytics needs.
* Collaborate with IT and analytics teams to integrate data from business systems into centralized data products.
**Advanced Analytics \&amp; Data Science**
* Analyze complex datasets to uncover trends, patterns, and actionable insights that inform business strategies and operational improvements.
* Build, train, and deploy predictive models and machine learning algorithms for applications such as performance forecasting, anomaly detection, and customer segmentation.
* Conduct A/B testing, causal inference, and statistical analysis to evaluate business initiatives and drive continuous improvement.
* Apply best practices in data visualization to ensure clarity, accuracy, and accessibility of insights, including interactive dashboards, automated reporting, and mobile\-friendly solutions.
**Collaboration \&amp; Stakeholder Engagement**
* Serve as a technical liaison between HQ analytics and business teams, translating business needs into scalable data solutions.
* Educate and mentor team members on data best practices, analytics tools, and emerging technologies.</t>
        </is>
      </c>
    </row>
    <row r="158">
      <c r="A158" t="inlineStr">
        <is>
          <t>li-4330687220</t>
        </is>
      </c>
      <c r="B158" t="inlineStr">
        <is>
          <t>Parts and Service Data Engineer / Data Scientist at Stellantis</t>
        </is>
      </c>
      <c r="C158" t="inlineStr">
        <is>
          <t>hackajob</t>
        </is>
      </c>
      <c r="D158" t="inlineStr">
        <is>
          <t>linkedin</t>
        </is>
      </c>
      <c r="E158">
        <f>HYPERLINK("https://www.linkedin.com/jobs/view/4330687220", "https://www.linkedin.com/jobs/view/4330687220")</f>
        <v/>
      </c>
      <c r="F158" t="inlineStr"/>
      <c r="G158" t="inlineStr">
        <is>
          <t>Auburn Hills, MI</t>
        </is>
      </c>
      <c r="H158" t="inlineStr"/>
      <c r="I158" t="inlineStr">
        <is>
          <t>***hackajob** 
 is collaborating with
 **Archer** 
 to connect them with exceptional tech professionals for this role.*
**Overview**
 Mopar is seeking a technically skilled and innovative Data Engineer / Data Scientist to drive advanced analytics and data solutions. This role is central to designing, building, and optimizing data pipelines, developing predictive models, and delivering actionable insights that empower HQ stakeholders. The ideal candidate will blend strong engineering skills with analytical expertise to support data\-driven decision\-making and operational excellence across the region.
**Key Responsibilities**
**Data Engineering \&amp; Pipeline Development:**
* Design, implement, and maintain robust data pipelines (ETL/ELT) to collect, process, and transform large\-scale structured and unstructured datasets from diverse automotive sources.
* Ensure data quality, integrity, and accessibility by developing automated validation and monitoring tools.
* Optimize data workflows for performance, scalability, and reliability, supporting both batch and real\-time analytics needs.
* Collaborate with IT and analytics teams to integrate data from business systems into centralized data products.
**Advanced Analytics \&amp; Data Science**
* Analyze complex datasets to uncover trends, patterns, and actionable insights that inform business strategies and operational improvements.
* Build, train, and deploy predictive models and machine learning algorithms for applications such as performance forecasting, anomaly detection, and customer segmentation.
* Conduct A/B testing, causal inference, and statistical analysis to evaluate business initiatives and drive continuous improvement.
* Apply best practices in data visualization to ensure clarity, accuracy, and accessibility of insights, including interactive dashboards, automated reporting, and mobile\-friendly solutions.
**Collaboration \&amp; Stakeholder Engagement**
* Serve as a technical liaison between HQ analytics and business teams, translating business needs into scalable data solutions.
* Educate and mentor team members on data best practices, analytics tools, and emerging technologies.</t>
        </is>
      </c>
    </row>
    <row r="159">
      <c r="A159" t="inlineStr">
        <is>
          <t>li-4330627194</t>
        </is>
      </c>
      <c r="B159" t="inlineStr">
        <is>
          <t>Data Engineer</t>
        </is>
      </c>
      <c r="C159" t="inlineStr">
        <is>
          <t>Jobs via Dice</t>
        </is>
      </c>
      <c r="D159" t="inlineStr">
        <is>
          <t>linkedin</t>
        </is>
      </c>
      <c r="E159">
        <f>HYPERLINK("https://www.linkedin.com/jobs/view/4330627194", "https://www.linkedin.com/jobs/view/4330627194")</f>
        <v/>
      </c>
      <c r="F159">
        <f>HYPERLINK("https://click.appcast.io/t/nqStSC0NdLa0EQ4SjBqcc2ii2Db9UOYTiZt6YcSc0vY=&amp;urlHash=r9kC", "https://click.appcast.io/t/nqStSC0NdLa0EQ4SjBqcc2ii2Db9UOYTiZt6YcSc0vY=&amp;urlHash=r9kC")</f>
        <v/>
      </c>
      <c r="G159" t="inlineStr">
        <is>
          <t>Cincinnati, OH</t>
        </is>
      </c>
      <c r="H159" t="inlineStr"/>
      <c r="I159" t="inlineStr">
        <is>
          <t>**Description:**
**100% On Site in Cincinnati, Ohio**
 We are looking for an enthusiastic Data Engineer who demonstrates great communication skills, curiosity, and a desire to learn a new business and its supporting technical processes. This is an exciting role to support modern Data solutions.
*Due to client requirement, applicants must be willing and able to work on a w2 basis. For our w2 consultants, we offer a great benefits package that includes Medical, Dental, and Vision benefits, 401k with company matching, and life insurance. W2 Rate $30\-$39/hr*
**Responsibilities:**
* Handle the design and construction of scalable management systems, ensure that all data systems meet company requirements, and also research new uses for data acquisition.
* Required to know and understand the ins and outs of the industry such as data mining practices, algorithms, and how data can be used.
* Design, construct, install, test and maintain data management systems.
* Build high\-performance algorithms, predictive models, and prototypes.
* Ensure that all systems meet the business/company requirements as well as industry practices.
* Integrate up\-and\-coming data management and software engineering technologies into existing data structures.
* Develop set processes for data mining, data modeling, and data production.
* Create custom software components and analytics applications. Research new uses for existing data.
* Employ an array of technological languages and tools to connect systems together.
* Collaborate with members of your team (eg, data architects, the IT team, data scientists) on the project's goals.
* Install/update disaster recovery procedures.
* Recommend different ways to constantly improve data reliability and quality.
**Experience Requirements:**
 Must\-have technical skill sets, in priority order:
* Snowflake \- Modern data warehousing
* dbt \- SQL\-based transformations, testing, and documentation.
* DataStage \- Legacy ETL support during migration.
* SQL \- Advanced queries and optimization.
* ETL/ELT Development \- Pipeline design and orchestration.
* CI/CD \- Git\-based deployment and automation
 Nice\-to\-have technical skill set:
* AWS / Azure / Google Cloud Platform \- Cloud storage, compute, and IAM fundamentals.
* Python \&amp; Shell scripting \- Automation and data processing.
* Data Modeling \- Normalized and dimensional models.
* Data Validation Frameworks \- e.g., dbt tests or Great Expectations.
* Metadata Management \- Cataloging and lineage tracking.
* REST / SOAP APIs \- Integration with external systems
 Candidate must demonstrate great communication skills, curiosity, and a desire to learn a new business and its supporting technical processes. Three or more years of applied technical experience desired.
**Education Requirements:**
 Qualifications: Technical Degree or related work experience.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60">
      <c r="A160" t="inlineStr">
        <is>
          <t>li-4330875117</t>
        </is>
      </c>
      <c r="B160" t="inlineStr">
        <is>
          <t>Data Engineer</t>
        </is>
      </c>
      <c r="C160" t="inlineStr">
        <is>
          <t>Jobs via Dice</t>
        </is>
      </c>
      <c r="D160" t="inlineStr">
        <is>
          <t>linkedin</t>
        </is>
      </c>
      <c r="E160">
        <f>HYPERLINK("https://www.linkedin.com/jobs/view/4330875117", "https://www.linkedin.com/jobs/view/4330875117")</f>
        <v/>
      </c>
      <c r="F160" t="inlineStr"/>
      <c r="G160" t="inlineStr">
        <is>
          <t>Vermont, United States</t>
        </is>
      </c>
      <c r="H160" t="inlineStr"/>
      <c r="I160" t="inlineStr">
        <is>
          <t>Dice is the leading career destination for tech experts at every stage of their careers. Our client, Information Resource Group, Inc., is seeking the following. Apply via Dice today!
 Role: Data Engineer Experience with public\-safety Records Management System (RMS)
 Location: Vermont/ 100% remote from USA
 Duration: 2\- 4 months
 Our client at Vermont is seeking an experienced Data Engineer to support data discovery, modeling, extraction, and transformation activities required for a successful migration from their current Records Management System (RMS) to a new RMS platform.
 The Data Engineer must demonstrate proficiency in the following areas:
 Advanced SQL with emphasis on complex SELECT statements, joins, subqueries, and transformation logic.
 MySQL/MSSQL database architecture, and schema discovery.
 Data modeling, normalization concepts, and reverse\-engineering undocumented schema.
 ETL methodology and preparing structured data for ingestion into third\-party systems.
 Experience with public\-safety RMS, case\-management, or similarly complex relational data structures (preferred).
 Strong analytical and documentation skills with the ability to interpret incomplete or ambiguous legacy data.
 Experience with ETL processing binary large objects, PDF, and other unstructured data.</t>
        </is>
      </c>
    </row>
    <row r="161">
      <c r="A161" t="inlineStr">
        <is>
          <t>li-4351627880</t>
        </is>
      </c>
      <c r="B161" t="inlineStr">
        <is>
          <t>Engineer - Data Engineer Lead</t>
        </is>
      </c>
      <c r="C161" t="inlineStr">
        <is>
          <t>Cencora</t>
        </is>
      </c>
      <c r="D161" t="inlineStr">
        <is>
          <t>linkedin</t>
        </is>
      </c>
      <c r="E161">
        <f>HYPERLINK("https://www.linkedin.com/jobs/view/4351627880", "https://www.linkedin.com/jobs/view/4351627880")</f>
        <v/>
      </c>
      <c r="F161" t="inlineStr"/>
      <c r="G161" t="inlineStr">
        <is>
          <t>United, PA</t>
        </is>
      </c>
      <c r="H161" t="inlineStr"/>
      <c r="I161" t="inlineStr">
        <is>
          <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
**Job Details**
 The Tech Lead – Data Governance, reporting into the Manager of Data Governance, will be implementing and rolling out the Collibra Data Intelligence platform and quality across Cencora by working closely with business and IT partners. The lead will serve as the SME for Collibra Data Intelligence Platform, Data Quality and data governance concepts.
**Responsibilities**
* Subject matter expert on Collibra functionality, including Data Catalog and Data Quality features to enable a robust enterprise data governance program.
* Collibra technical expert to recommend best practices and technology to integrate with both cloud and on\-prem solutions and databases.
* Establish strong working relationships with key IT teams in Architecture, Administration and Information Security to ensure implementation, maintenance and expansion of the Collibra footprint is compliant, stable and aligned to Cencora and regulatory policies and practices.
* Practical knowledge and application for AI technology and skills to improve data governance activities using Collibra.
* Partner with customers to understand their data governance challenges and needs.
* Conduct interviews with stakeholders from both Business and IT to uncover current data governance issues and identify emerging trends.
* Define current and future states for the Data Governance vision using Collibra.
* Lead efforts to improve data quality through profiling, analysis, and long\-term monitoring of the data.
**Experience And Educational Requirements**
* 3 to 5 years of relevant industry consulting experience implementing Collibra.
* 2 years of experience working with cloud platforms, network\-based API integration (REST/JSON), and deployment automation.
* Experience with Python for custom software implementations in MS OS environments.
* Proven ability to quickly learn new technologies and business requirements.
* Hands\-on experience with Data Quality, Data Pipelines, Data Orchestration, or Job Control tools.
* Bachelor’s degree or equivalent related working experience is required
**Skills**
* Knowledge and experience successfully implementing data management processes, including data governance, data stewardship, master data management, data cataloging, data warehousing, ETL, data integration, and business workflows.
* Leadership and communication skills to work with business and analytics leaders to identify and align on solutions to data governance challenges.
* Relevant experience leading whiteboarding /blueprinting, design workshops, and requirements gathering activities.
* Familiarity with big data technologies such as Kubernetes, Spark, and Hadoop.
* Experience with enterprise security solutions such as LDAP or Kerberos.
* Relevant SDLC experience and skills include developing functional specifications, technical specifications, test plans and scripts.
******What Cencora offers******
 We provide compensation, benefits, and resources that enable a highly inclusive culture and support our team members’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
 Full time
****Salary Range\*****
 $124,000 \- 190,850
* This Salary Range reflects a National Average for this job. The actual range may vary based on your locale. Ranges in Colorado/California/Washington/New York/Hawaii/Vermont/Minnesota/Massachusetts/Illinois State\-specific locations may be up to 10% lower than the minimum salary range, and 12% higher than the maximum salary range.
********Equal Employment Opportunity********
 Cencora is committed to providing equal employment opportunity without regard to race, color, religion, sex, sexual orientation, gender identity, genetic information, national origin, age, disability, veteran status or membership in any other class protected by federal, state or local law.
 The company’s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
**Affiliated Companies**
 Affiliated Companies: AmerisourceBergen Services Corporation</t>
        </is>
      </c>
    </row>
    <row r="162">
      <c r="A162" t="inlineStr">
        <is>
          <t>li-4330627240</t>
        </is>
      </c>
      <c r="B162" t="inlineStr">
        <is>
          <t>SR. Data Platform Engineer - Elk Grove, CA (Hybrid ? 3 days a week on-site)</t>
        </is>
      </c>
      <c r="C162" t="inlineStr">
        <is>
          <t>Jobs via Dice</t>
        </is>
      </c>
      <c r="D162" t="inlineStr">
        <is>
          <t>linkedin</t>
        </is>
      </c>
      <c r="E162">
        <f>HYPERLINK("https://www.linkedin.com/jobs/view/4330627240", "https://www.linkedin.com/jobs/view/4330627240")</f>
        <v/>
      </c>
      <c r="F162" t="inlineStr"/>
      <c r="G162" t="inlineStr">
        <is>
          <t>Elk Grove, CA</t>
        </is>
      </c>
      <c r="H162" t="inlineStr"/>
      <c r="I162" t="inlineStr">
        <is>
          <t>Dice is the leading career destination for tech experts at every stage of their careers. Our client, INSPYR Solutions, is seeking the following. Apply via Dice today!
**Title:** 
 Sr. Data Platform Engineer
**Locations:** 
 Elk Grove, CA (Hybrid \- 3 days a week on\-site)
**Duration:** 
 Direct Hire/FTE
**Compensation:** 
 $160,000 \- $175,000 base \+20% Bonus and excellent benefits
**Work Requirements:** 
 , Holders, or Authorized to Work in the U.S.
**Position Summary**
 The
 **Senior Data Engineer** 
 is a technical expert responsible for designing, implementing, and supporting scalable data solutions using modern big data technologies. In this full\-time role, you will work closely with data architects, analysts, and business stakeholders to build, optimize, and maintain data pipelines and platforms that drive analytics, reporting, and machine learning. You will ensure the reliability, performance, and security of production data systems, and play a key role in troubleshooting, monitoring, and continuous improvement.
**KEY RESPONSIBILTITES**
* Design, develop, and maintain robust data pipelines for ingesting, transforming, and storing large volumes of structured, semi\-structured, and unstructured data.
* Implement data workflows and ETL processes using technologies such as Spark, Delta Lake, and cloud\-native tools.
* Support the production use of big data platforms (e.g., Databricks, Snowflake, Google Cloud Platform), ensuring high availability, scalability, and performance.
* Monitor, troubleshoot, and resolve issues in production data systems, including job failures, performance bottlenecks, and data quality concerns.
* Collaborate with data architects to translate business requirements into technical solutions, ensuring alignment with architectural standards and best practices.
* Optimize SQL queries, Spark jobs, and data processing workloads for efficiency and cost\-effectiveness.
* Implement and maintain data governance, security, and compliance measures, including access controls, data masking, and audit logging.
* Integrate data workflows into CI/CD pipelines, automate deployment processes, and manage source control using Git and related DevOps tools.
* Document data pipelines, workflows, and operational procedures to support knowledge sharing and maintainability.
* Stay current with emerging big data technologies and recommend improvements to enhance reliability, scalability, and efficiency.
**SUPERVISORY RESPONSIBILITIES**
 No Direct reports.
**Education And Experience**
* 7\+ years of experience in data engineering or related roles, with hands\-on experience building and supporting production data pipelines.
* Strong proficiency with big data platforms (e.g., Databricks, Snowflake, Google Cloud Platform) and the Spark ecosystem.
* Experience with data lakehouse and warehouse architectures, including Delta Lake or similar technologies.
* Senior Data Engineer with deep expertise in Retrieval\-Augmented Generation (RAG) systems and advanced chunking strategies for optimizing semantic search and LLM integration, delivering scalable solutions for enterprise knowledge retrieval and contextual AI applications.
* Advanced skills in PySpark, Python, SQL, and related data processing frameworks.
* Experience with cloud storage, messaging/streaming technologies (e.g., Apache Kafka, cloud Pub/Sub), and vector databases.
* Proven ability to optimize ETL jobs, tune cluster configurations, and troubleshoot production issues.
* Familiarity with data governance tools, catalog solutions, and security best practices.
* Experience integrating data workflows into CI/CD pipelines and using DevOps tools (e.g., Git, Jenkins, Terraform).
* Strong problem\-solving skills, attention to detail, and ability to work independently or as part of a team.
* Excellent communication skills to collaborate with cross\-functional teams and document technical solutions.
* Experience working in an Agile environment.
**Tools \&amp; Technologies**
* Big Data Platforms: Spark, Delta Lake, SQL engines, MLflow (or similar model tracking tools), relational databases.
* Data Governance: Data catalog and access control solutions.
* Programming \&amp; Data Processing: PySpark, Python, SQL.
* Cloud Services: Experience with cloud storage, messaging/streaming technologies, vector databases and BigQuery.
* DevOps \&amp; CI/CD: Git for version control, Jenkins, and infrastructure\-as\-code tools (e.g., Terraform) are a plus.
* Other Tools: Project and workflow management tools (e.g., JIRA, Confluence), BI/analytics tools (e.g., Power BI, Looker Studio).
**Preferred Certifications and Preferred Experience**
* Certifications in major big data platforms (e.g., Databricks, Snowflake, Google Cloud Platform) are advantageous.
* Exposure to related big data and streaming tools such as Apache Kafka, cloud messaging services, Apache Airflow, and BI/analytics tools is a plus.
* Google Professional Cloud Architect or better \- Preferred, but not required
* Azure Solutions Architect Expert \- Preferred, but not required
**SKILLS AND ABILITIES**
* Strong technical skills
* Teamwork and collaboration
* Judgmental and decision making skills
* Excellent communication to technical and non\-technical audience
* Leadership and creativity
* Striving for greater good of customers and enterprise
* Language \&amp; Technology MUSTS: Java/C\#, Message Brokering, SQL/NoSQL, Angular/REACT
* Architecture and Patterns: SPA, Microservices, Event Driven, DDD
**COMPETENCES** 
* Puts Customers First
+ Provides WOW! Customer service every time, every where
+ Understands customer needs and solves their problem
+ Shows sense of urgency in correctly meeting customer needs
* Team Player
+ Is a reliable and supportive team member
+ Values the ideas and opinions of others
+ Gives recognition for good work
+ Builds strong relationships with others
+ Resolves conflict effectively
+ Steps in and assumes leadership roles when needed
* Communicates Effectively
+ Communicates in a clear, straightforward, respectful way
+ Demonstrates effective listening skills
+ Listens and assumes positive intent
* Results the Right Way
+ Does what it takes to do the job right (WITTDTJR)
+ Is accountable, takes ownership and meets commitments
+ Prioritizes well, plans and executes in a manner of high integrity and ethics
* Development Focused
+ Asks for and embraces feedback
+ Owns professional development
* Embraces Change
+ Understands and is open to change
+ Looks for ways to improve our processes, services and products while maintaining our culture of thrift
 \&gt;\&gt;\&gt; Qualified candidates, please apply to this posting directly. You can also email your updated resume to for further review.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projects,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Information collected and processed through your application with INSPYR Solutions (including any job applications you choose to submit) is subject to INSPYR Solutions Privacy Policy and INSPYR Solutions AI and Automated Employment Decision Tool Policy: . By submitting an application, you are consenting to being contacted by INSPYR Solutions through phone, email, or text.</t>
        </is>
      </c>
    </row>
    <row r="163">
      <c r="A163" t="inlineStr">
        <is>
          <t>li-4330618033</t>
        </is>
      </c>
      <c r="B163" t="inlineStr">
        <is>
          <t>Data Engineers  - Ex Fannie Mae :: Reston, VA (In person Interview)</t>
        </is>
      </c>
      <c r="C163" t="inlineStr">
        <is>
          <t>Jobs via Dice</t>
        </is>
      </c>
      <c r="D163" t="inlineStr">
        <is>
          <t>linkedin</t>
        </is>
      </c>
      <c r="E163">
        <f>HYPERLINK("https://www.linkedin.com/jobs/view/4330618033", "https://www.linkedin.com/jobs/view/4330618033")</f>
        <v/>
      </c>
      <c r="F163">
        <f>HYPERLINK("https://click.appcast.io/t/VI32waNWoqm3doWKC8uDlI2z7G5-bPg-FBVpUsE82eA=&amp;urlHash=ht16", "https://click.appcast.io/t/VI32waNWoqm3doWKC8uDlI2z7G5-bPg-FBVpUsE82eA=&amp;urlHash=ht16")</f>
        <v/>
      </c>
      <c r="G163" t="inlineStr">
        <is>
          <t>Reston, VA</t>
        </is>
      </c>
      <c r="H163" t="inlineStr"/>
      <c r="I163" t="inlineStr">
        <is>
          <t>Dice is the leading career destination for tech experts at every stage of their careers. Our client, SSTech LLC, is seeking the following. Apply via Dice today!
**Job Title: Data Engineers \- Ex Fannie Mae are given preference**
**Location: Reston, VA \- Hybrid**
**No Visa Restriction**
**Need local profiles only as interview is in person**
**If relocation case then must come for in person on own expense**
 Job Description:
 We are looking for a highly skilled individual with a strong foundation in Python, PySpark, and SQL. In addition to the core programming skills, the ideal candidate should have substantial experience with AWS services. This includes proficiency in Lambda, SNS, SQS, S3, Step Functions, EMR and Glue. Experience with GitLab and Terraform is highly desirable. AWS glue is Must Have
 Ability to analyze and gather insights from large volumes of Data
 Skilled in Python and SQL to write ETL scripts
 Understanding of AWS services, primarily Glue ETL and Redshift
 Good communication skills
 FNM experience as Data Engineer</t>
        </is>
      </c>
    </row>
    <row r="164">
      <c r="A164" t="inlineStr">
        <is>
          <t>li-4351927035</t>
        </is>
      </c>
      <c r="B164" t="inlineStr">
        <is>
          <t>Senior Data Engineer - Active TS/SCI with FSP with Security Clearance</t>
        </is>
      </c>
      <c r="C164" t="inlineStr">
        <is>
          <t>ClearanceJobs</t>
        </is>
      </c>
      <c r="D164" t="inlineStr">
        <is>
          <t>linkedin</t>
        </is>
      </c>
      <c r="E164">
        <f>HYPERLINK("https://www.linkedin.com/jobs/view/4351927035", "https://www.linkedin.com/jobs/view/4351927035")</f>
        <v/>
      </c>
      <c r="F164" t="inlineStr"/>
      <c r="G164" t="inlineStr">
        <is>
          <t>Chantilly, VA</t>
        </is>
      </c>
      <c r="H164" t="inlineStr"/>
      <c r="I164" t="inlineStr">
        <is>
          <t>**Description**
 Location: Herndon/Chantilly, VA
 Clearance Required: TS/SCI with Full Scope Polygraph (FSP)
 Position Type: Full\-Time, On\-Site
 Salary Range: $180,000 – $220,000 We are seeking a highly skilled Senior Data Engineer to support the design, development, and optimization of mission\-critical data engineering solutions for a federal program. This position requires extensive experience in the full data lifecycle, including data movement, ingestion, transformation, and modeling in both on\-prem and cloud\-based environments. The ideal candidate will bring a strong command of ETL pipelines, data formatting tools, and modern data engineering frameworks to support advanced analytics and mission\-driven insights. Primary Responsibilities: Develop scalable tools, services, and code to execute complex data engineering tasks involving structured and unstructured data.
 Design, implement, and maintain robust ETL pipelines using technologies such as Spark, Apache NiFi, Apache Iceberg, and Trino.
 Ingest and transform data for enterprise\-level storage and exploration, ensuring format standardization and compliance with mission objectives.
 Collaborate with data scientists and mission partners to understand source data and define transformations supporting operational outcomes.
 Clean, preprocess, and condition data to support downstream analytics, ensuring data quality, integrity, and lineage (pedigree/provenance).
 Build services for one\-time and recurring data extractions and conversions across local and enterprise repositories.
 Support cloud\-based processing using AWS EMR and Kubernetes, and contribute to OpenSearch integrations.
 Produce comprehensive documentation including ETL mappings, code usage guidelines, and system access protocols.
 Coordinate with engineering teams and data stewards to integrate and operationalize new data processing platforms.
 Participate in Agile development processes and data governance working groups to enhance enterprise data standards and practices.
**Requirements**
 Minimum Qualifications: 10\+ years of professional experience in data engineering, including:
 Full data lifecycle engineering (collection, transformation, storage, distribution)
 Development and maintenance of ETL pipelines and data transformation workflows
 Cloud and on\-premise data solutions
 Proficiency in Python, SQL, Spark, and modern data engineering languages
 Experience with COTS/open\-source data tools such as ElasticSearch and Apache NiFi
 Proven track record of delivering within Agile software development lifecycles
 Ability to work full\-time on\-site in Herndon/Chantilly, VA.
 Active TS/SCI clearance with Full Scope Polygraph (FSP) is required at the time of application.
 Preferred Qualifications: Experience applying Artificial Intelligence (AI) and Large Language Models (LLMs) to optimize data processing and transformation.
 Familiarity with emerging data pipeline architectures and advanced cloud\-native tools.
 Exposure to data stewardship and enterprise data governance principles.
 Eligibility: Must be legally authorized to work in the United States without employer sponsorship, now or in the future.
 Active TS/SCI with Full Scope Polygraph (FSP) clearance is required for this role.
**Benefits**
 Salary: Salary for this position is determined based on factors such as location, qualifications, experience, and contract\-specific budget considerations. Proposed Salary Range: $180,000 – $220,000 Benefits: Our client offers a comprehensive and competitive benefits package, including: 100% Company\-Paid Health Insurance: Full coverage for medical, dental, and vision insurance for employees and their dependents (United Healthcare and Guardian).
 Protection Plans: Employer\-paid life, short\-term disability, and long\-term disability insurance.
 401(k) Retirement Contribution: 15% of base salary contributed by the company, fully vested from day one.
 Paid Time Off: 200 hours of PTO annually (accrued), in addition to 11 federal holidays.
 Bonuses: Recruitment and business development bonus opportunities based on performance and company growth.</t>
        </is>
      </c>
    </row>
    <row r="165">
      <c r="A165" t="inlineStr">
        <is>
          <t>li-4330893802</t>
        </is>
      </c>
      <c r="B165" t="inlineStr">
        <is>
          <t>(W2 Only) Sr Data Engineer</t>
        </is>
      </c>
      <c r="C165" t="inlineStr">
        <is>
          <t>Jobs via Dice</t>
        </is>
      </c>
      <c r="D165" t="inlineStr">
        <is>
          <t>linkedin</t>
        </is>
      </c>
      <c r="E165">
        <f>HYPERLINK("https://www.linkedin.com/jobs/view/4330893802", "https://www.linkedin.com/jobs/view/4330893802")</f>
        <v/>
      </c>
      <c r="F165" t="inlineStr"/>
      <c r="G165" t="inlineStr"/>
      <c r="H165" t="inlineStr"/>
      <c r="I165" t="inlineStr">
        <is>
          <t>Dice is the leading career destination for tech experts at every stage of their careers. Our client, SANS, is seeking the following. Apply via Dice today!
**Job Title Sr Data Engineer
 Location Remote**
**Duration \- 12\+ Months**
**Job Details:**
**Must Have Skills:** 
 SQL, Strong TSQL skills, Spark, Synapse, ADF, SSAS Nice to Have Skills: Azure Fabric
**Detailed Job Description:**
 Design and Development of ETL solutions using Azure data factory. Data Ingestion from source systems and transformation as per business rules. Work with business teams to finalize data requirements. Perform data cleansing and data profiling. Resource should have Strong TSQL skills, Spark, Synapse, ADF\&amp; SSAS Skills</t>
        </is>
      </c>
    </row>
    <row r="166">
      <c r="A166" t="inlineStr">
        <is>
          <t>li-4337243026</t>
        </is>
      </c>
      <c r="B166" t="inlineStr">
        <is>
          <t>Staff Data Engineer</t>
        </is>
      </c>
      <c r="C166" t="inlineStr">
        <is>
          <t>H1</t>
        </is>
      </c>
      <c r="D166" t="inlineStr">
        <is>
          <t>linkedin</t>
        </is>
      </c>
      <c r="E166">
        <f>HYPERLINK("https://www.linkedin.com/jobs/view/4337243026", "https://www.linkedin.com/jobs/view/4337243026")</f>
        <v/>
      </c>
      <c r="F166" t="inlineStr"/>
      <c r="G166" t="inlineStr">
        <is>
          <t>New York, United States</t>
        </is>
      </c>
      <c r="H166" t="inlineStr"/>
      <c r="I166" t="inlineStr">
        <is>
          <t>At H1, we believe access to the best healthcare information is a basic human right. Our mission is to provide a platform that can optimally inform every doctor interaction globally. This promotes health equity and builds needed trust in healthcare systems. To accomplish this our teams harness the power of data and AI\-technology to unlock groundbreaking medical insights and convert those insights into action that result in optimal patient outcomes and accelerates an equitable and inclusive drug development lifecycle. Visit h1\.co to learn more about us.
 Data Engineering is responsible for the development and delivery of our most important asset, our data. Across thousands of data sources globally, the team ensures that only accurate, normalized data flows to our customers, at the speed required to match real\-world changes. As we expand the markets we serve and increase the breadth and depth of data we capture, we need senior technical leaders who can drive execution, scalability, and architectural excellence.
**What You'll Do At H1**
 As a Staff Data Engineer on the Real World Evidence (RWE) team, you’ll be one of the most senior individual contributors and a key technical leader for our largest datasets and pipelines. You’ll drive some of H1’s most visible data initiatives and help reduce bottlenecks across teams, providing critical technical leadership support during US hours.
 You will:
* Act as a self\-starter who drives execution independently, taking ownership and initiative with minimal need for day\-to\-day direction.
* Lead high\-visibility RWE projects, starting with claims data, and keep multiple initiatives moving by proactively unblocking teams.
* Own the end\-to\-end architecture for critical data assets, ensuring solutions are scalable, reliable, and aligned with H1’s long\-term vision.
* Design, build, and optimize large\-scale data pipelines (hundreds of TBs) for performance, reliability, and cost efficiency.
* Partner with Product, Data Science, and downstream engineering teams to align priorities, manage dependencies, and deliver high\-value outcomes.
* Represent engineering in cross\-functional forums, shaping roadmaps and reducing reliance on senior leadership for day\-to\-day decisions.
* Develop deep domain expertise and mentor other engineers, helping raise the technical bar and influence the evolution of our data products.
**About You**
 You’re a hands\-on Staff IC and technical leader who thrives in complex data environments. You bring clarity to ambiguity, turn messy problems into reliable systems, and operate with a strong sense of ownership and impact. You collaborate effectively across functions, help others move faster, and are comfortable working across the full data and infrastructure stack.
* You have a proven track record of leading large, complex technical projects from concept to production.
* You bring deep experience building and evolving large\-scale data architectures, pipelines, or distributed systems.
* You operate well in high\-ambiguity environments, make pragmatic trade\-offs, and keep execution moving.
* You communicate clearly with both technical and non\-technical partners and influence direction without needing formal authority.
* You raise the bar for engineering excellence through thoughtful design, high\-quality code, and strong documentation.
* You invest in others through mentorship, pairing, and constructive feedback.
**Requirements**
* 8\+ years as a software, data, or backend engineer building and operating scalable, production\-grade systems.
* Experience with large\-scale data processing (e.g., Spark/PySpark on EMR or similar) or scalable distributed backend systems, with the ability to quickly deepen expertise in our data stack (PySpark, EMR, Hudi/Delta).
* Strong proficiency in SQL, including writing and optimizing complex queries over large datasets.
* Strong programming experience in Python (or a modern language with the ability to quickly ramp up in Python).
* Experience designing systems or large\-scale datasets/pipelines with attention to performance, reliability, and maintainability.
* Hands\-on experience with modern engineering workflows and tooling such as Git, JIRA, and CI/CD systems (e.g., CircleCI).
* Comfort deploying and troubleshooting distributed workloads in cloud environments such as AWS EMR or Kubernetes.
* Experience with workflow orchestration or job scheduling tools (e.g., Airflow, Argo).
* Demonstrated ability to independently drive complex, cross\-team technical initiatives and influence stakeholders without formal authority.
* Experience with streaming/messaging technologies (e.g., Kafka, Kinesis) nice to have
* Background in RWE, healthcare data, or other complex/regulated data domains is preferred
* Experience using AI\-assisted coding tools (e.g., GitHub Copilot, Claude Code) to accelerate development while maintaining quality is encouraged
**Compensation**
 This role pays $170,000 to $190,000 per year, based on experience, in addition to stock options.
 Anticipated role close date: 01/05/2026
**H1 OFFERS**
* Full suite of health insurance options, in addition to generous paid time off
* Pre\-planned company\-wide wellness holidays
* Retirement options
* Health \&amp; charitable donation stipends
* Impactful Business Resource Groups
* Flexible work hours \&amp; the opportunity to work from anywhere
* The opportunity to work with leading biotech and life sciences companies in an innovative industry with a mission to improve healthcare around the globe
*H1 is proud to be an equal opportunity employer that celebrates diversity and is committed to creating an inclusive workplace with equal opportunity for all applicants and teammates. Our goal is to recruit the most talented people from a diverse candidate pool regardless of race, color, ancestry, national origin, religion, disability, sex (including pregnancy), age, gender, gender identity, sexual orientation, marital status, veteran status, or any other characteristic protected by law.*
*H1 is committed to working with and providing access and reasonable accommodation to applicants with mental and/or physical disabilities. If you require an accommodation, please reach out to your recruiter once you've begun the interview process. All requests for accommodations are treated discreetly and confidentially, as practical and permitted by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2026-01-08T03:09:18Z</dcterms:created>
  <dcterms:modified xsi:type="dcterms:W3CDTF">2026-01-08T03:09:18Z</dcterms:modified>
</cp:coreProperties>
</file>