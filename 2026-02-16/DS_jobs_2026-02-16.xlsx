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8"/>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in-95387f76ab06100d</t>
        </is>
      </c>
      <c r="B2" t="inlineStr">
        <is>
          <t>Sr. Applied Scientist, Amazon Ads</t>
        </is>
      </c>
      <c r="C2" t="inlineStr">
        <is>
          <t>Amazon.com</t>
        </is>
      </c>
      <c r="D2" t="inlineStr">
        <is>
          <t>indeed</t>
        </is>
      </c>
      <c r="E2" t="inlineStr"/>
      <c r="F2" t="inlineStr"/>
      <c r="G2" t="inlineStr">
        <is>
          <t>Brooklyn, NY, US</t>
        </is>
      </c>
      <c r="H2" s="1"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in-3aac9e24f3a2f578</t>
        </is>
      </c>
      <c r="B3" t="inlineStr">
        <is>
          <t>Sr. Applied Scientist, Amazon Ads</t>
        </is>
      </c>
      <c r="C3" t="inlineStr">
        <is>
          <t>Amazon.com</t>
        </is>
      </c>
      <c r="D3" t="inlineStr">
        <is>
          <t>indeed</t>
        </is>
      </c>
      <c r="E3" t="inlineStr"/>
      <c r="F3" t="inlineStr"/>
      <c r="G3" t="inlineStr">
        <is>
          <t>Boston, MA, US</t>
        </is>
      </c>
      <c r="H3" s="1"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in-dc14678d558a2f50</t>
        </is>
      </c>
      <c r="B4" t="inlineStr">
        <is>
          <t>Sr. Applied Scientist, Amazon Ads</t>
        </is>
      </c>
      <c r="C4" t="inlineStr">
        <is>
          <t>Amazon.com</t>
        </is>
      </c>
      <c r="D4" t="inlineStr">
        <is>
          <t>indeed</t>
        </is>
      </c>
      <c r="E4" t="inlineStr"/>
      <c r="F4" t="inlineStr"/>
      <c r="G4" t="inlineStr">
        <is>
          <t>Santa Monica, CA, US</t>
        </is>
      </c>
      <c r="H4" s="1"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in-165fee81f8df3be9</t>
        </is>
      </c>
      <c r="B5" t="inlineStr">
        <is>
          <t>Sr. Applied Scientist, Amazon Ads</t>
        </is>
      </c>
      <c r="C5" t="inlineStr">
        <is>
          <t>Amazon.com</t>
        </is>
      </c>
      <c r="D5" t="inlineStr">
        <is>
          <t>indeed</t>
        </is>
      </c>
      <c r="E5" t="inlineStr"/>
      <c r="F5" t="inlineStr"/>
      <c r="G5" t="inlineStr">
        <is>
          <t>New York, NY, US</t>
        </is>
      </c>
      <c r="H5" s="1"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in-15151d8743497d43</t>
        </is>
      </c>
      <c r="B6" t="inlineStr">
        <is>
          <t>Sr. Applied Scientist, Amazon Ads</t>
        </is>
      </c>
      <c r="C6" t="inlineStr">
        <is>
          <t>Amazon.com</t>
        </is>
      </c>
      <c r="D6" t="inlineStr">
        <is>
          <t>indeed</t>
        </is>
      </c>
      <c r="E6" t="inlineStr"/>
      <c r="F6" t="inlineStr"/>
      <c r="G6" t="inlineStr">
        <is>
          <t>Tukwila, WA, US</t>
        </is>
      </c>
      <c r="H6" s="1"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in-8e248a2a59529793</t>
        </is>
      </c>
      <c r="B7" t="inlineStr">
        <is>
          <t>Sr. Applied Scientist, Amazon Ads</t>
        </is>
      </c>
      <c r="C7" t="inlineStr">
        <is>
          <t>Amazon.com</t>
        </is>
      </c>
      <c r="D7" t="inlineStr">
        <is>
          <t>indeed</t>
        </is>
      </c>
      <c r="E7" t="inlineStr"/>
      <c r="F7" t="inlineStr"/>
      <c r="G7" t="inlineStr">
        <is>
          <t>Seattle, WA, US</t>
        </is>
      </c>
      <c r="H7" s="1"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in-9c48f27e100278ea</t>
        </is>
      </c>
      <c r="B8" t="inlineStr">
        <is>
          <t>Sr. Applied Scientist, Amazon Ads</t>
        </is>
      </c>
      <c r="C8" t="inlineStr">
        <is>
          <t>Amazon.com</t>
        </is>
      </c>
      <c r="D8" t="inlineStr">
        <is>
          <t>indeed</t>
        </is>
      </c>
      <c r="E8" t="inlineStr"/>
      <c r="F8" t="inlineStr"/>
      <c r="G8" t="inlineStr">
        <is>
          <t>Corvallis, OR, US</t>
        </is>
      </c>
      <c r="H8" s="1"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in-36eccb583115534f</t>
        </is>
      </c>
      <c r="B9" t="inlineStr">
        <is>
          <t>Sr. Applied Scientist, Amazon Ads</t>
        </is>
      </c>
      <c r="C9" t="inlineStr">
        <is>
          <t>Amazon.com</t>
        </is>
      </c>
      <c r="D9" t="inlineStr">
        <is>
          <t>indeed</t>
        </is>
      </c>
      <c r="E9" t="inlineStr"/>
      <c r="F9" t="inlineStr"/>
      <c r="G9" t="inlineStr">
        <is>
          <t>Palo Alto, CA, US</t>
        </is>
      </c>
      <c r="H9" s="1"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in-6b1e8f1a5115df12</t>
        </is>
      </c>
      <c r="B10" t="inlineStr">
        <is>
          <t>Sr. Applied Scientist, Amazon Ads</t>
        </is>
      </c>
      <c r="C10" t="inlineStr">
        <is>
          <t>Amazon.com</t>
        </is>
      </c>
      <c r="D10" t="inlineStr">
        <is>
          <t>indeed</t>
        </is>
      </c>
      <c r="E10" t="inlineStr"/>
      <c r="F10" t="inlineStr"/>
      <c r="G10" t="inlineStr">
        <is>
          <t>Boulder, CO, US</t>
        </is>
      </c>
      <c r="H10" s="1"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in-a684575bc49ac1b3</t>
        </is>
      </c>
      <c r="B11" t="inlineStr">
        <is>
          <t>Sr. Applied Scientist, Amazon Ads</t>
        </is>
      </c>
      <c r="C11" t="inlineStr">
        <is>
          <t>Amazon.com</t>
        </is>
      </c>
      <c r="D11" t="inlineStr">
        <is>
          <t>indeed</t>
        </is>
      </c>
      <c r="E11" t="inlineStr"/>
      <c r="F11" t="inlineStr"/>
      <c r="G11" t="inlineStr">
        <is>
          <t>Sunnyvale, CA, US</t>
        </is>
      </c>
      <c r="H11" s="1"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in-50bd9138d62b96c5</t>
        </is>
      </c>
      <c r="B12" t="inlineStr">
        <is>
          <t>Applied Scientist</t>
        </is>
      </c>
      <c r="C12" t="inlineStr">
        <is>
          <t>Amazon.com</t>
        </is>
      </c>
      <c r="D12" t="inlineStr">
        <is>
          <t>indeed</t>
        </is>
      </c>
      <c r="E12" t="inlineStr"/>
      <c r="F12" t="inlineStr"/>
      <c r="G12" t="inlineStr">
        <is>
          <t>Palo Alto, CA, US</t>
        </is>
      </c>
      <c r="H12" s="1" t="n">
        <v>45939</v>
      </c>
      <c r="I1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in-3bbf3601f97e9a52</t>
        </is>
      </c>
      <c r="B13" t="inlineStr">
        <is>
          <t>Sr. Applied Scientist, SPB Advertiser Guidance</t>
        </is>
      </c>
      <c r="C13" t="inlineStr">
        <is>
          <t>Amazon.com</t>
        </is>
      </c>
      <c r="D13" t="inlineStr">
        <is>
          <t>indeed</t>
        </is>
      </c>
      <c r="E13" t="inlineStr"/>
      <c r="F13" t="inlineStr"/>
      <c r="G13" t="inlineStr">
        <is>
          <t>New York, NY, US</t>
        </is>
      </c>
      <c r="H13" s="1" t="n">
        <v>45939</v>
      </c>
      <c r="I1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in-f6164db7da71034b</t>
        </is>
      </c>
      <c r="B14" t="inlineStr">
        <is>
          <t>Applied Scientist</t>
        </is>
      </c>
      <c r="C14" t="inlineStr">
        <is>
          <t>Amazon.com</t>
        </is>
      </c>
      <c r="D14" t="inlineStr">
        <is>
          <t>indeed</t>
        </is>
      </c>
      <c r="E14" t="inlineStr"/>
      <c r="F14" t="inlineStr"/>
      <c r="G14" t="inlineStr">
        <is>
          <t>New York, NY, US</t>
        </is>
      </c>
      <c r="H14" s="1" t="n">
        <v>45939</v>
      </c>
      <c r="I1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in-73033261130b7290</t>
        </is>
      </c>
      <c r="B15" t="inlineStr">
        <is>
          <t>Sr. Applied Scientist, SPB Advertiser Guidance</t>
        </is>
      </c>
      <c r="C15" t="inlineStr">
        <is>
          <t>Amazon.com</t>
        </is>
      </c>
      <c r="D15" t="inlineStr">
        <is>
          <t>indeed</t>
        </is>
      </c>
      <c r="E15" t="inlineStr"/>
      <c r="F15" t="inlineStr"/>
      <c r="G15" t="inlineStr">
        <is>
          <t>Seattle, WA, US</t>
        </is>
      </c>
      <c r="H15" s="1" t="n">
        <v>45939</v>
      </c>
      <c r="I1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in-942e7cc80cbe6dcd</t>
        </is>
      </c>
      <c r="B16" t="inlineStr">
        <is>
          <t>Applied Scientist</t>
        </is>
      </c>
      <c r="C16" t="inlineStr">
        <is>
          <t>Amazon.com</t>
        </is>
      </c>
      <c r="D16" t="inlineStr">
        <is>
          <t>indeed</t>
        </is>
      </c>
      <c r="E16" t="inlineStr"/>
      <c r="F16" t="inlineStr"/>
      <c r="G16" t="inlineStr">
        <is>
          <t>Seattle, WA, US</t>
        </is>
      </c>
      <c r="H16" s="1" t="n">
        <v>45939</v>
      </c>
      <c r="I1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in-4f486ebe1e8a7616</t>
        </is>
      </c>
      <c r="B17" t="inlineStr">
        <is>
          <t>Sr. Applied Scientist, SPB Advertiser Guidance</t>
        </is>
      </c>
      <c r="C17" t="inlineStr">
        <is>
          <t>Amazon.com</t>
        </is>
      </c>
      <c r="D17" t="inlineStr">
        <is>
          <t>indeed</t>
        </is>
      </c>
      <c r="E17" t="inlineStr"/>
      <c r="F17" t="inlineStr"/>
      <c r="G17" t="inlineStr">
        <is>
          <t>Palo Alto, CA, US</t>
        </is>
      </c>
      <c r="H17" s="1" t="n">
        <v>45939</v>
      </c>
      <c r="I1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in-0b1e5c6ab7783a28</t>
        </is>
      </c>
      <c r="B18" t="inlineStr">
        <is>
          <t>Applied Scientist II, Prime Video - Personalization and Discovery Science, Personalization and Discovery Science</t>
        </is>
      </c>
      <c r="C18" t="inlineStr">
        <is>
          <t>Amazon.com</t>
        </is>
      </c>
      <c r="D18" t="inlineStr">
        <is>
          <t>indeed</t>
        </is>
      </c>
      <c r="E18" t="inlineStr"/>
      <c r="F18" t="inlineStr"/>
      <c r="G18" t="inlineStr">
        <is>
          <t>New York, NY, US</t>
        </is>
      </c>
      <c r="H18" s="1" t="n">
        <v>45930</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in-bb7fd0a28117fa87</t>
        </is>
      </c>
      <c r="B19" t="inlineStr">
        <is>
          <t>Applied Scientist II, Prime Video - Personalization and Discovery Science, Personalization and Discovery Science</t>
        </is>
      </c>
      <c r="C19" t="inlineStr">
        <is>
          <t>Amazon.com</t>
        </is>
      </c>
      <c r="D19" t="inlineStr">
        <is>
          <t>indeed</t>
        </is>
      </c>
      <c r="E19" t="inlineStr"/>
      <c r="F19" t="inlineStr"/>
      <c r="G19" t="inlineStr">
        <is>
          <t>Seattle, WA, US</t>
        </is>
      </c>
      <c r="H19" s="1" t="n">
        <v>45930</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in-352a89ad3c12f210</t>
        </is>
      </c>
      <c r="B20" t="inlineStr">
        <is>
          <t>Applied Scientist II, Prime Video - Personalization and Discovery Science, Personalization and Discovery Science</t>
        </is>
      </c>
      <c r="C20" t="inlineStr">
        <is>
          <t>Amazon.com</t>
        </is>
      </c>
      <c r="D20" t="inlineStr">
        <is>
          <t>indeed</t>
        </is>
      </c>
      <c r="E20" t="inlineStr"/>
      <c r="F20" t="inlineStr"/>
      <c r="G20" t="inlineStr">
        <is>
          <t>Sunnyvale, CA, US</t>
        </is>
      </c>
      <c r="H20" s="1" t="n">
        <v>45930</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in-7394663bddc5ee32</t>
        </is>
      </c>
      <c r="B21" t="inlineStr">
        <is>
          <t>Applied Scientist II, Prime Video - Personalization and Discovery Science</t>
        </is>
      </c>
      <c r="C21" t="inlineStr">
        <is>
          <t>Amazon.com</t>
        </is>
      </c>
      <c r="D21" t="inlineStr">
        <is>
          <t>indeed</t>
        </is>
      </c>
      <c r="E21" t="inlineStr"/>
      <c r="F21" t="inlineStr"/>
      <c r="G21" t="inlineStr">
        <is>
          <t>New York, NY, US</t>
        </is>
      </c>
      <c r="H21" s="1" t="n">
        <v>45881</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in-bad37f00861c3da7</t>
        </is>
      </c>
      <c r="B22" t="inlineStr">
        <is>
          <t>Sr. Applied Scientist, Prime Video - Personalization and Discovery Science</t>
        </is>
      </c>
      <c r="C22" t="inlineStr">
        <is>
          <t>Amazon.com</t>
        </is>
      </c>
      <c r="D22" t="inlineStr">
        <is>
          <t>indeed</t>
        </is>
      </c>
      <c r="E22" t="inlineStr"/>
      <c r="F22" t="inlineStr"/>
      <c r="G22" t="inlineStr">
        <is>
          <t>Seattle, WA, US</t>
        </is>
      </c>
      <c r="H22" s="1" t="n">
        <v>45881</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in-7eb618daeb517bbf</t>
        </is>
      </c>
      <c r="B23" t="inlineStr">
        <is>
          <t>Applied Scientist II, Prime Video - Personalization and Discovery Science</t>
        </is>
      </c>
      <c r="C23" t="inlineStr">
        <is>
          <t>Amazon.com</t>
        </is>
      </c>
      <c r="D23" t="inlineStr">
        <is>
          <t>indeed</t>
        </is>
      </c>
      <c r="E23" t="inlineStr"/>
      <c r="F23" t="inlineStr"/>
      <c r="G23" t="inlineStr">
        <is>
          <t>Seattle, WA, US</t>
        </is>
      </c>
      <c r="H23" s="1" t="n">
        <v>45881</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in-b5e183b23a1f6e76</t>
        </is>
      </c>
      <c r="B24" t="inlineStr">
        <is>
          <t>Sr. Applied Scientist, Prime Video - Personalization and Discovery Science</t>
        </is>
      </c>
      <c r="C24" t="inlineStr">
        <is>
          <t>Amazon.com</t>
        </is>
      </c>
      <c r="D24" t="inlineStr">
        <is>
          <t>indeed</t>
        </is>
      </c>
      <c r="E24" t="inlineStr"/>
      <c r="F24" t="inlineStr"/>
      <c r="G24" t="inlineStr">
        <is>
          <t>New York, NY, US</t>
        </is>
      </c>
      <c r="H24" s="1" t="n">
        <v>45881</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in-9019b9d413209086</t>
        </is>
      </c>
      <c r="B25" t="inlineStr">
        <is>
          <t>Sr. Applied Scientist, Prime Video - Personalization and Discovery Science</t>
        </is>
      </c>
      <c r="C25" t="inlineStr">
        <is>
          <t>Amazon.com</t>
        </is>
      </c>
      <c r="D25" t="inlineStr">
        <is>
          <t>indeed</t>
        </is>
      </c>
      <c r="E25" t="inlineStr"/>
      <c r="F25" t="inlineStr"/>
      <c r="G25" t="inlineStr">
        <is>
          <t>Sunnyvale, CA, US</t>
        </is>
      </c>
      <c r="H25" s="1" t="n">
        <v>45881</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in-a28dace6ca9ab39a</t>
        </is>
      </c>
      <c r="B26" t="inlineStr">
        <is>
          <t>Applied Scientist II, Prime Video - Personalization and Discovery Science</t>
        </is>
      </c>
      <c r="C26" t="inlineStr">
        <is>
          <t>Amazon.com</t>
        </is>
      </c>
      <c r="D26" t="inlineStr">
        <is>
          <t>indeed</t>
        </is>
      </c>
      <c r="E26" t="inlineStr"/>
      <c r="F26" t="inlineStr"/>
      <c r="G26" t="inlineStr">
        <is>
          <t>Sunnyvale, CA, US</t>
        </is>
      </c>
      <c r="H26" s="1" t="n">
        <v>45881</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in-3e1e1b792f989093</t>
        </is>
      </c>
      <c r="B27" t="inlineStr">
        <is>
          <t>Data Scientist, AWS Infrastructure Services Science</t>
        </is>
      </c>
      <c r="C27" t="inlineStr">
        <is>
          <t>Amazon.com</t>
        </is>
      </c>
      <c r="D27" t="inlineStr">
        <is>
          <t>indeed</t>
        </is>
      </c>
      <c r="E27" t="inlineStr"/>
      <c r="F27" t="inlineStr"/>
      <c r="G27" t="inlineStr">
        <is>
          <t>Seattle, WA, US</t>
        </is>
      </c>
      <c r="H27" s="1" t="n">
        <v>46065</v>
      </c>
      <c r="I2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28">
      <c r="A28" t="inlineStr">
        <is>
          <t>in-88adc8930982a06b</t>
        </is>
      </c>
      <c r="B28" t="inlineStr">
        <is>
          <t>Data Scientist, AWS Infrastructure Services Science</t>
        </is>
      </c>
      <c r="C28" t="inlineStr">
        <is>
          <t>Amazon.com</t>
        </is>
      </c>
      <c r="D28" t="inlineStr">
        <is>
          <t>indeed</t>
        </is>
      </c>
      <c r="E28" t="inlineStr"/>
      <c r="F28" t="inlineStr"/>
      <c r="G28" t="inlineStr">
        <is>
          <t>Herndon, VA, US</t>
        </is>
      </c>
      <c r="H28" s="1" t="n">
        <v>46065</v>
      </c>
      <c r="I2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29">
      <c r="A29" t="inlineStr">
        <is>
          <t>in-37e10c59a54ab67a</t>
        </is>
      </c>
      <c r="B29" t="inlineStr">
        <is>
          <t>Data Scientist - Computer Vision, Data &amp; Machine Learning (DML)</t>
        </is>
      </c>
      <c r="C29" t="inlineStr">
        <is>
          <t>Amazon Web Services</t>
        </is>
      </c>
      <c r="D29" t="inlineStr">
        <is>
          <t>indeed</t>
        </is>
      </c>
      <c r="E29" t="inlineStr"/>
      <c r="F29" t="inlineStr"/>
      <c r="G29" t="inlineStr">
        <is>
          <t>Arlington, VA, US</t>
        </is>
      </c>
      <c r="H29" s="1" t="n">
        <v>46051</v>
      </c>
      <c r="I29"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0">
      <c r="A30" t="inlineStr">
        <is>
          <t>in-1e0aa81a1413f681</t>
        </is>
      </c>
      <c r="B30" t="inlineStr">
        <is>
          <t>Data Scientist - Computer Vision, Data &amp; Machine Learning (DML)</t>
        </is>
      </c>
      <c r="C30" t="inlineStr">
        <is>
          <t>Amazon Web Services</t>
        </is>
      </c>
      <c r="D30" t="inlineStr">
        <is>
          <t>indeed</t>
        </is>
      </c>
      <c r="E30" t="inlineStr"/>
      <c r="F30" t="inlineStr"/>
      <c r="G30" t="inlineStr">
        <is>
          <t>Herndon, VA, US</t>
        </is>
      </c>
      <c r="H30" s="1" t="n">
        <v>46051</v>
      </c>
      <c r="I30"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1">
      <c r="A31" t="inlineStr">
        <is>
          <t>in-c5bddc934ace591e</t>
        </is>
      </c>
      <c r="B31" t="inlineStr">
        <is>
          <t>Sr. Applied Scientist - SLAM, Amazon Industrial Robotics</t>
        </is>
      </c>
      <c r="C31" t="inlineStr">
        <is>
          <t>Amazon.com</t>
        </is>
      </c>
      <c r="D31" t="inlineStr">
        <is>
          <t>indeed</t>
        </is>
      </c>
      <c r="E31" t="inlineStr"/>
      <c r="F31" t="inlineStr"/>
      <c r="G31" t="inlineStr">
        <is>
          <t>Reading, MA, US</t>
        </is>
      </c>
      <c r="H31" s="1" t="n">
        <v>46050</v>
      </c>
      <c r="I31"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2">
      <c r="A32" t="inlineStr">
        <is>
          <t>in-acf6388376b8644d</t>
        </is>
      </c>
      <c r="B32" t="inlineStr">
        <is>
          <t>Sr. Applied Scientist - SLAM, Amazon Industrial Robotics</t>
        </is>
      </c>
      <c r="C32" t="inlineStr">
        <is>
          <t>Amazon.com</t>
        </is>
      </c>
      <c r="D32" t="inlineStr">
        <is>
          <t>indeed</t>
        </is>
      </c>
      <c r="E32" t="inlineStr"/>
      <c r="F32" t="inlineStr"/>
      <c r="G32" t="inlineStr">
        <is>
          <t>Reading, MA, US</t>
        </is>
      </c>
      <c r="H32" s="1" t="n">
        <v>46050</v>
      </c>
      <c r="I32"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3">
      <c r="A33" t="inlineStr">
        <is>
          <t>in-5b3d217370e5e717</t>
        </is>
      </c>
      <c r="B33" t="inlineStr">
        <is>
          <t>Sr. Applied Scientist, Sponsored Products Off-Search Sourcing</t>
        </is>
      </c>
      <c r="C33" t="inlineStr">
        <is>
          <t>Amazon.com</t>
        </is>
      </c>
      <c r="D33" t="inlineStr">
        <is>
          <t>indeed</t>
        </is>
      </c>
      <c r="E33" t="inlineStr"/>
      <c r="F33" t="inlineStr"/>
      <c r="G33" t="inlineStr">
        <is>
          <t>New York, NY, US</t>
        </is>
      </c>
      <c r="H33" s="1" t="n">
        <v>46049</v>
      </c>
      <c r="I33"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4">
      <c r="A34" t="inlineStr">
        <is>
          <t>in-d68cce362efa23ab</t>
        </is>
      </c>
      <c r="B34" t="inlineStr">
        <is>
          <t>Sr. Applied Scientist, Sponsored Products Off-Search Sourcing</t>
        </is>
      </c>
      <c r="C34" t="inlineStr">
        <is>
          <t>Amazon.com</t>
        </is>
      </c>
      <c r="D34" t="inlineStr">
        <is>
          <t>indeed</t>
        </is>
      </c>
      <c r="E34" t="inlineStr"/>
      <c r="F34" t="inlineStr"/>
      <c r="G34" t="inlineStr">
        <is>
          <t>Seattle, WA, US</t>
        </is>
      </c>
      <c r="H34" s="1" t="n">
        <v>46049</v>
      </c>
      <c r="I3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5">
      <c r="A35" t="inlineStr">
        <is>
          <t>in-5dc5ba2d1cdbe6fe</t>
        </is>
      </c>
      <c r="B35" t="inlineStr">
        <is>
          <t>Sr. Applied Scientist, Sponsored Products Off-Search Sourcing</t>
        </is>
      </c>
      <c r="C35" t="inlineStr">
        <is>
          <t>Amazon.com</t>
        </is>
      </c>
      <c r="D35" t="inlineStr">
        <is>
          <t>indeed</t>
        </is>
      </c>
      <c r="E35" t="inlineStr"/>
      <c r="F35" t="inlineStr"/>
      <c r="G35" t="inlineStr">
        <is>
          <t>Palo Alto, CA, US</t>
        </is>
      </c>
      <c r="H35" s="1" t="n">
        <v>46049</v>
      </c>
      <c r="I35"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6">
      <c r="A36" t="inlineStr">
        <is>
          <t>in-84614aa126599828</t>
        </is>
      </c>
      <c r="B36" t="inlineStr">
        <is>
          <t>Principal Applied Scientist, AWS Science of Security</t>
        </is>
      </c>
      <c r="C36" t="inlineStr">
        <is>
          <t>Amazon.com</t>
        </is>
      </c>
      <c r="D36" t="inlineStr">
        <is>
          <t>indeed</t>
        </is>
      </c>
      <c r="E36" t="inlineStr"/>
      <c r="F36" t="inlineStr"/>
      <c r="G36" t="inlineStr">
        <is>
          <t>Arlington, VA, US</t>
        </is>
      </c>
      <c r="H36" s="1" t="n">
        <v>46049</v>
      </c>
      <c r="I36"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7">
      <c r="A37" t="inlineStr">
        <is>
          <t>in-e7c37b30bbf1fd61</t>
        </is>
      </c>
      <c r="B37" t="inlineStr">
        <is>
          <t>Principal Applied Scientist, AWS Science of Security</t>
        </is>
      </c>
      <c r="C37" t="inlineStr">
        <is>
          <t>Amazon.com</t>
        </is>
      </c>
      <c r="D37" t="inlineStr">
        <is>
          <t>indeed</t>
        </is>
      </c>
      <c r="E37" t="inlineStr"/>
      <c r="F37" t="inlineStr"/>
      <c r="G37" t="inlineStr">
        <is>
          <t>Seattle, WA, US</t>
        </is>
      </c>
      <c r="H37" s="1" t="n">
        <v>46049</v>
      </c>
      <c r="I37"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8">
      <c r="A38" t="inlineStr">
        <is>
          <t>in-d6871b4dd03ad283</t>
        </is>
      </c>
      <c r="B38" t="inlineStr">
        <is>
          <t>Principal Applied Scientist, AWS Science of Security</t>
        </is>
      </c>
      <c r="C38" t="inlineStr">
        <is>
          <t>Amazon.com</t>
        </is>
      </c>
      <c r="D38" t="inlineStr">
        <is>
          <t>indeed</t>
        </is>
      </c>
      <c r="E38" t="inlineStr"/>
      <c r="F38" t="inlineStr"/>
      <c r="G38" t="inlineStr">
        <is>
          <t>New York, NY, US</t>
        </is>
      </c>
      <c r="H38" s="1" t="n">
        <v>46049</v>
      </c>
      <c r="I38"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9">
      <c r="A39" t="inlineStr">
        <is>
          <t>in-1829845d22f46154</t>
        </is>
      </c>
      <c r="B39" t="inlineStr">
        <is>
          <t>Senior Applied Scientist, Amazon Industrial Robotics</t>
        </is>
      </c>
      <c r="C39" t="inlineStr">
        <is>
          <t>Amazon.com</t>
        </is>
      </c>
      <c r="D39" t="inlineStr">
        <is>
          <t>indeed</t>
        </is>
      </c>
      <c r="E39" t="inlineStr"/>
      <c r="F39" t="inlineStr"/>
      <c r="G39" t="inlineStr">
        <is>
          <t>Reading, MA, US</t>
        </is>
      </c>
      <c r="H39" s="1" t="n">
        <v>46048</v>
      </c>
      <c r="I3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0">
      <c r="A40" t="inlineStr">
        <is>
          <t>in-0882a802c5b8371f</t>
        </is>
      </c>
      <c r="B40" t="inlineStr">
        <is>
          <t>Applied Scientist II, Prime Video Personalization and Discovery Science</t>
        </is>
      </c>
      <c r="C40" t="inlineStr">
        <is>
          <t>Amazon.com</t>
        </is>
      </c>
      <c r="D40" t="inlineStr">
        <is>
          <t>indeed</t>
        </is>
      </c>
      <c r="E40" t="inlineStr"/>
      <c r="F40" t="inlineStr"/>
      <c r="G40" t="inlineStr">
        <is>
          <t>Seattle, WA, US</t>
        </is>
      </c>
      <c r="H40" s="1" t="n">
        <v>46047</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1">
      <c r="A41" t="inlineStr">
        <is>
          <t>in-e2042cccf7574187</t>
        </is>
      </c>
      <c r="B41" t="inlineStr">
        <is>
          <t>Applied Scientist II, Prime Video Personalization and Discovery Science</t>
        </is>
      </c>
      <c r="C41" t="inlineStr">
        <is>
          <t>Amazon.com</t>
        </is>
      </c>
      <c r="D41" t="inlineStr">
        <is>
          <t>indeed</t>
        </is>
      </c>
      <c r="E41" t="inlineStr"/>
      <c r="F41" t="inlineStr"/>
      <c r="G41" t="inlineStr">
        <is>
          <t>Sunnyvale, CA, US</t>
        </is>
      </c>
      <c r="H41" s="1" t="n">
        <v>46047</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2">
      <c r="A42" t="inlineStr">
        <is>
          <t>in-62fa237dcc3948bc</t>
        </is>
      </c>
      <c r="B42" t="inlineStr">
        <is>
          <t>Applied Scientist II, Prime Video Personalization and Discovery Science</t>
        </is>
      </c>
      <c r="C42" t="inlineStr">
        <is>
          <t>Amazon.com</t>
        </is>
      </c>
      <c r="D42" t="inlineStr">
        <is>
          <t>indeed</t>
        </is>
      </c>
      <c r="E42" t="inlineStr"/>
      <c r="F42" t="inlineStr"/>
      <c r="G42" t="inlineStr">
        <is>
          <t>New York, NY, US</t>
        </is>
      </c>
      <c r="H42" s="1" t="n">
        <v>46047</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3">
      <c r="A43" t="inlineStr">
        <is>
          <t>in-a65e6587511a4610</t>
        </is>
      </c>
      <c r="B43" t="inlineStr">
        <is>
          <t>Applied Scientist, Amazon Connect</t>
        </is>
      </c>
      <c r="C43" t="inlineStr">
        <is>
          <t>Amazon Web Services</t>
        </is>
      </c>
      <c r="D43" t="inlineStr">
        <is>
          <t>indeed</t>
        </is>
      </c>
      <c r="E43" t="inlineStr"/>
      <c r="F43" t="inlineStr"/>
      <c r="G43" t="inlineStr">
        <is>
          <t>New York, NY, US</t>
        </is>
      </c>
      <c r="H43" s="1" t="n">
        <v>46047</v>
      </c>
      <c r="I43"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4">
      <c r="A44" t="inlineStr">
        <is>
          <t>in-a3d15261662363c1</t>
        </is>
      </c>
      <c r="B44" t="inlineStr">
        <is>
          <t>Applied Scientist, Amazon Connect</t>
        </is>
      </c>
      <c r="C44" t="inlineStr">
        <is>
          <t>Amazon Web Services</t>
        </is>
      </c>
      <c r="D44" t="inlineStr">
        <is>
          <t>indeed</t>
        </is>
      </c>
      <c r="E44" t="inlineStr"/>
      <c r="F44" t="inlineStr"/>
      <c r="G44" t="inlineStr">
        <is>
          <t>Seattle, WA, US</t>
        </is>
      </c>
      <c r="H44" s="1" t="n">
        <v>46047</v>
      </c>
      <c r="I44"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5">
      <c r="A45" t="inlineStr">
        <is>
          <t>in-fb0dcbb27f38071e</t>
        </is>
      </c>
      <c r="B45" t="inlineStr">
        <is>
          <t>Sr. Applied Scientist, Amazon Connect</t>
        </is>
      </c>
      <c r="C45" t="inlineStr">
        <is>
          <t>Amazon Web Services</t>
        </is>
      </c>
      <c r="D45" t="inlineStr">
        <is>
          <t>indeed</t>
        </is>
      </c>
      <c r="E45" t="inlineStr"/>
      <c r="F45" t="inlineStr"/>
      <c r="G45" t="inlineStr">
        <is>
          <t>New York, NY, US</t>
        </is>
      </c>
      <c r="H45" s="1" t="n">
        <v>46047</v>
      </c>
      <c r="I45"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Senior Applied Scientist will lead the scientific agenda for AI systems at the product level. The role requires identifying and solving ill\-defined problems where no textbook solutions exist, balancing rapid innovation with reliability and compliance. You should be comfortable making decisions with incomplete information and driving solutions in ambiguous problem spaces. You'll work closely with senior technical leaders within the team and across AWS, influencing across multiple teams. We're looking for scientists who can maintain high standards while moving quickly, prioritizing both rapid experimentation and responsible AI development to deliver measurable customer impact.  
Key job responsibilities  
* Lead the design, implementation, and delivery of scientifically\-complex production solutions that address medium\-to\-large business problems
* Drive your team's scientific agenda and propose new initiatives aligned with customer needs and business problems
* Invent new methodologies or paradigms when existing approaches are insufficient
* Influence across multiple teams to build consensus on technical direction and scientific approaches
* Deliver significant portions of critical\-path code that meets high quality standards (efficient, reproducible, testable, maintainable)
* Actively mentor and develop other scientists, fostering a culture of scientific excellence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in engineering, technology, computer science, machine learning, robotics, operations research, statistics, mathematics or equivalent quantitative field
* 5\+ years of building machine learning models or developing algorithms for business application experience
* Experience programming in Java, C\+\+, Python or related language
* Experience in patents or publications at top\-tier peer\-reviewed conferences or journals
* Experience collaborating and influencing multiple teams across multiple organizations
* Experience leading, mentoring and growing teams of scientists (teams of five or more scientists)
**PREFERRED QUALIFICATIONS**
----------------------------
* Experience with modeling tools such as R, scikit\-learn, Spark MLLib, MxNet, Tensorflow, numpy, scipy etc.
* Experience with large scale distributed systems such as Hadoop, Spark etc.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46">
      <c r="A46" t="inlineStr">
        <is>
          <t>in-ba784bb83fa2d38d</t>
        </is>
      </c>
      <c r="B46" t="inlineStr">
        <is>
          <t>Sr. Applied Scientist, Amazon Connect</t>
        </is>
      </c>
      <c r="C46" t="inlineStr">
        <is>
          <t>Amazon Web Services</t>
        </is>
      </c>
      <c r="D46" t="inlineStr">
        <is>
          <t>indeed</t>
        </is>
      </c>
      <c r="E46" t="inlineStr"/>
      <c r="F46" t="inlineStr"/>
      <c r="G46" t="inlineStr">
        <is>
          <t>Seattle, WA, US</t>
        </is>
      </c>
      <c r="H46" s="1" t="n">
        <v>46047</v>
      </c>
      <c r="I46"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Senior Applied Scientist will lead the scientific agenda for AI systems at the product level. The role requires identifying and solving ill\-defined problems where no textbook solutions exist, balancing rapid innovation with reliability and compliance. You should be comfortable making decisions with incomplete information and driving solutions in ambiguous problem spaces. You'll work closely with senior technical leaders within the team and across AWS, influencing across multiple teams. We're looking for scientists who can maintain high standards while moving quickly, prioritizing both rapid experimentation and responsible AI development to deliver measurable customer impact.  
Key job responsibilities  
* Lead the design, implementation, and delivery of scientifically\-complex production solutions that address medium\-to\-large business problems
* Drive your team's scientific agenda and propose new initiatives aligned with customer needs and business problems
* Invent new methodologies or paradigms when existing approaches are insufficient
* Influence across multiple teams to build consensus on technical direction and scientific approaches
* Deliver significant portions of critical\-path code that meets high quality standards (efficient, reproducible, testable, maintainable)
* Actively mentor and develop other scientists, fostering a culture of scientific excellence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in engineering, technology, computer science, machine learning, robotics, operations research, statistics, mathematics or equivalent quantitative field
* 5\+ years of building machine learning models or developing algorithms for business application experience
* Experience programming in Java, C\+\+, Python or related language
* Experience in patents or publications at top\-tier peer\-reviewed conferences or journals
* Experience collaborating and influencing multiple teams across multiple organizations
* Experience leading, mentoring and growing teams of scientists (teams of five or more scientists)
**PREFERRED QUALIFICATIONS**
----------------------------
* Experience with modeling tools such as R, scikit\-learn, Spark MLLib, MxNet, Tensorflow, numpy, scipy etc.
* Experience with large scale distributed systems such as Hadoop, Spark etc.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47">
      <c r="A47" t="inlineStr">
        <is>
          <t>in-171d9a34f5f24d3e</t>
        </is>
      </c>
      <c r="B47" t="inlineStr">
        <is>
          <t>Applied Scientist, Safety ML</t>
        </is>
      </c>
      <c r="C47" t="inlineStr">
        <is>
          <t>Amazon.com</t>
        </is>
      </c>
      <c r="D47" t="inlineStr">
        <is>
          <t>indeed</t>
        </is>
      </c>
      <c r="E47" t="inlineStr"/>
      <c r="F47" t="inlineStr"/>
      <c r="G47" t="inlineStr">
        <is>
          <t>San Francisco, CA, US</t>
        </is>
      </c>
      <c r="H47" s="1" t="n">
        <v>46037</v>
      </c>
      <c r="I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8">
      <c r="A48" t="inlineStr">
        <is>
          <t>in-030ae29215ceb1f8</t>
        </is>
      </c>
      <c r="B48" t="inlineStr">
        <is>
          <t>Applied Scientist, Safety ML</t>
        </is>
      </c>
      <c r="C48" t="inlineStr">
        <is>
          <t>Amazon.com</t>
        </is>
      </c>
      <c r="D48" t="inlineStr">
        <is>
          <t>indeed</t>
        </is>
      </c>
      <c r="E48" t="inlineStr"/>
      <c r="F48" t="inlineStr"/>
      <c r="G48" t="inlineStr">
        <is>
          <t>Seattle, WA, US</t>
        </is>
      </c>
      <c r="H48" s="1" t="n">
        <v>46037</v>
      </c>
      <c r="I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9">
      <c r="A49" t="inlineStr">
        <is>
          <t>in-606141bb7844b69c</t>
        </is>
      </c>
      <c r="B49" t="inlineStr">
        <is>
          <t>Applied Scientist, LLM Code Agents, Kiro Science</t>
        </is>
      </c>
      <c r="C49" t="inlineStr">
        <is>
          <t>Amazon.com</t>
        </is>
      </c>
      <c r="D49" t="inlineStr">
        <is>
          <t>indeed</t>
        </is>
      </c>
      <c r="E49" t="inlineStr"/>
      <c r="F49" t="inlineStr"/>
      <c r="G49" t="inlineStr">
        <is>
          <t>Santa Clara, CA, US</t>
        </is>
      </c>
      <c r="H49" s="1" t="n">
        <v>46035</v>
      </c>
      <c r="I4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0">
      <c r="A50" t="inlineStr">
        <is>
          <t>in-72be23a16604e709</t>
        </is>
      </c>
      <c r="B50" t="inlineStr">
        <is>
          <t>Applied Scientist, LLM Code Agents, Kiro Science</t>
        </is>
      </c>
      <c r="C50" t="inlineStr">
        <is>
          <t>Amazon.com</t>
        </is>
      </c>
      <c r="D50" t="inlineStr">
        <is>
          <t>indeed</t>
        </is>
      </c>
      <c r="E50" t="inlineStr"/>
      <c r="F50" t="inlineStr"/>
      <c r="G50" t="inlineStr">
        <is>
          <t>Seattle, WA, US</t>
        </is>
      </c>
      <c r="H50" s="1" t="n">
        <v>46035</v>
      </c>
      <c r="I50"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1">
      <c r="A51" t="inlineStr">
        <is>
          <t>in-bde41606bd8f29d8</t>
        </is>
      </c>
      <c r="B51" t="inlineStr">
        <is>
          <t>Senior Data Scientist, Amazon Stores Finance Science, Amazon Stores Finance Science</t>
        </is>
      </c>
      <c r="C51" t="inlineStr">
        <is>
          <t>Amazon.com</t>
        </is>
      </c>
      <c r="D51" t="inlineStr">
        <is>
          <t>indeed</t>
        </is>
      </c>
      <c r="E51" t="inlineStr"/>
      <c r="F51" t="inlineStr"/>
      <c r="G51" t="inlineStr">
        <is>
          <t>Sunnyvale, CA, US</t>
        </is>
      </c>
      <c r="H51" s="1" t="n">
        <v>46034</v>
      </c>
      <c r="I51"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52">
      <c r="A52" t="inlineStr">
        <is>
          <t>in-67cccedbfc965506</t>
        </is>
      </c>
      <c r="B52" t="inlineStr">
        <is>
          <t>Senior Data Scientist, Amazon Stores Finance Science, Amazon Stores Finance Science</t>
        </is>
      </c>
      <c r="C52" t="inlineStr">
        <is>
          <t>Amazon.com</t>
        </is>
      </c>
      <c r="D52" t="inlineStr">
        <is>
          <t>indeed</t>
        </is>
      </c>
      <c r="E52" t="inlineStr"/>
      <c r="F52" t="inlineStr"/>
      <c r="G52" t="inlineStr">
        <is>
          <t>Bellevue, WA, US</t>
        </is>
      </c>
      <c r="H52" s="1" t="n">
        <v>46034</v>
      </c>
      <c r="I52"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53">
      <c r="A53" t="inlineStr">
        <is>
          <t>in-e9b35e5dc4690140</t>
        </is>
      </c>
      <c r="B53" t="inlineStr">
        <is>
          <t>Senior Data Scientist, Amazon Stores Finance Science, Amazon Stores Finance Science</t>
        </is>
      </c>
      <c r="C53" t="inlineStr">
        <is>
          <t>Amazon.com</t>
        </is>
      </c>
      <c r="D53" t="inlineStr">
        <is>
          <t>indeed</t>
        </is>
      </c>
      <c r="E53" t="inlineStr"/>
      <c r="F53" t="inlineStr"/>
      <c r="G53" t="inlineStr">
        <is>
          <t>Seattle, WA, US</t>
        </is>
      </c>
      <c r="H53" s="1" t="n">
        <v>46034</v>
      </c>
      <c r="I53"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54">
      <c r="A54" t="inlineStr">
        <is>
          <t>in-81d9f0a2ec318be0</t>
        </is>
      </c>
      <c r="B54" t="inlineStr">
        <is>
          <t>Applied Scientist II, Prime Video Personalization and Discovery Science</t>
        </is>
      </c>
      <c r="C54" t="inlineStr">
        <is>
          <t>Amazon.com</t>
        </is>
      </c>
      <c r="D54" t="inlineStr">
        <is>
          <t>indeed</t>
        </is>
      </c>
      <c r="E54" t="inlineStr"/>
      <c r="F54" t="inlineStr"/>
      <c r="G54" t="inlineStr">
        <is>
          <t>Sunnyvale, CA, US</t>
        </is>
      </c>
      <c r="H54" s="1" t="n">
        <v>46034</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5">
      <c r="A55" t="inlineStr">
        <is>
          <t>in-527740bb6a22e358</t>
        </is>
      </c>
      <c r="B55" t="inlineStr">
        <is>
          <t>Applied Scientist II, Prime Video Personalization and Discovery Science</t>
        </is>
      </c>
      <c r="C55" t="inlineStr">
        <is>
          <t>Amazon.com</t>
        </is>
      </c>
      <c r="D55" t="inlineStr">
        <is>
          <t>indeed</t>
        </is>
      </c>
      <c r="E55" t="inlineStr"/>
      <c r="F55" t="inlineStr"/>
      <c r="G55" t="inlineStr">
        <is>
          <t>Seattle, WA, US</t>
        </is>
      </c>
      <c r="H55" s="1" t="n">
        <v>46034</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6">
      <c r="A56" t="inlineStr">
        <is>
          <t>in-02656d73be0f1b5a</t>
        </is>
      </c>
      <c r="B56" t="inlineStr">
        <is>
          <t>Applied Scientist, Alexa Smart Home</t>
        </is>
      </c>
      <c r="C56" t="inlineStr">
        <is>
          <t>Amazon.com</t>
        </is>
      </c>
      <c r="D56" t="inlineStr">
        <is>
          <t>indeed</t>
        </is>
      </c>
      <c r="E56" t="inlineStr"/>
      <c r="F56" t="inlineStr"/>
      <c r="G56" t="inlineStr">
        <is>
          <t>Sunnyvale, CA, US</t>
        </is>
      </c>
      <c r="H56" s="1" t="n">
        <v>46033</v>
      </c>
      <c r="I56"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7">
      <c r="A57" t="inlineStr">
        <is>
          <t>in-bf80775ec6ccbfbe</t>
        </is>
      </c>
      <c r="B57" t="inlineStr">
        <is>
          <t>Applied Scientist, Alexa Smart Home</t>
        </is>
      </c>
      <c r="C57" t="inlineStr">
        <is>
          <t>Amazon.com</t>
        </is>
      </c>
      <c r="D57" t="inlineStr">
        <is>
          <t>indeed</t>
        </is>
      </c>
      <c r="E57" t="inlineStr"/>
      <c r="F57" t="inlineStr"/>
      <c r="G57" t="inlineStr">
        <is>
          <t>Seattle, WA, US</t>
        </is>
      </c>
      <c r="H57" s="1" t="n">
        <v>46033</v>
      </c>
      <c r="I57"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8">
      <c r="A58" t="inlineStr">
        <is>
          <t>in-948d924200f39608</t>
        </is>
      </c>
      <c r="B58" t="inlineStr">
        <is>
          <t>Sr Applied Scientist, AWS Proactive Security</t>
        </is>
      </c>
      <c r="C58" t="inlineStr">
        <is>
          <t>Amazon.com</t>
        </is>
      </c>
      <c r="D58" t="inlineStr">
        <is>
          <t>indeed</t>
        </is>
      </c>
      <c r="E58" t="inlineStr"/>
      <c r="F58" t="inlineStr"/>
      <c r="G58" t="inlineStr">
        <is>
          <t>Sunnyvale, CA, US</t>
        </is>
      </c>
      <c r="H58" s="1" t="n">
        <v>46030</v>
      </c>
      <c r="I58"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59">
      <c r="A59" t="inlineStr">
        <is>
          <t>in-096af554b26cff96</t>
        </is>
      </c>
      <c r="B59" t="inlineStr">
        <is>
          <t>Sr Applied Scientist, AWS Proactive Security</t>
        </is>
      </c>
      <c r="C59" t="inlineStr">
        <is>
          <t>Amazon.com</t>
        </is>
      </c>
      <c r="D59" t="inlineStr">
        <is>
          <t>indeed</t>
        </is>
      </c>
      <c r="E59" t="inlineStr"/>
      <c r="F59" t="inlineStr"/>
      <c r="G59" t="inlineStr">
        <is>
          <t>Arlington, VA, US</t>
        </is>
      </c>
      <c r="H59" s="1" t="n">
        <v>46030</v>
      </c>
      <c r="I59"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60">
      <c r="A60" t="inlineStr">
        <is>
          <t>in-094ddaa68280a4cf</t>
        </is>
      </c>
      <c r="B60" t="inlineStr">
        <is>
          <t>Sr Applied Scientist, AWS Proactive Security</t>
        </is>
      </c>
      <c r="C60" t="inlineStr">
        <is>
          <t>Amazon.com</t>
        </is>
      </c>
      <c r="D60" t="inlineStr">
        <is>
          <t>indeed</t>
        </is>
      </c>
      <c r="E60" t="inlineStr"/>
      <c r="F60" t="inlineStr"/>
      <c r="G60" t="inlineStr">
        <is>
          <t>Herndon, VA, US</t>
        </is>
      </c>
      <c r="H60" s="1" t="n">
        <v>46030</v>
      </c>
      <c r="I60"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61">
      <c r="A61" t="inlineStr">
        <is>
          <t>in-3b65b0fab9f8cadd</t>
        </is>
      </c>
      <c r="B61" t="inlineStr">
        <is>
          <t>Applied Scientist, AWS Applied AI Solutions</t>
        </is>
      </c>
      <c r="C61" t="inlineStr">
        <is>
          <t>Amazon Web Services</t>
        </is>
      </c>
      <c r="D61" t="inlineStr">
        <is>
          <t>indeed</t>
        </is>
      </c>
      <c r="E61" t="inlineStr"/>
      <c r="F61" t="inlineStr"/>
      <c r="G61" t="inlineStr">
        <is>
          <t>New York, NY, US</t>
        </is>
      </c>
      <c r="H61" s="1" t="n">
        <v>46030</v>
      </c>
      <c r="I61"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2">
      <c r="A62" t="inlineStr">
        <is>
          <t>in-271a11a7f6a771aa</t>
        </is>
      </c>
      <c r="B62" t="inlineStr">
        <is>
          <t>Applied Scientist, AWS Applied AI Solutions</t>
        </is>
      </c>
      <c r="C62" t="inlineStr">
        <is>
          <t>Amazon Web Services</t>
        </is>
      </c>
      <c r="D62" t="inlineStr">
        <is>
          <t>indeed</t>
        </is>
      </c>
      <c r="E62" t="inlineStr"/>
      <c r="F62" t="inlineStr"/>
      <c r="G62" t="inlineStr">
        <is>
          <t>Seattle, WA, US</t>
        </is>
      </c>
      <c r="H62" s="1" t="n">
        <v>46030</v>
      </c>
      <c r="I62"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3">
      <c r="A63" t="inlineStr">
        <is>
          <t>in-577271a87d39cfba</t>
        </is>
      </c>
      <c r="B63" t="inlineStr">
        <is>
          <t>Applied Scientist, Last Mile Delivery Automation</t>
        </is>
      </c>
      <c r="C63" t="inlineStr">
        <is>
          <t>Amazon.com</t>
        </is>
      </c>
      <c r="D63" t="inlineStr">
        <is>
          <t>indeed</t>
        </is>
      </c>
      <c r="E63" t="inlineStr"/>
      <c r="F63" t="inlineStr"/>
      <c r="G63" t="inlineStr">
        <is>
          <t>Santa Clara, CA, US</t>
        </is>
      </c>
      <c r="H63" s="1" t="n">
        <v>46026</v>
      </c>
      <c r="I63"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in-92a23a6f7c2a8c61</t>
        </is>
      </c>
      <c r="B64" t="inlineStr">
        <is>
          <t>Applied Scientist, Last Mile Delivery Automation</t>
        </is>
      </c>
      <c r="C64" t="inlineStr">
        <is>
          <t>Amazon.com</t>
        </is>
      </c>
      <c r="D64" t="inlineStr">
        <is>
          <t>indeed</t>
        </is>
      </c>
      <c r="E64" t="inlineStr"/>
      <c r="F64" t="inlineStr"/>
      <c r="G64" t="inlineStr">
        <is>
          <t>Bellevue, WA, US</t>
        </is>
      </c>
      <c r="H64" s="1" t="n">
        <v>46026</v>
      </c>
      <c r="I64"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in-333b5ed36a32786b</t>
        </is>
      </c>
      <c r="B65" t="inlineStr">
        <is>
          <t>Senior Applied Scientist, Sponsored Products and Brands, Off-Search</t>
        </is>
      </c>
      <c r="C65" t="inlineStr">
        <is>
          <t>Amazon.com</t>
        </is>
      </c>
      <c r="D65" t="inlineStr">
        <is>
          <t>indeed</t>
        </is>
      </c>
      <c r="E65" t="inlineStr"/>
      <c r="F65" t="inlineStr"/>
      <c r="G65" t="inlineStr">
        <is>
          <t>Seattle, WA, US</t>
        </is>
      </c>
      <c r="H65" s="1" t="n">
        <v>46017</v>
      </c>
      <c r="I65"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in-2d696ae39595db81</t>
        </is>
      </c>
      <c r="B66" t="inlineStr">
        <is>
          <t>Senior Applied Scientist, Sponsored Products and Brands, Off-Search</t>
        </is>
      </c>
      <c r="C66" t="inlineStr">
        <is>
          <t>Amazon.com</t>
        </is>
      </c>
      <c r="D66" t="inlineStr">
        <is>
          <t>indeed</t>
        </is>
      </c>
      <c r="E66" t="inlineStr"/>
      <c r="F66" t="inlineStr"/>
      <c r="G66" t="inlineStr">
        <is>
          <t>New York, NY, US</t>
        </is>
      </c>
      <c r="H66" s="1" t="n">
        <v>46017</v>
      </c>
      <c r="I66"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in-a50b2cddd9c2300e</t>
        </is>
      </c>
      <c r="B67" t="inlineStr">
        <is>
          <t>Senior Applied Scientist, Sponsored Products and Brands, Off-Search</t>
        </is>
      </c>
      <c r="C67" t="inlineStr">
        <is>
          <t>Amazon.com</t>
        </is>
      </c>
      <c r="D67" t="inlineStr">
        <is>
          <t>indeed</t>
        </is>
      </c>
      <c r="E67" t="inlineStr"/>
      <c r="F67" t="inlineStr"/>
      <c r="G67" t="inlineStr">
        <is>
          <t>Palo Alto, CA, US</t>
        </is>
      </c>
      <c r="H67" s="1" t="n">
        <v>46017</v>
      </c>
      <c r="I67"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in-d614bff723b6ea69</t>
        </is>
      </c>
      <c r="B68" t="inlineStr">
        <is>
          <t>Applied Scientist II, Prime Video - Personalization and Discovery Science</t>
        </is>
      </c>
      <c r="C68" t="inlineStr">
        <is>
          <t>Amazon.com</t>
        </is>
      </c>
      <c r="D68" t="inlineStr">
        <is>
          <t>indeed</t>
        </is>
      </c>
      <c r="E68" t="inlineStr"/>
      <c r="F68" t="inlineStr"/>
      <c r="G68" t="inlineStr">
        <is>
          <t>Seattle, WA, US</t>
        </is>
      </c>
      <c r="H68" s="1" t="n">
        <v>46012</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9">
      <c r="A69" t="inlineStr">
        <is>
          <t>in-1cb708741cc666bf</t>
        </is>
      </c>
      <c r="B69" t="inlineStr">
        <is>
          <t>Applied Scientist II, Prime Video - Personalization and Discovery Science</t>
        </is>
      </c>
      <c r="C69" t="inlineStr">
        <is>
          <t>Amazon.com</t>
        </is>
      </c>
      <c r="D69" t="inlineStr">
        <is>
          <t>indeed</t>
        </is>
      </c>
      <c r="E69" t="inlineStr"/>
      <c r="F69" t="inlineStr"/>
      <c r="G69" t="inlineStr">
        <is>
          <t>Sunnyvale, CA, US</t>
        </is>
      </c>
      <c r="H69" s="1" t="n">
        <v>46012</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70">
      <c r="A70" t="inlineStr">
        <is>
          <t>in-b7b8f5a0f3ffc1a0</t>
        </is>
      </c>
      <c r="B70" t="inlineStr">
        <is>
          <t>Applied Scientist, Delivery Foundation Model</t>
        </is>
      </c>
      <c r="C70" t="inlineStr">
        <is>
          <t>Amazon.com</t>
        </is>
      </c>
      <c r="D70" t="inlineStr">
        <is>
          <t>indeed</t>
        </is>
      </c>
      <c r="E70" t="inlineStr"/>
      <c r="F70" t="inlineStr"/>
      <c r="G70" t="inlineStr">
        <is>
          <t>Bellevue, WA, US</t>
        </is>
      </c>
      <c r="H70" s="1" t="n">
        <v>46009</v>
      </c>
      <c r="I7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71">
      <c r="A71" t="inlineStr">
        <is>
          <t>in-f1098375ec47b13c</t>
        </is>
      </c>
      <c r="B71" t="inlineStr">
        <is>
          <t>Applied Scientist, Delivery Foundation Model</t>
        </is>
      </c>
      <c r="C71" t="inlineStr">
        <is>
          <t>Amazon.com</t>
        </is>
      </c>
      <c r="D71" t="inlineStr">
        <is>
          <t>indeed</t>
        </is>
      </c>
      <c r="E71" t="inlineStr"/>
      <c r="F71" t="inlineStr"/>
      <c r="G71" t="inlineStr">
        <is>
          <t>Santa Clara, CA, US</t>
        </is>
      </c>
      <c r="H71" s="1" t="n">
        <v>46009</v>
      </c>
      <c r="I7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72">
      <c r="A72" t="inlineStr">
        <is>
          <t>in-ecdf7284439c8d0c</t>
        </is>
      </c>
      <c r="B72" t="inlineStr">
        <is>
          <t>Principal Applied Scientist, Kiro Science</t>
        </is>
      </c>
      <c r="C72" t="inlineStr">
        <is>
          <t>Amazon Web Services</t>
        </is>
      </c>
      <c r="D72" t="inlineStr">
        <is>
          <t>indeed</t>
        </is>
      </c>
      <c r="E72" t="inlineStr"/>
      <c r="F72" t="inlineStr"/>
      <c r="G72" t="inlineStr">
        <is>
          <t>Santa Clara, CA, US</t>
        </is>
      </c>
      <c r="H72" s="1" t="n">
        <v>45999</v>
      </c>
      <c r="I7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3">
      <c r="A73" t="inlineStr">
        <is>
          <t>in-f15228bc97d8136d</t>
        </is>
      </c>
      <c r="B73" t="inlineStr">
        <is>
          <t>Principal Applied Scientist, Kiro Science</t>
        </is>
      </c>
      <c r="C73" t="inlineStr">
        <is>
          <t>Amazon Web Services</t>
        </is>
      </c>
      <c r="D73" t="inlineStr">
        <is>
          <t>indeed</t>
        </is>
      </c>
      <c r="E73" t="inlineStr"/>
      <c r="F73" t="inlineStr"/>
      <c r="G73" t="inlineStr">
        <is>
          <t>New York, NY, US</t>
        </is>
      </c>
      <c r="H73" s="1" t="n">
        <v>45999</v>
      </c>
      <c r="I73"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4">
      <c r="A74" t="inlineStr">
        <is>
          <t>in-1df855b70840f3a9</t>
        </is>
      </c>
      <c r="B74" t="inlineStr">
        <is>
          <t>Senior Applied Scientist, Locomotion, Amazon Industrial Robotics</t>
        </is>
      </c>
      <c r="C74" t="inlineStr">
        <is>
          <t>Amazon.com</t>
        </is>
      </c>
      <c r="D74" t="inlineStr">
        <is>
          <t>indeed</t>
        </is>
      </c>
      <c r="E74" t="inlineStr"/>
      <c r="F74" t="inlineStr"/>
      <c r="G74" t="inlineStr">
        <is>
          <t>Reading, MA, US</t>
        </is>
      </c>
      <c r="H74" s="1" t="n">
        <v>45992</v>
      </c>
      <c r="I7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75">
      <c r="A75" t="inlineStr">
        <is>
          <t>in-26a59e3e78da7259</t>
        </is>
      </c>
      <c r="B75" t="inlineStr">
        <is>
          <t>Principal Applied Scientist, Sponsored Products and Brands</t>
        </is>
      </c>
      <c r="C75" t="inlineStr">
        <is>
          <t>Amazon.com</t>
        </is>
      </c>
      <c r="D75" t="inlineStr">
        <is>
          <t>indeed</t>
        </is>
      </c>
      <c r="E75" t="inlineStr"/>
      <c r="F75" t="inlineStr"/>
      <c r="G75" t="inlineStr">
        <is>
          <t>Seattle, WA, US</t>
        </is>
      </c>
      <c r="H75" s="1" t="n">
        <v>45979</v>
      </c>
      <c r="I7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in-be668a80a6d4dc42</t>
        </is>
      </c>
      <c r="B76" t="inlineStr">
        <is>
          <t>Principal Applied Scientist, Sponsored Products and Brands</t>
        </is>
      </c>
      <c r="C76" t="inlineStr">
        <is>
          <t>Amazon.com</t>
        </is>
      </c>
      <c r="D76" t="inlineStr">
        <is>
          <t>indeed</t>
        </is>
      </c>
      <c r="E76" t="inlineStr"/>
      <c r="F76" t="inlineStr"/>
      <c r="G76" t="inlineStr">
        <is>
          <t>New York, NY, US</t>
        </is>
      </c>
      <c r="H76" s="1" t="n">
        <v>45979</v>
      </c>
      <c r="I7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in-de981c261801e087</t>
        </is>
      </c>
      <c r="B77" t="inlineStr">
        <is>
          <t>Applied Scientist, Personalization, DTx Science</t>
        </is>
      </c>
      <c r="C77" t="inlineStr">
        <is>
          <t>Amazon.com</t>
        </is>
      </c>
      <c r="D77" t="inlineStr">
        <is>
          <t>indeed</t>
        </is>
      </c>
      <c r="E77" t="inlineStr"/>
      <c r="F77" t="inlineStr"/>
      <c r="G77" t="inlineStr">
        <is>
          <t>Seattle, WA, US</t>
        </is>
      </c>
      <c r="H77" s="1" t="n">
        <v>45979</v>
      </c>
      <c r="I77"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8">
      <c r="A78" t="inlineStr">
        <is>
          <t>in-5a18f2bc2ab3358f</t>
        </is>
      </c>
      <c r="B78" t="inlineStr">
        <is>
          <t>Applied Scientist, Personalization, DTx Science</t>
        </is>
      </c>
      <c r="C78" t="inlineStr">
        <is>
          <t>Amazon.com</t>
        </is>
      </c>
      <c r="D78" t="inlineStr">
        <is>
          <t>indeed</t>
        </is>
      </c>
      <c r="E78" t="inlineStr"/>
      <c r="F78" t="inlineStr"/>
      <c r="G78" t="inlineStr">
        <is>
          <t>New York, NY, US</t>
        </is>
      </c>
      <c r="H78" s="1" t="n">
        <v>45979</v>
      </c>
      <c r="I78"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9">
      <c r="A79" t="inlineStr">
        <is>
          <t>in-f2b25712f93c5bef</t>
        </is>
      </c>
      <c r="B79" t="inlineStr">
        <is>
          <t>Senior Applied Scientist, Sponsored Products and Brands</t>
        </is>
      </c>
      <c r="C79" t="inlineStr">
        <is>
          <t>Amazon.com</t>
        </is>
      </c>
      <c r="D79" t="inlineStr">
        <is>
          <t>indeed</t>
        </is>
      </c>
      <c r="E79" t="inlineStr"/>
      <c r="F79" t="inlineStr"/>
      <c r="G79" t="inlineStr">
        <is>
          <t>New York, NY, US</t>
        </is>
      </c>
      <c r="H79" s="1" t="n">
        <v>45979</v>
      </c>
      <c r="I7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80">
      <c r="A80" t="inlineStr">
        <is>
          <t>in-9da0e81647470d5e</t>
        </is>
      </c>
      <c r="B80" t="inlineStr">
        <is>
          <t>Senior Applied Scientist, Sponsored Products and Brands</t>
        </is>
      </c>
      <c r="C80" t="inlineStr">
        <is>
          <t>Amazon.com</t>
        </is>
      </c>
      <c r="D80" t="inlineStr">
        <is>
          <t>indeed</t>
        </is>
      </c>
      <c r="E80" t="inlineStr"/>
      <c r="F80" t="inlineStr"/>
      <c r="G80" t="inlineStr">
        <is>
          <t>Seattle, WA, US</t>
        </is>
      </c>
      <c r="H80" s="1" t="n">
        <v>45979</v>
      </c>
      <c r="I8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81">
      <c r="A81" t="inlineStr">
        <is>
          <t>in-6802908361bd01de</t>
        </is>
      </c>
      <c r="B81" t="inlineStr">
        <is>
          <t>Applied Scientist II, Prime Video Personalization and Discovery Science</t>
        </is>
      </c>
      <c r="C81" t="inlineStr">
        <is>
          <t>Amazon.com</t>
        </is>
      </c>
      <c r="D81" t="inlineStr">
        <is>
          <t>indeed</t>
        </is>
      </c>
      <c r="E81" t="inlineStr"/>
      <c r="F81" t="inlineStr"/>
      <c r="G81" t="inlineStr">
        <is>
          <t>Seattle, WA, US</t>
        </is>
      </c>
      <c r="H81" s="1" t="n">
        <v>45978</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82">
      <c r="A82" t="inlineStr">
        <is>
          <t>in-3ccc4bb4d0c43876</t>
        </is>
      </c>
      <c r="B82" t="inlineStr">
        <is>
          <t>Applied Scientist II, Prime Video Personalization and Discovery Science</t>
        </is>
      </c>
      <c r="C82" t="inlineStr">
        <is>
          <t>Amazon.com</t>
        </is>
      </c>
      <c r="D82" t="inlineStr">
        <is>
          <t>indeed</t>
        </is>
      </c>
      <c r="E82" t="inlineStr"/>
      <c r="F82" t="inlineStr"/>
      <c r="G82" t="inlineStr">
        <is>
          <t>New York, NY, US</t>
        </is>
      </c>
      <c r="H82" s="1" t="n">
        <v>45978</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83">
      <c r="A83" t="inlineStr">
        <is>
          <t>in-dd01eb3da7ea032d</t>
        </is>
      </c>
      <c r="B83" t="inlineStr">
        <is>
          <t>Applied Scientist II, Prime Video Personalization and Discovery Science</t>
        </is>
      </c>
      <c r="C83" t="inlineStr">
        <is>
          <t>Amazon.com</t>
        </is>
      </c>
      <c r="D83" t="inlineStr">
        <is>
          <t>indeed</t>
        </is>
      </c>
      <c r="E83" t="inlineStr"/>
      <c r="F83" t="inlineStr"/>
      <c r="G83" t="inlineStr">
        <is>
          <t>Sunnyvale, CA, US</t>
        </is>
      </c>
      <c r="H83" s="1" t="n">
        <v>45978</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84">
      <c r="A84" t="inlineStr">
        <is>
          <t>in-4f7655558bca7def</t>
        </is>
      </c>
      <c r="B84" t="inlineStr">
        <is>
          <t>Sr. Applied Scientist, Sponsored Products</t>
        </is>
      </c>
      <c r="C84" t="inlineStr">
        <is>
          <t>Amazon.com</t>
        </is>
      </c>
      <c r="D84" t="inlineStr">
        <is>
          <t>indeed</t>
        </is>
      </c>
      <c r="E84" t="inlineStr"/>
      <c r="F84" t="inlineStr"/>
      <c r="G84" t="inlineStr">
        <is>
          <t>Arlington, VA, US</t>
        </is>
      </c>
      <c r="H84" s="1" t="n">
        <v>45976</v>
      </c>
      <c r="I8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5">
      <c r="A85" t="inlineStr">
        <is>
          <t>in-fdb1e80527c8014c</t>
        </is>
      </c>
      <c r="B85" t="inlineStr">
        <is>
          <t>Sr. Applied Scientist, Sponsored Products</t>
        </is>
      </c>
      <c r="C85" t="inlineStr">
        <is>
          <t>Amazon.com</t>
        </is>
      </c>
      <c r="D85" t="inlineStr">
        <is>
          <t>indeed</t>
        </is>
      </c>
      <c r="E85" t="inlineStr"/>
      <c r="F85" t="inlineStr"/>
      <c r="G85" t="inlineStr">
        <is>
          <t>Seattle, WA, US</t>
        </is>
      </c>
      <c r="H85" s="1" t="n">
        <v>45976</v>
      </c>
      <c r="I85"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6">
      <c r="A86" t="inlineStr">
        <is>
          <t>in-12bb5c1f076f3007</t>
        </is>
      </c>
      <c r="B86" t="inlineStr">
        <is>
          <t>Sr. Applied Scientist, Sponsored Products</t>
        </is>
      </c>
      <c r="C86" t="inlineStr">
        <is>
          <t>Amazon.com</t>
        </is>
      </c>
      <c r="D86" t="inlineStr">
        <is>
          <t>indeed</t>
        </is>
      </c>
      <c r="E86" t="inlineStr"/>
      <c r="F86" t="inlineStr"/>
      <c r="G86" t="inlineStr">
        <is>
          <t>New York, NY, US</t>
        </is>
      </c>
      <c r="H86" s="1" t="n">
        <v>45976</v>
      </c>
      <c r="I8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7">
      <c r="A87" t="inlineStr">
        <is>
          <t>in-eddaab0a4bd74202</t>
        </is>
      </c>
      <c r="B87" t="inlineStr">
        <is>
          <t>Applied Scientist II, Robotics and ML, Amazon Industrial Robotics</t>
        </is>
      </c>
      <c r="C87" t="inlineStr">
        <is>
          <t>Amazon.com</t>
        </is>
      </c>
      <c r="D87" t="inlineStr">
        <is>
          <t>indeed</t>
        </is>
      </c>
      <c r="E87" t="inlineStr"/>
      <c r="F87" t="inlineStr"/>
      <c r="G87" t="inlineStr">
        <is>
          <t>Reading, MA, US</t>
        </is>
      </c>
      <c r="H87" s="1" t="n">
        <v>45975</v>
      </c>
      <c r="I8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88">
      <c r="A88" t="inlineStr">
        <is>
          <t>in-d9e415561fd86b9c</t>
        </is>
      </c>
      <c r="B88" t="inlineStr">
        <is>
          <t>Applied Scientist II, Robotics and ML, Amazon Industrial Robotics</t>
        </is>
      </c>
      <c r="C88" t="inlineStr">
        <is>
          <t>Amazon.com</t>
        </is>
      </c>
      <c r="D88" t="inlineStr">
        <is>
          <t>indeed</t>
        </is>
      </c>
      <c r="E88" t="inlineStr"/>
      <c r="F88" t="inlineStr"/>
      <c r="G88" t="inlineStr">
        <is>
          <t>Reading, MA, US</t>
        </is>
      </c>
      <c r="H88" s="1" t="n">
        <v>45975</v>
      </c>
      <c r="I8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89">
      <c r="A89" t="inlineStr">
        <is>
          <t>in-b2f6e0b38961a457</t>
        </is>
      </c>
      <c r="B89" t="inlineStr">
        <is>
          <t>Zappos Data Scientist III, Zappos/Shopbop Catalog Engineering</t>
        </is>
      </c>
      <c r="C89" t="inlineStr">
        <is>
          <t>Amazon.com</t>
        </is>
      </c>
      <c r="D89" t="inlineStr">
        <is>
          <t>indeed</t>
        </is>
      </c>
      <c r="E89" t="inlineStr"/>
      <c r="F89" t="inlineStr"/>
      <c r="G89" t="inlineStr">
        <is>
          <t>New York, NY, US</t>
        </is>
      </c>
      <c r="H89" s="1" t="n">
        <v>45965</v>
      </c>
      <c r="I89" t="inlineStr">
        <is>
          <t>**DESCRIPTION**
---------------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\- 175,100\.00 \- 236,900\.00 USD annually  
USA, WI, Madison \- 159,200\.00 \- 215,300\.00 USD annually</t>
        </is>
      </c>
    </row>
    <row r="90">
      <c r="A90" t="inlineStr">
        <is>
          <t>in-0352015b9dbeeddc</t>
        </is>
      </c>
      <c r="B90" t="inlineStr">
        <is>
          <t>Zappos Data Scientist III, Zappos/Shopbop Catalog Engineering</t>
        </is>
      </c>
      <c r="C90" t="inlineStr">
        <is>
          <t>Amazon.com</t>
        </is>
      </c>
      <c r="D90" t="inlineStr">
        <is>
          <t>indeed</t>
        </is>
      </c>
      <c r="E90" t="inlineStr"/>
      <c r="F90" t="inlineStr"/>
      <c r="G90" t="inlineStr">
        <is>
          <t>Madison, WI, US</t>
        </is>
      </c>
      <c r="H90" s="1" t="n">
        <v>45965</v>
      </c>
      <c r="I90" t="inlineStr">
        <is>
          <t>**DESCRIPTION**
---------------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\- 175,100\.00 \- 236,900\.00 USD annually  
USA, WI, Madison \- 159,200\.00 \- 215,300\.00 USD annually</t>
        </is>
      </c>
    </row>
    <row r="91">
      <c r="A91" t="inlineStr">
        <is>
          <t>in-0e0b7de80c614e05</t>
        </is>
      </c>
      <c r="B91" t="inlineStr">
        <is>
          <t>Applied Scientist, Sponsored Products and Brands</t>
        </is>
      </c>
      <c r="C91" t="inlineStr">
        <is>
          <t>Amazon.com</t>
        </is>
      </c>
      <c r="D91" t="inlineStr">
        <is>
          <t>indeed</t>
        </is>
      </c>
      <c r="E91" t="inlineStr"/>
      <c r="F91" t="inlineStr"/>
      <c r="G91" t="inlineStr">
        <is>
          <t>Seattle, WA, US</t>
        </is>
      </c>
      <c r="H91" s="1" t="n">
        <v>45965</v>
      </c>
      <c r="I9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92">
      <c r="A92" t="inlineStr">
        <is>
          <t>in-cc568efd2ea01236</t>
        </is>
      </c>
      <c r="B92" t="inlineStr">
        <is>
          <t>Applied Scientist, Sponsored Products and Brands</t>
        </is>
      </c>
      <c r="C92" t="inlineStr">
        <is>
          <t>Amazon.com</t>
        </is>
      </c>
      <c r="D92" t="inlineStr">
        <is>
          <t>indeed</t>
        </is>
      </c>
      <c r="E92" t="inlineStr"/>
      <c r="F92" t="inlineStr"/>
      <c r="G92" t="inlineStr">
        <is>
          <t>New York, NY, US</t>
        </is>
      </c>
      <c r="H92" s="1" t="n">
        <v>45965</v>
      </c>
      <c r="I9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93">
      <c r="A93" t="inlineStr">
        <is>
          <t>in-471029b431d2beda</t>
        </is>
      </c>
      <c r="B93" t="inlineStr">
        <is>
          <t>Applied Scientist, AWS Agentic AI</t>
        </is>
      </c>
      <c r="C93" t="inlineStr">
        <is>
          <t>Amazon Web Services</t>
        </is>
      </c>
      <c r="D93" t="inlineStr">
        <is>
          <t>indeed</t>
        </is>
      </c>
      <c r="E93" t="inlineStr"/>
      <c r="F93" t="inlineStr"/>
      <c r="G93" t="inlineStr">
        <is>
          <t>Santa Clara, CA, US</t>
        </is>
      </c>
      <c r="H93" s="1" t="n">
        <v>45962</v>
      </c>
      <c r="I9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in-98bdc8533c96fbe0</t>
        </is>
      </c>
      <c r="B94" t="inlineStr">
        <is>
          <t>Applied Scientist, AWS Agentic AI</t>
        </is>
      </c>
      <c r="C94" t="inlineStr">
        <is>
          <t>Amazon Web Services</t>
        </is>
      </c>
      <c r="D94" t="inlineStr">
        <is>
          <t>indeed</t>
        </is>
      </c>
      <c r="E94" t="inlineStr"/>
      <c r="F94" t="inlineStr"/>
      <c r="G94" t="inlineStr">
        <is>
          <t>Seattle, WA, US</t>
        </is>
      </c>
      <c r="H94" s="1" t="n">
        <v>45962</v>
      </c>
      <c r="I9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in-33a542cf8e192ff6</t>
        </is>
      </c>
      <c r="B95" t="inlineStr">
        <is>
          <t>Applied Scientist, AWS Agentic AI</t>
        </is>
      </c>
      <c r="C95" t="inlineStr">
        <is>
          <t>Amazon Web Services</t>
        </is>
      </c>
      <c r="D95" t="inlineStr">
        <is>
          <t>indeed</t>
        </is>
      </c>
      <c r="E95" t="inlineStr"/>
      <c r="F95" t="inlineStr"/>
      <c r="G95" t="inlineStr">
        <is>
          <t>New York, NY, US</t>
        </is>
      </c>
      <c r="H95" s="1" t="n">
        <v>45962</v>
      </c>
      <c r="I9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in-c6a093454d6919a8</t>
        </is>
      </c>
      <c r="B96" t="inlineStr">
        <is>
          <t>Applied Scientist, AI Automation, Prime Video</t>
        </is>
      </c>
      <c r="C96" t="inlineStr">
        <is>
          <t>Amazon.com</t>
        </is>
      </c>
      <c r="D96" t="inlineStr">
        <is>
          <t>indeed</t>
        </is>
      </c>
      <c r="E96" t="inlineStr"/>
      <c r="F96" t="inlineStr"/>
      <c r="G96" t="inlineStr">
        <is>
          <t>Culver City, CA, US</t>
        </is>
      </c>
      <c r="H96" s="1" t="n">
        <v>45949</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in-afee1dfaab2362d0</t>
        </is>
      </c>
      <c r="B97" t="inlineStr">
        <is>
          <t>Applied Scientist, AI Automation, Prime Video</t>
        </is>
      </c>
      <c r="C97" t="inlineStr">
        <is>
          <t>Amazon.com</t>
        </is>
      </c>
      <c r="D97" t="inlineStr">
        <is>
          <t>indeed</t>
        </is>
      </c>
      <c r="E97" t="inlineStr"/>
      <c r="F97" t="inlineStr"/>
      <c r="G97" t="inlineStr">
        <is>
          <t>Seattle, WA, US</t>
        </is>
      </c>
      <c r="H97" s="1" t="n">
        <v>45949</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in-c516151ff7848228</t>
        </is>
      </c>
      <c r="B98" t="inlineStr">
        <is>
          <t>Principal Applied Scientist, Advertiser Growth, Amazon Sponsored Products &amp; Brands</t>
        </is>
      </c>
      <c r="C98" t="inlineStr">
        <is>
          <t>Amazon.com</t>
        </is>
      </c>
      <c r="D98" t="inlineStr">
        <is>
          <t>indeed</t>
        </is>
      </c>
      <c r="E98" t="inlineStr"/>
      <c r="F98" t="inlineStr"/>
      <c r="G98" t="inlineStr">
        <is>
          <t>Palo Alto, CA, US</t>
        </is>
      </c>
      <c r="H98" s="1" t="n">
        <v>45942</v>
      </c>
      <c r="I9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in-b44ce46088af4ba4</t>
        </is>
      </c>
      <c r="B99" t="inlineStr">
        <is>
          <t>Principal Applied Scientist, Advertiser Growth, Amazon Sponsored Products &amp; Brands</t>
        </is>
      </c>
      <c r="C99" t="inlineStr">
        <is>
          <t>Amazon.com</t>
        </is>
      </c>
      <c r="D99" t="inlineStr">
        <is>
          <t>indeed</t>
        </is>
      </c>
      <c r="E99" t="inlineStr"/>
      <c r="F99" t="inlineStr"/>
      <c r="G99" t="inlineStr">
        <is>
          <t>New York, NY, US</t>
        </is>
      </c>
      <c r="H99" s="1" t="n">
        <v>45942</v>
      </c>
      <c r="I9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in-7e53cd8fba592731</t>
        </is>
      </c>
      <c r="B100" t="inlineStr">
        <is>
          <t>Principal Applied Scientist, Advertiser Growth, Amazon Sponsored Products &amp; Brands</t>
        </is>
      </c>
      <c r="C100" t="inlineStr">
        <is>
          <t>Amazon.com</t>
        </is>
      </c>
      <c r="D100" t="inlineStr">
        <is>
          <t>indeed</t>
        </is>
      </c>
      <c r="E100" t="inlineStr"/>
      <c r="F100" t="inlineStr"/>
      <c r="G100" t="inlineStr">
        <is>
          <t>Seattle, WA, US</t>
        </is>
      </c>
      <c r="H100" s="1" t="n">
        <v>45942</v>
      </c>
      <c r="I10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in-c0492343f55c4afe</t>
        </is>
      </c>
      <c r="B101" t="inlineStr">
        <is>
          <t>Applied Scientist, Workplace Health &amp; Safety</t>
        </is>
      </c>
      <c r="C101" t="inlineStr">
        <is>
          <t>Amazon.com</t>
        </is>
      </c>
      <c r="D101" t="inlineStr">
        <is>
          <t>indeed</t>
        </is>
      </c>
      <c r="E101" t="inlineStr"/>
      <c r="F101" t="inlineStr"/>
      <c r="G101" t="inlineStr">
        <is>
          <t>Bellevue, WA, US</t>
        </is>
      </c>
      <c r="H101" s="1" t="n">
        <v>45917</v>
      </c>
      <c r="I10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in-22f9302ee1ff8dbf</t>
        </is>
      </c>
      <c r="B102" t="inlineStr">
        <is>
          <t>Applied Scientist, Workplace Health &amp; Safety</t>
        </is>
      </c>
      <c r="C102" t="inlineStr">
        <is>
          <t>Amazon.com</t>
        </is>
      </c>
      <c r="D102" t="inlineStr">
        <is>
          <t>indeed</t>
        </is>
      </c>
      <c r="E102" t="inlineStr"/>
      <c r="F102" t="inlineStr"/>
      <c r="G102" t="inlineStr">
        <is>
          <t>Nashville, TN, US</t>
        </is>
      </c>
      <c r="H102" s="1" t="n">
        <v>45917</v>
      </c>
      <c r="I10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in-d3bacef9e66e47b3</t>
        </is>
      </c>
      <c r="B103" t="inlineStr">
        <is>
          <t>Sr. Applied Scientist, Prime Video - Personalization and Discovery Science</t>
        </is>
      </c>
      <c r="C103" t="inlineStr">
        <is>
          <t>Amazon.com</t>
        </is>
      </c>
      <c r="D103" t="inlineStr">
        <is>
          <t>indeed</t>
        </is>
      </c>
      <c r="E103" t="inlineStr"/>
      <c r="F103" t="inlineStr"/>
      <c r="G103" t="inlineStr">
        <is>
          <t>New York, NY, US</t>
        </is>
      </c>
      <c r="H103" s="1" t="n">
        <v>45896</v>
      </c>
      <c r="I1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4">
      <c r="A104" t="inlineStr">
        <is>
          <t>in-257221f0b2bf276f</t>
        </is>
      </c>
      <c r="B104" t="inlineStr">
        <is>
          <t>Sr. Applied Scientist, Prime Video - Personalization and Discovery Science</t>
        </is>
      </c>
      <c r="C104" t="inlineStr">
        <is>
          <t>Amazon.com</t>
        </is>
      </c>
      <c r="D104" t="inlineStr">
        <is>
          <t>indeed</t>
        </is>
      </c>
      <c r="E104" t="inlineStr"/>
      <c r="F104" t="inlineStr"/>
      <c r="G104" t="inlineStr">
        <is>
          <t>Sunnyvale, CA, US</t>
        </is>
      </c>
      <c r="H104" s="1" t="n">
        <v>45896</v>
      </c>
      <c r="I1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5">
      <c r="A105" t="inlineStr">
        <is>
          <t>in-7e8ea4d87d08f0bc</t>
        </is>
      </c>
      <c r="B105" t="inlineStr">
        <is>
          <t>Sr. Applied Scientist, Prime Video - Personalization and Discovery Science</t>
        </is>
      </c>
      <c r="C105" t="inlineStr">
        <is>
          <t>Amazon.com</t>
        </is>
      </c>
      <c r="D105" t="inlineStr">
        <is>
          <t>indeed</t>
        </is>
      </c>
      <c r="E105" t="inlineStr"/>
      <c r="F105" t="inlineStr"/>
      <c r="G105" t="inlineStr">
        <is>
          <t>Seattle, WA, US</t>
        </is>
      </c>
      <c r="H105" s="1" t="n">
        <v>45896</v>
      </c>
      <c r="I1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6">
      <c r="A106" t="inlineStr">
        <is>
          <t>in-7d880a770671c11b</t>
        </is>
      </c>
      <c r="B106" t="inlineStr">
        <is>
          <t>Applied Scientist II, Prime Video , Personalization and Discovery Science</t>
        </is>
      </c>
      <c r="C106" t="inlineStr">
        <is>
          <t>Amazon.com</t>
        </is>
      </c>
      <c r="D106" t="inlineStr">
        <is>
          <t>indeed</t>
        </is>
      </c>
      <c r="E106" t="inlineStr"/>
      <c r="F106" t="inlineStr"/>
      <c r="G106" t="inlineStr">
        <is>
          <t>Seattle, WA, US</t>
        </is>
      </c>
      <c r="H106" s="1" t="n">
        <v>45886</v>
      </c>
      <c r="I1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7">
      <c r="A107" t="inlineStr">
        <is>
          <t>in-fd89b8025594c262</t>
        </is>
      </c>
      <c r="B107" t="inlineStr">
        <is>
          <t>Applied Scientist II, Prime Video , Personalization and Discovery Science</t>
        </is>
      </c>
      <c r="C107" t="inlineStr">
        <is>
          <t>Amazon.com</t>
        </is>
      </c>
      <c r="D107" t="inlineStr">
        <is>
          <t>indeed</t>
        </is>
      </c>
      <c r="E107" t="inlineStr"/>
      <c r="F107" t="inlineStr"/>
      <c r="G107" t="inlineStr">
        <is>
          <t>Sunnyvale, CA, US</t>
        </is>
      </c>
      <c r="H107" s="1" t="n">
        <v>45886</v>
      </c>
      <c r="I1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8">
      <c r="A108" t="inlineStr">
        <is>
          <t>in-4985e617c46c08b6</t>
        </is>
      </c>
      <c r="B108" t="inlineStr">
        <is>
          <t>Applied Scientist II, Prime Video , Personalization and Discovery Science</t>
        </is>
      </c>
      <c r="C108" t="inlineStr">
        <is>
          <t>Amazon.com</t>
        </is>
      </c>
      <c r="D108" t="inlineStr">
        <is>
          <t>indeed</t>
        </is>
      </c>
      <c r="E108" t="inlineStr"/>
      <c r="F108" t="inlineStr"/>
      <c r="G108" t="inlineStr">
        <is>
          <t>New York, NY, US</t>
        </is>
      </c>
      <c r="H108" s="1" t="n">
        <v>45886</v>
      </c>
      <c r="I1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9">
      <c r="A109" t="inlineStr">
        <is>
          <t>in-39d27951682147b6</t>
        </is>
      </c>
      <c r="B109" t="inlineStr">
        <is>
          <t>Sr. Applied Scientist, Prime Video - Personalization and Discovery Science</t>
        </is>
      </c>
      <c r="C109" t="inlineStr">
        <is>
          <t>Amazon.com</t>
        </is>
      </c>
      <c r="D109" t="inlineStr">
        <is>
          <t>indeed</t>
        </is>
      </c>
      <c r="E109" t="inlineStr"/>
      <c r="F109" t="inlineStr"/>
      <c r="G109" t="inlineStr">
        <is>
          <t>New York, NY, US</t>
        </is>
      </c>
      <c r="H109" s="1" t="n">
        <v>45886</v>
      </c>
      <c r="I1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in-a238c120b97b9292</t>
        </is>
      </c>
      <c r="B110" t="inlineStr">
        <is>
          <t>Sr. Applied Scientist, Prime Video - Personalization and Discovery Science</t>
        </is>
      </c>
      <c r="C110" t="inlineStr">
        <is>
          <t>Amazon.com</t>
        </is>
      </c>
      <c r="D110" t="inlineStr">
        <is>
          <t>indeed</t>
        </is>
      </c>
      <c r="E110" t="inlineStr"/>
      <c r="F110" t="inlineStr"/>
      <c r="G110" t="inlineStr">
        <is>
          <t>Sunnyvale, CA, US</t>
        </is>
      </c>
      <c r="H110" s="1" t="n">
        <v>45886</v>
      </c>
      <c r="I1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in-7bc77bdcecfe4db7</t>
        </is>
      </c>
      <c r="B111" t="inlineStr">
        <is>
          <t>Sr. Applied Scientist, Prime Video - Personalization and Discovery Science</t>
        </is>
      </c>
      <c r="C111" t="inlineStr">
        <is>
          <t>Amazon.com</t>
        </is>
      </c>
      <c r="D111" t="inlineStr">
        <is>
          <t>indeed</t>
        </is>
      </c>
      <c r="E111" t="inlineStr"/>
      <c r="F111" t="inlineStr"/>
      <c r="G111" t="inlineStr">
        <is>
          <t>Seattle, WA, US</t>
        </is>
      </c>
      <c r="H111" s="1" t="n">
        <v>45886</v>
      </c>
      <c r="I1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in-7b359d44be3826cc</t>
        </is>
      </c>
      <c r="B112" t="inlineStr">
        <is>
          <t>Applied Scientist III, StoreGen</t>
        </is>
      </c>
      <c r="C112" t="inlineStr">
        <is>
          <t>Amazon.com</t>
        </is>
      </c>
      <c r="D112" t="inlineStr">
        <is>
          <t>indeed</t>
        </is>
      </c>
      <c r="E112" t="inlineStr"/>
      <c r="F112" t="inlineStr"/>
      <c r="G112" t="inlineStr">
        <is>
          <t>Sunnyvale, CA, US</t>
        </is>
      </c>
      <c r="H112" s="1" t="n">
        <v>45868</v>
      </c>
      <c r="I112"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in-fad9c98e1e31c858</t>
        </is>
      </c>
      <c r="B113" t="inlineStr">
        <is>
          <t>Applied Scientist III, StoreGen</t>
        </is>
      </c>
      <c r="C113" t="inlineStr">
        <is>
          <t>Amazon.com</t>
        </is>
      </c>
      <c r="D113" t="inlineStr">
        <is>
          <t>indeed</t>
        </is>
      </c>
      <c r="E113" t="inlineStr"/>
      <c r="F113" t="inlineStr"/>
      <c r="G113" t="inlineStr">
        <is>
          <t>Seattle, WA, US</t>
        </is>
      </c>
      <c r="H113" s="1" t="n">
        <v>45868</v>
      </c>
      <c r="I113"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in-2b6d67eeee1ccb81</t>
        </is>
      </c>
      <c r="B114" t="inlineStr">
        <is>
          <t>Sr. Applied Scientist, Amazon Advertising</t>
        </is>
      </c>
      <c r="C114" t="inlineStr">
        <is>
          <t>Amazon.com</t>
        </is>
      </c>
      <c r="D114" t="inlineStr">
        <is>
          <t>indeed</t>
        </is>
      </c>
      <c r="E114" t="inlineStr"/>
      <c r="F114" t="inlineStr"/>
      <c r="G114" t="inlineStr">
        <is>
          <t>Austin, TX, US</t>
        </is>
      </c>
      <c r="H114" s="1"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in-6074ee797a1773de</t>
        </is>
      </c>
      <c r="B115" t="inlineStr">
        <is>
          <t>Sr. Applied Scientist, Amazon Advertising</t>
        </is>
      </c>
      <c r="C115" t="inlineStr">
        <is>
          <t>Amazon.com</t>
        </is>
      </c>
      <c r="D115" t="inlineStr">
        <is>
          <t>indeed</t>
        </is>
      </c>
      <c r="E115" t="inlineStr"/>
      <c r="F115" t="inlineStr"/>
      <c r="G115" t="inlineStr">
        <is>
          <t>Los Angeles, CA, US</t>
        </is>
      </c>
      <c r="H115" s="1"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in-4adb24097212fecc</t>
        </is>
      </c>
      <c r="B116" t="inlineStr">
        <is>
          <t>Sr. Applied Scientist, Amazon Advertising</t>
        </is>
      </c>
      <c r="C116" t="inlineStr">
        <is>
          <t>Amazon.com</t>
        </is>
      </c>
      <c r="D116" t="inlineStr">
        <is>
          <t>indeed</t>
        </is>
      </c>
      <c r="E116" t="inlineStr"/>
      <c r="F116" t="inlineStr"/>
      <c r="G116" t="inlineStr">
        <is>
          <t>Palo Alto, CA, US</t>
        </is>
      </c>
      <c r="H116" s="1"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in-f7be1dfdc8b26c25</t>
        </is>
      </c>
      <c r="B117" t="inlineStr">
        <is>
          <t>Sr. Applied Scientist, Amazon Advertising</t>
        </is>
      </c>
      <c r="C117" t="inlineStr">
        <is>
          <t>Amazon.com</t>
        </is>
      </c>
      <c r="D117" t="inlineStr">
        <is>
          <t>indeed</t>
        </is>
      </c>
      <c r="E117" t="inlineStr"/>
      <c r="F117" t="inlineStr"/>
      <c r="G117" t="inlineStr">
        <is>
          <t>New York, NY, US</t>
        </is>
      </c>
      <c r="H117" s="1" t="n">
        <v>45851</v>
      </c>
      <c r="I1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in-51f7af7d0ca0f23d</t>
        </is>
      </c>
      <c r="B118" t="inlineStr">
        <is>
          <t>Sr. Applied Scientist, Amazon Advertising</t>
        </is>
      </c>
      <c r="C118" t="inlineStr">
        <is>
          <t>Amazon.com</t>
        </is>
      </c>
      <c r="D118" t="inlineStr">
        <is>
          <t>indeed</t>
        </is>
      </c>
      <c r="E118" t="inlineStr"/>
      <c r="F118" t="inlineStr"/>
      <c r="G118" t="inlineStr">
        <is>
          <t>Seattle, WA, US</t>
        </is>
      </c>
      <c r="H118" s="1" t="n">
        <v>45851</v>
      </c>
      <c r="I1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in-f399e335877c6132</t>
        </is>
      </c>
      <c r="B119" t="inlineStr">
        <is>
          <t>Sr. Applied Scientist, Amazon Advertising</t>
        </is>
      </c>
      <c r="C119" t="inlineStr">
        <is>
          <t>Amazon.com</t>
        </is>
      </c>
      <c r="D119" t="inlineStr">
        <is>
          <t>indeed</t>
        </is>
      </c>
      <c r="E119" t="inlineStr"/>
      <c r="F119" t="inlineStr"/>
      <c r="G119" t="inlineStr">
        <is>
          <t>West Hollywood, CA, US</t>
        </is>
      </c>
      <c r="H119" s="1" t="n">
        <v>45851</v>
      </c>
      <c r="I1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in-354347731559ef6d</t>
        </is>
      </c>
      <c r="B120" t="inlineStr">
        <is>
          <t>Sr. Applied Scientist, Amazon Advertising</t>
        </is>
      </c>
      <c r="C120" t="inlineStr">
        <is>
          <t>Amazon.com</t>
        </is>
      </c>
      <c r="D120" t="inlineStr">
        <is>
          <t>indeed</t>
        </is>
      </c>
      <c r="E120" t="inlineStr"/>
      <c r="F120" t="inlineStr"/>
      <c r="G120" t="inlineStr">
        <is>
          <t>Simi Valley, CA, US</t>
        </is>
      </c>
      <c r="H120" s="1" t="n">
        <v>45851</v>
      </c>
      <c r="I1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in-8d755f1415ac5bd2</t>
        </is>
      </c>
      <c r="B121" t="inlineStr">
        <is>
          <t>Sr. Applied Scientist, Amazon Advertising</t>
        </is>
      </c>
      <c r="C121" t="inlineStr">
        <is>
          <t>Amazon.com</t>
        </is>
      </c>
      <c r="D121" t="inlineStr">
        <is>
          <t>indeed</t>
        </is>
      </c>
      <c r="E121" t="inlineStr"/>
      <c r="F121" t="inlineStr"/>
      <c r="G121" t="inlineStr">
        <is>
          <t>Arlington, VA, US</t>
        </is>
      </c>
      <c r="H121" s="1" t="n">
        <v>45851</v>
      </c>
      <c r="I12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in-d2bc0b1fcc81ea52</t>
        </is>
      </c>
      <c r="B122" t="inlineStr">
        <is>
          <t>Sr. Applied Scientist, Sales AI</t>
        </is>
      </c>
      <c r="C122" t="inlineStr">
        <is>
          <t>Amazon.com</t>
        </is>
      </c>
      <c r="D122" t="inlineStr">
        <is>
          <t>indeed</t>
        </is>
      </c>
      <c r="E122" t="inlineStr"/>
      <c r="F122" t="inlineStr"/>
      <c r="G122" t="inlineStr">
        <is>
          <t>Sunnyvale, CA, US</t>
        </is>
      </c>
      <c r="H122" s="1" t="n">
        <v>45830</v>
      </c>
      <c r="I12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in-bbbee068700409ca</t>
        </is>
      </c>
      <c r="B123" t="inlineStr">
        <is>
          <t>Sr. Applied Scientist, Sales AI</t>
        </is>
      </c>
      <c r="C123" t="inlineStr">
        <is>
          <t>Amazon.com</t>
        </is>
      </c>
      <c r="D123" t="inlineStr">
        <is>
          <t>indeed</t>
        </is>
      </c>
      <c r="E123" t="inlineStr"/>
      <c r="F123" t="inlineStr"/>
      <c r="G123" t="inlineStr">
        <is>
          <t>New York, NY, US</t>
        </is>
      </c>
      <c r="H123" s="1" t="n">
        <v>45830</v>
      </c>
      <c r="I12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in-f2f46b66d9191c49</t>
        </is>
      </c>
      <c r="B124" t="inlineStr">
        <is>
          <t>Sr. Applied Scientist, Sales AI</t>
        </is>
      </c>
      <c r="C124" t="inlineStr">
        <is>
          <t>Amazon.com</t>
        </is>
      </c>
      <c r="D124" t="inlineStr">
        <is>
          <t>indeed</t>
        </is>
      </c>
      <c r="E124" t="inlineStr"/>
      <c r="F124" t="inlineStr"/>
      <c r="G124" t="inlineStr">
        <is>
          <t>Seattle, WA, US</t>
        </is>
      </c>
      <c r="H124" s="1" t="n">
        <v>45830</v>
      </c>
      <c r="I12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in-a598d42066bd365e</t>
        </is>
      </c>
      <c r="B125" t="inlineStr">
        <is>
          <t>Senior Applied Scientist, Delivery Foundation Model</t>
        </is>
      </c>
      <c r="C125" t="inlineStr">
        <is>
          <t>Amazon.com</t>
        </is>
      </c>
      <c r="D125" t="inlineStr">
        <is>
          <t>indeed</t>
        </is>
      </c>
      <c r="E125" t="inlineStr"/>
      <c r="F125" t="inlineStr"/>
      <c r="G125" t="inlineStr">
        <is>
          <t>Santa Clara, CA, US</t>
        </is>
      </c>
      <c r="H125" s="1" t="n">
        <v>45806</v>
      </c>
      <c r="I12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in-61c17930661e0909</t>
        </is>
      </c>
      <c r="B126" t="inlineStr">
        <is>
          <t>Senior Applied Scientist, Delivery Foundation Model</t>
        </is>
      </c>
      <c r="C126" t="inlineStr">
        <is>
          <t>Amazon.com</t>
        </is>
      </c>
      <c r="D126" t="inlineStr">
        <is>
          <t>indeed</t>
        </is>
      </c>
      <c r="E126" t="inlineStr"/>
      <c r="F126" t="inlineStr"/>
      <c r="G126" t="inlineStr">
        <is>
          <t>Bellevue, WA, US</t>
        </is>
      </c>
      <c r="H126" s="1" t="n">
        <v>45806</v>
      </c>
      <c r="I12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in-b6ec5dec6058c8ab</t>
        </is>
      </c>
      <c r="B127" t="inlineStr">
        <is>
          <t>Senior Applied Scientist, Delivery Foundation Model</t>
        </is>
      </c>
      <c r="C127" t="inlineStr">
        <is>
          <t>Amazon.com</t>
        </is>
      </c>
      <c r="D127" t="inlineStr">
        <is>
          <t>indeed</t>
        </is>
      </c>
      <c r="E127" t="inlineStr"/>
      <c r="F127" t="inlineStr"/>
      <c r="G127" t="inlineStr">
        <is>
          <t>New York, NY, US</t>
        </is>
      </c>
      <c r="H127" s="1" t="n">
        <v>45806</v>
      </c>
      <c r="I12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in-f520d4ddeba09d95</t>
        </is>
      </c>
      <c r="B128" t="inlineStr">
        <is>
          <t>Sr. Applied Scientist - Privacy, Privacy Engineering</t>
        </is>
      </c>
      <c r="C128" t="inlineStr">
        <is>
          <t>Amazon.com</t>
        </is>
      </c>
      <c r="D128" t="inlineStr">
        <is>
          <t>indeed</t>
        </is>
      </c>
      <c r="E128" t="inlineStr"/>
      <c r="F128" t="inlineStr"/>
      <c r="G128" t="inlineStr">
        <is>
          <t>Santa Clara, CA, US</t>
        </is>
      </c>
      <c r="H128" s="1" t="n">
        <v>45787</v>
      </c>
      <c r="I128"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in-868a5ce53b94189d</t>
        </is>
      </c>
      <c r="B129" t="inlineStr">
        <is>
          <t>Sr. Applied Scientist - Privacy, Privacy Engineering</t>
        </is>
      </c>
      <c r="C129" t="inlineStr">
        <is>
          <t>Amazon.com</t>
        </is>
      </c>
      <c r="D129" t="inlineStr">
        <is>
          <t>indeed</t>
        </is>
      </c>
      <c r="E129" t="inlineStr"/>
      <c r="F129" t="inlineStr"/>
      <c r="G129" t="inlineStr">
        <is>
          <t>San Francisco, CA, US</t>
        </is>
      </c>
      <c r="H129" s="1" t="n">
        <v>45787</v>
      </c>
      <c r="I129"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in-9d142fdf59e632f3</t>
        </is>
      </c>
      <c r="B130" t="inlineStr">
        <is>
          <t>Sr. Applied Scientist - Privacy, Privacy Engineering</t>
        </is>
      </c>
      <c r="C130" t="inlineStr">
        <is>
          <t>Amazon.com</t>
        </is>
      </c>
      <c r="D130" t="inlineStr">
        <is>
          <t>indeed</t>
        </is>
      </c>
      <c r="E130" t="inlineStr"/>
      <c r="F130" t="inlineStr"/>
      <c r="G130" t="inlineStr">
        <is>
          <t>Seattle, WA, US</t>
        </is>
      </c>
      <c r="H130" s="1" t="n">
        <v>45787</v>
      </c>
      <c r="I130"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in-afcb0e031d895616</t>
        </is>
      </c>
      <c r="B131" t="inlineStr">
        <is>
          <t>Sr. Applied Scientist - Privacy, Privacy Engineering</t>
        </is>
      </c>
      <c r="C131" t="inlineStr">
        <is>
          <t>Amazon.com</t>
        </is>
      </c>
      <c r="D131" t="inlineStr">
        <is>
          <t>indeed</t>
        </is>
      </c>
      <c r="E131" t="inlineStr"/>
      <c r="F131" t="inlineStr"/>
      <c r="G131" t="inlineStr">
        <is>
          <t>Sunnyvale, CA, US</t>
        </is>
      </c>
      <c r="H131" s="1" t="n">
        <v>45787</v>
      </c>
      <c r="I13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in-0c15dd28e1ba0a45</t>
        </is>
      </c>
      <c r="B132" t="inlineStr">
        <is>
          <t>Sr. Data Scientist- Computer Vision, Data &amp; Machine Learning (DML)</t>
        </is>
      </c>
      <c r="C132" t="inlineStr">
        <is>
          <t>Amazon Web Services</t>
        </is>
      </c>
      <c r="D132" t="inlineStr">
        <is>
          <t>indeed</t>
        </is>
      </c>
      <c r="E132" t="inlineStr"/>
      <c r="F132" t="inlineStr"/>
      <c r="G132" t="inlineStr">
        <is>
          <t>Arlington, VA, US</t>
        </is>
      </c>
      <c r="H132" s="1" t="n">
        <v>46062</v>
      </c>
      <c r="I132"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5\+ years of data querying languages (e.g. SQL), scripting languages (e.g. Python) or statistical/mathematical software (e.g. R, SAS, Matlab, etc.) experience
* Knowledge of AWS tech stack (e.g., AWS Redshift, S3, EC2, Glue)
* Bachelor's degree in a quantitative field such as statistics, mathematics, data science, business analytics, economics, finance, engineering, or computer science
* 2\+ years of experience with machine learning, statistical modeling, data analysis tools and techniques, and performance parameters for computer vision delivery requirements
* Current, active US Government Security Clearance of Top Secret or above
**PREFERRED QUALIFICATIONS**
----------------------------
* 3\+ years of data visualization using AWS QuickSight, Tableau, R Shiny, etc. experience
* Experience managing data pipelines
* Experience as a leader and mentor on a data science team
* Master's degree in a quantitative field such as statistics, mathematics, data science, business analytics, economics, finance, engineering, or computer science
* Familiarity with internals of LLMs, VLMs, and traditional Computer Vision object detection models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133">
      <c r="A133" t="inlineStr">
        <is>
          <t>in-1da395360af6196f</t>
        </is>
      </c>
      <c r="B133" t="inlineStr">
        <is>
          <t>Sr. Data Scientist- Computer Vision, Data &amp; Machine Learning (DML)</t>
        </is>
      </c>
      <c r="C133" t="inlineStr">
        <is>
          <t>Amazon Web Services</t>
        </is>
      </c>
      <c r="D133" t="inlineStr">
        <is>
          <t>indeed</t>
        </is>
      </c>
      <c r="E133" t="inlineStr"/>
      <c r="F133" t="inlineStr"/>
      <c r="G133" t="inlineStr">
        <is>
          <t>Herndon, VA, US</t>
        </is>
      </c>
      <c r="H133" s="1" t="n">
        <v>46062</v>
      </c>
      <c r="I133"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5\+ years of data querying languages (e.g. SQL), scripting languages (e.g. Python) or statistical/mathematical software (e.g. R, SAS, Matlab, etc.) experience
* Knowledge of AWS tech stack (e.g., AWS Redshift, S3, EC2, Glue)
* Bachelor's degree in a quantitative field such as statistics, mathematics, data science, business analytics, economics, finance, engineering, or computer science
* 2\+ years of experience with machine learning, statistical modeling, data analysis tools and techniques, and performance parameters for computer vision delivery requirements
* Current, active US Government Security Clearance of Top Secret or above
**PREFERRED QUALIFICATIONS**
----------------------------
* 3\+ years of data visualization using AWS QuickSight, Tableau, R Shiny, etc. experience
* Experience managing data pipelines
* Experience as a leader and mentor on a data science team
* Master's degree in a quantitative field such as statistics, mathematics, data science, business analytics, economics, finance, engineering, or computer science
* Familiarity with internals of LLMs, VLMs, and traditional Computer Vision object detection models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134">
      <c r="A134" t="inlineStr">
        <is>
          <t>in-4b18160ed65cae9b</t>
        </is>
      </c>
      <c r="B134" t="inlineStr">
        <is>
          <t>Data Scientist- Vision Language Model Researcher, Data &amp; Machine Learning (DML)</t>
        </is>
      </c>
      <c r="C134" t="inlineStr">
        <is>
          <t>Amazon Web Services</t>
        </is>
      </c>
      <c r="D134" t="inlineStr">
        <is>
          <t>indeed</t>
        </is>
      </c>
      <c r="E134" t="inlineStr"/>
      <c r="F134" t="inlineStr"/>
      <c r="G134" t="inlineStr">
        <is>
          <t>Herndon, VA, US</t>
        </is>
      </c>
      <c r="H134" s="1" t="n">
        <v>46051</v>
      </c>
      <c r="I134"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35">
      <c r="A135" t="inlineStr">
        <is>
          <t>in-dee64f3467ca3489</t>
        </is>
      </c>
      <c r="B135" t="inlineStr">
        <is>
          <t>Data Scientist- Vision Language Model Researcher, Data &amp; Machine Learning (DML)</t>
        </is>
      </c>
      <c r="C135" t="inlineStr">
        <is>
          <t>Amazon Web Services</t>
        </is>
      </c>
      <c r="D135" t="inlineStr">
        <is>
          <t>indeed</t>
        </is>
      </c>
      <c r="E135" t="inlineStr"/>
      <c r="F135" t="inlineStr"/>
      <c r="G135" t="inlineStr">
        <is>
          <t>Arlington, VA, US</t>
        </is>
      </c>
      <c r="H135" s="1" t="n">
        <v>46051</v>
      </c>
      <c r="I135"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36">
      <c r="A136" t="inlineStr">
        <is>
          <t>in-7489f48618aee94b</t>
        </is>
      </c>
      <c r="B136" t="inlineStr">
        <is>
          <t>Data Scientist - Computer Vision, Data &amp; Machine Learning (DML)</t>
        </is>
      </c>
      <c r="C136" t="inlineStr">
        <is>
          <t>Amazon Web Services</t>
        </is>
      </c>
      <c r="D136" t="inlineStr">
        <is>
          <t>indeed</t>
        </is>
      </c>
      <c r="E136" t="inlineStr"/>
      <c r="F136" t="inlineStr"/>
      <c r="G136" t="inlineStr">
        <is>
          <t>Herndon, VA, US</t>
        </is>
      </c>
      <c r="H136" s="1" t="n">
        <v>46051</v>
      </c>
      <c r="I136"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primarily on the unclassified networks.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AWS Services,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Run data conversion pipelines to transform customer data into the structure needed by models for training
Perform EDA on the customer data
Train deep neural network models on overhead imagery
Develop and implement hyper\-parameter optimization strategies
Test and Evaluate models and analyze results
Package and deliver models to the customer
Implement new features to the model development code base
Collaborate with the rest of the team on long term strategy and short\-medium term implementation.
Contribute to presentations to the customer regarding the team’s work.
**BASIC QUALIFICATIONS**
------------------------
* Bachelor's degree or above in computer science, computer engineering, or related field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with AWS services including S3, Redshift, Sagemaker, EMR, Kinesis, Lambda, and EC2
* Current, active US Government Security Clearance of Top Secret or above
**PREFERRED QUALIFICATIONS**
----------------------------
* Knowledge of machine learning concepts and their application to reasoning and problem\-solving
* Experience in a ML or data scientist role with a large technology company
* Experience working on multi\-team, cross\-disciplinary projects
* Master's degree or above in computer science, machine learning, engineering, or related fields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37">
      <c r="A137" t="inlineStr">
        <is>
          <t>in-bdc96c40300a3245</t>
        </is>
      </c>
      <c r="B137" t="inlineStr">
        <is>
          <t>Data Scientist - Computer Vision, Data &amp; Machine Learning (DML)</t>
        </is>
      </c>
      <c r="C137" t="inlineStr">
        <is>
          <t>Amazon Web Services</t>
        </is>
      </c>
      <c r="D137" t="inlineStr">
        <is>
          <t>indeed</t>
        </is>
      </c>
      <c r="E137" t="inlineStr"/>
      <c r="F137" t="inlineStr"/>
      <c r="G137" t="inlineStr">
        <is>
          <t>Arlington, VA, US</t>
        </is>
      </c>
      <c r="H137" s="1" t="n">
        <v>46051</v>
      </c>
      <c r="I137"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primarily on the unclassified networks.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AWS Services,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Run data conversion pipelines to transform customer data into the structure needed by models for training
Perform EDA on the customer data
Train deep neural network models on overhead imagery
Develop and implement hyper\-parameter optimization strategies
Test and Evaluate models and analyze results
Package and deliver models to the customer
Implement new features to the model development code base
Collaborate with the rest of the team on long term strategy and short\-medium term implementation.
Contribute to presentations to the customer regarding the team’s work.
**BASIC QUALIFICATIONS**
------------------------
* Bachelor's degree or above in computer science, computer engineering, or related field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with AWS services including S3, Redshift, Sagemaker, EMR, Kinesis, Lambda, and EC2
* Current, active US Government Security Clearance of Top Secret or above
**PREFERRED QUALIFICATIONS**
----------------------------
* Knowledge of machine learning concepts and their application to reasoning and problem\-solving
* Experience in a ML or data scientist role with a large technology company
* Experience working on multi\-team, cross\-disciplinary projects
* Master's degree or above in computer science, machine learning, engineering, or related fields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38">
      <c r="A138" t="inlineStr">
        <is>
          <t>in-79ecee834627e235</t>
        </is>
      </c>
      <c r="B138" t="inlineStr">
        <is>
          <t>Data Scientist 3</t>
        </is>
      </c>
      <c r="C138" t="inlineStr">
        <is>
          <t>WebstaurantStore</t>
        </is>
      </c>
      <c r="D138" t="inlineStr">
        <is>
          <t>indeed</t>
        </is>
      </c>
      <c r="E138" t="inlineStr"/>
      <c r="F138" t="inlineStr"/>
      <c r="G138" t="inlineStr">
        <is>
          <t>Lititz, PA, US</t>
        </is>
      </c>
      <c r="H138" s="1" t="n">
        <v>46068</v>
      </c>
      <c r="I138" t="inlineStr">
        <is>
          <t>**Job Summary**
---------------
Webstaurant Store, the world’s largest online restaurant supply company, is looking for a full\-time Data Scientist to join the Data Science team. The Data Scientists are responsible for supplying statistical rigor to the organization’s analytics projects, aimed at discovering actionable insights and opportunities for growth and optimization.
This role can be remote in some US states (See below for remote work requirements) or based in one of our offices (Lititz, PA or Tampa, FL).
**Responsibilities**
--------------------
Responsibilities include, but are not limited to:
* Advising on analysis and modeling techniques, selecting the best fit for structured \&amp; unstructured, complex data, and developing custom analytics models to generate insights that drive value for our customers and unlock competitive advantage for our organization.
* Collaborating with our analytics engineers to gather the right information from various sources so that you can implement advanced statistical methodologies and design interventions to optimize our business performance.
* Conducting exploratory analysis including hypothesis testing, statistical inference, and statistical analysis (predictive and/or prescriptive).
* Partnering with business and technical stakeholders to translate challenging retail business problems into state\-of\-the\-art data science solutions.
* Developing processes and tools that monitor, analyze and continuously improve model performance and data accuracy.
* Work with other data scientists to design and implement experiments and glean actionable insights from experimental analyses.
* Defend and explain the validity of predictive/ML models to those without a background in data science or statistics.
* Actively research new tools and technologies, staying on top of analytics news and best practices.
**Physical Requirements**
-------------------------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 Minimum 2 years of work experience in Data Science, or a PhD in math, statistics, economics, or a modeling\-related field.
* Advanced Python and SQL skills.
* You have a proven ability with statistical methods and advanced modelling techniques; extra points if you have experience with one or more of the following: ecommerce search, recommendation engines, dynamic pricing, or user matching/data cleanrooms.
**Education**
-------------
This role does not require a degree. We value relevant skills and experience and alignment with our core values above all else.
**Desired Traits \&amp; Skills**
----------------------------
The ideal candidate will possess the following qualities:
* You Communicate Effectively: Ability to explain ideas simply and confidently to team members both written and verbally.
* You have an Entrepreneurial Spirit: Takes it upon themselves to find ways to add value to the team and business. They are self\-motivated and creative in their quest to find actionable insights and new solutions. They can often be found saying “What if we tried this?” or “Maybe this is a better way to do it?” They have a knack for overcoming obstacles.
* You Desire to Grow: Constantly seek to improve themselves and expand their professional knowledge and skill set.
* You’re an inquisitive, out\-of\-the box thinker who’s continually on the lookout for opportunities to improve and innovate data science solutions.
* You have consistently high standards; your passion for quality is inherent in everything that you do.
* Familiarity with a variety of supervised/unsupervised/reinforcement learning methods.
* Demonstrable portfolio (git repos, kaggle competitions, etc) of machine learning projects.
* You have proven ability as a full stack data scientist who develops, experiments, optimizes, and scales models for the production environment.
* You connect the how and why, using your knowledge of data science theories and methodologies to derive the best approach that is fit\-for\-purpose.
**Company Overview**
--------------------
The foodservice professional’s premier source for restaurant equipment, supplies, and knowledge online. Our purpose is to empower and equip people to run their businesses more profitably and efficiently.
**Benefits**
------------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 **Available at HQ Locations Only**
* On\-Site Fitness Centers
* Dog\-friendly Offices</t>
        </is>
      </c>
    </row>
    <row r="139">
      <c r="A139" t="inlineStr">
        <is>
          <t>in-0688533bf2d9c208</t>
        </is>
      </c>
      <c r="B139" t="inlineStr">
        <is>
          <t>Data Scientist, AWS Infrastructure Services Science</t>
        </is>
      </c>
      <c r="C139" t="inlineStr">
        <is>
          <t>Amazon.com</t>
        </is>
      </c>
      <c r="D139" t="inlineStr">
        <is>
          <t>indeed</t>
        </is>
      </c>
      <c r="E139" t="inlineStr"/>
      <c r="F139" t="inlineStr"/>
      <c r="G139" t="inlineStr">
        <is>
          <t>Herndon, VA, US</t>
        </is>
      </c>
      <c r="H139" s="1" t="n">
        <v>46065</v>
      </c>
      <c r="I13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40">
      <c r="A140" t="inlineStr">
        <is>
          <t>in-4f05384cea28dd7f</t>
        </is>
      </c>
      <c r="B140" t="inlineStr">
        <is>
          <t>Data Scientist, AWS Infrastructure Services Science</t>
        </is>
      </c>
      <c r="C140" t="inlineStr">
        <is>
          <t>Amazon.com</t>
        </is>
      </c>
      <c r="D140" t="inlineStr">
        <is>
          <t>indeed</t>
        </is>
      </c>
      <c r="E140" t="inlineStr"/>
      <c r="F140" t="inlineStr"/>
      <c r="G140" t="inlineStr">
        <is>
          <t>Seattle, WA, US</t>
        </is>
      </c>
      <c r="H140" s="1" t="n">
        <v>46065</v>
      </c>
      <c r="I14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41">
      <c r="A141" t="inlineStr">
        <is>
          <t>in-0fd0f2858780ee6f</t>
        </is>
      </c>
      <c r="B141" t="inlineStr">
        <is>
          <t>Machine Learning &amp; Data Scientist, OS Power &amp; Performance</t>
        </is>
      </c>
      <c r="C141" t="inlineStr">
        <is>
          <t>Apple</t>
        </is>
      </c>
      <c r="D141" t="inlineStr">
        <is>
          <t>indeed</t>
        </is>
      </c>
      <c r="E141" t="inlineStr"/>
      <c r="F141" t="inlineStr"/>
      <c r="G141" t="inlineStr">
        <is>
          <t>San Diego, CA, US</t>
        </is>
      </c>
      <c r="H141" s="1" t="n">
        <v>46068</v>
      </c>
      <c r="I141" t="inlineStr">
        <is>
          <t>Great performance is critical to Apple's product experience. We are seeking a Machine Learning \&amp; Data Scientist to help with quantitative analysis of high dimensional data to draw insights that would impact hundreds of millions of users. If the idea of developing data products to improve Apple’s software \&amp; hardware performance excites you, we encourage you to apply!  
**Description**  
We're looking for a proactive \&amp; impact\-driven engineer with excellent machine learning, analytical, problem solving and communication skills. In this role, you will analyze high dimensional data to derive meaningful insights and be responsible for producing metrics, models, simulations, and tools for analysis \&amp; communication of insights from large datasets. To be successful, you must have a strong foundation in statistical analysis and the ability to apply it to solving business \&amp; product\-development problems, as well as a strong software engineering background with the ability to write production level code. As a member of this team, you will have the opportunity to provide meaningful insights to teams and influence decisions across Apple on a broad range of products. ","responsibilities":"  
Analyze high dimensional data to derive meaningful insights.  
Produce metrics, models, simulations, and tools for analysis \&amp; communication of insights from large datasets.  
Apply statistical analysis to solving business \&amp; product\-development problems.  
Write production level code.  
Provide meaningful insights to teams and influence decisions across Apple on a broad range of products.  
**Preferred Qualifications**  
M.S. or Ph.D. in Computer Science, Electrical Engineering, Applied Mathematics, Statistics, or a similar quantitative field, with strong statistical skills and intuition  
Proficiency in distributed compute \&amp; storage technologies such as HDFS, S3, Iceberg, Spark, and Trino  
Proficiency with designing ETL flows and automation/scheduling (e.g. Kubernetes and Airflow)  
Working knowledge of Operating Systems  
Experience driving cross\-functional projects with diverse sets of stakeholders  
Skilled at connecting data insights to the company's overall strategy and objectives.  
**Minimum Qualifications**  
Strong Quantitative Foundation: Education in Computer Science, Electrical Engineering, or a related quantitative field. Strong mathematical foundations, software engineering, and broad knowledge of data analysis and practical machine learning are expected.  
Data Engineering and Analytics: Skilled at scalably transforming raw data into actionable insights through practical problem formulation followed by building of ETL processes (e.g. Python \&amp; Spark) and data visualizations (e.g. Tableau)  
Business Acumen and Problem\-Solving: Ability to understand the broader business context, solve complex problems, and communicate findings effectively to stakeholders.  
Adaptability and Collaboration: Comfortable with ambiguity, eager to learn, and capable of working effectively in a collaborative environment. Strong interpersonal skills and the ability to build relationships with diverse stakeholders are essential.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42">
      <c r="A142" t="inlineStr">
        <is>
          <t>in-51ca65b9d22dc92c</t>
        </is>
      </c>
      <c r="B142" t="inlineStr">
        <is>
          <t>AIML - Data Scientist, Evaluation</t>
        </is>
      </c>
      <c r="C142" t="inlineStr">
        <is>
          <t>Apple</t>
        </is>
      </c>
      <c r="D142" t="inlineStr">
        <is>
          <t>indeed</t>
        </is>
      </c>
      <c r="E142" t="inlineStr"/>
      <c r="F142" t="inlineStr"/>
      <c r="G142" t="inlineStr">
        <is>
          <t>Cupertino, CA, US</t>
        </is>
      </c>
      <c r="H142" s="1" t="n">
        <v>46068</v>
      </c>
      <c r="I142" t="inlineStr">
        <is>
          <t>Do you get excited by driving product impact via measurement and evaluation, for products and services used by hundreds of millions of people globally?  
Within the evaluation organization, the mission of Data Science and Insights team is to guide product development, decisions and directions through principled evaluation and rigorous use of data.  
You will partner with various engineering teams to improve search quality and guide feature development with data, to deliver amazing search experiences across iPhone, iPad, HomePod, Mac, Watch, tv, across dozens of languages.  
**Description**  
Research and develop evaluation methods to improve the quality of Siri’s user facing products. Work with evaluation/experimentation engineering teams to get your methodological developments translated into technologies that Siri engineering will use every day.  
Work with large, complex data sets.  
Solve difficult, non\-routine analysis problems, applying advanced analytical methods as needed. Conduct analysis that includes data gathering and requirements specification, processing, analysis, ongoing work, and presentations.  
Build and prototype analysis pipelines iteratively to provide insights at scale.  
Develop comprehensive knowledge of Siri Search data structures and metrics, advocating for changes where needed for product development.  
Partner closely with Siri search engineering teams on core machine learning algorithms and systems that are part of Siri’s ability to understand and respond to requests.  
You should be passionate about building outstanding products. This position involves a wide variety of skills and innovation.  
**Preferred Qualifications**  
Hands\-on experience with online AB testing platform. Experience designing, analyzing and interpreting experiments.  
Hands\-on experience with on\-device logging and metrics development.  
Experience with large language models, leveraging LLM for evaluation and product improvement.  
Ph.D. in machine learning, computer science, statistics, operations research or related areas.  
5 years of relevant work experience.  
**Minimum Qualifications**  
Experience in data science, machine learning, and analytics, including statistical data analysis and A/B testing.  
Experience articulating and translating business questions and using statistical techniques to arrive at an answer using available data.  
Strong programming skills, including data\-querying skills (SQL and/or Spark, etc.) and experience with a scripting language for data processing and development (e.g., Python, R, or Scala).  
5 years of relevant work experience.  
B.S. in Machine Learning, Computer Science, Statistics, Operations Research or related areas.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43">
      <c r="A143" t="inlineStr">
        <is>
          <t>in-6b9076590ebbb1c3</t>
        </is>
      </c>
      <c r="B143" t="inlineStr">
        <is>
          <t>AIML - Data Scientist, Evaluation</t>
        </is>
      </c>
      <c r="C143" t="inlineStr">
        <is>
          <t>Apple</t>
        </is>
      </c>
      <c r="D143" t="inlineStr">
        <is>
          <t>indeed</t>
        </is>
      </c>
      <c r="E143" t="inlineStr"/>
      <c r="F143" t="inlineStr"/>
      <c r="G143" t="inlineStr">
        <is>
          <t>Cupertino, CA, US</t>
        </is>
      </c>
      <c r="H143" s="1" t="n">
        <v>46068</v>
      </c>
      <c r="I143" t="inlineStr">
        <is>
          <t>Do you get excited by driving product impact via measurement and evaluation, for products and services used by hundreds of millions of people globally?  
Within the evaluation organization, the mission of Data Science and Insights team is to guide product development, decisions and directions through principled evaluation and rigorous use of data.  
You will partner with various engineering teams to improve search quality and guide feature development with data, to deliver amazing search experiences across iPhone, iPad, HomePod, Mac, Watch, tv, across dozens of languages.  
**Description**  
Research and develop evaluation methods to improve the quality of Siri’s user facing products. Work with evaluation/experimentation engineering teams to get your methodological developments translated into technologies that Siri engineering will use every day.  
Work with large, complex data sets.  
Solve difficult, non\-routine analysis problems, applying advanced analytical methods as needed. Conduct analysis that includes data gathering and requirements specification, processing, analysis, ongoing work, and presentations.  
Build and prototype analysis pipelines iteratively to provide insights at scale.  
Develop comprehensive knowledge of Siri Search data structures and metrics, advocating for changes where needed for product development.  
Partner closely with Siri search engineering teams on core machine learning algorithms and systems that are part of Siri’s ability to understand and respond to requests.  
You should be passionate about building outstanding products. This position involves a wide variety of skills and innovation.  
**Preferred Qualifications**  
Hands\-on experience with online AB testing platform. Experience designing, analyzing and interpreting experiments.  
Hands\-on experience with on\-device logging and metrics development.  
Experience with large language models, leveraging LLM for evaluation and product improvement.  
Ph.D. in machine learning, computer science, statistics, operations research or related areas.  
5 years of relevant work experience.  
**Minimum Qualifications**  
Experience in data science, machine learning, and analytics, including statistical data analysis and A/B testing.  
Experience articulating and translating business questions and using statistical techniques to arrive at an answer using available data.  
Strong programming skills, including data\-querying skills (SQL and/or Spark, etc.) and experience with a scripting language for data processing and development (e.g., Python, R, or Scala).  
5 years of relevant work experience.  
B.S. in Machine Learning, Computer Science, Statistics, Operations Research or related areas.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44">
      <c r="A144" t="inlineStr">
        <is>
          <t>in-5e6a923c7a3d43e6</t>
        </is>
      </c>
      <c r="B144" t="inlineStr">
        <is>
          <t>Applied Scientist, Safety ML</t>
        </is>
      </c>
      <c r="C144" t="inlineStr">
        <is>
          <t>Amazon.com</t>
        </is>
      </c>
      <c r="D144" t="inlineStr">
        <is>
          <t>indeed</t>
        </is>
      </c>
      <c r="E144" t="inlineStr"/>
      <c r="F144" t="inlineStr"/>
      <c r="G144" t="inlineStr">
        <is>
          <t>San Francisco, CA, US</t>
        </is>
      </c>
      <c r="H144" s="1" t="n">
        <v>46037</v>
      </c>
      <c r="I1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45">
      <c r="A145" t="inlineStr">
        <is>
          <t>in-4d48a9625e627b9b</t>
        </is>
      </c>
      <c r="B145" t="inlineStr">
        <is>
          <t>Applied Scientist, Safety ML</t>
        </is>
      </c>
      <c r="C145" t="inlineStr">
        <is>
          <t>Amazon.com</t>
        </is>
      </c>
      <c r="D145" t="inlineStr">
        <is>
          <t>indeed</t>
        </is>
      </c>
      <c r="E145" t="inlineStr"/>
      <c r="F145" t="inlineStr"/>
      <c r="G145" t="inlineStr">
        <is>
          <t>Seattle, WA, US</t>
        </is>
      </c>
      <c r="H145" s="1" t="n">
        <v>46037</v>
      </c>
      <c r="I1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46">
      <c r="A146" t="inlineStr">
        <is>
          <t>in-b0072cdd230ceafd</t>
        </is>
      </c>
      <c r="B146" t="inlineStr">
        <is>
          <t>Applied Scientist, LLM Code Agents, Kiro Science</t>
        </is>
      </c>
      <c r="C146" t="inlineStr">
        <is>
          <t>Amazon.com</t>
        </is>
      </c>
      <c r="D146" t="inlineStr">
        <is>
          <t>indeed</t>
        </is>
      </c>
      <c r="E146" t="inlineStr"/>
      <c r="F146" t="inlineStr"/>
      <c r="G146" t="inlineStr">
        <is>
          <t>Santa Clara, CA, US</t>
        </is>
      </c>
      <c r="H146" s="1" t="n">
        <v>46035</v>
      </c>
      <c r="I146"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47">
      <c r="A147" t="inlineStr">
        <is>
          <t>in-9e7efb6c4a9248fb</t>
        </is>
      </c>
      <c r="B147" t="inlineStr">
        <is>
          <t>Applied Scientist, LLM Code Agents, Kiro Science</t>
        </is>
      </c>
      <c r="C147" t="inlineStr">
        <is>
          <t>Amazon.com</t>
        </is>
      </c>
      <c r="D147" t="inlineStr">
        <is>
          <t>indeed</t>
        </is>
      </c>
      <c r="E147" t="inlineStr"/>
      <c r="F147" t="inlineStr"/>
      <c r="G147" t="inlineStr">
        <is>
          <t>Seattle, WA, US</t>
        </is>
      </c>
      <c r="H147" s="1" t="n">
        <v>46035</v>
      </c>
      <c r="I147"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48">
      <c r="A148" t="inlineStr">
        <is>
          <t>in-2528631af7286577</t>
        </is>
      </c>
      <c r="B148" t="inlineStr">
        <is>
          <t>Senior Data Scientist, Amazon Stores Finance Science, Amazon Stores Finance Science</t>
        </is>
      </c>
      <c r="C148" t="inlineStr">
        <is>
          <t>Amazon.com</t>
        </is>
      </c>
      <c r="D148" t="inlineStr">
        <is>
          <t>indeed</t>
        </is>
      </c>
      <c r="E148" t="inlineStr"/>
      <c r="F148" t="inlineStr"/>
      <c r="G148" t="inlineStr">
        <is>
          <t>Seattle, WA, US</t>
        </is>
      </c>
      <c r="H148" s="1" t="n">
        <v>46034</v>
      </c>
      <c r="I148"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149">
      <c r="A149" t="inlineStr">
        <is>
          <t>in-3c02766cfe42a507</t>
        </is>
      </c>
      <c r="B149" t="inlineStr">
        <is>
          <t>Senior Data Scientist, Amazon Stores Finance Science, Amazon Stores Finance Science</t>
        </is>
      </c>
      <c r="C149" t="inlineStr">
        <is>
          <t>Amazon.com</t>
        </is>
      </c>
      <c r="D149" t="inlineStr">
        <is>
          <t>indeed</t>
        </is>
      </c>
      <c r="E149" t="inlineStr"/>
      <c r="F149" t="inlineStr"/>
      <c r="G149" t="inlineStr">
        <is>
          <t>Sunnyvale, CA, US</t>
        </is>
      </c>
      <c r="H149" s="1" t="n">
        <v>46034</v>
      </c>
      <c r="I149" t="inlineStr">
        <is>
          <t>**DESCRIPTION**
---------------
WW Amazon Stores Finance Science (ASFS) works to leverage science and economics to drive improved financial results, foster data backed decisions, and embed science within Finance. ASFS is focused on developing products that empower controllership, improve business decisions and financial planning by understanding financial drivers, and innovate science capabilities for efficiency and scale.  
We are looking for a data scientist to lead high visibility initiatives for forecasting Amazon Stores' financials. You will develop new science\-based forecasting methodologies and build scalable models to improve financial decision making and planning for senior leadership up to VP and SVP level. You will build new ML and statistical models from the ground up that aim to transform financial planning for Amazon Stores.  
We prize creative problem solvers with the ability to draw on an expansive methodological toolkit to transform financial decision\-making with science. The ideal candidate combines data\-science acumen with strong business judgment. You have versatile modeling skills and are comfortable owning and extracting insights from data. You are excited to learn from and alongside seasoned scientists, engineers, and business leaders. You are an excellent communicator and effectively translate technical findings into business action.  
Key job responsibilities  
Demonstrating thorough technical knowledge, effective exploratory data analysis, and model building using industry standard ML models  
Working with technical and non\-technical stakeholders across every step of science project life cycle  
Collaborating with finance, product, data engineering, and software engineering teams to create production implementations for large\-scale ML models  
Innovating by adapting new modeling techniques and procedures  
Presenting research results to our internal research community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in a quantitative field such as statistics, mathematics, data science, business analytics, economics, finance, engineering, or computer science
* Experience managing data pipelines
**PREFERRED QUALIFICATIONS**
----------------------------
* Experience as a leader and mentor on a data science team
* Knowledge of AWS tech stack (e.g., AWS Redshift, S3, EC2, Glue)
* Master's degree
* Experience in forecasting analyses
* Experience working with Data \&amp; AI related technologies, including, but not limited to, AI/ML, GenAI, Analytics, Database, and/or Storage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\- 183,000\.00 \- 247,600\.00 USD annually  
USA, WA, Bellevue \- 159,200\.00 \- 215,300\.00 USD annually  
USA, WA, Seattle \- 159,200\.00 \- 215,300\.00 USD annually</t>
        </is>
      </c>
    </row>
    <row r="150">
      <c r="A150" t="inlineStr">
        <is>
          <t>in-496bedcd6ffaa4a6</t>
        </is>
      </c>
      <c r="B150" t="inlineStr">
        <is>
          <t>Applied Scientist II, Prime Video Personalization and Discovery Science</t>
        </is>
      </c>
      <c r="C150" t="inlineStr">
        <is>
          <t>Amazon.com</t>
        </is>
      </c>
      <c r="D150" t="inlineStr">
        <is>
          <t>indeed</t>
        </is>
      </c>
      <c r="E150" t="inlineStr"/>
      <c r="F150" t="inlineStr"/>
      <c r="G150" t="inlineStr">
        <is>
          <t>Seattle, WA, US</t>
        </is>
      </c>
      <c r="H150" s="1" t="n">
        <v>46034</v>
      </c>
      <c r="I1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1">
      <c r="A151" t="inlineStr">
        <is>
          <t>in-ed6513c03bb1270d</t>
        </is>
      </c>
      <c r="B151" t="inlineStr">
        <is>
          <t>Applied Scientist II, Prime Video Personalization and Discovery Science</t>
        </is>
      </c>
      <c r="C151" t="inlineStr">
        <is>
          <t>Amazon.com</t>
        </is>
      </c>
      <c r="D151" t="inlineStr">
        <is>
          <t>indeed</t>
        </is>
      </c>
      <c r="E151" t="inlineStr"/>
      <c r="F151" t="inlineStr"/>
      <c r="G151" t="inlineStr">
        <is>
          <t>Sunnyvale, CA, US</t>
        </is>
      </c>
      <c r="H151" s="1" t="n">
        <v>46034</v>
      </c>
      <c r="I1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2">
      <c r="A152" t="inlineStr">
        <is>
          <t>in-c2d10a7606e4a018</t>
        </is>
      </c>
      <c r="B152" t="inlineStr">
        <is>
          <t>Sr Applied Scientist, AWS Proactive Security</t>
        </is>
      </c>
      <c r="C152" t="inlineStr">
        <is>
          <t>Amazon.com</t>
        </is>
      </c>
      <c r="D152" t="inlineStr">
        <is>
          <t>indeed</t>
        </is>
      </c>
      <c r="E152" t="inlineStr"/>
      <c r="F152" t="inlineStr"/>
      <c r="G152" t="inlineStr">
        <is>
          <t>Herndon, VA, US</t>
        </is>
      </c>
      <c r="H152" s="1" t="n">
        <v>46030</v>
      </c>
      <c r="I152"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53">
      <c r="A153" t="inlineStr">
        <is>
          <t>in-e06a27bea8a5d939</t>
        </is>
      </c>
      <c r="B153" t="inlineStr">
        <is>
          <t>Sr Applied Scientist, AWS Proactive Security</t>
        </is>
      </c>
      <c r="C153" t="inlineStr">
        <is>
          <t>Amazon.com</t>
        </is>
      </c>
      <c r="D153" t="inlineStr">
        <is>
          <t>indeed</t>
        </is>
      </c>
      <c r="E153" t="inlineStr"/>
      <c r="F153" t="inlineStr"/>
      <c r="G153" t="inlineStr">
        <is>
          <t>Sunnyvale, CA, US</t>
        </is>
      </c>
      <c r="H153" s="1" t="n">
        <v>46030</v>
      </c>
      <c r="I153"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54">
      <c r="A154" t="inlineStr">
        <is>
          <t>in-c23f7b8a1a8b9bd9</t>
        </is>
      </c>
      <c r="B154" t="inlineStr">
        <is>
          <t>Sr Applied Scientist, AWS Proactive Security</t>
        </is>
      </c>
      <c r="C154" t="inlineStr">
        <is>
          <t>Amazon.com</t>
        </is>
      </c>
      <c r="D154" t="inlineStr">
        <is>
          <t>indeed</t>
        </is>
      </c>
      <c r="E154" t="inlineStr"/>
      <c r="F154" t="inlineStr"/>
      <c r="G154" t="inlineStr">
        <is>
          <t>Arlington, VA, US</t>
        </is>
      </c>
      <c r="H154" s="1" t="n">
        <v>46030</v>
      </c>
      <c r="I154"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55">
      <c r="A155" t="inlineStr">
        <is>
          <t>in-3eaebc5a9b95924c</t>
        </is>
      </c>
      <c r="B155" t="inlineStr">
        <is>
          <t>Applied Scientist, Last Mile Delivery Automation</t>
        </is>
      </c>
      <c r="C155" t="inlineStr">
        <is>
          <t>Amazon.com</t>
        </is>
      </c>
      <c r="D155" t="inlineStr">
        <is>
          <t>indeed</t>
        </is>
      </c>
      <c r="E155" t="inlineStr"/>
      <c r="F155" t="inlineStr"/>
      <c r="G155" t="inlineStr">
        <is>
          <t>Bellevue, WA, US</t>
        </is>
      </c>
      <c r="H155" s="1" t="n">
        <v>46026</v>
      </c>
      <c r="I155"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in-2f11e4ad66c55c3b</t>
        </is>
      </c>
      <c r="B156" t="inlineStr">
        <is>
          <t>Applied Scientist, Last Mile Delivery Automation</t>
        </is>
      </c>
      <c r="C156" t="inlineStr">
        <is>
          <t>Amazon.com</t>
        </is>
      </c>
      <c r="D156" t="inlineStr">
        <is>
          <t>indeed</t>
        </is>
      </c>
      <c r="E156" t="inlineStr"/>
      <c r="F156" t="inlineStr"/>
      <c r="G156" t="inlineStr">
        <is>
          <t>Santa Clara, CA, US</t>
        </is>
      </c>
      <c r="H156" s="1" t="n">
        <v>46026</v>
      </c>
      <c r="I156"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in-c0995c9ec41834a1</t>
        </is>
      </c>
      <c r="B157" t="inlineStr">
        <is>
          <t>Applied Scientist II, Prime Video - Personalization and Discovery Science</t>
        </is>
      </c>
      <c r="C157" t="inlineStr">
        <is>
          <t>Amazon.com</t>
        </is>
      </c>
      <c r="D157" t="inlineStr">
        <is>
          <t>indeed</t>
        </is>
      </c>
      <c r="E157" t="inlineStr"/>
      <c r="F157" t="inlineStr"/>
      <c r="G157" t="inlineStr">
        <is>
          <t>Seattle, WA, US</t>
        </is>
      </c>
      <c r="H157" s="1" t="n">
        <v>46012</v>
      </c>
      <c r="I1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8">
      <c r="A158" t="inlineStr">
        <is>
          <t>in-f08b7874e22e8f1b</t>
        </is>
      </c>
      <c r="B158" t="inlineStr">
        <is>
          <t>Applied Scientist II, Prime Video - Personalization and Discovery Science</t>
        </is>
      </c>
      <c r="C158" t="inlineStr">
        <is>
          <t>Amazon.com</t>
        </is>
      </c>
      <c r="D158" t="inlineStr">
        <is>
          <t>indeed</t>
        </is>
      </c>
      <c r="E158" t="inlineStr"/>
      <c r="F158" t="inlineStr"/>
      <c r="G158" t="inlineStr">
        <is>
          <t>Sunnyvale, CA, US</t>
        </is>
      </c>
      <c r="H158" s="1" t="n">
        <v>46012</v>
      </c>
      <c r="I1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9">
      <c r="A159" t="inlineStr">
        <is>
          <t>in-54fd2f1b0231c225</t>
        </is>
      </c>
      <c r="B159" t="inlineStr">
        <is>
          <t>Principal Applied Scientist, Kiro Science</t>
        </is>
      </c>
      <c r="C159" t="inlineStr">
        <is>
          <t>Amazon Web Services</t>
        </is>
      </c>
      <c r="D159" t="inlineStr">
        <is>
          <t>indeed</t>
        </is>
      </c>
      <c r="E159" t="inlineStr"/>
      <c r="F159" t="inlineStr"/>
      <c r="G159" t="inlineStr">
        <is>
          <t>New York, NY, US</t>
        </is>
      </c>
      <c r="H159" s="1" t="n">
        <v>45999</v>
      </c>
      <c r="I159"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60">
      <c r="A160" t="inlineStr">
        <is>
          <t>in-ac91f7b432d9b5da</t>
        </is>
      </c>
      <c r="B160" t="inlineStr">
        <is>
          <t>Principal Applied Scientist, Kiro Science</t>
        </is>
      </c>
      <c r="C160" t="inlineStr">
        <is>
          <t>Amazon Web Services</t>
        </is>
      </c>
      <c r="D160" t="inlineStr">
        <is>
          <t>indeed</t>
        </is>
      </c>
      <c r="E160" t="inlineStr"/>
      <c r="F160" t="inlineStr"/>
      <c r="G160" t="inlineStr">
        <is>
          <t>Santa Clara, CA, US</t>
        </is>
      </c>
      <c r="H160" s="1" t="n">
        <v>45999</v>
      </c>
      <c r="I160"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61">
      <c r="A161" t="inlineStr">
        <is>
          <t>in-ac62de359e4dfde2</t>
        </is>
      </c>
      <c r="B161" t="inlineStr">
        <is>
          <t>Sr. Applied Scientist, Amazon Ads</t>
        </is>
      </c>
      <c r="C161" t="inlineStr">
        <is>
          <t>Amazon.com</t>
        </is>
      </c>
      <c r="D161" t="inlineStr">
        <is>
          <t>indeed</t>
        </is>
      </c>
      <c r="E161" t="inlineStr"/>
      <c r="F161" t="inlineStr"/>
      <c r="G161" t="inlineStr">
        <is>
          <t>Tukwila, WA, US</t>
        </is>
      </c>
      <c r="H161" s="1" t="n">
        <v>45998</v>
      </c>
      <c r="I16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2">
      <c r="A162" t="inlineStr">
        <is>
          <t>in-ffab9c5377438fe2</t>
        </is>
      </c>
      <c r="B162" t="inlineStr">
        <is>
          <t>Sr. Applied Scientist, Amazon Ads</t>
        </is>
      </c>
      <c r="C162" t="inlineStr">
        <is>
          <t>Amazon.com</t>
        </is>
      </c>
      <c r="D162" t="inlineStr">
        <is>
          <t>indeed</t>
        </is>
      </c>
      <c r="E162" t="inlineStr"/>
      <c r="F162" t="inlineStr"/>
      <c r="G162" t="inlineStr">
        <is>
          <t>Boulder, CO, US</t>
        </is>
      </c>
      <c r="H162" s="1" t="n">
        <v>45998</v>
      </c>
      <c r="I16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3">
      <c r="A163" t="inlineStr">
        <is>
          <t>in-b8ea4d70cd030e21</t>
        </is>
      </c>
      <c r="B163" t="inlineStr">
        <is>
          <t>Sr. Applied Scientist, Amazon Ads</t>
        </is>
      </c>
      <c r="C163" t="inlineStr">
        <is>
          <t>Amazon.com</t>
        </is>
      </c>
      <c r="D163" t="inlineStr">
        <is>
          <t>indeed</t>
        </is>
      </c>
      <c r="E163" t="inlineStr"/>
      <c r="F163" t="inlineStr"/>
      <c r="G163" t="inlineStr">
        <is>
          <t>Brooklyn, NY, US</t>
        </is>
      </c>
      <c r="H163" s="1" t="n">
        <v>45998</v>
      </c>
      <c r="I16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4">
      <c r="A164" t="inlineStr">
        <is>
          <t>in-0aae4bb32b054062</t>
        </is>
      </c>
      <c r="B164" t="inlineStr">
        <is>
          <t>Sr. Applied Scientist, Amazon Ads</t>
        </is>
      </c>
      <c r="C164" t="inlineStr">
        <is>
          <t>Amazon.com</t>
        </is>
      </c>
      <c r="D164" t="inlineStr">
        <is>
          <t>indeed</t>
        </is>
      </c>
      <c r="E164" t="inlineStr"/>
      <c r="F164" t="inlineStr"/>
      <c r="G164" t="inlineStr">
        <is>
          <t>Santa Monica, CA, US</t>
        </is>
      </c>
      <c r="H164" s="1" t="n">
        <v>45998</v>
      </c>
      <c r="I16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5">
      <c r="A165" t="inlineStr">
        <is>
          <t>in-f8390fbe5ab43925</t>
        </is>
      </c>
      <c r="B165" t="inlineStr">
        <is>
          <t>Sr. Applied Scientist, Amazon Ads</t>
        </is>
      </c>
      <c r="C165" t="inlineStr">
        <is>
          <t>Amazon.com</t>
        </is>
      </c>
      <c r="D165" t="inlineStr">
        <is>
          <t>indeed</t>
        </is>
      </c>
      <c r="E165" t="inlineStr"/>
      <c r="F165" t="inlineStr"/>
      <c r="G165" t="inlineStr">
        <is>
          <t>New York, NY, US</t>
        </is>
      </c>
      <c r="H165" s="1" t="n">
        <v>45998</v>
      </c>
      <c r="I16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6">
      <c r="A166" t="inlineStr">
        <is>
          <t>in-c8235b77077ef779</t>
        </is>
      </c>
      <c r="B166" t="inlineStr">
        <is>
          <t>Sr. Applied Scientist, Amazon Ads</t>
        </is>
      </c>
      <c r="C166" t="inlineStr">
        <is>
          <t>Amazon.com</t>
        </is>
      </c>
      <c r="D166" t="inlineStr">
        <is>
          <t>indeed</t>
        </is>
      </c>
      <c r="E166" t="inlineStr"/>
      <c r="F166" t="inlineStr"/>
      <c r="G166" t="inlineStr">
        <is>
          <t>Corvallis, OR, US</t>
        </is>
      </c>
      <c r="H166" s="1" t="n">
        <v>45998</v>
      </c>
      <c r="I16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7">
      <c r="A167" t="inlineStr">
        <is>
          <t>in-1aacd488aef64a1c</t>
        </is>
      </c>
      <c r="B167" t="inlineStr">
        <is>
          <t>Sr. Applied Scientist, Amazon Ads</t>
        </is>
      </c>
      <c r="C167" t="inlineStr">
        <is>
          <t>Amazon.com</t>
        </is>
      </c>
      <c r="D167" t="inlineStr">
        <is>
          <t>indeed</t>
        </is>
      </c>
      <c r="E167" t="inlineStr"/>
      <c r="F167" t="inlineStr"/>
      <c r="G167" t="inlineStr">
        <is>
          <t>Seattle, WA, US</t>
        </is>
      </c>
      <c r="H167" s="1" t="n">
        <v>45998</v>
      </c>
      <c r="I16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8">
      <c r="A168" t="inlineStr">
        <is>
          <t>in-42e92d551d73a5fb</t>
        </is>
      </c>
      <c r="B168" t="inlineStr">
        <is>
          <t>Sr. Applied Scientist, Amazon Ads</t>
        </is>
      </c>
      <c r="C168" t="inlineStr">
        <is>
          <t>Amazon.com</t>
        </is>
      </c>
      <c r="D168" t="inlineStr">
        <is>
          <t>indeed</t>
        </is>
      </c>
      <c r="E168" t="inlineStr"/>
      <c r="F168" t="inlineStr"/>
      <c r="G168" t="inlineStr">
        <is>
          <t>Boston, MA, US</t>
        </is>
      </c>
      <c r="H168" s="1" t="n">
        <v>45998</v>
      </c>
      <c r="I16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9">
      <c r="A169" t="inlineStr">
        <is>
          <t>in-ee68318b8335d024</t>
        </is>
      </c>
      <c r="B169" t="inlineStr">
        <is>
          <t>Sr. Applied Scientist, Amazon Ads</t>
        </is>
      </c>
      <c r="C169" t="inlineStr">
        <is>
          <t>Amazon.com</t>
        </is>
      </c>
      <c r="D169" t="inlineStr">
        <is>
          <t>indeed</t>
        </is>
      </c>
      <c r="E169" t="inlineStr"/>
      <c r="F169" t="inlineStr"/>
      <c r="G169" t="inlineStr">
        <is>
          <t>Palo Alto, CA, US</t>
        </is>
      </c>
      <c r="H169" s="1" t="n">
        <v>45998</v>
      </c>
      <c r="I16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0">
      <c r="A170" t="inlineStr">
        <is>
          <t>in-6f43e6dd7c88357f</t>
        </is>
      </c>
      <c r="B170" t="inlineStr">
        <is>
          <t>Sr. Applied Scientist, Amazon Ads</t>
        </is>
      </c>
      <c r="C170" t="inlineStr">
        <is>
          <t>Amazon.com</t>
        </is>
      </c>
      <c r="D170" t="inlineStr">
        <is>
          <t>indeed</t>
        </is>
      </c>
      <c r="E170" t="inlineStr"/>
      <c r="F170" t="inlineStr"/>
      <c r="G170" t="inlineStr">
        <is>
          <t>Sunnyvale, CA, US</t>
        </is>
      </c>
      <c r="H170" s="1" t="n">
        <v>45998</v>
      </c>
      <c r="I17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1">
      <c r="A171" t="inlineStr">
        <is>
          <t>in-91d7f4e554ca08bf</t>
        </is>
      </c>
      <c r="B171" t="inlineStr">
        <is>
          <t>Principal Applied Scientist, Sponsored Products and Brands</t>
        </is>
      </c>
      <c r="C171" t="inlineStr">
        <is>
          <t>Amazon.com</t>
        </is>
      </c>
      <c r="D171" t="inlineStr">
        <is>
          <t>indeed</t>
        </is>
      </c>
      <c r="E171" t="inlineStr"/>
      <c r="F171" t="inlineStr"/>
      <c r="G171" t="inlineStr">
        <is>
          <t>New York, NY, US</t>
        </is>
      </c>
      <c r="H171" s="1" t="n">
        <v>45979</v>
      </c>
      <c r="I17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in-81ea4f1270922193</t>
        </is>
      </c>
      <c r="B172" t="inlineStr">
        <is>
          <t>Principal Applied Scientist, Sponsored Products and Brands</t>
        </is>
      </c>
      <c r="C172" t="inlineStr">
        <is>
          <t>Amazon.com</t>
        </is>
      </c>
      <c r="D172" t="inlineStr">
        <is>
          <t>indeed</t>
        </is>
      </c>
      <c r="E172" t="inlineStr"/>
      <c r="F172" t="inlineStr"/>
      <c r="G172" t="inlineStr">
        <is>
          <t>Seattle, WA, US</t>
        </is>
      </c>
      <c r="H172" s="1" t="n">
        <v>45979</v>
      </c>
      <c r="I17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in-589f119bc4c772dc</t>
        </is>
      </c>
      <c r="B173" t="inlineStr">
        <is>
          <t>Applied Scientist, Personalization, DTx Science</t>
        </is>
      </c>
      <c r="C173" t="inlineStr">
        <is>
          <t>Amazon.com</t>
        </is>
      </c>
      <c r="D173" t="inlineStr">
        <is>
          <t>indeed</t>
        </is>
      </c>
      <c r="E173" t="inlineStr"/>
      <c r="F173" t="inlineStr"/>
      <c r="G173" t="inlineStr">
        <is>
          <t>Seattle, WA, US</t>
        </is>
      </c>
      <c r="H173" s="1" t="n">
        <v>45979</v>
      </c>
      <c r="I17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74">
      <c r="A174" t="inlineStr">
        <is>
          <t>in-bf397ef8d1782500</t>
        </is>
      </c>
      <c r="B174" t="inlineStr">
        <is>
          <t>Applied Scientist, Personalization, DTx Science</t>
        </is>
      </c>
      <c r="C174" t="inlineStr">
        <is>
          <t>Amazon.com</t>
        </is>
      </c>
      <c r="D174" t="inlineStr">
        <is>
          <t>indeed</t>
        </is>
      </c>
      <c r="E174" t="inlineStr"/>
      <c r="F174" t="inlineStr"/>
      <c r="G174" t="inlineStr">
        <is>
          <t>New York, NY, US</t>
        </is>
      </c>
      <c r="H174" s="1" t="n">
        <v>45979</v>
      </c>
      <c r="I174"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75">
      <c r="A175" t="inlineStr">
        <is>
          <t>in-fd9aa425ad703eba</t>
        </is>
      </c>
      <c r="B175" t="inlineStr">
        <is>
          <t>Senior Applied Scientist, Sponsored Products and Brands</t>
        </is>
      </c>
      <c r="C175" t="inlineStr">
        <is>
          <t>Amazon.com</t>
        </is>
      </c>
      <c r="D175" t="inlineStr">
        <is>
          <t>indeed</t>
        </is>
      </c>
      <c r="E175" t="inlineStr"/>
      <c r="F175" t="inlineStr"/>
      <c r="G175" t="inlineStr">
        <is>
          <t>New York, NY, US</t>
        </is>
      </c>
      <c r="H175" s="1" t="n">
        <v>45979</v>
      </c>
      <c r="I17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76">
      <c r="A176" t="inlineStr">
        <is>
          <t>in-91b032cb3dce9ba7</t>
        </is>
      </c>
      <c r="B176" t="inlineStr">
        <is>
          <t>Senior Applied Scientist, Sponsored Products and Brands</t>
        </is>
      </c>
      <c r="C176" t="inlineStr">
        <is>
          <t>Amazon.com</t>
        </is>
      </c>
      <c r="D176" t="inlineStr">
        <is>
          <t>indeed</t>
        </is>
      </c>
      <c r="E176" t="inlineStr"/>
      <c r="F176" t="inlineStr"/>
      <c r="G176" t="inlineStr">
        <is>
          <t>Seattle, WA, US</t>
        </is>
      </c>
      <c r="H176" s="1" t="n">
        <v>45979</v>
      </c>
      <c r="I17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77">
      <c r="A177" t="inlineStr">
        <is>
          <t>in-002d74c231382431</t>
        </is>
      </c>
      <c r="B177" t="inlineStr">
        <is>
          <t>Applied Scientist II, Prime Video Personalization and Discovery Science</t>
        </is>
      </c>
      <c r="C177" t="inlineStr">
        <is>
          <t>Amazon.com</t>
        </is>
      </c>
      <c r="D177" t="inlineStr">
        <is>
          <t>indeed</t>
        </is>
      </c>
      <c r="E177" t="inlineStr"/>
      <c r="F177" t="inlineStr"/>
      <c r="G177" t="inlineStr">
        <is>
          <t>Seattle, WA, US</t>
        </is>
      </c>
      <c r="H177" s="1" t="n">
        <v>45978</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78">
      <c r="A178" t="inlineStr">
        <is>
          <t>in-eed41c1039034925</t>
        </is>
      </c>
      <c r="B178" t="inlineStr">
        <is>
          <t>Applied Scientist II, Prime Video Personalization and Discovery Science</t>
        </is>
      </c>
      <c r="C178" t="inlineStr">
        <is>
          <t>Amazon.com</t>
        </is>
      </c>
      <c r="D178" t="inlineStr">
        <is>
          <t>indeed</t>
        </is>
      </c>
      <c r="E178" t="inlineStr"/>
      <c r="F178" t="inlineStr"/>
      <c r="G178" t="inlineStr">
        <is>
          <t>New York, NY, US</t>
        </is>
      </c>
      <c r="H178" s="1" t="n">
        <v>45978</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79">
      <c r="A179" t="inlineStr">
        <is>
          <t>in-85a22a7d70f559f7</t>
        </is>
      </c>
      <c r="B179" t="inlineStr">
        <is>
          <t>Applied Scientist II, Prime Video Personalization and Discovery Science</t>
        </is>
      </c>
      <c r="C179" t="inlineStr">
        <is>
          <t>Amazon.com</t>
        </is>
      </c>
      <c r="D179" t="inlineStr">
        <is>
          <t>indeed</t>
        </is>
      </c>
      <c r="E179" t="inlineStr"/>
      <c r="F179" t="inlineStr"/>
      <c r="G179" t="inlineStr">
        <is>
          <t>Sunnyvale, CA, US</t>
        </is>
      </c>
      <c r="H179" s="1" t="n">
        <v>45978</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0">
      <c r="A180" t="inlineStr">
        <is>
          <t>in-f8132ba1882cb937</t>
        </is>
      </c>
      <c r="B180" t="inlineStr">
        <is>
          <t>Applied Scientist, AWS Agentic AI</t>
        </is>
      </c>
      <c r="C180" t="inlineStr">
        <is>
          <t>Amazon Web Services</t>
        </is>
      </c>
      <c r="D180" t="inlineStr">
        <is>
          <t>indeed</t>
        </is>
      </c>
      <c r="E180" t="inlineStr"/>
      <c r="F180" t="inlineStr"/>
      <c r="G180" t="inlineStr">
        <is>
          <t>New York, NY, US</t>
        </is>
      </c>
      <c r="H180" s="1" t="n">
        <v>45962</v>
      </c>
      <c r="I18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in-ef19f6cf81373b83</t>
        </is>
      </c>
      <c r="B181" t="inlineStr">
        <is>
          <t>Applied Scientist, AWS Agentic AI</t>
        </is>
      </c>
      <c r="C181" t="inlineStr">
        <is>
          <t>Amazon Web Services</t>
        </is>
      </c>
      <c r="D181" t="inlineStr">
        <is>
          <t>indeed</t>
        </is>
      </c>
      <c r="E181" t="inlineStr"/>
      <c r="F181" t="inlineStr"/>
      <c r="G181" t="inlineStr">
        <is>
          <t>Seattle, WA, US</t>
        </is>
      </c>
      <c r="H181" s="1" t="n">
        <v>45962</v>
      </c>
      <c r="I18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in-84b7df8c0e9a1e0a</t>
        </is>
      </c>
      <c r="B182" t="inlineStr">
        <is>
          <t>Applied Scientist, AWS Agentic AI</t>
        </is>
      </c>
      <c r="C182" t="inlineStr">
        <is>
          <t>Amazon Web Services</t>
        </is>
      </c>
      <c r="D182" t="inlineStr">
        <is>
          <t>indeed</t>
        </is>
      </c>
      <c r="E182" t="inlineStr"/>
      <c r="F182" t="inlineStr"/>
      <c r="G182" t="inlineStr">
        <is>
          <t>Santa Clara, CA, US</t>
        </is>
      </c>
      <c r="H182" s="1" t="n">
        <v>45962</v>
      </c>
      <c r="I18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in-51ca31e5e8644884</t>
        </is>
      </c>
      <c r="B183" t="inlineStr">
        <is>
          <t>Principal Applied Scientist, Advertiser Growth, Amazon Sponsored Products &amp; Brands</t>
        </is>
      </c>
      <c r="C183" t="inlineStr">
        <is>
          <t>Amazon.com</t>
        </is>
      </c>
      <c r="D183" t="inlineStr">
        <is>
          <t>indeed</t>
        </is>
      </c>
      <c r="E183" t="inlineStr"/>
      <c r="F183" t="inlineStr"/>
      <c r="G183" t="inlineStr">
        <is>
          <t>Palo Alto, CA, US</t>
        </is>
      </c>
      <c r="H183" s="1" t="n">
        <v>45942</v>
      </c>
      <c r="I18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in-42633977662d1d97</t>
        </is>
      </c>
      <c r="B184" t="inlineStr">
        <is>
          <t>Principal Applied Scientist, Advertiser Growth, Amazon Sponsored Products &amp; Brands</t>
        </is>
      </c>
      <c r="C184" t="inlineStr">
        <is>
          <t>Amazon.com</t>
        </is>
      </c>
      <c r="D184" t="inlineStr">
        <is>
          <t>indeed</t>
        </is>
      </c>
      <c r="E184" t="inlineStr"/>
      <c r="F184" t="inlineStr"/>
      <c r="G184" t="inlineStr">
        <is>
          <t>New York, NY, US</t>
        </is>
      </c>
      <c r="H184" s="1" t="n">
        <v>45942</v>
      </c>
      <c r="I18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in-331b868c7bbbe7b9</t>
        </is>
      </c>
      <c r="B185" t="inlineStr">
        <is>
          <t>Principal Applied Scientist, Advertiser Growth, Amazon Sponsored Products &amp; Brands</t>
        </is>
      </c>
      <c r="C185" t="inlineStr">
        <is>
          <t>Amazon.com</t>
        </is>
      </c>
      <c r="D185" t="inlineStr">
        <is>
          <t>indeed</t>
        </is>
      </c>
      <c r="E185" t="inlineStr"/>
      <c r="F185" t="inlineStr"/>
      <c r="G185" t="inlineStr">
        <is>
          <t>Seattle, WA, US</t>
        </is>
      </c>
      <c r="H185" s="1" t="n">
        <v>45942</v>
      </c>
      <c r="I18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in-39ddd8389ce47988</t>
        </is>
      </c>
      <c r="B186" t="inlineStr">
        <is>
          <t>Sr. Applied Scientist, SPB Advertiser Guidance</t>
        </is>
      </c>
      <c r="C186" t="inlineStr">
        <is>
          <t>Amazon.com</t>
        </is>
      </c>
      <c r="D186" t="inlineStr">
        <is>
          <t>indeed</t>
        </is>
      </c>
      <c r="E186" t="inlineStr"/>
      <c r="F186" t="inlineStr"/>
      <c r="G186" t="inlineStr">
        <is>
          <t>Palo Alto, CA, US</t>
        </is>
      </c>
      <c r="H186" s="1" t="n">
        <v>45939</v>
      </c>
      <c r="I18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in-5979d575e1b614bb</t>
        </is>
      </c>
      <c r="B187" t="inlineStr">
        <is>
          <t>Sr. Applied Scientist, SPB Advertiser Guidance</t>
        </is>
      </c>
      <c r="C187" t="inlineStr">
        <is>
          <t>Amazon.com</t>
        </is>
      </c>
      <c r="D187" t="inlineStr">
        <is>
          <t>indeed</t>
        </is>
      </c>
      <c r="E187" t="inlineStr"/>
      <c r="F187" t="inlineStr"/>
      <c r="G187" t="inlineStr">
        <is>
          <t>Seattle, WA, US</t>
        </is>
      </c>
      <c r="H187" s="1" t="n">
        <v>45939</v>
      </c>
      <c r="I18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in-7b46819e8d0910b3</t>
        </is>
      </c>
      <c r="B188" t="inlineStr">
        <is>
          <t>Applied Scientist</t>
        </is>
      </c>
      <c r="C188" t="inlineStr">
        <is>
          <t>Amazon.com</t>
        </is>
      </c>
      <c r="D188" t="inlineStr">
        <is>
          <t>indeed</t>
        </is>
      </c>
      <c r="E188" t="inlineStr"/>
      <c r="F188" t="inlineStr"/>
      <c r="G188" t="inlineStr">
        <is>
          <t>New York, NY, US</t>
        </is>
      </c>
      <c r="H188" s="1" t="n">
        <v>45939</v>
      </c>
      <c r="I18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in-f9f768aee107934f</t>
        </is>
      </c>
      <c r="B189" t="inlineStr">
        <is>
          <t>Sr. Applied Scientist, SPB Advertiser Guidance</t>
        </is>
      </c>
      <c r="C189" t="inlineStr">
        <is>
          <t>Amazon.com</t>
        </is>
      </c>
      <c r="D189" t="inlineStr">
        <is>
          <t>indeed</t>
        </is>
      </c>
      <c r="E189" t="inlineStr"/>
      <c r="F189" t="inlineStr"/>
      <c r="G189" t="inlineStr">
        <is>
          <t>New York, NY, US</t>
        </is>
      </c>
      <c r="H189" s="1" t="n">
        <v>45939</v>
      </c>
      <c r="I18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in-8ca2addfc20b8cea</t>
        </is>
      </c>
      <c r="B190" t="inlineStr">
        <is>
          <t>Applied Scientist</t>
        </is>
      </c>
      <c r="C190" t="inlineStr">
        <is>
          <t>Amazon.com</t>
        </is>
      </c>
      <c r="D190" t="inlineStr">
        <is>
          <t>indeed</t>
        </is>
      </c>
      <c r="E190" t="inlineStr"/>
      <c r="F190" t="inlineStr"/>
      <c r="G190" t="inlineStr">
        <is>
          <t>Seattle, WA, US</t>
        </is>
      </c>
      <c r="H190" s="1" t="n">
        <v>45939</v>
      </c>
      <c r="I19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in-b16c86857f01337a</t>
        </is>
      </c>
      <c r="B191" t="inlineStr">
        <is>
          <t>Applied Scientist</t>
        </is>
      </c>
      <c r="C191" t="inlineStr">
        <is>
          <t>Amazon.com</t>
        </is>
      </c>
      <c r="D191" t="inlineStr">
        <is>
          <t>indeed</t>
        </is>
      </c>
      <c r="E191" t="inlineStr"/>
      <c r="F191" t="inlineStr"/>
      <c r="G191" t="inlineStr">
        <is>
          <t>Palo Alto, CA, US</t>
        </is>
      </c>
      <c r="H191" s="1" t="n">
        <v>45939</v>
      </c>
      <c r="I19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in-70459170ccd34895</t>
        </is>
      </c>
      <c r="B192" t="inlineStr">
        <is>
          <t>Applied Scientist II, Prime Video - Personalization and Discovery Science, Personalization and Discovery Science</t>
        </is>
      </c>
      <c r="C192" t="inlineStr">
        <is>
          <t>Amazon.com</t>
        </is>
      </c>
      <c r="D192" t="inlineStr">
        <is>
          <t>indeed</t>
        </is>
      </c>
      <c r="E192" t="inlineStr"/>
      <c r="F192" t="inlineStr"/>
      <c r="G192" t="inlineStr">
        <is>
          <t>Seattle, WA, US</t>
        </is>
      </c>
      <c r="H192" s="1" t="n">
        <v>45930</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in-e9e8e1bd3fac1550</t>
        </is>
      </c>
      <c r="B193" t="inlineStr">
        <is>
          <t>Applied Scientist II, Prime Video - Personalization and Discovery Science, Personalization and Discovery Science</t>
        </is>
      </c>
      <c r="C193" t="inlineStr">
        <is>
          <t>Amazon.com</t>
        </is>
      </c>
      <c r="D193" t="inlineStr">
        <is>
          <t>indeed</t>
        </is>
      </c>
      <c r="E193" t="inlineStr"/>
      <c r="F193" t="inlineStr"/>
      <c r="G193" t="inlineStr">
        <is>
          <t>New York, NY, US</t>
        </is>
      </c>
      <c r="H193" s="1" t="n">
        <v>45930</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in-f3b3440b608700fd</t>
        </is>
      </c>
      <c r="B194" t="inlineStr">
        <is>
          <t>Applied Scientist II, Prime Video - Personalization and Discovery Science, Personalization and Discovery Science</t>
        </is>
      </c>
      <c r="C194" t="inlineStr">
        <is>
          <t>Amazon.com</t>
        </is>
      </c>
      <c r="D194" t="inlineStr">
        <is>
          <t>indeed</t>
        </is>
      </c>
      <c r="E194" t="inlineStr"/>
      <c r="F194" t="inlineStr"/>
      <c r="G194" t="inlineStr">
        <is>
          <t>Sunnyvale, CA, US</t>
        </is>
      </c>
      <c r="H194" s="1" t="n">
        <v>45930</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in-474b4df5fcd6cb26</t>
        </is>
      </c>
      <c r="B195" t="inlineStr">
        <is>
          <t>Applied Scientist, Workplace Health &amp; Safety</t>
        </is>
      </c>
      <c r="C195" t="inlineStr">
        <is>
          <t>Amazon.com</t>
        </is>
      </c>
      <c r="D195" t="inlineStr">
        <is>
          <t>indeed</t>
        </is>
      </c>
      <c r="E195" t="inlineStr"/>
      <c r="F195" t="inlineStr"/>
      <c r="G195" t="inlineStr">
        <is>
          <t>Bellevue, WA, US</t>
        </is>
      </c>
      <c r="H195" s="1" t="n">
        <v>45917</v>
      </c>
      <c r="I19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in-6379da292d72a380</t>
        </is>
      </c>
      <c r="B196" t="inlineStr">
        <is>
          <t>Applied Scientist, Workplace Health &amp; Safety</t>
        </is>
      </c>
      <c r="C196" t="inlineStr">
        <is>
          <t>Amazon.com</t>
        </is>
      </c>
      <c r="D196" t="inlineStr">
        <is>
          <t>indeed</t>
        </is>
      </c>
      <c r="E196" t="inlineStr"/>
      <c r="F196" t="inlineStr"/>
      <c r="G196" t="inlineStr">
        <is>
          <t>Nashville, TN, US</t>
        </is>
      </c>
      <c r="H196" s="1" t="n">
        <v>45917</v>
      </c>
      <c r="I19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in-399192e152964551</t>
        </is>
      </c>
      <c r="B197" t="inlineStr">
        <is>
          <t>Sr. Applied Scientist, Prime Video - Personalization and Discovery Science</t>
        </is>
      </c>
      <c r="C197" t="inlineStr">
        <is>
          <t>Amazon.com</t>
        </is>
      </c>
      <c r="D197" t="inlineStr">
        <is>
          <t>indeed</t>
        </is>
      </c>
      <c r="E197" t="inlineStr"/>
      <c r="F197" t="inlineStr"/>
      <c r="G197" t="inlineStr">
        <is>
          <t>Sunnyvale, CA, US</t>
        </is>
      </c>
      <c r="H197" s="1" t="n">
        <v>45896</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98">
      <c r="A198" t="inlineStr">
        <is>
          <t>in-96e481b6aefe0ee3</t>
        </is>
      </c>
      <c r="B198" t="inlineStr">
        <is>
          <t>Sr. Applied Scientist, Prime Video - Personalization and Discovery Science</t>
        </is>
      </c>
      <c r="C198" t="inlineStr">
        <is>
          <t>Amazon.com</t>
        </is>
      </c>
      <c r="D198" t="inlineStr">
        <is>
          <t>indeed</t>
        </is>
      </c>
      <c r="E198" t="inlineStr"/>
      <c r="F198" t="inlineStr"/>
      <c r="G198" t="inlineStr">
        <is>
          <t>Seattle, WA, US</t>
        </is>
      </c>
      <c r="H198" s="1" t="n">
        <v>45896</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99">
      <c r="A199" t="inlineStr">
        <is>
          <t>in-9c1742abae6d0940</t>
        </is>
      </c>
      <c r="B199" t="inlineStr">
        <is>
          <t>Sr. Applied Scientist, Prime Video - Personalization and Discovery Science</t>
        </is>
      </c>
      <c r="C199" t="inlineStr">
        <is>
          <t>Amazon.com</t>
        </is>
      </c>
      <c r="D199" t="inlineStr">
        <is>
          <t>indeed</t>
        </is>
      </c>
      <c r="E199" t="inlineStr"/>
      <c r="F199" t="inlineStr"/>
      <c r="G199" t="inlineStr">
        <is>
          <t>New York, NY, US</t>
        </is>
      </c>
      <c r="H199" s="1" t="n">
        <v>45896</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00">
      <c r="A200" t="inlineStr">
        <is>
          <t>in-9e84546019f482c0</t>
        </is>
      </c>
      <c r="B200" t="inlineStr">
        <is>
          <t>Applied Scientist II, Prime Video , Personalization and Discovery Science</t>
        </is>
      </c>
      <c r="C200" t="inlineStr">
        <is>
          <t>Amazon.com</t>
        </is>
      </c>
      <c r="D200" t="inlineStr">
        <is>
          <t>indeed</t>
        </is>
      </c>
      <c r="E200" t="inlineStr"/>
      <c r="F200" t="inlineStr"/>
      <c r="G200" t="inlineStr">
        <is>
          <t>New York, NY, US</t>
        </is>
      </c>
      <c r="H200" s="1" t="n">
        <v>45886</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01">
      <c r="A201" t="inlineStr">
        <is>
          <t>in-a9d923c5a0e2339d</t>
        </is>
      </c>
      <c r="B201" t="inlineStr">
        <is>
          <t>Applied Scientist II, Prime Video , Personalization and Discovery Science</t>
        </is>
      </c>
      <c r="C201" t="inlineStr">
        <is>
          <t>Amazon.com</t>
        </is>
      </c>
      <c r="D201" t="inlineStr">
        <is>
          <t>indeed</t>
        </is>
      </c>
      <c r="E201" t="inlineStr"/>
      <c r="F201" t="inlineStr"/>
      <c r="G201" t="inlineStr">
        <is>
          <t>Seattle, WA, US</t>
        </is>
      </c>
      <c r="H201" s="1" t="n">
        <v>45886</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02">
      <c r="A202" t="inlineStr">
        <is>
          <t>in-fec42d5fa9e5b58f</t>
        </is>
      </c>
      <c r="B202" t="inlineStr">
        <is>
          <t>Applied Scientist II, Prime Video , Personalization and Discovery Science</t>
        </is>
      </c>
      <c r="C202" t="inlineStr">
        <is>
          <t>Amazon.com</t>
        </is>
      </c>
      <c r="D202" t="inlineStr">
        <is>
          <t>indeed</t>
        </is>
      </c>
      <c r="E202" t="inlineStr"/>
      <c r="F202" t="inlineStr"/>
      <c r="G202" t="inlineStr">
        <is>
          <t>Sunnyvale, CA, US</t>
        </is>
      </c>
      <c r="H202" s="1" t="n">
        <v>45886</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03">
      <c r="A203" t="inlineStr">
        <is>
          <t>in-dfcbfe0b5573d1f0</t>
        </is>
      </c>
      <c r="B203" t="inlineStr">
        <is>
          <t>Sr. Applied Scientist, Prime Video - Personalization and Discovery Science</t>
        </is>
      </c>
      <c r="C203" t="inlineStr">
        <is>
          <t>Amazon.com</t>
        </is>
      </c>
      <c r="D203" t="inlineStr">
        <is>
          <t>indeed</t>
        </is>
      </c>
      <c r="E203" t="inlineStr"/>
      <c r="F203" t="inlineStr"/>
      <c r="G203" t="inlineStr">
        <is>
          <t>New York, NY, US</t>
        </is>
      </c>
      <c r="H203" s="1" t="n">
        <v>45881</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in-df1a5b66ce541888</t>
        </is>
      </c>
      <c r="B204" t="inlineStr">
        <is>
          <t>Applied Scientist II, Prime Video - Personalization and Discovery Science</t>
        </is>
      </c>
      <c r="C204" t="inlineStr">
        <is>
          <t>Amazon.com</t>
        </is>
      </c>
      <c r="D204" t="inlineStr">
        <is>
          <t>indeed</t>
        </is>
      </c>
      <c r="E204" t="inlineStr"/>
      <c r="F204" t="inlineStr"/>
      <c r="G204" t="inlineStr">
        <is>
          <t>New York, NY, US</t>
        </is>
      </c>
      <c r="H204" s="1" t="n">
        <v>45881</v>
      </c>
      <c r="I2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in-298f35d51c175c77</t>
        </is>
      </c>
      <c r="B205" t="inlineStr">
        <is>
          <t>Sr. Applied Scientist, Prime Video - Personalization and Discovery Science</t>
        </is>
      </c>
      <c r="C205" t="inlineStr">
        <is>
          <t>Amazon.com</t>
        </is>
      </c>
      <c r="D205" t="inlineStr">
        <is>
          <t>indeed</t>
        </is>
      </c>
      <c r="E205" t="inlineStr"/>
      <c r="F205" t="inlineStr"/>
      <c r="G205" t="inlineStr">
        <is>
          <t>Seattle, WA, US</t>
        </is>
      </c>
      <c r="H205" s="1" t="n">
        <v>45881</v>
      </c>
      <c r="I2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in-49a1ce00bd574ab7</t>
        </is>
      </c>
      <c r="B206" t="inlineStr">
        <is>
          <t>Applied Scientist II, Prime Video - Personalization and Discovery Science</t>
        </is>
      </c>
      <c r="C206" t="inlineStr">
        <is>
          <t>Amazon.com</t>
        </is>
      </c>
      <c r="D206" t="inlineStr">
        <is>
          <t>indeed</t>
        </is>
      </c>
      <c r="E206" t="inlineStr"/>
      <c r="F206" t="inlineStr"/>
      <c r="G206" t="inlineStr">
        <is>
          <t>Sunnyvale, CA, US</t>
        </is>
      </c>
      <c r="H206" s="1" t="n">
        <v>45881</v>
      </c>
      <c r="I2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in-aa2b3b5f9e4ae4b2</t>
        </is>
      </c>
      <c r="B207" t="inlineStr">
        <is>
          <t>Applied Scientist II, Prime Video - Personalization and Discovery Science</t>
        </is>
      </c>
      <c r="C207" t="inlineStr">
        <is>
          <t>Amazon.com</t>
        </is>
      </c>
      <c r="D207" t="inlineStr">
        <is>
          <t>indeed</t>
        </is>
      </c>
      <c r="E207" t="inlineStr"/>
      <c r="F207" t="inlineStr"/>
      <c r="G207" t="inlineStr">
        <is>
          <t>Seattle, WA, US</t>
        </is>
      </c>
      <c r="H207" s="1" t="n">
        <v>45881</v>
      </c>
      <c r="I2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in-b12f635324596769</t>
        </is>
      </c>
      <c r="B208" t="inlineStr">
        <is>
          <t>Sr. Applied Scientist, Prime Video - Personalization and Discovery Science</t>
        </is>
      </c>
      <c r="C208" t="inlineStr">
        <is>
          <t>Amazon.com</t>
        </is>
      </c>
      <c r="D208" t="inlineStr">
        <is>
          <t>indeed</t>
        </is>
      </c>
      <c r="E208" t="inlineStr"/>
      <c r="F208" t="inlineStr"/>
      <c r="G208" t="inlineStr">
        <is>
          <t>Sunnyvale, CA, US</t>
        </is>
      </c>
      <c r="H208" s="1" t="n">
        <v>45881</v>
      </c>
      <c r="I2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in-181ea2cdd65a1ace</t>
        </is>
      </c>
      <c r="B209" t="inlineStr">
        <is>
          <t>Applied Scientist III, StoreGen</t>
        </is>
      </c>
      <c r="C209" t="inlineStr">
        <is>
          <t>Amazon.com</t>
        </is>
      </c>
      <c r="D209" t="inlineStr">
        <is>
          <t>indeed</t>
        </is>
      </c>
      <c r="E209" t="inlineStr"/>
      <c r="F209" t="inlineStr"/>
      <c r="G209" t="inlineStr">
        <is>
          <t>Sunnyvale, CA, US</t>
        </is>
      </c>
      <c r="H209" s="1" t="n">
        <v>45868</v>
      </c>
      <c r="I209"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in-4ba31307b7995eda</t>
        </is>
      </c>
      <c r="B210" t="inlineStr">
        <is>
          <t>Applied Scientist III, StoreGen</t>
        </is>
      </c>
      <c r="C210" t="inlineStr">
        <is>
          <t>Amazon.com</t>
        </is>
      </c>
      <c r="D210" t="inlineStr">
        <is>
          <t>indeed</t>
        </is>
      </c>
      <c r="E210" t="inlineStr"/>
      <c r="F210" t="inlineStr"/>
      <c r="G210" t="inlineStr">
        <is>
          <t>Seattle, WA, US</t>
        </is>
      </c>
      <c r="H210" s="1" t="n">
        <v>45868</v>
      </c>
      <c r="I210"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in-1f75c6a2042afc75</t>
        </is>
      </c>
      <c r="B211" t="inlineStr">
        <is>
          <t>Sr. Applied Scientist, Amazon Advertising</t>
        </is>
      </c>
      <c r="C211" t="inlineStr">
        <is>
          <t>Amazon.com</t>
        </is>
      </c>
      <c r="D211" t="inlineStr">
        <is>
          <t>indeed</t>
        </is>
      </c>
      <c r="E211" t="inlineStr"/>
      <c r="F211" t="inlineStr"/>
      <c r="G211" t="inlineStr">
        <is>
          <t>Arlington, VA, US</t>
        </is>
      </c>
      <c r="H211" s="1" t="n">
        <v>45851</v>
      </c>
      <c r="I2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in-20069f7366477a62</t>
        </is>
      </c>
      <c r="B212" t="inlineStr">
        <is>
          <t>Sr. Applied Scientist, Amazon Advertising</t>
        </is>
      </c>
      <c r="C212" t="inlineStr">
        <is>
          <t>Amazon.com</t>
        </is>
      </c>
      <c r="D212" t="inlineStr">
        <is>
          <t>indeed</t>
        </is>
      </c>
      <c r="E212" t="inlineStr"/>
      <c r="F212" t="inlineStr"/>
      <c r="G212" t="inlineStr">
        <is>
          <t>Simi Valley, CA, US</t>
        </is>
      </c>
      <c r="H212" s="1" t="n">
        <v>45851</v>
      </c>
      <c r="I2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in-1441706b3e4d3898</t>
        </is>
      </c>
      <c r="B213" t="inlineStr">
        <is>
          <t>Sr. Applied Scientist, Amazon Advertising</t>
        </is>
      </c>
      <c r="C213" t="inlineStr">
        <is>
          <t>Amazon.com</t>
        </is>
      </c>
      <c r="D213" t="inlineStr">
        <is>
          <t>indeed</t>
        </is>
      </c>
      <c r="E213" t="inlineStr"/>
      <c r="F213" t="inlineStr"/>
      <c r="G213" t="inlineStr">
        <is>
          <t>Los Angeles, CA, US</t>
        </is>
      </c>
      <c r="H213" s="1" t="n">
        <v>45851</v>
      </c>
      <c r="I2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in-27c28ad0bc87befc</t>
        </is>
      </c>
      <c r="B214" t="inlineStr">
        <is>
          <t>Sr. Applied Scientist, Amazon Advertising</t>
        </is>
      </c>
      <c r="C214" t="inlineStr">
        <is>
          <t>Amazon.com</t>
        </is>
      </c>
      <c r="D214" t="inlineStr">
        <is>
          <t>indeed</t>
        </is>
      </c>
      <c r="E214" t="inlineStr"/>
      <c r="F214" t="inlineStr"/>
      <c r="G214" t="inlineStr">
        <is>
          <t>West Hollywood, CA, US</t>
        </is>
      </c>
      <c r="H214" s="1" t="n">
        <v>45851</v>
      </c>
      <c r="I2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in-74e88cb80315ebb3</t>
        </is>
      </c>
      <c r="B215" t="inlineStr">
        <is>
          <t>Sr. Applied Scientist, Amazon Advertising</t>
        </is>
      </c>
      <c r="C215" t="inlineStr">
        <is>
          <t>Amazon.com</t>
        </is>
      </c>
      <c r="D215" t="inlineStr">
        <is>
          <t>indeed</t>
        </is>
      </c>
      <c r="E215" t="inlineStr"/>
      <c r="F215" t="inlineStr"/>
      <c r="G215" t="inlineStr">
        <is>
          <t>New York, NY, US</t>
        </is>
      </c>
      <c r="H215" s="1" t="n">
        <v>45851</v>
      </c>
      <c r="I2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in-d6f289dda1f0916d</t>
        </is>
      </c>
      <c r="B216" t="inlineStr">
        <is>
          <t>Sr. Applied Scientist, Amazon Advertising</t>
        </is>
      </c>
      <c r="C216" t="inlineStr">
        <is>
          <t>Amazon.com</t>
        </is>
      </c>
      <c r="D216" t="inlineStr">
        <is>
          <t>indeed</t>
        </is>
      </c>
      <c r="E216" t="inlineStr"/>
      <c r="F216" t="inlineStr"/>
      <c r="G216" t="inlineStr">
        <is>
          <t>Palo Alto, CA, US</t>
        </is>
      </c>
      <c r="H216" s="1" t="n">
        <v>45851</v>
      </c>
      <c r="I2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in-36d484af74d21fae</t>
        </is>
      </c>
      <c r="B217" t="inlineStr">
        <is>
          <t>Sr. Applied Scientist, Amazon Advertising</t>
        </is>
      </c>
      <c r="C217" t="inlineStr">
        <is>
          <t>Amazon.com</t>
        </is>
      </c>
      <c r="D217" t="inlineStr">
        <is>
          <t>indeed</t>
        </is>
      </c>
      <c r="E217" t="inlineStr"/>
      <c r="F217" t="inlineStr"/>
      <c r="G217" t="inlineStr">
        <is>
          <t>Seattle, WA, US</t>
        </is>
      </c>
      <c r="H217" s="1" t="n">
        <v>45851</v>
      </c>
      <c r="I2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in-6a37ef2d1c282e4d</t>
        </is>
      </c>
      <c r="B218" t="inlineStr">
        <is>
          <t>Sr. Applied Scientist, Amazon Advertising</t>
        </is>
      </c>
      <c r="C218" t="inlineStr">
        <is>
          <t>Amazon.com</t>
        </is>
      </c>
      <c r="D218" t="inlineStr">
        <is>
          <t>indeed</t>
        </is>
      </c>
      <c r="E218" t="inlineStr"/>
      <c r="F218" t="inlineStr"/>
      <c r="G218" t="inlineStr">
        <is>
          <t>Austin, TX, US</t>
        </is>
      </c>
      <c r="H218" s="1" t="n">
        <v>45851</v>
      </c>
      <c r="I2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in-8b9215b06c274aba</t>
        </is>
      </c>
      <c r="B219" t="inlineStr">
        <is>
          <t>Sr. Applied Scientist, Sales AI</t>
        </is>
      </c>
      <c r="C219" t="inlineStr">
        <is>
          <t>Amazon.com</t>
        </is>
      </c>
      <c r="D219" t="inlineStr">
        <is>
          <t>indeed</t>
        </is>
      </c>
      <c r="E219" t="inlineStr"/>
      <c r="F219" t="inlineStr"/>
      <c r="G219" t="inlineStr">
        <is>
          <t>New York, NY, US</t>
        </is>
      </c>
      <c r="H219" s="1" t="n">
        <v>45830</v>
      </c>
      <c r="I21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in-a6d15e51ef7b7ce7</t>
        </is>
      </c>
      <c r="B220" t="inlineStr">
        <is>
          <t>Sr. Applied Scientist, Sales AI</t>
        </is>
      </c>
      <c r="C220" t="inlineStr">
        <is>
          <t>Amazon.com</t>
        </is>
      </c>
      <c r="D220" t="inlineStr">
        <is>
          <t>indeed</t>
        </is>
      </c>
      <c r="E220" t="inlineStr"/>
      <c r="F220" t="inlineStr"/>
      <c r="G220" t="inlineStr">
        <is>
          <t>Seattle, WA, US</t>
        </is>
      </c>
      <c r="H220" s="1" t="n">
        <v>45830</v>
      </c>
      <c r="I22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in-e829a56d0f373b17</t>
        </is>
      </c>
      <c r="B221" t="inlineStr">
        <is>
          <t>Sr. Applied Scientist, Sales AI</t>
        </is>
      </c>
      <c r="C221" t="inlineStr">
        <is>
          <t>Amazon.com</t>
        </is>
      </c>
      <c r="D221" t="inlineStr">
        <is>
          <t>indeed</t>
        </is>
      </c>
      <c r="E221" t="inlineStr"/>
      <c r="F221" t="inlineStr"/>
      <c r="G221" t="inlineStr">
        <is>
          <t>Sunnyvale, CA, US</t>
        </is>
      </c>
      <c r="H221" s="1" t="n">
        <v>45830</v>
      </c>
      <c r="I22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in-434d1c20c08e5341</t>
        </is>
      </c>
      <c r="B222" t="inlineStr">
        <is>
          <t>Senior Applied Scientist, Delivery Foundation Model</t>
        </is>
      </c>
      <c r="C222" t="inlineStr">
        <is>
          <t>Amazon.com</t>
        </is>
      </c>
      <c r="D222" t="inlineStr">
        <is>
          <t>indeed</t>
        </is>
      </c>
      <c r="E222" t="inlineStr"/>
      <c r="F222" t="inlineStr"/>
      <c r="G222" t="inlineStr">
        <is>
          <t>Bellevue, WA, US</t>
        </is>
      </c>
      <c r="H222" s="1" t="n">
        <v>45806</v>
      </c>
      <c r="I22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in-db39c2167c751f2e</t>
        </is>
      </c>
      <c r="B223" t="inlineStr">
        <is>
          <t>Senior Applied Scientist, Delivery Foundation Model</t>
        </is>
      </c>
      <c r="C223" t="inlineStr">
        <is>
          <t>Amazon.com</t>
        </is>
      </c>
      <c r="D223" t="inlineStr">
        <is>
          <t>indeed</t>
        </is>
      </c>
      <c r="E223" t="inlineStr"/>
      <c r="F223" t="inlineStr"/>
      <c r="G223" t="inlineStr">
        <is>
          <t>Santa Clara, CA, US</t>
        </is>
      </c>
      <c r="H223" s="1" t="n">
        <v>45806</v>
      </c>
      <c r="I22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in-93248f140eeca03c</t>
        </is>
      </c>
      <c r="B224" t="inlineStr">
        <is>
          <t>Senior Applied Scientist, Delivery Foundation Model</t>
        </is>
      </c>
      <c r="C224" t="inlineStr">
        <is>
          <t>Amazon.com</t>
        </is>
      </c>
      <c r="D224" t="inlineStr">
        <is>
          <t>indeed</t>
        </is>
      </c>
      <c r="E224" t="inlineStr"/>
      <c r="F224" t="inlineStr"/>
      <c r="G224" t="inlineStr">
        <is>
          <t>New York, NY, US</t>
        </is>
      </c>
      <c r="H224" s="1" t="n">
        <v>45806</v>
      </c>
      <c r="I22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in-6a57bd06fcc7cb3e</t>
        </is>
      </c>
      <c r="B225" t="inlineStr">
        <is>
          <t>Sr. Applied Scientist - Privacy, Privacy Engineering</t>
        </is>
      </c>
      <c r="C225" t="inlineStr">
        <is>
          <t>Amazon.com</t>
        </is>
      </c>
      <c r="D225" t="inlineStr">
        <is>
          <t>indeed</t>
        </is>
      </c>
      <c r="E225" t="inlineStr"/>
      <c r="F225" t="inlineStr"/>
      <c r="G225" t="inlineStr">
        <is>
          <t>Sunnyvale, CA, US</t>
        </is>
      </c>
      <c r="H225" s="1" t="n">
        <v>45787</v>
      </c>
      <c r="I22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in-40d15490e0512a76</t>
        </is>
      </c>
      <c r="B226" t="inlineStr">
        <is>
          <t>Sr. Applied Scientist - Privacy, Privacy Engineering</t>
        </is>
      </c>
      <c r="C226" t="inlineStr">
        <is>
          <t>Amazon.com</t>
        </is>
      </c>
      <c r="D226" t="inlineStr">
        <is>
          <t>indeed</t>
        </is>
      </c>
      <c r="E226" t="inlineStr"/>
      <c r="F226" t="inlineStr"/>
      <c r="G226" t="inlineStr">
        <is>
          <t>San Francisco, CA, US</t>
        </is>
      </c>
      <c r="H226" s="1" t="n">
        <v>45787</v>
      </c>
      <c r="I22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in-33f4ad59faeb55a5</t>
        </is>
      </c>
      <c r="B227" t="inlineStr">
        <is>
          <t>Sr. Data Scientist- Computer Vision, Data &amp; Machine Learning (DML)</t>
        </is>
      </c>
      <c r="C227" t="inlineStr">
        <is>
          <t>Amazon Web Services</t>
        </is>
      </c>
      <c r="D227" t="inlineStr">
        <is>
          <t>indeed</t>
        </is>
      </c>
      <c r="E227" t="inlineStr"/>
      <c r="F227" t="inlineStr"/>
      <c r="G227" t="inlineStr">
        <is>
          <t>Arlington, VA, US</t>
        </is>
      </c>
      <c r="H227" s="1" t="n">
        <v>46062</v>
      </c>
      <c r="I227"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5\+ years of data querying languages (e.g. SQL), scripting languages (e.g. Python) or statistical/mathematical software (e.g. R, SAS, Matlab, etc.) experience
* Knowledge of AWS tech stack (e.g., AWS Redshift, S3, EC2, Glue)
* Bachelor's degree in a quantitative field such as statistics, mathematics, data science, business analytics, economics, finance, engineering, or computer science
* 2\+ years of experience with machine learning, statistical modeling, data analysis tools and techniques, and performance parameters for computer vision delivery requirements
* Current, active US Government Security Clearance of Top Secret or above
**PREFERRED QUALIFICATIONS**
----------------------------
* 3\+ years of data visualization using AWS QuickSight, Tableau, R Shiny, etc. experience
* Experience managing data pipelines
* Experience as a leader and mentor on a data science team
* Master's degree in a quantitative field such as statistics, mathematics, data science, business analytics, economics, finance, engineering, or computer science
* Familiarity with internals of LLMs, VLMs, and traditional Computer Vision object detection models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228">
      <c r="A228" t="inlineStr">
        <is>
          <t>in-3842737c64593dfa</t>
        </is>
      </c>
      <c r="B228" t="inlineStr">
        <is>
          <t>Sr. Data Scientist- Computer Vision, Data &amp; Machine Learning (DML)</t>
        </is>
      </c>
      <c r="C228" t="inlineStr">
        <is>
          <t>Amazon Web Services</t>
        </is>
      </c>
      <c r="D228" t="inlineStr">
        <is>
          <t>indeed</t>
        </is>
      </c>
      <c r="E228" t="inlineStr"/>
      <c r="F228" t="inlineStr"/>
      <c r="G228" t="inlineStr">
        <is>
          <t>Herndon, VA, US</t>
        </is>
      </c>
      <c r="H228" s="1" t="n">
        <v>46062</v>
      </c>
      <c r="I228"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5\+ years of data querying languages (e.g. SQL), scripting languages (e.g. Python) or statistical/mathematical software (e.g. R, SAS, Matlab, etc.) experience
* Knowledge of AWS tech stack (e.g., AWS Redshift, S3, EC2, Glue)
* Bachelor's degree in a quantitative field such as statistics, mathematics, data science, business analytics, economics, finance, engineering, or computer science
* 2\+ years of experience with machine learning, statistical modeling, data analysis tools and techniques, and performance parameters for computer vision delivery requirements
* Current, active US Government Security Clearance of Top Secret or above
**PREFERRED QUALIFICATIONS**
----------------------------
* 3\+ years of data visualization using AWS QuickSight, Tableau, R Shiny, etc. experience
* Experience managing data pipelines
* Experience as a leader and mentor on a data science team
* Master's degree in a quantitative field such as statistics, mathematics, data science, business analytics, economics, finance, engineering, or computer science
* Familiarity with internals of LLMs, VLMs, and traditional Computer Vision object detection models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229">
      <c r="A229" t="inlineStr">
        <is>
          <t>in-5d4d2520d0f45dbd</t>
        </is>
      </c>
      <c r="B229" t="inlineStr">
        <is>
          <t>Data Scientist - Computer Vision, Data &amp; Machine Learning (DML)</t>
        </is>
      </c>
      <c r="C229" t="inlineStr">
        <is>
          <t>Amazon Web Services</t>
        </is>
      </c>
      <c r="D229" t="inlineStr">
        <is>
          <t>indeed</t>
        </is>
      </c>
      <c r="E229" t="inlineStr"/>
      <c r="F229" t="inlineStr"/>
      <c r="G229" t="inlineStr">
        <is>
          <t>Arlington, VA, US</t>
        </is>
      </c>
      <c r="H229" s="1" t="n">
        <v>46051</v>
      </c>
      <c r="I229"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30">
      <c r="A230" t="inlineStr">
        <is>
          <t>in-af0f58959823fd0c</t>
        </is>
      </c>
      <c r="B230" t="inlineStr">
        <is>
          <t>Data Scientist - Computer Vision, Data &amp; Machine Learning (DML)</t>
        </is>
      </c>
      <c r="C230" t="inlineStr">
        <is>
          <t>Amazon Web Services</t>
        </is>
      </c>
      <c r="D230" t="inlineStr">
        <is>
          <t>indeed</t>
        </is>
      </c>
      <c r="E230" t="inlineStr"/>
      <c r="F230" t="inlineStr"/>
      <c r="G230" t="inlineStr">
        <is>
          <t>Herndon, VA, US</t>
        </is>
      </c>
      <c r="H230" s="1" t="n">
        <v>46051</v>
      </c>
      <c r="I230"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31">
      <c r="A231" t="inlineStr">
        <is>
          <t>in-ffc4ae6a70af8bd6</t>
        </is>
      </c>
      <c r="B231" t="inlineStr">
        <is>
          <t>Data Scientist- Vision Language Model Researcher, Data &amp; Machine Learning (DML)</t>
        </is>
      </c>
      <c r="C231" t="inlineStr">
        <is>
          <t>Amazon Web Services</t>
        </is>
      </c>
      <c r="D231" t="inlineStr">
        <is>
          <t>indeed</t>
        </is>
      </c>
      <c r="E231" t="inlineStr"/>
      <c r="F231" t="inlineStr"/>
      <c r="G231" t="inlineStr">
        <is>
          <t>Herndon, VA, US</t>
        </is>
      </c>
      <c r="H231" s="1" t="n">
        <v>46051</v>
      </c>
      <c r="I231"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32">
      <c r="A232" t="inlineStr">
        <is>
          <t>in-ff49013bcd60c21f</t>
        </is>
      </c>
      <c r="B232" t="inlineStr">
        <is>
          <t>Data Scientist- Vision Language Model Researcher, Data &amp; Machine Learning (DML)</t>
        </is>
      </c>
      <c r="C232" t="inlineStr">
        <is>
          <t>Amazon Web Services</t>
        </is>
      </c>
      <c r="D232" t="inlineStr">
        <is>
          <t>indeed</t>
        </is>
      </c>
      <c r="E232" t="inlineStr"/>
      <c r="F232" t="inlineStr"/>
      <c r="G232" t="inlineStr">
        <is>
          <t>Arlington, VA, US</t>
        </is>
      </c>
      <c r="H232" s="1" t="n">
        <v>46051</v>
      </c>
      <c r="I232"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33">
      <c r="A233" t="inlineStr">
        <is>
          <t>in-6cb388a6223b7194</t>
        </is>
      </c>
      <c r="B233" t="inlineStr">
        <is>
          <t>Data Scientist - Computer Vision, Data &amp; Machine Learning (DML)</t>
        </is>
      </c>
      <c r="C233" t="inlineStr">
        <is>
          <t>Amazon Web Services</t>
        </is>
      </c>
      <c r="D233" t="inlineStr">
        <is>
          <t>indeed</t>
        </is>
      </c>
      <c r="E233" t="inlineStr"/>
      <c r="F233" t="inlineStr"/>
      <c r="G233" t="inlineStr">
        <is>
          <t>Arlington, VA, US</t>
        </is>
      </c>
      <c r="H233" s="1" t="n">
        <v>46051</v>
      </c>
      <c r="I233"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primarily on the unclassified networks.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AWS Services,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Run data conversion pipelines to transform customer data into the structure needed by models for training
Perform EDA on the customer data
Train deep neural network models on overhead imagery
Develop and implement hyper\-parameter optimization strategies
Test and Evaluate models and analyze results
Package and deliver models to the customer
Implement new features to the model development code base
Collaborate with the rest of the team on long term strategy and short\-medium term implementation.
Contribute to presentations to the customer regarding the team’s work.
**BASIC QUALIFICATIONS**
------------------------
* Bachelor's degree or above in computer science, computer engineering, or related field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with AWS services including S3, Redshift, Sagemaker, EMR, Kinesis, Lambda, and EC2
* Current, active US Government Security Clearance of Top Secret or above
**PREFERRED QUALIFICATIONS**
----------------------------
* Knowledge of machine learning concepts and their application to reasoning and problem\-solving
* Experience in a ML or data scientist role with a large technology company
* Experience working on multi\-team, cross\-disciplinary projects
* Master's degree or above in computer science, machine learning, engineering, or related fields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34">
      <c r="A234" t="inlineStr">
        <is>
          <t>in-bc69396756af08b0</t>
        </is>
      </c>
      <c r="B234" t="inlineStr">
        <is>
          <t>Data Scientist - Computer Vision, Data &amp; Machine Learning (DML)</t>
        </is>
      </c>
      <c r="C234" t="inlineStr">
        <is>
          <t>Amazon Web Services</t>
        </is>
      </c>
      <c r="D234" t="inlineStr">
        <is>
          <t>indeed</t>
        </is>
      </c>
      <c r="E234" t="inlineStr"/>
      <c r="F234" t="inlineStr"/>
      <c r="G234" t="inlineStr">
        <is>
          <t>Herndon, VA, US</t>
        </is>
      </c>
      <c r="H234" s="1" t="n">
        <v>46051</v>
      </c>
      <c r="I234"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primarily on the unclassified networks.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AWS Services,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Run data conversion pipelines to transform customer data into the structure needed by models for training
Perform EDA on the customer data
Train deep neural network models on overhead imagery
Develop and implement hyper\-parameter optimization strategies
Test and Evaluate models and analyze results
Package and deliver models to the customer
Implement new features to the model development code base
Collaborate with the rest of the team on long term strategy and short\-medium term implementation.
Contribute to presentations to the customer regarding the team’s work.
**BASIC QUALIFICATIONS**
------------------------
* Bachelor's degree or above in computer science, computer engineering, or related field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with AWS services including S3, Redshift, Sagemaker, EMR, Kinesis, Lambda, and EC2
* Current, active US Government Security Clearance of Top Secret or above
**PREFERRED QUALIFICATIONS**
----------------------------
* Knowledge of machine learning concepts and their application to reasoning and problem\-solving
* Experience in a ML or data scientist role with a large technology company
* Experience working on multi\-team, cross\-disciplinary projects
* Master's degree or above in computer science, machine learning, engineering, or related fields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35">
      <c r="A235" t="inlineStr">
        <is>
          <t>in-2467ef6a5b25616f</t>
        </is>
      </c>
      <c r="B235" t="inlineStr">
        <is>
          <t>Applied Scientist, Alexa Smart Home</t>
        </is>
      </c>
      <c r="C235" t="inlineStr">
        <is>
          <t>Amazon.com</t>
        </is>
      </c>
      <c r="D235" t="inlineStr">
        <is>
          <t>indeed</t>
        </is>
      </c>
      <c r="E235" t="inlineStr"/>
      <c r="F235" t="inlineStr"/>
      <c r="G235" t="inlineStr">
        <is>
          <t>Sunnyvale, CA, US</t>
        </is>
      </c>
      <c r="H235" s="1" t="n">
        <v>46033</v>
      </c>
      <c r="I23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36">
      <c r="A236" t="inlineStr">
        <is>
          <t>in-4641e6be6dfefda8</t>
        </is>
      </c>
      <c r="B236" t="inlineStr">
        <is>
          <t>Applied Scientist, Alexa Smart Home</t>
        </is>
      </c>
      <c r="C236" t="inlineStr">
        <is>
          <t>Amazon.com</t>
        </is>
      </c>
      <c r="D236" t="inlineStr">
        <is>
          <t>indeed</t>
        </is>
      </c>
      <c r="E236" t="inlineStr"/>
      <c r="F236" t="inlineStr"/>
      <c r="G236" t="inlineStr">
        <is>
          <t>Seattle, WA, US</t>
        </is>
      </c>
      <c r="H236" s="1" t="n">
        <v>46033</v>
      </c>
      <c r="I236"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37">
      <c r="A237" t="inlineStr">
        <is>
          <t>in-81af131a4fbf52b4</t>
        </is>
      </c>
      <c r="B237" t="inlineStr">
        <is>
          <t>(USA) Data Scientist III</t>
        </is>
      </c>
      <c r="C237" t="inlineStr">
        <is>
          <t>Sam's Club</t>
        </is>
      </c>
      <c r="D237" t="inlineStr">
        <is>
          <t>indeed</t>
        </is>
      </c>
      <c r="E237">
        <f>HYPERLINK("https://www.indeed.com/viewjob?jk=81af131a4fbf52b4", "https://www.indeed.com/viewjob?jk=81af131a4fbf52b4")</f>
        <v/>
      </c>
      <c r="F237">
        <f>HYPERLINK("https://click.appcast.io/t/HqvPpiDVflVOlhZChNCs6J3JAuMSK3VXwQVaX9GRy1o=", "https://click.appcast.io/t/HqvPpiDVflVOlhZChNCs6J3JAuMSK3VXwQVaX9GRy1o=")</f>
        <v/>
      </c>
      <c r="G237" t="inlineStr">
        <is>
          <t>Bentonville, AR, US</t>
        </is>
      </c>
      <c r="H237" s="2" t="n">
        <v>46068</v>
      </c>
      <c r="I237" t="inlineStr">
        <is>
          <t>**Position Summary...**
-----------------------
**What you'll do...**
---------------------
**About the Team:**  
We are looking for a passionate, creative Data Scientist III to join the Data Science team. You will have the unique opportunity to work with massive business and social data generated by Walmart Inc.'s unparalleled online and offline commerce. As a Senior Data Analyst, you will transform complex data into actionable insights, supporting data\-driven decision\-making and driving business impact across Walmart’s digital and physical channels. You will collaborate closely with Data Scientists, Engineers, Product Managers, and Business professionals at the intersection of analytics, big data, IT infrastructure, and business operations.  
**What You’ll Do**
* Partner strategically with product development and business teams, delivering insights and recommendations of fraud trends and patterns through effective data storytelling and visualization.
* Analyze high\-dimensional, fast\-moving real\-time datasets to identify trends, anomalies, and opportunities for fraud detection.
* Build and maintain dashboards and reports to monitor key business metrics and share insights with stakeholders.
* Ensure data quality and integrity through rigorous validation and documentation.
* Research and apply new analytical methods, tools, and techniques to solve complex business problems.
**What You’ll Bring**
* Technical expertise in data analysis, statistical methods, and data visualization.
* Strong knowledge of data modeling and data engineering best practices
* Proficiency in SQL and data analysis packages in Python or R.
* Experience working with large datasets and distributed computing tools (BigQuery, Hive, or Spark).
* Bachelor’s degree in a STEM or related field plus three years of related experience or Master’s degree in a STEM or related field plus one year of related experience
* Experience with business intelligence tools (e.g., Tableau, Power BI, Looker) is preferred.
* Strong communication skills with the ability to present complex findings to both technical and non\-technical audiences.
**Immigration sponsorship is not available for this role**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At Sam's Club,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Regional Pay Zone (RPZ) (based on location).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2 years' experience in an analytics or related field. Option 2: Masters degree in Statistics, Economics, Analytics, Mathematics, Computer Science, Information Technology or related field. Option 3: 4 years' experience in an analytics or related field.**Preferred Qualifications...**
-------------------------------
*Outlined below are the optional preferred qualifications for this position. If none are listed, there are no preferred qualifications.*
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2101 Se Simple Savings Dr, Bentonville, AR 72712\-4304,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38">
      <c r="A238" t="inlineStr">
        <is>
          <t>in-b6c5e005cbb9b299</t>
        </is>
      </c>
      <c r="B238" t="inlineStr">
        <is>
          <t>Data Scientist</t>
        </is>
      </c>
      <c r="C238" t="inlineStr">
        <is>
          <t>Buyers Edge Platform</t>
        </is>
      </c>
      <c r="D238" t="inlineStr">
        <is>
          <t>indeed</t>
        </is>
      </c>
      <c r="E238">
        <f>HYPERLINK("https://www.indeed.com/viewjob?jk=b6c5e005cbb9b299", "https://www.indeed.com/viewjob?jk=b6c5e005cbb9b299")</f>
        <v/>
      </c>
      <c r="F238">
        <f>HYPERLINK("https://grnh.se/ji4w0z3b5us", "https://grnh.se/ji4w0z3b5us")</f>
        <v/>
      </c>
      <c r="G238" t="inlineStr">
        <is>
          <t>Waltham, MA, US</t>
        </is>
      </c>
      <c r="H238" s="2" t="n">
        <v>46068</v>
      </c>
      <c r="I238" t="inlineStr">
        <is>
          <t>We are seeking a Data Scientist – Business Intelligence to join our growing BI organization. In this role, you will help power predictive intelligence across the company through the development of statistical and machine learning models. You will collaborate with BI analysts, data engineers, and business stakeholders to transform raw data into actionable insights that help strengthen data\-informed decision making. The ideal candidate is a hands\-on modeler who thrives in a fast\-paced, collaborative environment and is passionate about transforming business questions into data\-driven solutions.
**Who we are:**
Buyers Edge Platform stands at the forefront of revolutionizing the food service industry through technology, purchasing power and partnerships. We are dedicated to empowering stakeholders across the entire food service ecosystem (operators, distributors, manufacturers) with efficiency and unprecedented visibility. With a diverse portfolio of over a dozen brands, our mission is clear: to reduce costs, streamline the foodservice supply chain, and propel the industry from manual to automated.
Today, we are one of the largest players in food service, with over 200K operator locations across North America and over $50 billion of aggregated spend volume. Our commitment to food service excellence is proven in four distinct areas of value: Digital Procurement Network, Fresh Solutions, Supply Chain Management, and Software. Buyers Edge Platform is not just a provider – we are a strategic partner on the journey towards a more efficient, connected, and automated future for the foodservice industry.
***This position is remotely based. We are unable to offer work sponsorship for this role.***
**Your impact:**
* **Strategic Problem Solving**
	+ Complete exploratory data analysis and hypothesis testing to uncover patterns, trends, and opportunities.
	+ Translate ambiguous business problems into clearly defined modeling challenges with measurable outcomes.
* **Model Development \&amp; Deployment**
	+ Design, build, and validate statistical, predictive, and machine learning models to drive business insights and automation.
	+ Collaborate with relevant stakeholders to identify high\-impact opportunities for modeling.
	+ Collaborate with engineering teams to productionize models and integrate them into business workflows and dashboards.
* **Innovation \&amp; Best Practices**
	+ Promote rigorous methodology, model interpretability, and transparent communication of findings.
	+ Stay current with industry trends and emerging techniques in machine learning, forecasting, and AI.
**About you:**
* Education in Statistics, Computer Science, Mathematics, or a related field.
* 2\-3 years of experience in data science, analytics, or applied statistics.
* Experience with analytics and modeling of large\-scale datasets.
* (Preferred) Experience with MLOps, model evaluation and monitoring, or deploying models in production environments is a plus.
* (Preferred) Experience in foodservice, distribution, or supply chain domains is a plus.
* (Preferred) Familiarity with Tableau is a plus.
* Understanding of statistical modeling, time series forecasting, and/or supervised learning techniques.
* Ability to identify and evaluate hypothesis in data analysis and modeling.
* Strong proficiency in Python (e.g. pandas, scikit\-learn, statsmodels) and SQL for analysis, model building, and data visualization.
* Ability to communicate insights to technical and non\-technical stakeholders.
Not sure you meet every qualification? Studies show that diverse applicants often hesitate to apply unless they check every box. At Buyers Edge Platform, we value authenticity and inclusion—if you're excited about the role, we encourage you to apply. You might be exactly who we're looking for!
**What's in this for you:**
* Great benefits from day one. We offer medical, dental, vision, FSA, company\-paid life insurance, and more—plus a 401(k) with company match.
* Grow with us. Enjoy strong training, development, and competitive pay.
* Work\-life balance. Our flexible PTO policy lets you take time when you need it—no accrual required.
We welcome all.
We are committed to creating a diverse environment and are proud to be an equal opportunity employer. All qualified applicants will receive consideration for employment without regard to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t>
        </is>
      </c>
    </row>
    <row r="239">
      <c r="A239" t="inlineStr">
        <is>
          <t>in-c387650aea785951</t>
        </is>
      </c>
      <c r="B239" t="inlineStr">
        <is>
          <t>Data Scientist, AWS Infrastructure Services Science</t>
        </is>
      </c>
      <c r="C239" t="inlineStr">
        <is>
          <t>Amazon.com</t>
        </is>
      </c>
      <c r="D239" t="inlineStr">
        <is>
          <t>indeed</t>
        </is>
      </c>
      <c r="E239">
        <f>HYPERLINK("https://www.indeed.com/viewjob?jk=c387650aea785951", "https://www.indeed.com/viewjob?jk=c387650aea785951")</f>
        <v/>
      </c>
      <c r="F239">
        <f>HYPERLINK("https://www.amazon.jobs/jobs/3181348/data-scientist-aws-infrastructure-services-science?cmpid=DA_INAD200785B", "https://www.amazon.jobs/jobs/3181348/data-scientist-aws-infrastructure-services-science?cmpid=DA_INAD200785B")</f>
        <v/>
      </c>
      <c r="G239" t="inlineStr">
        <is>
          <t>Herndon, VA, US</t>
        </is>
      </c>
      <c r="H239" s="2" t="n">
        <v>46065</v>
      </c>
      <c r="I23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240">
      <c r="A240" t="inlineStr">
        <is>
          <t>in-c6cba3231c195e61</t>
        </is>
      </c>
      <c r="B240" t="inlineStr">
        <is>
          <t>Data Scientist, AWS Infrastructure Services Science</t>
        </is>
      </c>
      <c r="C240" t="inlineStr">
        <is>
          <t>Amazon.com</t>
        </is>
      </c>
      <c r="D240" t="inlineStr">
        <is>
          <t>indeed</t>
        </is>
      </c>
      <c r="E240">
        <f>HYPERLINK("https://www.indeed.com/viewjob?jk=c6cba3231c195e61", "https://www.indeed.com/viewjob?jk=c6cba3231c195e61")</f>
        <v/>
      </c>
      <c r="F240">
        <f>HYPERLINK("https://www.amazon.jobs/jobs/3181348/data-scientist-aws-infrastructure-services-science?cmpid=DA_INAD200785B", "https://www.amazon.jobs/jobs/3181348/data-scientist-aws-infrastructure-services-science?cmpid=DA_INAD200785B")</f>
        <v/>
      </c>
      <c r="G240" t="inlineStr">
        <is>
          <t>Seattle, WA, US</t>
        </is>
      </c>
      <c r="H240" s="2" t="n">
        <v>46065</v>
      </c>
      <c r="I24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241">
      <c r="A241" t="inlineStr">
        <is>
          <t>in-b1bda180e6114701</t>
        </is>
      </c>
      <c r="B241" t="inlineStr">
        <is>
          <t>Principal Data Scientist</t>
        </is>
      </c>
      <c r="C241" t="inlineStr">
        <is>
          <t>Veracyte, Inc.</t>
        </is>
      </c>
      <c r="D241" t="inlineStr">
        <is>
          <t>indeed</t>
        </is>
      </c>
      <c r="E241">
        <f>HYPERLINK("https://www.indeed.com/viewjob?jk=b1bda180e6114701", "https://www.indeed.com/viewjob?jk=b1bda180e6114701")</f>
        <v/>
      </c>
      <c r="F241">
        <f>HYPERLINK("https://grnh.se/n2cx671k7us", "https://grnh.se/n2cx671k7us")</f>
        <v/>
      </c>
      <c r="G241" t="inlineStr">
        <is>
          <t>San Diego, CA, US</t>
        </is>
      </c>
      <c r="H241" s="2" t="n">
        <v>46068</v>
      </c>
      <c r="I241" t="inlineStr">
        <is>
          <t>At Veracyte, we offer exciting career opportunities for those interested in joining a pioneering team that is committed to transforming cancer care for patients across the globe. Working at Veracyte enables our employees to not only make a meaningful impact on the lives of patients, but to also learn and grow within a purpose driven environment. This is what we call *the Veracyte way* – it's about how we work together, guided by our values, to give clinicians the insights they need to help patients make life\-changing decisions.
Our Values:
* **We Seek A Better Way**: We innovate boldly, learn from our setbacks, and are resilient in our pursuit to transform cancer care
* **We Make It Happen**: We act with urgency, commit to quality, and bring fun to our hard work
* **We Are Stronger Together**: We collaborate openly, seek to understand, and celebrate our wins
* **We Care Deeply**: We embrace our differences, do the right thing, and encourage each other
### **The Position:**
We are seeking a Principal Data Scientist to lead the research and creation of multimodal AI (MMAI) models and workflows that integrate genomic, transcriptomic, imaging, and clinical data for various oncology applications. This role is critical to advancing the science and technology of MMAI, driving innovation in predictive modeling to benefit patient outcomes, and supporting product strategy through rigorous hypothesis\-driven research. The Principal Data Scientist will report to the Senior Director of Computational Biology and collaborate closely with cross\-functional teams including Discovery, Bioinformatics and Data Science, Cloud Ops/Engineering, Pathology, Medical, and Clinical Affairs. Based in the R\&amp;D division, this role supports our mission to discover, develop, and deliver the best diagnostic, prognostic, and predictive tests to transform cancer care for patients all over the world.
Position can be remote (within USA or Canada), on\-site (South San Francisco or San Diego), or hybrid.
**Key Responsibilities**
========================
* Lead research into novel MMAI models while closely collaborating with other machine learning experts across the computational team on strategy, study design, cohort selection, data acquisition, and data generation.
* Architect, train, and validate MMAI models integrating modalities including genomics, transcriptomics, whole\-slide imaging (e.g. H\&amp;E tumor tissue slides), and clinical features for cancer prognosis, risk stratification, diagnosis, and therapy selection.
* Drive proof\-of\-concept and feasibility projects from definition through model development, benchmarking, interpretation, and dissemination of results.
* Design and implement pipelines for ingesting, harmonizing, and integrating diverse data modalities (including whole\-slide images, RNA\-seq, WGS, clinical metadata).
* Work closely with wet lab scientists, bioinformatics/data science teams, medical/clinical/pathology teams, software/data/cloud engineers, and other cross\-functional teams to ensure models are biologically interpretable and clinically applicable.
* Prepare and present findings to technical and non\-technical audiences, including conference abstracts and presentations, scientific publications, and internal reports.
### **Who You Are:**
You are a creative, pragmatic leader with a passion for translating complex data into actionable clinical insights to improve management and outcomes of cancer patients. You thrive in multidisciplinary, fast\-paced environments, welcome feedback, and are driven by scientific curiosity and rigor. You are comfortable navigating challenges, adapting to evolving priorities, and delivering results on time.
**MUST HAVE:**
* Ph.D. in bioinformatics, computational biology, genomics, biostatistics, computer science, or a related field applying quantitative computational methodologies to biological/clinical problems.
* Minimum 8 years of relevant experience, with at least 5 years in an industry setting (biotech, diagnostics, or healthcare preferred).
* Demonstrated expertise in multimodal data integration, machine learning, and model development for NGS\-based clinical diagnostics.
* Strong programming skills in Python, R, and SQL.
* Strong experience with cloud computing environments (AWS preferred).
* Deep knowledge of genomics, transcriptomics, digital pathology, and clinical data analysis.
* Proven track record of technical leadership, project ownership, and successful delivery of high\-impact R\&amp;D projects.
* Excellent communication skills and ability to mentor and lead interdisciplinary teams.
* Strong publication record in peer\-reviewed journals, including first and senior authorship.
**PREFERRED:**
* Experience with advanced ML architectures (transformers, multimodal fusion, attention mechanisms).
* Familiarity with regulatory requirements (HIPAA, GDPR) and data governance in clinical research.
* Experience with medical imaging analysis and cytopathology.
* Knowledge of cancer biology, immunology, and clinical trial design.
 \#LI\-Remote \#LI\-Hybrid
For candidates based in our **San Diego office**, the salary (or hourly range is **$XX \- $XX.**
For candidates based in our **South San Francisco office**, the salary or hourly range is **$XX \- $XX.**
For candidates working **remote (US)**, the salary or hourly range is **$XX \- $XX.**
### **What We Can Offer You**
Veracyte is a growing company that offers significant career opportunities if you are curious, driven, patient\-oriented and aspire to help us build a great company. We offer competitive compensation and benefits, and are committed to fostering an inclusive workforce, where diverse backgrounds are represented, engaged, and empowered to drive innovative ideas and decisions. We are thrilled to be recognized as a 2024 Certified™ Great Place to Work® in both the US and Israel \- a testament to our dynamic, inclusive, and inspiring workplace where passion meets purpose.
### **About Veracyte**
Veracyte (Nasdaq: VCYT) is a global diagnostics company whose vision is to transform cancer care for patients all over the world. We empower clinicians with the high\-value insights they need to guide and assure patients at pivotal moments in the race to diagnose and treat cancer. Our Veracyte Diagnostics Platform delivers high\-performing cancer tests that are fueled by broad genomic and clinical data, deep bioinformatic and AI capabilities, and a powerful evidence\-generation engine, which ultimately drives durable reimbursement and guideline inclusion for our tests, along with new insights to support continued innovation and pipeline development. For more information, please visit www.veracyte.com or follow us on LinkedIn or X (Twitter).
Veracyte, Inc. is an Equal Opportunity Employer and will consider all qualified applicants for employment without regard to race, color, religion, sex, sexual orientation, gender identity, national origin, protected veteran status or disability status. Veracyte participates in E\-Verify in the United States. View our CCPA Disclosure Notice.
**If you receive any suspicious alerts or communications through LinkedIn or other online job sites for any position at Veracyte, please exercise caution and promptly report any concerns to** **careers@veracyte.com**</t>
        </is>
      </c>
    </row>
    <row r="242">
      <c r="A242" t="inlineStr">
        <is>
          <t>in-2ce0a859db2324dc</t>
        </is>
      </c>
      <c r="B242" t="inlineStr">
        <is>
          <t>Principal Data Scientist, WWPS ProServe</t>
        </is>
      </c>
      <c r="C242" t="inlineStr">
        <is>
          <t>Dhara Consulting Group</t>
        </is>
      </c>
      <c r="D242" t="inlineStr">
        <is>
          <t>indeed</t>
        </is>
      </c>
      <c r="E242">
        <f>HYPERLINK("https://www.indeed.com/viewjob?jk=2ce0a859db2324dc", "https://www.indeed.com/viewjob?jk=2ce0a859db2324dc")</f>
        <v/>
      </c>
      <c r="F242">
        <f>HYPERLINK("https://www.clearancejobs.com/jobs/8757708/principal-data-scientist-wwps-proserve", "https://www.clearancejobs.com/jobs/8757708/principal-data-scientist-wwps-proserve")</f>
        <v/>
      </c>
      <c r="G242" t="inlineStr">
        <is>
          <t>Arlington, VA, US</t>
        </is>
      </c>
      <c r="H242" s="2" t="n">
        <v>46068</v>
      </c>
      <c r="I242" t="inlineStr">
        <is>
          <t>Posted today
Top Secret
$189,400 \- $256,200
Unspecified
IT \- Data Science
Arlington, VA (On\-Site/Office)**Description**  
This position requires that the candidate selected be a US Citizen and currently possess and maintain an active Top Secret security clearance.  
The Amazon Web Services Professional Services (ProServe) team seeks an experienced Principal Data Scientist to join our ProServe Shared Delivery Team (SDT). In this role, you will serve as a technical leader and strategic advisor to AWS enterprise customers, partners, and internal AWS teams on transformative AI/ML projects. You will leverage your deep technical expertise to architect and implement innovative machine learning and generative AI solutions that drive significant business outcomes.
As a Principal Data Scientist, you will lead complex, high\-impact AI/ML initiatives across multiple customer engagements. You will collaborate with Director and C\-level executives to translate business challenges into technical solutions. You will drive innovation through thought leadership, establish technical standards, and develop reusable solution frameworks that accelerate customer adoption of AWS AI/ML services. Your work will directly influence the strategic direction of AWS Professional Services AI/ML offerings and delivery approaches.
Your extensive experience in designing and implementing sophisticated AI/ML solutions will enable you to tackle the most challenging customer problems. You will provide technical mentorship to other data scientists, establish best practices, and represent AWS as a subject matter expert in customer\-facing engagements. You will build trusted advisor relationships with customers and partners, helping them achieve their business outcomes through innovative applications of AWS AI/ML services.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 collection of offerings which help customers achieve specific outcomes related to enterprise cloud adoption. We also deliver focused guidance through our global specialty practices, which cover a variety of solutions, technologies, and industries.
Key job responsibilities  
Architecting and implementing complex, enterprise\-scale AI/ML solutions that solve critical customer business challenges
Providing technical leadership across multiple customer engagements, establishing best practices and driving innovation
Collaborating with Delivery Consultants, Engagement Managers, Account Executives, and Cloud Architects to design and deploy AI/ML solutions
Developing reusable solution frameworks, reference architectures, and technical assets that accelerate customer adoption of AWS AI/ML services
Representing AWS as a subject matter expert in customer\-facing engagements, including executive briefings and technical workshops
Identifying and driving new business opportunities through technical innovation and thought leadership
Mentoring junior data scientists and contributing to the growth of AI/ML capabilities within AWS Professional Services
**Basic Qualifications**  
* Bachelor's degree in engineering, statistics, computer science, mathematics, or a related quantitative field
* 11\+ years of building machine learning models or developing algorithms for business application experience
* Experience in leading large\-scale, technical or engineering programs with a proven record of thought leadership, business case development, realizing customer benefits, and successful program completion
* Current, active TS/SCI US Government Security Clearance
* Deep expertise in Python and relevant ML frameworks (TensorFlow, PyTorch, Hugging Face, etc.)
**Preferred Qualifications**  
* PhD in computer science, machine learning, engineering, or related fields, or MS degree
* AWS Professional level certification
* Experience with Machine Learning and Large Language Model fundamentals, including architecture, training/inference lifecycles, and optimization of model execution, or experience with vLLM, SGLang, TensorRT or similar platforms in production environments
* 3\+ years of IT and/or Management Consulting experience
* Experience in patents or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VA, Arlington \- 189,400\.00 \- 256,200\.00 USD annually  
USA, VA, Herndon \- 189,400\.00 \- 256,200\.00 USD annually**GROUP ID:** amazon</t>
        </is>
      </c>
    </row>
    <row r="243">
      <c r="A243" t="inlineStr">
        <is>
          <t>in-89037ca8439b59df</t>
        </is>
      </c>
      <c r="B243" t="inlineStr">
        <is>
          <t>Data Scientist</t>
        </is>
      </c>
      <c r="C243" t="inlineStr">
        <is>
          <t>CACI International</t>
        </is>
      </c>
      <c r="D243" t="inlineStr">
        <is>
          <t>indeed</t>
        </is>
      </c>
      <c r="E243">
        <f>HYPERLINK("https://www.indeed.com/viewjob?jk=89037ca8439b59df", "https://www.indeed.com/viewjob?jk=89037ca8439b59df")</f>
        <v/>
      </c>
      <c r="F243">
        <f>HYPERLINK("https://careers.caci.com/global/en/job/CACIGLOBAL322198EXTERNALENGLOBAL/Data-Scientist?utm_source=indeed&amp;utm_medium=phenom-feeds", "https://careers.caci.com/global/en/job/CACIGLOBAL322198EXTERNALENGLOBAL/Data-Scientist?utm_source=indeed&amp;utm_medium=phenom-feeds")</f>
        <v/>
      </c>
      <c r="G243" t="inlineStr">
        <is>
          <t>Denver, CO, US</t>
        </is>
      </c>
      <c r="H243" s="2" t="n">
        <v>46068</v>
      </c>
      <c r="I243" t="inlineStr">
        <is>
          <t>Job Title: Data Scientist
Job Category: Science
Time Type: Full time
Minimum Clearance Required to Start: Top Secret
Employee Type: Regular
Percentage of Travel Required: None
Type of Travel: None
Anticipated Posting End: 4/6/2026**The Opportunity:**
CACI's Analytics Solution's Internal Research and Development (IRAD) group is seeking a Data Scientist/Researcher to work in our research and development lab in Denver, CO.
Our IRAD team researches and develops innovative software\-based solutions that support multiple sectors that include Defense, National Security, Intelligence, and others. If you enjoy solving complex technical challenges, developing new and innovative software that has applications in AI, Machine Learning, Deep Learning, and Reinforcement Learning analytics \- among other areas, this may be the opportunity for you.
**Responsibilities:**
* Work within a cross\-disciplinary team to research new applications of Machine Learning, Deep Learning, and Reinforcement Learning analytics.
* Responsible for implementing experiments by leveraging open source and custom tools and techniques
* Use critical thinking to assess deficiencies in existing solutions or expert system\-based applications and provide recommendations for improvement
* Recognized subject matter expert, impeccable engineering skills and deep understanding of the scientific models.
* Problems and issues faced are numerous and undefined, and require detailed information gathering, analysis and investigation to understand the problem
* Regularly employs ingenuity and creativity to develop new technical solutions to solve difficult problems
* Influences others regarding policies, practices, and procedures
* Steers high impact data science projects across business units
**Qualifications:**
*Required:*
* Bachelors Degree (BA/BS) in Computer Science, Statistics, Mathematics or related Engineering discipline. Will consider experience in lieu of degree
* 5 or more years of related experience
* Expertise in Artificial Intelligence / Machine Learning and Radio Frequency (RF) systems, combining deep knowledge of signal processing, spectrum analysis, and electromagnetic propagation with data\-driven modeling and algorithm development.
* Experience applying supervised and unsupervised ML techniques to RF datasets, including classification, anomaly detection, and predictive modeling. Strong foundation in statistical estimation, linear algebra, and optimization, with hands\-on experience in translating complex operational problems into scalable AI\-enabled solutions.
* Knowledge and practical experience using a variety of machine learning techniques, for example: linear regression, logistic regression, neural networks, support vector machines, anomaly detection, natural language processing, clustering and classification algorithms
* Experience with Python and modern deep learning frameworks, such as Keras, TensorFlow, and PyTorch.
* Willing to work onsite with possible hybrid schedule
* Willing and able to obtain a TS/SCI, current clearance preferred.
*Desired:*
* Strong written and verbal communication skills
* Experience working within research and development (R\&amp;D) environments
* Experience working within Agile development teams leveraging DevOps methodology
* Experience working within cross\-functional teams following a SCRUM/Sprint\-based project execution
* Experience delivering software systems for DoD customers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$90,300 \- 189,600 USD*CACI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244">
      <c r="A244" t="inlineStr">
        <is>
          <t>in-bd51d6e38d9fda1b</t>
        </is>
      </c>
      <c r="B244" t="inlineStr">
        <is>
          <t>IT Data Scientist</t>
        </is>
      </c>
      <c r="C244" t="inlineStr">
        <is>
          <t>Advocate Aurora Health</t>
        </is>
      </c>
      <c r="D244" t="inlineStr">
        <is>
          <t>indeed</t>
        </is>
      </c>
      <c r="E244">
        <f>HYPERLINK("https://www.indeed.com/viewjob?jk=bd51d6e38d9fda1b", "https://www.indeed.com/viewjob?jk=bd51d6e38d9fda1b")</f>
        <v/>
      </c>
      <c r="F244">
        <f>HYPERLINK("https://AdvocateAuroraHealth.contacthr.com/151066005", "https://AdvocateAuroraHealth.contacthr.com/151066005")</f>
        <v/>
      </c>
      <c r="G244" t="inlineStr">
        <is>
          <t>Oak Brook, IL, US</t>
        </is>
      </c>
      <c r="H244" s="2" t="n">
        <v>46068</v>
      </c>
      <c r="I244" t="inlineStr">
        <is>
          <t>**Major Responsibilities:**
* Collaborate with stakeholders and subject matter experts to define and refine data\-driven initiatives that enhance healthcare operations and outcomes.
* Develop a strong understanding of complex, high\-volume, and heterogeneous data, ensuring rigorous data development, cleaning, and validation.
* Apply machine learning and statistical modeling techniques, including regression, classification, clustering, time series forecasting, and ensemble methods.
* Utilize LLM\-based text analytics and NLP techniques to extract insights from unstructured data sources such as clinical notes and reports.
* Perform exploratory data analysis and build structured analytical workflows using Python, R, and SQL.
* Communicate findings and methodologies effectively to both technical and non\-technical audiences through reports, presentations, and interactive visualizations.
* Independently manage projects, setting clear objectives, benchmarks, and milestones while balancing iterative development with accountability.
* Develop well\-documented, reusable code on cloud computing platforms to support analytical pipelines.
* Follow best practices in collaborative software development, including version control (Git) and modular code design.
**Licensure, Registration, and/or Certification Required:**
* None
**Education Required:**
* PhD in Data Science, Computer Science, Statistics, Applied Mathematics, Engineering, Biomedical Informatics or a related field, OR a Master’s degree with 2\-4 years of applied experience in data science or machine learning.
**Experience Required:**
* Typically requires 2\-4 years of experience in solving complex problems in an analytical environment
**Knowledge, Skills \&amp; Abilities Required:**
* Extensive experience working with large\-scale structured and unstructured data, ensuring data quality and interpretability.
* Proficiency in Python and/or R for advanced data analysis, machine learning, and model deployment, along with strong SQL skills for working with large datasets.
* Expertise in statistical modeling, machine learning, and AI techniques, including regression, classification, time series forecasting, and ensemble methods, with experience in at least some advanced techniques (e.g., Bayesian inference, causal modeling, deep learning, LLMs, NLP, or knowledge engineering).
* Demonstrated ability to lead collaborations with stakeholders, define analytics initiatives, and mentor junior team members.
* Strong critical thinking and problem\-solving skills, with an iterative and pragmatic approach to real\-world challenges.
* Proven ability to translate complex data into actionable insights, using storytelling, interactive dashboards, and presentations.
* Ability to independently manage multiple complex projects, set clear objectives, and drive high\-impact initiatives.
* Experience writing clean, reusable, and well\-documented code and working with containerization tools like Docker for model deployment.
**Physical Requirements and Working Conditions:**
* Requires extensive amounts of time working at a computer.
* Work can be performed in an office environment or remotely.
**Preferred Job Requirements**
* Experience working with healthcare data (EHR, claims, clinical notes, imaging, operational workflows).
* Exposure to MLOps principles, including model monitoring, lifecycle management, and CI/CD for ML models.
* Experience integrating AI/ML models into production environments, such as API\-based decision support or real\-time analytics.
**No relocation\-No Sponsorship or transfer of visa now or in the future.**
===========================================================================
**Preferred remote locations in IL, WI, NC, GA**
**Fully Remote Role from these states: AL, AK, AR, AZ, DE, FL, GA, IA, ID, IL, IN, LA, KS, KY, ME, MI, MO, MS, MT, NC, ND, NE, NH, NM, NV, OH, OK, PA, SC, SD, TN, TX, UT, VA, WI, WV, WY.**
 **Due to complex requirements, remote work is NOT permitted for short or long periods in: CA, CO, CT, HI, MA, MD, MN, NJ, NY, OR, RI, VT, WA and working Internationally (this includes working while on vacation).**
*This job description indicates the general nature and level of work expected of the incumbent. It is not designed to cover or contain a comprehensive listing of activities, duties or responsibilities required of the incumbent. Incumbent may be required to perform other related duties.*</t>
        </is>
      </c>
    </row>
    <row r="245">
      <c r="A245" t="inlineStr">
        <is>
          <t>in-3a185844f317c698</t>
        </is>
      </c>
      <c r="B245" t="inlineStr">
        <is>
          <t>Data Scientist</t>
        </is>
      </c>
      <c r="C245" t="inlineStr">
        <is>
          <t>KBR</t>
        </is>
      </c>
      <c r="D245" t="inlineStr">
        <is>
          <t>indeed</t>
        </is>
      </c>
      <c r="E245">
        <f>HYPERLINK("https://www.indeed.com/viewjob?jk=3a185844f317c698", "https://www.indeed.com/viewjob?jk=3a185844f317c698")</f>
        <v/>
      </c>
      <c r="F245">
        <f>HYPERLINK("https://careers.kbr.com/us/en/job/KIVKBRUSR2119091EXTERNALENUS/Data-Scientist?utm_source=indeed&amp;utm_medium=phenom-feeds", "https://careers.kbr.com/us/en/job/KIVKBRUSR2119091EXTERNALENUS/Data-Scientist?utm_source=indeed&amp;utm_medium=phenom-feeds")</f>
        <v/>
      </c>
      <c r="G245" t="inlineStr">
        <is>
          <t>Beavercreek, OH, US</t>
        </is>
      </c>
      <c r="H245" s="2" t="n">
        <v>46068</v>
      </c>
      <c r="I245" t="inlineStr">
        <is>
          <t>**Title:**
Data Scientist***Belong.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**Position Summary:**
KBR is seeking a Data Scientist to join our team in Dayton, OH. This position can be onsite or remote. KBR solves the toughest problems for our clients by extracting insight from data, delivering greater decision confidence, and improving processes. Our analysts are involved in a wide range of activities that range from understanding and transforming data, applying state of the art analytic techniques, and driving business impact through insight visualization. Our analysts are leveraged across of range of projects, such as artificial intelligence, advanced analytics, business process improvement, and application development. KBR analysts collaborate with Operations Research Analysts, Software Development Professionals, Data Architects, and Subject Matter Experts.
**Key Responsibilities:**
* Execute analytical experiments methodically to help solve various problems and make a true impact across various domains and industries
* Research and apply state\-of\-the\-art artificial intelligence methods and innovative statistical models
* Identify relevant data sources and sets to mine for client business needs, and collect large structured and unstructured datasets and variables
* Process, cleanse, and verify the integrity of data used for analysis
* Develop code for predictive/prescriptive models with applied machine learning and other modeling techniques
* Clearly document and present methodology, assumptions, and findings to stakeholders
* Working with a wide range of stakeholders and functional teams to improve business outcomes
* Deliver in a fast\-paced, team\-oriented work environment
* Adapt quickly to changing needs across several core areas, including data wrangling, data exploration, data analysis, and data visualization
* Articulate trade\-offs between analytic techniques, recommend a course of action to clients, and provide effective updates on project outcome uncertainty to leadership.
* Hands on experience performing analysis to solve problems
* Discovering insights hidden in large data sets
* Using a variety of advanced analysis methods, data tools, and models
* Using/creating algorithms and/or creating/running simulations
* Testing the effectiveness of different courses of action
**Work Environment:**
* **Location:** Onsite or Remote
* **Travel Requirements:** Minimal
* **Working Hours:** Standard
**Qualifications:**
**Required:**
* Bachelor's degree in Data Science or related field
* 5\+ yrs experience in Data Science or Data analysis
* Proficiency in programming languages like Python or R
* Experience with AI frameworks like TensorFlow or PyTorch
* Familiarity with Retrieval Augmented Generation (RAG) architectures and Large Language Models (LLM)
* Developing data pipelines to support Analytics
* Applying advanced analytics and machine learning techniques
* Documenting and communicating results of analysis
* Familiarity with SQL and BI Tools (Tableau, Qlik etc.)
* Strong analytical and problem\-solving skills
* Hands on experience with driving analytic insights and workflow automation.
* Must have the ability and motivation to self\-teach in order to stay current with leading best practices in analytics.
* Candidates must be able to tackle difficult problems, specifically working with artificial intelligence.
* Expected to have data wrangling skills.
* **Ability to obtain a DoD Secret clearance**
**Desired:**
* Master's degree in Data Science or related field
* Solid understanding of applied machine learning methods and algorithms
* Exploratory Data Analysis and Workflow Improvement
* Applied statistics skills, such as distributions, statistical testing, regression, etc.
* Data\-oriented personality with proficiency in using data query languages such as SQL and ability to understand various data structures and common methods in data transformation
* Ability to use data visualization to communicate value of insights
* Designing and developing AI agents, implementing agentic workflows
* Agentic AI frameworks such as LangGraph and standards such as Model Context Protocol (MCP)
* Text mining and Natural Language Processing techniques such as Named Entity Recognition and Text Classification
* Graph Analysis tools such as Neo4J and Cypher
* Databricks, Azure AI Foundry, Amazon Bedrock, Amazon SageMaker
* Process Automation, Image Analysis, Predictive and Prescriptive analysis
**Basic Compensation:**
$80,000\-$130,000
**This range is for the Dayton, OH area only.**
* The offered rate will be based on the selected candidate’s working location, knowledge, skills, abilities and/or experience, clearance level, contract affordability and in consideration of internal parity.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246">
      <c r="A246" t="inlineStr">
        <is>
          <t>in-665fcbc274c9eb07</t>
        </is>
      </c>
      <c r="B246" t="inlineStr">
        <is>
          <t>Sr. Applied Scientist, Sponsored Products Off-Search Sourcing</t>
        </is>
      </c>
      <c r="C246" t="inlineStr">
        <is>
          <t>Amazon.com</t>
        </is>
      </c>
      <c r="D246" t="inlineStr">
        <is>
          <t>indeed</t>
        </is>
      </c>
      <c r="E246">
        <f>HYPERLINK("https://www.indeed.com/viewjob?jk=665fcbc274c9eb07", "https://www.indeed.com/viewjob?jk=665fcbc274c9eb07")</f>
        <v/>
      </c>
      <c r="F246">
        <f>HYPERLINK("https://www.amazon.jobs/jobs/3169094/sr-applied-scientist-sponsored-products-offsearch-sourcing?cmpid=DA_INAD200785B", "https://www.amazon.jobs/jobs/3169094/sr-applied-scientist-sponsored-products-offsearch-sourcing?cmpid=DA_INAD200785B")</f>
        <v/>
      </c>
      <c r="G246" t="inlineStr">
        <is>
          <t>New York, NY, US</t>
        </is>
      </c>
      <c r="H246" s="2" t="n">
        <v>46049</v>
      </c>
      <c r="I246"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47">
      <c r="A247" t="inlineStr">
        <is>
          <t>in-43c4efdfc6704504</t>
        </is>
      </c>
      <c r="B247" t="inlineStr">
        <is>
          <t>Sr. Applied Scientist, Sponsored Products Off-Search Sourcing</t>
        </is>
      </c>
      <c r="C247" t="inlineStr">
        <is>
          <t>Amazon.com</t>
        </is>
      </c>
      <c r="D247" t="inlineStr">
        <is>
          <t>indeed</t>
        </is>
      </c>
      <c r="E247">
        <f>HYPERLINK("https://www.indeed.com/viewjob?jk=43c4efdfc6704504", "https://www.indeed.com/viewjob?jk=43c4efdfc6704504")</f>
        <v/>
      </c>
      <c r="F247">
        <f>HYPERLINK("https://www.amazon.jobs/jobs/3169094/sr-applied-scientist-sponsored-products-offsearch-sourcing?cmpid=DA_INAD200785B", "https://www.amazon.jobs/jobs/3169094/sr-applied-scientist-sponsored-products-offsearch-sourcing?cmpid=DA_INAD200785B")</f>
        <v/>
      </c>
      <c r="G247" t="inlineStr">
        <is>
          <t>Seattle, WA, US</t>
        </is>
      </c>
      <c r="H247" s="2" t="n">
        <v>46049</v>
      </c>
      <c r="I247"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48">
      <c r="A248" t="inlineStr">
        <is>
          <t>in-2a15fb2d8cf86bd5</t>
        </is>
      </c>
      <c r="B248" t="inlineStr">
        <is>
          <t>Sr. Applied Scientist, Sponsored Products Off-Search Sourcing</t>
        </is>
      </c>
      <c r="C248" t="inlineStr">
        <is>
          <t>Amazon.com</t>
        </is>
      </c>
      <c r="D248" t="inlineStr">
        <is>
          <t>indeed</t>
        </is>
      </c>
      <c r="E248">
        <f>HYPERLINK("https://www.indeed.com/viewjob?jk=2a15fb2d8cf86bd5", "https://www.indeed.com/viewjob?jk=2a15fb2d8cf86bd5")</f>
        <v/>
      </c>
      <c r="F248">
        <f>HYPERLINK("https://www.amazon.jobs/jobs/3169094/sr-applied-scientist-sponsored-products-offsearch-sourcing?cmpid=DA_INAD200785B", "https://www.amazon.jobs/jobs/3169094/sr-applied-scientist-sponsored-products-offsearch-sourcing?cmpid=DA_INAD200785B")</f>
        <v/>
      </c>
      <c r="G248" t="inlineStr">
        <is>
          <t>Palo Alto, CA, US</t>
        </is>
      </c>
      <c r="H248" s="2" t="n">
        <v>46049</v>
      </c>
      <c r="I248"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49">
      <c r="A249" t="inlineStr">
        <is>
          <t>in-02d5245b30e82da4</t>
        </is>
      </c>
      <c r="B249" t="inlineStr">
        <is>
          <t>Sr. Applied Scientist, Amazon Connect</t>
        </is>
      </c>
      <c r="C249" t="inlineStr">
        <is>
          <t>Amazon Web Services</t>
        </is>
      </c>
      <c r="D249" t="inlineStr">
        <is>
          <t>indeed</t>
        </is>
      </c>
      <c r="E249">
        <f>HYPERLINK("https://www.indeed.com/viewjob?jk=02d5245b30e82da4", "https://www.indeed.com/viewjob?jk=02d5245b30e82da4")</f>
        <v/>
      </c>
      <c r="F249">
        <f>HYPERLINK("https://www.amazon.jobs/jobs/3168991/sr-applied-scientist-amazon-connect?cmpid=DA_INAD200785B", "https://www.amazon.jobs/jobs/3168991/sr-applied-scientist-amazon-connect?cmpid=DA_INAD200785B")</f>
        <v/>
      </c>
      <c r="G249" t="inlineStr">
        <is>
          <t>New York, NY, US</t>
        </is>
      </c>
      <c r="H249" s="2" t="n">
        <v>46047</v>
      </c>
      <c r="I249"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Senior Applied Scientist will lead the scientific agenda for AI systems at the product level. The role requires identifying and solving ill\-defined problems where no textbook solutions exist, balancing rapid innovation with reliability and compliance. You should be comfortable making decisions with incomplete information and driving solutions in ambiguous problem spaces. You'll work closely with senior technical leaders within the team and across AWS, influencing across multiple teams. We're looking for scientists who can maintain high standards while moving quickly, prioritizing both rapid experimentation and responsible AI development to deliver measurable customer impact.  
Key job responsibilities  
* Lead the design, implementation, and delivery of scientifically\-complex production solutions that address medium\-to\-large business problems
* Drive your team's scientific agenda and propose new initiatives aligned with customer needs and business problems
* Invent new methodologies or paradigms when existing approaches are insufficient
* Influence across multiple teams to build consensus on technical direction and scientific approaches
* Deliver significant portions of critical\-path code that meets high quality standards (efficient, reproducible, testable, maintainable)
* Actively mentor and develop other scientists, fostering a culture of scientific excellence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in engineering, technology, computer science, machine learning, robotics, operations research, statistics, mathematics or equivalent quantitative field
* 5\+ years of building machine learning models or developing algorithms for business application experience
* Experience programming in Java, C\+\+, Python or related language
* Experience in patents or publications at top\-tier peer\-reviewed conferences or journals
* Experience collaborating and influencing multiple teams across multiple organizations
* Experience leading, mentoring and growing teams of scientists (teams of five or more scientists)
**PREFERRED QUALIFICATIONS**
----------------------------
* Experience with modeling tools such as R, scikit\-learn, Spark MLLib, MxNet, Tensorflow, numpy, scipy etc.
* Experience with large scale distributed systems such as Hadoop, Spark etc.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50">
      <c r="A250" t="inlineStr">
        <is>
          <t>in-d10ad1b3467d2d4e</t>
        </is>
      </c>
      <c r="B250" t="inlineStr">
        <is>
          <t>Applied Scientist, Amazon Connect</t>
        </is>
      </c>
      <c r="C250" t="inlineStr">
        <is>
          <t>Amazon Web Services</t>
        </is>
      </c>
      <c r="D250" t="inlineStr">
        <is>
          <t>indeed</t>
        </is>
      </c>
      <c r="E250">
        <f>HYPERLINK("https://www.indeed.com/viewjob?jk=d10ad1b3467d2d4e", "https://www.indeed.com/viewjob?jk=d10ad1b3467d2d4e")</f>
        <v/>
      </c>
      <c r="F250">
        <f>HYPERLINK("https://www.amazon.jobs/jobs/3168981/applied-scientist-amazon-connect?cmpid=DA_INAD200785B", "https://www.amazon.jobs/jobs/3168981/applied-scientist-amazon-connect?cmpid=DA_INAD200785B")</f>
        <v/>
      </c>
      <c r="G250" t="inlineStr">
        <is>
          <t>New York, NY, US</t>
        </is>
      </c>
      <c r="H250" s="2" t="n">
        <v>46047</v>
      </c>
      <c r="I250"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51">
      <c r="A251" t="inlineStr">
        <is>
          <t>in-0fa459581e0a22f7</t>
        </is>
      </c>
      <c r="B251" t="inlineStr">
        <is>
          <t>Applied Scientist II, Prime Video Personalization and Discovery Science</t>
        </is>
      </c>
      <c r="C251" t="inlineStr">
        <is>
          <t>Amazon.com</t>
        </is>
      </c>
      <c r="D251" t="inlineStr">
        <is>
          <t>indeed</t>
        </is>
      </c>
      <c r="E251">
        <f>HYPERLINK("https://www.indeed.com/viewjob?jk=0fa459581e0a22f7", "https://www.indeed.com/viewjob?jk=0fa459581e0a22f7")</f>
        <v/>
      </c>
      <c r="F251">
        <f>HYPERLINK("https://www.amazon.jobs/jobs/3168905/applied-scientist-ii-prime-video-personalization-and-discovery-science?cmpid=DA_INAD200785B", "https://www.amazon.jobs/jobs/3168905/applied-scientist-ii-prime-video-personalization-and-discovery-science?cmpid=DA_INAD200785B")</f>
        <v/>
      </c>
      <c r="G251" t="inlineStr">
        <is>
          <t>Seattle, WA, US</t>
        </is>
      </c>
      <c r="H251" s="2" t="n">
        <v>46047</v>
      </c>
      <c r="I2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52">
      <c r="A252" t="inlineStr">
        <is>
          <t>in-ee94eb1dc4177b81</t>
        </is>
      </c>
      <c r="B252" t="inlineStr">
        <is>
          <t>Applied Scientist II, Prime Video Personalization and Discovery Science</t>
        </is>
      </c>
      <c r="C252" t="inlineStr">
        <is>
          <t>Amazon.com</t>
        </is>
      </c>
      <c r="D252" t="inlineStr">
        <is>
          <t>indeed</t>
        </is>
      </c>
      <c r="E252">
        <f>HYPERLINK("https://www.indeed.com/viewjob?jk=ee94eb1dc4177b81", "https://www.indeed.com/viewjob?jk=ee94eb1dc4177b81")</f>
        <v/>
      </c>
      <c r="F252">
        <f>HYPERLINK("https://www.amazon.jobs/jobs/3168905/applied-scientist-ii-prime-video-personalization-and-discovery-science?cmpid=DA_INAD200785B", "https://www.amazon.jobs/jobs/3168905/applied-scientist-ii-prime-video-personalization-and-discovery-science?cmpid=DA_INAD200785B")</f>
        <v/>
      </c>
      <c r="G252" t="inlineStr">
        <is>
          <t>Sunnyvale, CA, US</t>
        </is>
      </c>
      <c r="H252" s="2" t="n">
        <v>46047</v>
      </c>
      <c r="I2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53">
      <c r="A253" t="inlineStr">
        <is>
          <t>in-63020d8427b3ac31</t>
        </is>
      </c>
      <c r="B253" t="inlineStr">
        <is>
          <t>Applied Scientist II, Prime Video Personalization and Discovery Science</t>
        </is>
      </c>
      <c r="C253" t="inlineStr">
        <is>
          <t>Amazon.com</t>
        </is>
      </c>
      <c r="D253" t="inlineStr">
        <is>
          <t>indeed</t>
        </is>
      </c>
      <c r="E253">
        <f>HYPERLINK("https://www.indeed.com/viewjob?jk=63020d8427b3ac31", "https://www.indeed.com/viewjob?jk=63020d8427b3ac31")</f>
        <v/>
      </c>
      <c r="F253">
        <f>HYPERLINK("https://www.amazon.jobs/jobs/3168905/applied-scientist-ii-prime-video-personalization-and-discovery-science?cmpid=DA_INAD200785B", "https://www.amazon.jobs/jobs/3168905/applied-scientist-ii-prime-video-personalization-and-discovery-science?cmpid=DA_INAD200785B")</f>
        <v/>
      </c>
      <c r="G253" t="inlineStr">
        <is>
          <t>New York, NY, US</t>
        </is>
      </c>
      <c r="H253" s="2" t="n">
        <v>46047</v>
      </c>
      <c r="I2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54">
      <c r="A254" t="inlineStr">
        <is>
          <t>in-9a7738d1d653f76f</t>
        </is>
      </c>
      <c r="B254" t="inlineStr">
        <is>
          <t>Sr. Applied Scientist, Amazon Connect</t>
        </is>
      </c>
      <c r="C254" t="inlineStr">
        <is>
          <t>Amazon Web Services</t>
        </is>
      </c>
      <c r="D254" t="inlineStr">
        <is>
          <t>indeed</t>
        </is>
      </c>
      <c r="E254">
        <f>HYPERLINK("https://www.indeed.com/viewjob?jk=9a7738d1d653f76f", "https://www.indeed.com/viewjob?jk=9a7738d1d653f76f")</f>
        <v/>
      </c>
      <c r="F254">
        <f>HYPERLINK("https://www.amazon.jobs/jobs/3168991/sr-applied-scientist-amazon-connect?cmpid=DA_INAD200785B", "https://www.amazon.jobs/jobs/3168991/sr-applied-scientist-amazon-connect?cmpid=DA_INAD200785B")</f>
        <v/>
      </c>
      <c r="G254" t="inlineStr">
        <is>
          <t>Seattle, WA, US</t>
        </is>
      </c>
      <c r="H254" s="2" t="n">
        <v>46047</v>
      </c>
      <c r="I254"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Senior Applied Scientist will lead the scientific agenda for AI systems at the product level. The role requires identifying and solving ill\-defined problems where no textbook solutions exist, balancing rapid innovation with reliability and compliance. You should be comfortable making decisions with incomplete information and driving solutions in ambiguous problem spaces. You'll work closely with senior technical leaders within the team and across AWS, influencing across multiple teams. We're looking for scientists who can maintain high standards while moving quickly, prioritizing both rapid experimentation and responsible AI development to deliver measurable customer impact.  
Key job responsibilities  
* Lead the design, implementation, and delivery of scientifically\-complex production solutions that address medium\-to\-large business problems
* Drive your team's scientific agenda and propose new initiatives aligned with customer needs and business problems
* Invent new methodologies or paradigms when existing approaches are insufficient
* Influence across multiple teams to build consensus on technical direction and scientific approaches
* Deliver significant portions of critical\-path code that meets high quality standards (efficient, reproducible, testable, maintainable)
* Actively mentor and develop other scientists, fostering a culture of scientific excellence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in engineering, technology, computer science, machine learning, robotics, operations research, statistics, mathematics or equivalent quantitative field
* 5\+ years of building machine learning models or developing algorithms for business application experience
* Experience programming in Java, C\+\+, Python or related language
* Experience in patents or publications at top\-tier peer\-reviewed conferences or journals
* Experience collaborating and influencing multiple teams across multiple organizations
* Experience leading, mentoring and growing teams of scientists (teams of five or more scientists)
**PREFERRED QUALIFICATIONS**
----------------------------
* Experience with modeling tools such as R, scikit\-learn, Spark MLLib, MxNet, Tensorflow, numpy, scipy etc.
* Experience with large scale distributed systems such as Hadoop, Spark etc.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55">
      <c r="A255" t="inlineStr">
        <is>
          <t>in-672ca5239e01a4fc</t>
        </is>
      </c>
      <c r="B255" t="inlineStr">
        <is>
          <t>Applied Scientist, Amazon Connect</t>
        </is>
      </c>
      <c r="C255" t="inlineStr">
        <is>
          <t>Amazon Web Services</t>
        </is>
      </c>
      <c r="D255" t="inlineStr">
        <is>
          <t>indeed</t>
        </is>
      </c>
      <c r="E255">
        <f>HYPERLINK("https://www.indeed.com/viewjob?jk=672ca5239e01a4fc", "https://www.indeed.com/viewjob?jk=672ca5239e01a4fc")</f>
        <v/>
      </c>
      <c r="F255">
        <f>HYPERLINK("https://www.amazon.jobs/jobs/3168981/applied-scientist-amazon-connect?cmpid=DA_INAD200785B", "https://www.amazon.jobs/jobs/3168981/applied-scientist-amazon-connect?cmpid=DA_INAD200785B")</f>
        <v/>
      </c>
      <c r="G255" t="inlineStr">
        <is>
          <t>Seattle, WA, US</t>
        </is>
      </c>
      <c r="H255" s="2" t="n">
        <v>46047</v>
      </c>
      <c r="I255"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56">
      <c r="A256" t="inlineStr">
        <is>
          <t>in-b771804e114bea9c</t>
        </is>
      </c>
      <c r="B256" t="inlineStr">
        <is>
          <t>Applied Scientist, Safety ML</t>
        </is>
      </c>
      <c r="C256" t="inlineStr">
        <is>
          <t>Amazon.com</t>
        </is>
      </c>
      <c r="D256" t="inlineStr">
        <is>
          <t>indeed</t>
        </is>
      </c>
      <c r="E256">
        <f>HYPERLINK("https://www.indeed.com/viewjob?jk=b771804e114bea9c", "https://www.indeed.com/viewjob?jk=b771804e114bea9c")</f>
        <v/>
      </c>
      <c r="F256">
        <f>HYPERLINK("https://www.amazon.jobs/jobs/3161224/applied-scientist-safety-ml?cmpid=DA_INAD200785B", "https://www.amazon.jobs/jobs/3161224/applied-scientist-safety-ml?cmpid=DA_INAD200785B")</f>
        <v/>
      </c>
      <c r="G256" t="inlineStr">
        <is>
          <t>San Francisco, CA, US</t>
        </is>
      </c>
      <c r="H256" s="2" t="n">
        <v>46037</v>
      </c>
      <c r="I25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57">
      <c r="A257" t="inlineStr">
        <is>
          <t>in-4d29a0cd765b7475</t>
        </is>
      </c>
      <c r="B257" t="inlineStr">
        <is>
          <t>Applied Scientist, Safety ML</t>
        </is>
      </c>
      <c r="C257" t="inlineStr">
        <is>
          <t>Amazon.com</t>
        </is>
      </c>
      <c r="D257" t="inlineStr">
        <is>
          <t>indeed</t>
        </is>
      </c>
      <c r="E257">
        <f>HYPERLINK("https://www.indeed.com/viewjob?jk=4d29a0cd765b7475", "https://www.indeed.com/viewjob?jk=4d29a0cd765b7475")</f>
        <v/>
      </c>
      <c r="F257">
        <f>HYPERLINK("https://www.amazon.jobs/jobs/3161224/applied-scientist-safety-ml?cmpid=DA_INAD200785B", "https://www.amazon.jobs/jobs/3161224/applied-scientist-safety-ml?cmpid=DA_INAD200785B")</f>
        <v/>
      </c>
      <c r="G257" t="inlineStr">
        <is>
          <t>Seattle, WA, US</t>
        </is>
      </c>
      <c r="H257" s="2" t="n">
        <v>46037</v>
      </c>
      <c r="I25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58">
      <c r="A258" t="inlineStr">
        <is>
          <t>in-2475cbca63afee6a</t>
        </is>
      </c>
      <c r="B258" t="inlineStr">
        <is>
          <t>Applied Scientist, LLM Code Agents, Kiro Science</t>
        </is>
      </c>
      <c r="C258" t="inlineStr">
        <is>
          <t>Amazon.com</t>
        </is>
      </c>
      <c r="D258" t="inlineStr">
        <is>
          <t>indeed</t>
        </is>
      </c>
      <c r="E258">
        <f>HYPERLINK("https://www.indeed.com/viewjob?jk=2475cbca63afee6a", "https://www.indeed.com/viewjob?jk=2475cbca63afee6a")</f>
        <v/>
      </c>
      <c r="F258">
        <f>HYPERLINK("https://www.amazon.jobs/jobs/3161363/applied-scientist-llm-code-agents-kiro-science?cmpid=DA_INAD200785B", "https://www.amazon.jobs/jobs/3161363/applied-scientist-llm-code-agents-kiro-science?cmpid=DA_INAD200785B")</f>
        <v/>
      </c>
      <c r="G258" t="inlineStr">
        <is>
          <t>Santa Clara, CA, US</t>
        </is>
      </c>
      <c r="H258" s="2" t="n">
        <v>46035</v>
      </c>
      <c r="I25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59">
      <c r="A259" t="inlineStr">
        <is>
          <t>in-5fe6369949748212</t>
        </is>
      </c>
      <c r="B259" t="inlineStr">
        <is>
          <t>Applied Scientist, LLM Code Agents, Kiro Science</t>
        </is>
      </c>
      <c r="C259" t="inlineStr">
        <is>
          <t>Amazon.com</t>
        </is>
      </c>
      <c r="D259" t="inlineStr">
        <is>
          <t>indeed</t>
        </is>
      </c>
      <c r="E259">
        <f>HYPERLINK("https://www.indeed.com/viewjob?jk=5fe6369949748212", "https://www.indeed.com/viewjob?jk=5fe6369949748212")</f>
        <v/>
      </c>
      <c r="F259">
        <f>HYPERLINK("https://www.amazon.jobs/jobs/3161363/applied-scientist-llm-code-agents-kiro-science?cmpid=DA_INAD200785B", "https://www.amazon.jobs/jobs/3161363/applied-scientist-llm-code-agents-kiro-science?cmpid=DA_INAD200785B")</f>
        <v/>
      </c>
      <c r="G259" t="inlineStr">
        <is>
          <t>Seattle, WA, US</t>
        </is>
      </c>
      <c r="H259" s="2" t="n">
        <v>46035</v>
      </c>
      <c r="I25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60">
      <c r="A260" t="inlineStr">
        <is>
          <t>in-cf38132c005301d1</t>
        </is>
      </c>
      <c r="B260" t="inlineStr">
        <is>
          <t>Applied Scientist II, Prime Video Personalization and Discovery Science</t>
        </is>
      </c>
      <c r="C260" t="inlineStr">
        <is>
          <t>Amazon.com</t>
        </is>
      </c>
      <c r="D260" t="inlineStr">
        <is>
          <t>indeed</t>
        </is>
      </c>
      <c r="E260">
        <f>HYPERLINK("https://www.indeed.com/viewjob?jk=cf38132c005301d1", "https://www.indeed.com/viewjob?jk=cf38132c005301d1")</f>
        <v/>
      </c>
      <c r="F260">
        <f>HYPERLINK("https://www.amazon.jobs/jobs/3165157/applied-scientist-ii-prime-video-personalization-and-discovery-science?cmpid=DA_INAD200785B", "https://www.amazon.jobs/jobs/3165157/applied-scientist-ii-prime-video-personalization-and-discovery-science?cmpid=DA_INAD200785B")</f>
        <v/>
      </c>
      <c r="G260" t="inlineStr">
        <is>
          <t>Seattle, WA, US</t>
        </is>
      </c>
      <c r="H260" s="2" t="n">
        <v>46034</v>
      </c>
      <c r="I2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61">
      <c r="A261" t="inlineStr">
        <is>
          <t>in-1006909acd9b5a3d</t>
        </is>
      </c>
      <c r="B261" t="inlineStr">
        <is>
          <t>Applied Scientist II, Prime Video Personalization and Discovery Science</t>
        </is>
      </c>
      <c r="C261" t="inlineStr">
        <is>
          <t>Amazon.com</t>
        </is>
      </c>
      <c r="D261" t="inlineStr">
        <is>
          <t>indeed</t>
        </is>
      </c>
      <c r="E261">
        <f>HYPERLINK("https://www.indeed.com/viewjob?jk=1006909acd9b5a3d", "https://www.indeed.com/viewjob?jk=1006909acd9b5a3d")</f>
        <v/>
      </c>
      <c r="F261">
        <f>HYPERLINK("https://www.amazon.jobs/jobs/3165157/applied-scientist-ii-prime-video-personalization-and-discovery-science?cmpid=DA_INAD200785B", "https://www.amazon.jobs/jobs/3165157/applied-scientist-ii-prime-video-personalization-and-discovery-science?cmpid=DA_INAD200785B")</f>
        <v/>
      </c>
      <c r="G261" t="inlineStr">
        <is>
          <t>Sunnyvale, CA, US</t>
        </is>
      </c>
      <c r="H261" s="2" t="n">
        <v>46034</v>
      </c>
      <c r="I2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62">
      <c r="A262" t="inlineStr">
        <is>
          <t>in-a1057ffc033b1606</t>
        </is>
      </c>
      <c r="B262" t="inlineStr">
        <is>
          <t>Sr Applied Scientist, AWS Proactive Security</t>
        </is>
      </c>
      <c r="C262" t="inlineStr">
        <is>
          <t>Amazon.com</t>
        </is>
      </c>
      <c r="D262" t="inlineStr">
        <is>
          <t>indeed</t>
        </is>
      </c>
      <c r="E262">
        <f>HYPERLINK("https://www.indeed.com/viewjob?jk=a1057ffc033b1606", "https://www.indeed.com/viewjob?jk=a1057ffc033b1606")</f>
        <v/>
      </c>
      <c r="F262">
        <f>HYPERLINK("https://www.amazon.jobs/jobs/3164664/sr-applied-scientist-aws-proactive-security?cmpid=DA_INAD200785B", "https://www.amazon.jobs/jobs/3164664/sr-applied-scientist-aws-proactive-security?cmpid=DA_INAD200785B")</f>
        <v/>
      </c>
      <c r="G262" t="inlineStr">
        <is>
          <t>Arlington, VA, US</t>
        </is>
      </c>
      <c r="H262" s="2" t="n">
        <v>46030</v>
      </c>
      <c r="I262"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63">
      <c r="A263" t="inlineStr">
        <is>
          <t>in-e2db59b183d76740</t>
        </is>
      </c>
      <c r="B263" t="inlineStr">
        <is>
          <t>Sr Applied Scientist, AWS Proactive Security</t>
        </is>
      </c>
      <c r="C263" t="inlineStr">
        <is>
          <t>Amazon.com</t>
        </is>
      </c>
      <c r="D263" t="inlineStr">
        <is>
          <t>indeed</t>
        </is>
      </c>
      <c r="E263">
        <f>HYPERLINK("https://www.indeed.com/viewjob?jk=e2db59b183d76740", "https://www.indeed.com/viewjob?jk=e2db59b183d76740")</f>
        <v/>
      </c>
      <c r="F263">
        <f>HYPERLINK("https://www.amazon.jobs/jobs/3164664/sr-applied-scientist-aws-proactive-security?cmpid=DA_INAD200785B", "https://www.amazon.jobs/jobs/3164664/sr-applied-scientist-aws-proactive-security?cmpid=DA_INAD200785B")</f>
        <v/>
      </c>
      <c r="G263" t="inlineStr">
        <is>
          <t>Sunnyvale, CA, US</t>
        </is>
      </c>
      <c r="H263" s="2" t="n">
        <v>46030</v>
      </c>
      <c r="I263"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64">
      <c r="A264" t="inlineStr">
        <is>
          <t>in-708899bf175095a7</t>
        </is>
      </c>
      <c r="B264" t="inlineStr">
        <is>
          <t>Sr Applied Scientist, AWS Proactive Security</t>
        </is>
      </c>
      <c r="C264" t="inlineStr">
        <is>
          <t>Amazon.com</t>
        </is>
      </c>
      <c r="D264" t="inlineStr">
        <is>
          <t>indeed</t>
        </is>
      </c>
      <c r="E264">
        <f>HYPERLINK("https://www.indeed.com/viewjob?jk=708899bf175095a7", "https://www.indeed.com/viewjob?jk=708899bf175095a7")</f>
        <v/>
      </c>
      <c r="F264">
        <f>HYPERLINK("https://www.amazon.jobs/jobs/3164664/sr-applied-scientist-aws-proactive-security?cmpid=DA_INAD200785B", "https://www.amazon.jobs/jobs/3164664/sr-applied-scientist-aws-proactive-security?cmpid=DA_INAD200785B")</f>
        <v/>
      </c>
      <c r="G264" t="inlineStr">
        <is>
          <t>Herndon, VA, US</t>
        </is>
      </c>
      <c r="H264" s="2" t="n">
        <v>46030</v>
      </c>
      <c r="I264"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65">
      <c r="A265" t="inlineStr">
        <is>
          <t>in-48ae781dc5165c4c</t>
        </is>
      </c>
      <c r="B265" t="inlineStr">
        <is>
          <t>Applied Scientist, AWS Applied AI Solutions</t>
        </is>
      </c>
      <c r="C265" t="inlineStr">
        <is>
          <t>Amazon Web Services</t>
        </is>
      </c>
      <c r="D265" t="inlineStr">
        <is>
          <t>indeed</t>
        </is>
      </c>
      <c r="E265">
        <f>HYPERLINK("https://www.indeed.com/viewjob?jk=48ae781dc5165c4c", "https://www.indeed.com/viewjob?jk=48ae781dc5165c4c")</f>
        <v/>
      </c>
      <c r="F265">
        <f>HYPERLINK("https://www.amazon.jobs/jobs/3166907/applied-scientist-aws-applied-ai-solutions?cmpid=DA_INAD200785B", "https://www.amazon.jobs/jobs/3166907/applied-scientist-aws-applied-ai-solutions?cmpid=DA_INAD200785B")</f>
        <v/>
      </c>
      <c r="G265" t="inlineStr">
        <is>
          <t>Seattle, WA, US</t>
        </is>
      </c>
      <c r="H265" s="2" t="n">
        <v>46030</v>
      </c>
      <c r="I265"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66">
      <c r="A266" t="inlineStr">
        <is>
          <t>in-0243ab4e833207f8</t>
        </is>
      </c>
      <c r="B266" t="inlineStr">
        <is>
          <t>Applied Scientist, AWS Applied AI Solutions</t>
        </is>
      </c>
      <c r="C266" t="inlineStr">
        <is>
          <t>Amazon Web Services</t>
        </is>
      </c>
      <c r="D266" t="inlineStr">
        <is>
          <t>indeed</t>
        </is>
      </c>
      <c r="E266">
        <f>HYPERLINK("https://www.indeed.com/viewjob?jk=0243ab4e833207f8", "https://www.indeed.com/viewjob?jk=0243ab4e833207f8")</f>
        <v/>
      </c>
      <c r="F266">
        <f>HYPERLINK("https://www.amazon.jobs/jobs/3166907/applied-scientist-aws-applied-ai-solutions?cmpid=DA_INAD200785B", "https://www.amazon.jobs/jobs/3166907/applied-scientist-aws-applied-ai-solutions?cmpid=DA_INAD200785B")</f>
        <v/>
      </c>
      <c r="G266" t="inlineStr">
        <is>
          <t>New York, NY, US</t>
        </is>
      </c>
      <c r="H266" s="2" t="n">
        <v>46030</v>
      </c>
      <c r="I266"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67">
      <c r="A267" t="inlineStr">
        <is>
          <t>in-a94d3a678f3024cb</t>
        </is>
      </c>
      <c r="B267" t="inlineStr">
        <is>
          <t>Applied Scientist, Last Mile Delivery Automation</t>
        </is>
      </c>
      <c r="C267" t="inlineStr">
        <is>
          <t>Amazon.com</t>
        </is>
      </c>
      <c r="D267" t="inlineStr">
        <is>
          <t>indeed</t>
        </is>
      </c>
      <c r="E267">
        <f>HYPERLINK("https://www.indeed.com/viewjob?jk=a94d3a678f3024cb", "https://www.indeed.com/viewjob?jk=a94d3a678f3024cb")</f>
        <v/>
      </c>
      <c r="F267">
        <f>HYPERLINK("https://www.amazon.jobs/jobs/3155354/applied-scientist-last-mile-delivery-automation?cmpid=DA_INAD200785B", "https://www.amazon.jobs/jobs/3155354/applied-scientist-last-mile-delivery-automation?cmpid=DA_INAD200785B")</f>
        <v/>
      </c>
      <c r="G267" t="inlineStr">
        <is>
          <t>Bellevue, WA, US</t>
        </is>
      </c>
      <c r="H267" s="2" t="n">
        <v>46026</v>
      </c>
      <c r="I267"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in-1c30a1bcdf225770</t>
        </is>
      </c>
      <c r="B268" t="inlineStr">
        <is>
          <t>Applied Scientist, Last Mile Delivery Automation</t>
        </is>
      </c>
      <c r="C268" t="inlineStr">
        <is>
          <t>Amazon.com</t>
        </is>
      </c>
      <c r="D268" t="inlineStr">
        <is>
          <t>indeed</t>
        </is>
      </c>
      <c r="E268">
        <f>HYPERLINK("https://www.indeed.com/viewjob?jk=1c30a1bcdf225770", "https://www.indeed.com/viewjob?jk=1c30a1bcdf225770")</f>
        <v/>
      </c>
      <c r="F268">
        <f>HYPERLINK("https://www.amazon.jobs/jobs/3155354/applied-scientist-last-mile-delivery-automation?cmpid=DA_INAD200785B", "https://www.amazon.jobs/jobs/3155354/applied-scientist-last-mile-delivery-automation?cmpid=DA_INAD200785B")</f>
        <v/>
      </c>
      <c r="G268" t="inlineStr">
        <is>
          <t>Santa Clara, CA, US</t>
        </is>
      </c>
      <c r="H268" s="2" t="n">
        <v>46026</v>
      </c>
      <c r="I268"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in-58ae752b4445d524</t>
        </is>
      </c>
      <c r="B269" t="inlineStr">
        <is>
          <t>Senior Applied Scientist, Sponsored Products and Brands, Off-Search</t>
        </is>
      </c>
      <c r="C269" t="inlineStr">
        <is>
          <t>Amazon.com</t>
        </is>
      </c>
      <c r="D269" t="inlineStr">
        <is>
          <t>indeed</t>
        </is>
      </c>
      <c r="E269">
        <f>HYPERLINK("https://www.indeed.com/viewjob?jk=58ae752b4445d524", "https://www.indeed.com/viewjob?jk=58ae752b4445d524")</f>
        <v/>
      </c>
      <c r="F269">
        <f>HYPERLINK("https://www.amazon.jobs/jobs/3153569/senior-applied-scientist-sponsored-products-and-brands-offsearch?cmpid=DA_INAD200785B", "https://www.amazon.jobs/jobs/3153569/senior-applied-scientist-sponsored-products-and-brands-offsearch?cmpid=DA_INAD200785B")</f>
        <v/>
      </c>
      <c r="G269" t="inlineStr">
        <is>
          <t>Seattle, WA, US</t>
        </is>
      </c>
      <c r="H269" s="2" t="n">
        <v>46017</v>
      </c>
      <c r="I269"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in-dd213430188fcfe0</t>
        </is>
      </c>
      <c r="B270" t="inlineStr">
        <is>
          <t>Senior Applied Scientist, Sponsored Products and Brands, Off-Search</t>
        </is>
      </c>
      <c r="C270" t="inlineStr">
        <is>
          <t>Amazon.com</t>
        </is>
      </c>
      <c r="D270" t="inlineStr">
        <is>
          <t>indeed</t>
        </is>
      </c>
      <c r="E270">
        <f>HYPERLINK("https://www.indeed.com/viewjob?jk=dd213430188fcfe0", "https://www.indeed.com/viewjob?jk=dd213430188fcfe0")</f>
        <v/>
      </c>
      <c r="F270">
        <f>HYPERLINK("https://www.amazon.jobs/jobs/3153569/senior-applied-scientist-sponsored-products-and-brands-offsearch?cmpid=DA_INAD200785B", "https://www.amazon.jobs/jobs/3153569/senior-applied-scientist-sponsored-products-and-brands-offsearch?cmpid=DA_INAD200785B")</f>
        <v/>
      </c>
      <c r="G270" t="inlineStr">
        <is>
          <t>New York, NY, US</t>
        </is>
      </c>
      <c r="H270" s="2" t="n">
        <v>46017</v>
      </c>
      <c r="I270"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in-c06ebbe847f23fab</t>
        </is>
      </c>
      <c r="B271" t="inlineStr">
        <is>
          <t>Senior Applied Scientist, Sponsored Products and Brands, Off-Search</t>
        </is>
      </c>
      <c r="C271" t="inlineStr">
        <is>
          <t>Amazon.com</t>
        </is>
      </c>
      <c r="D271" t="inlineStr">
        <is>
          <t>indeed</t>
        </is>
      </c>
      <c r="E271">
        <f>HYPERLINK("https://www.indeed.com/viewjob?jk=c06ebbe847f23fab", "https://www.indeed.com/viewjob?jk=c06ebbe847f23fab")</f>
        <v/>
      </c>
      <c r="F271">
        <f>HYPERLINK("https://www.amazon.jobs/jobs/3153569/senior-applied-scientist-sponsored-products-and-brands-offsearch?cmpid=DA_INAD200785B", "https://www.amazon.jobs/jobs/3153569/senior-applied-scientist-sponsored-products-and-brands-offsearch?cmpid=DA_INAD200785B")</f>
        <v/>
      </c>
      <c r="G271" t="inlineStr">
        <is>
          <t>Palo Alto, CA, US</t>
        </is>
      </c>
      <c r="H271" s="2" t="n">
        <v>46017</v>
      </c>
      <c r="I271"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in-7371ff9ba37a6f53</t>
        </is>
      </c>
      <c r="B272" t="inlineStr">
        <is>
          <t>Applied Scientist II, Prime Video - Personalization and Discovery Science</t>
        </is>
      </c>
      <c r="C272" t="inlineStr">
        <is>
          <t>Amazon.com</t>
        </is>
      </c>
      <c r="D272" t="inlineStr">
        <is>
          <t>indeed</t>
        </is>
      </c>
      <c r="E272">
        <f>HYPERLINK("https://www.indeed.com/viewjob?jk=7371ff9ba37a6f53", "https://www.indeed.com/viewjob?jk=7371ff9ba37a6f53")</f>
        <v/>
      </c>
      <c r="F272">
        <f>HYPERLINK("https://www.amazon.jobs/jobs/3154128/applied-scientist-ii-prime-video--personalization-and-discovery-science?cmpid=DA_INAD200785B", "https://www.amazon.jobs/jobs/3154128/applied-scientist-ii-prime-video--personalization-and-discovery-science?cmpid=DA_INAD200785B")</f>
        <v/>
      </c>
      <c r="G272" t="inlineStr">
        <is>
          <t>Sunnyvale, CA, US</t>
        </is>
      </c>
      <c r="H272" s="2" t="n">
        <v>46012</v>
      </c>
      <c r="I2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73">
      <c r="A273" t="inlineStr">
        <is>
          <t>in-8da2b4c4c1a84137</t>
        </is>
      </c>
      <c r="B273" t="inlineStr">
        <is>
          <t>Applied Scientist II, Prime Video - Personalization and Discovery Science</t>
        </is>
      </c>
      <c r="C273" t="inlineStr">
        <is>
          <t>Amazon.com</t>
        </is>
      </c>
      <c r="D273" t="inlineStr">
        <is>
          <t>indeed</t>
        </is>
      </c>
      <c r="E273">
        <f>HYPERLINK("https://www.indeed.com/viewjob?jk=8da2b4c4c1a84137", "https://www.indeed.com/viewjob?jk=8da2b4c4c1a84137")</f>
        <v/>
      </c>
      <c r="F273">
        <f>HYPERLINK("https://www.amazon.jobs/jobs/3154128/applied-scientist-ii-prime-video--personalization-and-discovery-science?cmpid=DA_INAD200785B", "https://www.amazon.jobs/jobs/3154128/applied-scientist-ii-prime-video--personalization-and-discovery-science?cmpid=DA_INAD200785B")</f>
        <v/>
      </c>
      <c r="G273" t="inlineStr">
        <is>
          <t>Seattle, WA, US</t>
        </is>
      </c>
      <c r="H273" s="2" t="n">
        <v>46012</v>
      </c>
      <c r="I2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74">
      <c r="A274" t="inlineStr">
        <is>
          <t>in-c8cd64a069204f91</t>
        </is>
      </c>
      <c r="B274" t="inlineStr">
        <is>
          <t>Principal Applied Scientist, Kiro Science</t>
        </is>
      </c>
      <c r="C274" t="inlineStr">
        <is>
          <t>Amazon Web Services</t>
        </is>
      </c>
      <c r="D274" t="inlineStr">
        <is>
          <t>indeed</t>
        </is>
      </c>
      <c r="E274">
        <f>HYPERLINK("https://www.indeed.com/viewjob?jk=c8cd64a069204f91", "https://www.indeed.com/viewjob?jk=c8cd64a069204f91")</f>
        <v/>
      </c>
      <c r="F274">
        <f>HYPERLINK("https://www.amazon.jobs/jobs/3161064/principal-applied-scientist-kiro-science?cmpid=DA_INAD200785B", "https://www.amazon.jobs/jobs/3161064/principal-applied-scientist-kiro-science?cmpid=DA_INAD200785B")</f>
        <v/>
      </c>
      <c r="G274" t="inlineStr">
        <is>
          <t>Santa Clara, CA, US</t>
        </is>
      </c>
      <c r="H274" s="2" t="n">
        <v>45999</v>
      </c>
      <c r="I274"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75">
      <c r="A275" t="inlineStr">
        <is>
          <t>in-42eb46fe39803e85</t>
        </is>
      </c>
      <c r="B275" t="inlineStr">
        <is>
          <t>Principal Applied Scientist, Kiro Science</t>
        </is>
      </c>
      <c r="C275" t="inlineStr">
        <is>
          <t>Amazon Web Services</t>
        </is>
      </c>
      <c r="D275" t="inlineStr">
        <is>
          <t>indeed</t>
        </is>
      </c>
      <c r="E275">
        <f>HYPERLINK("https://www.indeed.com/viewjob?jk=42eb46fe39803e85", "https://www.indeed.com/viewjob?jk=42eb46fe39803e85")</f>
        <v/>
      </c>
      <c r="F275">
        <f>HYPERLINK("https://www.amazon.jobs/jobs/3161064/principal-applied-scientist-kiro-science?cmpid=DA_INAD200785B", "https://www.amazon.jobs/jobs/3161064/principal-applied-scientist-kiro-science?cmpid=DA_INAD200785B")</f>
        <v/>
      </c>
      <c r="G275" t="inlineStr">
        <is>
          <t>New York, NY, US</t>
        </is>
      </c>
      <c r="H275" s="2" t="n">
        <v>45999</v>
      </c>
      <c r="I27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76">
      <c r="A276" t="inlineStr">
        <is>
          <t>in-ea48012ff0661fcc</t>
        </is>
      </c>
      <c r="B276" t="inlineStr">
        <is>
          <t>Sr. Applied Scientist, Amazon Ads</t>
        </is>
      </c>
      <c r="C276" t="inlineStr">
        <is>
          <t>Amazon.com</t>
        </is>
      </c>
      <c r="D276" t="inlineStr">
        <is>
          <t>indeed</t>
        </is>
      </c>
      <c r="E276">
        <f>HYPERLINK("https://www.indeed.com/viewjob?jk=ea48012ff0661fcc", "https://www.indeed.com/viewjob?jk=ea48012ff0661fcc")</f>
        <v/>
      </c>
      <c r="F276">
        <f>HYPERLINK("https://www.amazon.jobs/jobs/3139328/sr-applied-scientist-amazon-ads?cmpid=DA_INAD200785B", "https://www.amazon.jobs/jobs/3139328/sr-applied-scientist-amazon-ads?cmpid=DA_INAD200785B")</f>
        <v/>
      </c>
      <c r="G276" t="inlineStr">
        <is>
          <t>Santa Monica, CA, US</t>
        </is>
      </c>
      <c r="H276" s="2" t="n">
        <v>45998</v>
      </c>
      <c r="I27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7">
      <c r="A277" t="inlineStr">
        <is>
          <t>in-6ab33391eaa782bd</t>
        </is>
      </c>
      <c r="B277" t="inlineStr">
        <is>
          <t>Sr. Applied Scientist, Amazon Ads</t>
        </is>
      </c>
      <c r="C277" t="inlineStr">
        <is>
          <t>Amazon.com</t>
        </is>
      </c>
      <c r="D277" t="inlineStr">
        <is>
          <t>indeed</t>
        </is>
      </c>
      <c r="E277">
        <f>HYPERLINK("https://www.indeed.com/viewjob?jk=6ab33391eaa782bd", "https://www.indeed.com/viewjob?jk=6ab33391eaa782bd")</f>
        <v/>
      </c>
      <c r="F277">
        <f>HYPERLINK("https://www.amazon.jobs/jobs/3139328/sr-applied-scientist-amazon-ads?cmpid=DA_INAD200785B", "https://www.amazon.jobs/jobs/3139328/sr-applied-scientist-amazon-ads?cmpid=DA_INAD200785B")</f>
        <v/>
      </c>
      <c r="G277" t="inlineStr">
        <is>
          <t>Brooklyn, NY, US</t>
        </is>
      </c>
      <c r="H277" s="2" t="n">
        <v>45998</v>
      </c>
      <c r="I27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8">
      <c r="A278" t="inlineStr">
        <is>
          <t>in-82a40f25a81836bb</t>
        </is>
      </c>
      <c r="B278" t="inlineStr">
        <is>
          <t>Sr. Applied Scientist, Amazon Ads</t>
        </is>
      </c>
      <c r="C278" t="inlineStr">
        <is>
          <t>Amazon.com</t>
        </is>
      </c>
      <c r="D278" t="inlineStr">
        <is>
          <t>indeed</t>
        </is>
      </c>
      <c r="E278">
        <f>HYPERLINK("https://www.indeed.com/viewjob?jk=82a40f25a81836bb", "https://www.indeed.com/viewjob?jk=82a40f25a81836bb")</f>
        <v/>
      </c>
      <c r="F278">
        <f>HYPERLINK("https://www.amazon.jobs/jobs/3139328/sr-applied-scientist-amazon-ads?cmpid=DA_INAD200785B", "https://www.amazon.jobs/jobs/3139328/sr-applied-scientist-amazon-ads?cmpid=DA_INAD200785B")</f>
        <v/>
      </c>
      <c r="G278" t="inlineStr">
        <is>
          <t>Tukwila, WA, US</t>
        </is>
      </c>
      <c r="H278" s="2" t="n">
        <v>45998</v>
      </c>
      <c r="I27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9">
      <c r="A279" t="inlineStr">
        <is>
          <t>in-afaf14208b705db2</t>
        </is>
      </c>
      <c r="B279" t="inlineStr">
        <is>
          <t>Sr. Applied Scientist, Amazon Ads</t>
        </is>
      </c>
      <c r="C279" t="inlineStr">
        <is>
          <t>Amazon.com</t>
        </is>
      </c>
      <c r="D279" t="inlineStr">
        <is>
          <t>indeed</t>
        </is>
      </c>
      <c r="E279">
        <f>HYPERLINK("https://www.indeed.com/viewjob?jk=afaf14208b705db2", "https://www.indeed.com/viewjob?jk=afaf14208b705db2")</f>
        <v/>
      </c>
      <c r="F279">
        <f>HYPERLINK("https://www.amazon.jobs/jobs/3139328/sr-applied-scientist-amazon-ads?cmpid=DA_INAD200785B", "https://www.amazon.jobs/jobs/3139328/sr-applied-scientist-amazon-ads?cmpid=DA_INAD200785B")</f>
        <v/>
      </c>
      <c r="G279" t="inlineStr">
        <is>
          <t>Palo Alto, CA, US</t>
        </is>
      </c>
      <c r="H279" s="2" t="n">
        <v>45998</v>
      </c>
      <c r="I27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80">
      <c r="A280" t="inlineStr">
        <is>
          <t>in-40ff9c171b567f46</t>
        </is>
      </c>
      <c r="B280" t="inlineStr">
        <is>
          <t>Sr. Applied Scientist, Amazon Ads</t>
        </is>
      </c>
      <c r="C280" t="inlineStr">
        <is>
          <t>Amazon.com</t>
        </is>
      </c>
      <c r="D280" t="inlineStr">
        <is>
          <t>indeed</t>
        </is>
      </c>
      <c r="E280">
        <f>HYPERLINK("https://www.indeed.com/viewjob?jk=40ff9c171b567f46", "https://www.indeed.com/viewjob?jk=40ff9c171b567f46")</f>
        <v/>
      </c>
      <c r="F280">
        <f>HYPERLINK("https://www.amazon.jobs/jobs/3139328/sr-applied-scientist-amazon-ads?cmpid=DA_INAD200785B", "https://www.amazon.jobs/jobs/3139328/sr-applied-scientist-amazon-ads?cmpid=DA_INAD200785B")</f>
        <v/>
      </c>
      <c r="G280" t="inlineStr">
        <is>
          <t>Seattle, WA, US</t>
        </is>
      </c>
      <c r="H280" s="2" t="n">
        <v>45998</v>
      </c>
      <c r="I28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81">
      <c r="A281" t="inlineStr">
        <is>
          <t>in-66b9c4fad22e6129</t>
        </is>
      </c>
      <c r="B281" t="inlineStr">
        <is>
          <t>Sr. Applied Scientist, Amazon Ads</t>
        </is>
      </c>
      <c r="C281" t="inlineStr">
        <is>
          <t>Amazon.com</t>
        </is>
      </c>
      <c r="D281" t="inlineStr">
        <is>
          <t>indeed</t>
        </is>
      </c>
      <c r="E281">
        <f>HYPERLINK("https://www.indeed.com/viewjob?jk=66b9c4fad22e6129", "https://www.indeed.com/viewjob?jk=66b9c4fad22e6129")</f>
        <v/>
      </c>
      <c r="F281">
        <f>HYPERLINK("https://www.amazon.jobs/jobs/3139328/sr-applied-scientist-amazon-ads?cmpid=DA_INAD200785B", "https://www.amazon.jobs/jobs/3139328/sr-applied-scientist-amazon-ads?cmpid=DA_INAD200785B")</f>
        <v/>
      </c>
      <c r="G281" t="inlineStr">
        <is>
          <t>New York, NY, US</t>
        </is>
      </c>
      <c r="H281" s="2" t="n">
        <v>45998</v>
      </c>
      <c r="I28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82">
      <c r="A282" t="inlineStr">
        <is>
          <t>in-473aaa7181d97c5f</t>
        </is>
      </c>
      <c r="B282" t="inlineStr">
        <is>
          <t>Sr. Applied Scientist, Amazon Ads</t>
        </is>
      </c>
      <c r="C282" t="inlineStr">
        <is>
          <t>Amazon.com</t>
        </is>
      </c>
      <c r="D282" t="inlineStr">
        <is>
          <t>indeed</t>
        </is>
      </c>
      <c r="E282">
        <f>HYPERLINK("https://www.indeed.com/viewjob?jk=473aaa7181d97c5f", "https://www.indeed.com/viewjob?jk=473aaa7181d97c5f")</f>
        <v/>
      </c>
      <c r="F282">
        <f>HYPERLINK("https://www.amazon.jobs/jobs/3139328/sr-applied-scientist-amazon-ads?cmpid=DA_INAD200785B", "https://www.amazon.jobs/jobs/3139328/sr-applied-scientist-amazon-ads?cmpid=DA_INAD200785B")</f>
        <v/>
      </c>
      <c r="G282" t="inlineStr">
        <is>
          <t>Sunnyvale, CA, US</t>
        </is>
      </c>
      <c r="H282" s="2" t="n">
        <v>45998</v>
      </c>
      <c r="I28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83">
      <c r="A283" t="inlineStr">
        <is>
          <t>in-23aadee309827cd3</t>
        </is>
      </c>
      <c r="B283" t="inlineStr">
        <is>
          <t>Sr. Applied Scientist, Amazon Ads</t>
        </is>
      </c>
      <c r="C283" t="inlineStr">
        <is>
          <t>Amazon.com</t>
        </is>
      </c>
      <c r="D283" t="inlineStr">
        <is>
          <t>indeed</t>
        </is>
      </c>
      <c r="E283">
        <f>HYPERLINK("https://www.indeed.com/viewjob?jk=23aadee309827cd3", "https://www.indeed.com/viewjob?jk=23aadee309827cd3")</f>
        <v/>
      </c>
      <c r="F283">
        <f>HYPERLINK("https://www.amazon.jobs/jobs/3139328/sr-applied-scientist-amazon-ads?cmpid=DA_INAD200785B", "https://www.amazon.jobs/jobs/3139328/sr-applied-scientist-amazon-ads?cmpid=DA_INAD200785B")</f>
        <v/>
      </c>
      <c r="G283" t="inlineStr">
        <is>
          <t>Boston, MA, US</t>
        </is>
      </c>
      <c r="H283" s="2" t="n">
        <v>45998</v>
      </c>
      <c r="I28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84">
      <c r="A284" t="inlineStr">
        <is>
          <t>in-94b9d1c92266a3ae</t>
        </is>
      </c>
      <c r="B284" t="inlineStr">
        <is>
          <t>Sr. Applied Scientist, Amazon Ads</t>
        </is>
      </c>
      <c r="C284" t="inlineStr">
        <is>
          <t>Amazon.com</t>
        </is>
      </c>
      <c r="D284" t="inlineStr">
        <is>
          <t>indeed</t>
        </is>
      </c>
      <c r="E284">
        <f>HYPERLINK("https://www.indeed.com/viewjob?jk=94b9d1c92266a3ae", "https://www.indeed.com/viewjob?jk=94b9d1c92266a3ae")</f>
        <v/>
      </c>
      <c r="F284">
        <f>HYPERLINK("https://www.amazon.jobs/jobs/3139328/sr-applied-scientist-amazon-ads?cmpid=DA_INAD200785B", "https://www.amazon.jobs/jobs/3139328/sr-applied-scientist-amazon-ads?cmpid=DA_INAD200785B")</f>
        <v/>
      </c>
      <c r="G284" t="inlineStr">
        <is>
          <t>Corvallis, OR, US</t>
        </is>
      </c>
      <c r="H284" s="2" t="n">
        <v>45998</v>
      </c>
      <c r="I28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85">
      <c r="A285" t="inlineStr">
        <is>
          <t>in-f34d2b10c61e1f32</t>
        </is>
      </c>
      <c r="B285" t="inlineStr">
        <is>
          <t>Sr. Applied Scientist, Amazon Ads</t>
        </is>
      </c>
      <c r="C285" t="inlineStr">
        <is>
          <t>Amazon.com</t>
        </is>
      </c>
      <c r="D285" t="inlineStr">
        <is>
          <t>indeed</t>
        </is>
      </c>
      <c r="E285">
        <f>HYPERLINK("https://www.indeed.com/viewjob?jk=f34d2b10c61e1f32", "https://www.indeed.com/viewjob?jk=f34d2b10c61e1f32")</f>
        <v/>
      </c>
      <c r="F285">
        <f>HYPERLINK("https://www.amazon.jobs/jobs/3139328/sr-applied-scientist-amazon-ads?cmpid=DA_INAD200785B", "https://www.amazon.jobs/jobs/3139328/sr-applied-scientist-amazon-ads?cmpid=DA_INAD200785B")</f>
        <v/>
      </c>
      <c r="G285" t="inlineStr">
        <is>
          <t>Boulder, CO, US</t>
        </is>
      </c>
      <c r="H285" s="2" t="n">
        <v>45998</v>
      </c>
      <c r="I28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86">
      <c r="A286" t="inlineStr">
        <is>
          <t>in-f27e58d7183ae943</t>
        </is>
      </c>
      <c r="B286" t="inlineStr">
        <is>
          <t>Principal Applied Scientist, Sponsored Products and Brands</t>
        </is>
      </c>
      <c r="C286" t="inlineStr">
        <is>
          <t>Amazon.com</t>
        </is>
      </c>
      <c r="D286" t="inlineStr">
        <is>
          <t>indeed</t>
        </is>
      </c>
      <c r="E286">
        <f>HYPERLINK("https://www.indeed.com/viewjob?jk=f27e58d7183ae943", "https://www.indeed.com/viewjob?jk=f27e58d7183ae943")</f>
        <v/>
      </c>
      <c r="F286">
        <f>HYPERLINK("https://www.amazon.jobs/jobs/3130855/principal-applied-scientist-sponsored-products-and-brands?cmpid=DA_INAD200785B", "https://www.amazon.jobs/jobs/3130855/principal-applied-scientist-sponsored-products-and-brands?cmpid=DA_INAD200785B")</f>
        <v/>
      </c>
      <c r="G286" t="inlineStr">
        <is>
          <t>Seattle, WA, US</t>
        </is>
      </c>
      <c r="H286" s="2" t="n">
        <v>45979</v>
      </c>
      <c r="I28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in-c2d26ccf7cc97b96</t>
        </is>
      </c>
      <c r="B287" t="inlineStr">
        <is>
          <t>Principal Applied Scientist, Sponsored Products and Brands</t>
        </is>
      </c>
      <c r="C287" t="inlineStr">
        <is>
          <t>Amazon.com</t>
        </is>
      </c>
      <c r="D287" t="inlineStr">
        <is>
          <t>indeed</t>
        </is>
      </c>
      <c r="E287">
        <f>HYPERLINK("https://www.indeed.com/viewjob?jk=c2d26ccf7cc97b96", "https://www.indeed.com/viewjob?jk=c2d26ccf7cc97b96")</f>
        <v/>
      </c>
      <c r="F287">
        <f>HYPERLINK("https://www.amazon.jobs/jobs/3130855/principal-applied-scientist-sponsored-products-and-brands?cmpid=DA_INAD200785B", "https://www.amazon.jobs/jobs/3130855/principal-applied-scientist-sponsored-products-and-brands?cmpid=DA_INAD200785B")</f>
        <v/>
      </c>
      <c r="G287" t="inlineStr">
        <is>
          <t>New York, NY, US</t>
        </is>
      </c>
      <c r="H287" s="2" t="n">
        <v>45979</v>
      </c>
      <c r="I28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in-1f7ac0a44440afa7</t>
        </is>
      </c>
      <c r="B288" t="inlineStr">
        <is>
          <t>Applied Scientist, Personalization, DTx Science</t>
        </is>
      </c>
      <c r="C288" t="inlineStr">
        <is>
          <t>Amazon.com</t>
        </is>
      </c>
      <c r="D288" t="inlineStr">
        <is>
          <t>indeed</t>
        </is>
      </c>
      <c r="E288">
        <f>HYPERLINK("https://www.indeed.com/viewjob?jk=1f7ac0a44440afa7", "https://www.indeed.com/viewjob?jk=1f7ac0a44440afa7")</f>
        <v/>
      </c>
      <c r="F288">
        <f>HYPERLINK("https://www.amazon.jobs/jobs/3136853/applied-scientist-personalization-dtx-science?cmpid=DA_INAD200785B", "https://www.amazon.jobs/jobs/3136853/applied-scientist-personalization-dtx-science?cmpid=DA_INAD200785B")</f>
        <v/>
      </c>
      <c r="G288" t="inlineStr">
        <is>
          <t>New York, NY, US</t>
        </is>
      </c>
      <c r="H288" s="2" t="n">
        <v>45979</v>
      </c>
      <c r="I288"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89">
      <c r="A289" t="inlineStr">
        <is>
          <t>in-c694f53b94b5eef4</t>
        </is>
      </c>
      <c r="B289" t="inlineStr">
        <is>
          <t>Applied Scientist, Personalization, DTx Science</t>
        </is>
      </c>
      <c r="C289" t="inlineStr">
        <is>
          <t>Amazon.com</t>
        </is>
      </c>
      <c r="D289" t="inlineStr">
        <is>
          <t>indeed</t>
        </is>
      </c>
      <c r="E289">
        <f>HYPERLINK("https://www.indeed.com/viewjob?jk=c694f53b94b5eef4", "https://www.indeed.com/viewjob?jk=c694f53b94b5eef4")</f>
        <v/>
      </c>
      <c r="F289">
        <f>HYPERLINK("https://www.amazon.jobs/jobs/3136853/applied-scientist-personalization-dtx-science?cmpid=DA_INAD200785B", "https://www.amazon.jobs/jobs/3136853/applied-scientist-personalization-dtx-science?cmpid=DA_INAD200785B")</f>
        <v/>
      </c>
      <c r="G289" t="inlineStr">
        <is>
          <t>Seattle, WA, US</t>
        </is>
      </c>
      <c r="H289" s="2" t="n">
        <v>45979</v>
      </c>
      <c r="I28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90">
      <c r="A290" t="inlineStr">
        <is>
          <t>in-76d94e6c833317f2</t>
        </is>
      </c>
      <c r="B290" t="inlineStr">
        <is>
          <t>Senior Applied Scientist, Sponsored Products and Brands</t>
        </is>
      </c>
      <c r="C290" t="inlineStr">
        <is>
          <t>Amazon.com</t>
        </is>
      </c>
      <c r="D290" t="inlineStr">
        <is>
          <t>indeed</t>
        </is>
      </c>
      <c r="E290">
        <f>HYPERLINK("https://www.indeed.com/viewjob?jk=76d94e6c833317f2", "https://www.indeed.com/viewjob?jk=76d94e6c833317f2")</f>
        <v/>
      </c>
      <c r="F290">
        <f>HYPERLINK("https://www.amazon.jobs/jobs/3130062/senior-applied-scientist-sponsored-products-and-brands?cmpid=DA_INAD200785B", "https://www.amazon.jobs/jobs/3130062/senior-applied-scientist-sponsored-products-and-brands?cmpid=DA_INAD200785B")</f>
        <v/>
      </c>
      <c r="G290" t="inlineStr">
        <is>
          <t>Seattle, WA, US</t>
        </is>
      </c>
      <c r="H290" s="2" t="n">
        <v>45979</v>
      </c>
      <c r="I29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91">
      <c r="A291" t="inlineStr">
        <is>
          <t>in-f370b611924fe029</t>
        </is>
      </c>
      <c r="B291" t="inlineStr">
        <is>
          <t>Senior Applied Scientist, Sponsored Products and Brands</t>
        </is>
      </c>
      <c r="C291" t="inlineStr">
        <is>
          <t>Amazon.com</t>
        </is>
      </c>
      <c r="D291" t="inlineStr">
        <is>
          <t>indeed</t>
        </is>
      </c>
      <c r="E291">
        <f>HYPERLINK("https://www.indeed.com/viewjob?jk=f370b611924fe029", "https://www.indeed.com/viewjob?jk=f370b611924fe029")</f>
        <v/>
      </c>
      <c r="F291">
        <f>HYPERLINK("https://www.amazon.jobs/jobs/3130062/senior-applied-scientist-sponsored-products-and-brands?cmpid=DA_INAD200785B", "https://www.amazon.jobs/jobs/3130062/senior-applied-scientist-sponsored-products-and-brands?cmpid=DA_INAD200785B")</f>
        <v/>
      </c>
      <c r="G291" t="inlineStr">
        <is>
          <t>New York, NY, US</t>
        </is>
      </c>
      <c r="H291" s="2" t="n">
        <v>45979</v>
      </c>
      <c r="I29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92">
      <c r="A292" t="inlineStr">
        <is>
          <t>in-b297bab439eb3cd7</t>
        </is>
      </c>
      <c r="B292" t="inlineStr">
        <is>
          <t>Applied Scientist II, Prime Video Personalization and Discovery Science</t>
        </is>
      </c>
      <c r="C292" t="inlineStr">
        <is>
          <t>Amazon.com</t>
        </is>
      </c>
      <c r="D292" t="inlineStr">
        <is>
          <t>indeed</t>
        </is>
      </c>
      <c r="E292">
        <f>HYPERLINK("https://www.indeed.com/viewjob?jk=b297bab439eb3cd7", "https://www.indeed.com/viewjob?jk=b297bab439eb3cd7")</f>
        <v/>
      </c>
      <c r="F292">
        <f>HYPERLINK("https://www.amazon.jobs/jobs/3129475/applied-scientist-ii-prime-video-personalization-and-discovery-science?cmpid=DA_INAD200785B", "https://www.amazon.jobs/jobs/3129475/applied-scientist-ii-prime-video-personalization-and-discovery-science?cmpid=DA_INAD200785B")</f>
        <v/>
      </c>
      <c r="G292" t="inlineStr">
        <is>
          <t>Seattle, WA, US</t>
        </is>
      </c>
      <c r="H292" s="2" t="n">
        <v>45978</v>
      </c>
      <c r="I2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93">
      <c r="A293" t="inlineStr">
        <is>
          <t>in-eac785a615ed6729</t>
        </is>
      </c>
      <c r="B293" t="inlineStr">
        <is>
          <t>Applied Scientist II, Prime Video Personalization and Discovery Science</t>
        </is>
      </c>
      <c r="C293" t="inlineStr">
        <is>
          <t>Amazon.com</t>
        </is>
      </c>
      <c r="D293" t="inlineStr">
        <is>
          <t>indeed</t>
        </is>
      </c>
      <c r="E293">
        <f>HYPERLINK("https://www.indeed.com/viewjob?jk=eac785a615ed6729", "https://www.indeed.com/viewjob?jk=eac785a615ed6729")</f>
        <v/>
      </c>
      <c r="F293">
        <f>HYPERLINK("https://www.amazon.jobs/jobs/3129475/applied-scientist-ii-prime-video-personalization-and-discovery-science?cmpid=DA_INAD200785B", "https://www.amazon.jobs/jobs/3129475/applied-scientist-ii-prime-video-personalization-and-discovery-science?cmpid=DA_INAD200785B")</f>
        <v/>
      </c>
      <c r="G293" t="inlineStr">
        <is>
          <t>New York, NY, US</t>
        </is>
      </c>
      <c r="H293" s="2" t="n">
        <v>45978</v>
      </c>
      <c r="I2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94">
      <c r="A294" t="inlineStr">
        <is>
          <t>in-8e2859c7a461a13b</t>
        </is>
      </c>
      <c r="B294" t="inlineStr">
        <is>
          <t>Applied Scientist II, Prime Video Personalization and Discovery Science</t>
        </is>
      </c>
      <c r="C294" t="inlineStr">
        <is>
          <t>Amazon.com</t>
        </is>
      </c>
      <c r="D294" t="inlineStr">
        <is>
          <t>indeed</t>
        </is>
      </c>
      <c r="E294">
        <f>HYPERLINK("https://www.indeed.com/viewjob?jk=8e2859c7a461a13b", "https://www.indeed.com/viewjob?jk=8e2859c7a461a13b")</f>
        <v/>
      </c>
      <c r="F294">
        <f>HYPERLINK("https://www.amazon.jobs/jobs/3129475/applied-scientist-ii-prime-video-personalization-and-discovery-science?cmpid=DA_INAD200785B", "https://www.amazon.jobs/jobs/3129475/applied-scientist-ii-prime-video-personalization-and-discovery-science?cmpid=DA_INAD200785B")</f>
        <v/>
      </c>
      <c r="G294" t="inlineStr">
        <is>
          <t>Sunnyvale, CA, US</t>
        </is>
      </c>
      <c r="H294" s="2" t="n">
        <v>45978</v>
      </c>
      <c r="I2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95">
      <c r="A295" t="inlineStr">
        <is>
          <t>in-0cca88e0b2d9d977</t>
        </is>
      </c>
      <c r="B295" t="inlineStr">
        <is>
          <t>Sr. Applied Scientist, Sponsored Products</t>
        </is>
      </c>
      <c r="C295" t="inlineStr">
        <is>
          <t>Amazon.com</t>
        </is>
      </c>
      <c r="D295" t="inlineStr">
        <is>
          <t>indeed</t>
        </is>
      </c>
      <c r="E295">
        <f>HYPERLINK("https://www.indeed.com/viewjob?jk=0cca88e0b2d9d977", "https://www.indeed.com/viewjob?jk=0cca88e0b2d9d977")</f>
        <v/>
      </c>
      <c r="F295">
        <f>HYPERLINK("https://www.amazon.jobs/jobs/3136156/sr-applied-scientist-sponsored-products?cmpid=DA_INAD200785B", "https://www.amazon.jobs/jobs/3136156/sr-applied-scientist-sponsored-products?cmpid=DA_INAD200785B")</f>
        <v/>
      </c>
      <c r="G295" t="inlineStr">
        <is>
          <t>New York, NY, US</t>
        </is>
      </c>
      <c r="H295" s="2" t="n">
        <v>45976</v>
      </c>
      <c r="I295"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96">
      <c r="A296" t="inlineStr">
        <is>
          <t>in-85e61298a0133c2e</t>
        </is>
      </c>
      <c r="B296" t="inlineStr">
        <is>
          <t>Sr. Applied Scientist, Sponsored Products</t>
        </is>
      </c>
      <c r="C296" t="inlineStr">
        <is>
          <t>Amazon.com</t>
        </is>
      </c>
      <c r="D296" t="inlineStr">
        <is>
          <t>indeed</t>
        </is>
      </c>
      <c r="E296">
        <f>HYPERLINK("https://www.indeed.com/viewjob?jk=85e61298a0133c2e", "https://www.indeed.com/viewjob?jk=85e61298a0133c2e")</f>
        <v/>
      </c>
      <c r="F296">
        <f>HYPERLINK("https://www.amazon.jobs/jobs/3136156/sr-applied-scientist-sponsored-products?cmpid=DA_INAD200785B", "https://www.amazon.jobs/jobs/3136156/sr-applied-scientist-sponsored-products?cmpid=DA_INAD200785B")</f>
        <v/>
      </c>
      <c r="G296" t="inlineStr">
        <is>
          <t>Arlington, VA, US</t>
        </is>
      </c>
      <c r="H296" s="2" t="n">
        <v>45976</v>
      </c>
      <c r="I29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97">
      <c r="A297" t="inlineStr">
        <is>
          <t>in-c41965b80bf9bcdb</t>
        </is>
      </c>
      <c r="B297" t="inlineStr">
        <is>
          <t>Sr. Applied Scientist, Sponsored Products</t>
        </is>
      </c>
      <c r="C297" t="inlineStr">
        <is>
          <t>Amazon.com</t>
        </is>
      </c>
      <c r="D297" t="inlineStr">
        <is>
          <t>indeed</t>
        </is>
      </c>
      <c r="E297">
        <f>HYPERLINK("https://www.indeed.com/viewjob?jk=c41965b80bf9bcdb", "https://www.indeed.com/viewjob?jk=c41965b80bf9bcdb")</f>
        <v/>
      </c>
      <c r="F297">
        <f>HYPERLINK("https://www.amazon.jobs/jobs/3136156/sr-applied-scientist-sponsored-products?cmpid=DA_INAD200785B", "https://www.amazon.jobs/jobs/3136156/sr-applied-scientist-sponsored-products?cmpid=DA_INAD200785B")</f>
        <v/>
      </c>
      <c r="G297" t="inlineStr">
        <is>
          <t>Seattle, WA, US</t>
        </is>
      </c>
      <c r="H297" s="2" t="n">
        <v>45976</v>
      </c>
      <c r="I29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98">
      <c r="A298" t="inlineStr">
        <is>
          <t>in-2281d9d6cbbc5c5e</t>
        </is>
      </c>
      <c r="B298" t="inlineStr">
        <is>
          <t>Applied Scientist, AWS Agentic AI</t>
        </is>
      </c>
      <c r="C298" t="inlineStr">
        <is>
          <t>Amazon Web Services</t>
        </is>
      </c>
      <c r="D298" t="inlineStr">
        <is>
          <t>indeed</t>
        </is>
      </c>
      <c r="E298">
        <f>HYPERLINK("https://www.indeed.com/viewjob?jk=2281d9d6cbbc5c5e", "https://www.indeed.com/viewjob?jk=2281d9d6cbbc5c5e")</f>
        <v/>
      </c>
      <c r="F298">
        <f>HYPERLINK("https://www.amazon.jobs/jobs/3141517/applied-scientist-aws-agentic-ai-?cmpid=DA_INAD200785B", "https://www.amazon.jobs/jobs/3141517/applied-scientist-aws-agentic-ai-?cmpid=DA_INAD200785B")</f>
        <v/>
      </c>
      <c r="G298" t="inlineStr">
        <is>
          <t>Seattle, WA, US</t>
        </is>
      </c>
      <c r="H298" s="2" t="n">
        <v>45962</v>
      </c>
      <c r="I29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in-5242c2dd126fbf96</t>
        </is>
      </c>
      <c r="B299" t="inlineStr">
        <is>
          <t>Applied Scientist, AWS Agentic AI</t>
        </is>
      </c>
      <c r="C299" t="inlineStr">
        <is>
          <t>Amazon Web Services</t>
        </is>
      </c>
      <c r="D299" t="inlineStr">
        <is>
          <t>indeed</t>
        </is>
      </c>
      <c r="E299">
        <f>HYPERLINK("https://www.indeed.com/viewjob?jk=5242c2dd126fbf96", "https://www.indeed.com/viewjob?jk=5242c2dd126fbf96")</f>
        <v/>
      </c>
      <c r="F299">
        <f>HYPERLINK("https://www.amazon.jobs/jobs/3141517/applied-scientist-aws-agentic-ai-?cmpid=DA_INAD200785B", "https://www.amazon.jobs/jobs/3141517/applied-scientist-aws-agentic-ai-?cmpid=DA_INAD200785B")</f>
        <v/>
      </c>
      <c r="G299" t="inlineStr">
        <is>
          <t>Santa Clara, CA, US</t>
        </is>
      </c>
      <c r="H299" s="2" t="n">
        <v>45962</v>
      </c>
      <c r="I29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0">
      <c r="A300" t="inlineStr">
        <is>
          <t>in-68517b1c2a68584a</t>
        </is>
      </c>
      <c r="B300" t="inlineStr">
        <is>
          <t>Applied Scientist, AWS Agentic AI</t>
        </is>
      </c>
      <c r="C300" t="inlineStr">
        <is>
          <t>Amazon Web Services</t>
        </is>
      </c>
      <c r="D300" t="inlineStr">
        <is>
          <t>indeed</t>
        </is>
      </c>
      <c r="E300">
        <f>HYPERLINK("https://www.indeed.com/viewjob?jk=68517b1c2a68584a", "https://www.indeed.com/viewjob?jk=68517b1c2a68584a")</f>
        <v/>
      </c>
      <c r="F300">
        <f>HYPERLINK("https://www.amazon.jobs/jobs/3141517/applied-scientist-aws-agentic-ai-?cmpid=DA_INAD200785B", "https://www.amazon.jobs/jobs/3141517/applied-scientist-aws-agentic-ai-?cmpid=DA_INAD200785B")</f>
        <v/>
      </c>
      <c r="G300" t="inlineStr">
        <is>
          <t>New York, NY, US</t>
        </is>
      </c>
      <c r="H300" s="2" t="n">
        <v>45962</v>
      </c>
      <c r="I30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1">
      <c r="A301" t="inlineStr">
        <is>
          <t>in-ab509255a98f72b9</t>
        </is>
      </c>
      <c r="B301" t="inlineStr">
        <is>
          <t>Applied Scientist, AI Automation, Prime Video</t>
        </is>
      </c>
      <c r="C301" t="inlineStr">
        <is>
          <t>Amazon.com</t>
        </is>
      </c>
      <c r="D301" t="inlineStr">
        <is>
          <t>indeed</t>
        </is>
      </c>
      <c r="E301">
        <f>HYPERLINK("https://www.indeed.com/viewjob?jk=ab509255a98f72b9", "https://www.indeed.com/viewjob?jk=ab509255a98f72b9")</f>
        <v/>
      </c>
      <c r="F301">
        <f>HYPERLINK("https://www.amazon.jobs/jobs/3119822/applied-scientist-ai-automation-prime-video?cmpid=DA_INAD200785B", "https://www.amazon.jobs/jobs/3119822/applied-scientist-ai-automation-prime-video?cmpid=DA_INAD200785B")</f>
        <v/>
      </c>
      <c r="G301" t="inlineStr">
        <is>
          <t>Culver City, CA, US</t>
        </is>
      </c>
      <c r="H301" s="2" t="n">
        <v>45949</v>
      </c>
      <c r="I3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2">
      <c r="A302" t="inlineStr">
        <is>
          <t>in-3a2ec43483192658</t>
        </is>
      </c>
      <c r="B302" t="inlineStr">
        <is>
          <t>Applied Scientist, AI Automation, Prime Video</t>
        </is>
      </c>
      <c r="C302" t="inlineStr">
        <is>
          <t>Amazon.com</t>
        </is>
      </c>
      <c r="D302" t="inlineStr">
        <is>
          <t>indeed</t>
        </is>
      </c>
      <c r="E302">
        <f>HYPERLINK("https://www.indeed.com/viewjob?jk=3a2ec43483192658", "https://www.indeed.com/viewjob?jk=3a2ec43483192658")</f>
        <v/>
      </c>
      <c r="F302">
        <f>HYPERLINK("https://www.amazon.jobs/jobs/3119822/applied-scientist-ai-automation-prime-video?cmpid=DA_INAD200785B", "https://www.amazon.jobs/jobs/3119822/applied-scientist-ai-automation-prime-video?cmpid=DA_INAD200785B")</f>
        <v/>
      </c>
      <c r="G302" t="inlineStr">
        <is>
          <t>Seattle, WA, US</t>
        </is>
      </c>
      <c r="H302" s="2" t="n">
        <v>45949</v>
      </c>
      <c r="I3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3">
      <c r="A303" t="inlineStr">
        <is>
          <t>in-42782fe204cab49d</t>
        </is>
      </c>
      <c r="B303" t="inlineStr">
        <is>
          <t>Principal Applied Scientist, Advertiser Growth, Amazon Sponsored Products &amp; Brands</t>
        </is>
      </c>
      <c r="C303" t="inlineStr">
        <is>
          <t>Amazon.com</t>
        </is>
      </c>
      <c r="D303" t="inlineStr">
        <is>
          <t>indeed</t>
        </is>
      </c>
      <c r="E303">
        <f>HYPERLINK("https://www.indeed.com/viewjob?jk=42782fe204cab49d", "https://www.indeed.com/viewjob?jk=42782fe204cab49d")</f>
        <v/>
      </c>
      <c r="F303">
        <f>HYPERLINK("https://www.amazon.jobs/jobs/3115279/principal-applied-scientist-advertiser-growth-amazon-sponsored-products--brands?cmpid=DA_INAD200785B", "https://www.amazon.jobs/jobs/3115279/principal-applied-scientist-advertiser-growth-amazon-sponsored-products--brands?cmpid=DA_INAD200785B")</f>
        <v/>
      </c>
      <c r="G303" t="inlineStr">
        <is>
          <t>Seattle, WA, US</t>
        </is>
      </c>
      <c r="H303" s="2" t="n">
        <v>45942</v>
      </c>
      <c r="I30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4">
      <c r="A304" t="inlineStr">
        <is>
          <t>in-f456930f25a3ea73</t>
        </is>
      </c>
      <c r="B304" t="inlineStr">
        <is>
          <t>Principal Applied Scientist, Advertiser Growth, Amazon Sponsored Products &amp; Brands</t>
        </is>
      </c>
      <c r="C304" t="inlineStr">
        <is>
          <t>Amazon.com</t>
        </is>
      </c>
      <c r="D304" t="inlineStr">
        <is>
          <t>indeed</t>
        </is>
      </c>
      <c r="E304">
        <f>HYPERLINK("https://www.indeed.com/viewjob?jk=f456930f25a3ea73", "https://www.indeed.com/viewjob?jk=f456930f25a3ea73")</f>
        <v/>
      </c>
      <c r="F304">
        <f>HYPERLINK("https://www.amazon.jobs/jobs/3115279/principal-applied-scientist-advertiser-growth-amazon-sponsored-products--brands?cmpid=DA_INAD200785B", "https://www.amazon.jobs/jobs/3115279/principal-applied-scientist-advertiser-growth-amazon-sponsored-products--brands?cmpid=DA_INAD200785B")</f>
        <v/>
      </c>
      <c r="G304" t="inlineStr">
        <is>
          <t>New York, NY, US</t>
        </is>
      </c>
      <c r="H304" s="2" t="n">
        <v>45942</v>
      </c>
      <c r="I30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5">
      <c r="A305" t="inlineStr">
        <is>
          <t>in-3ef482b55250cbb2</t>
        </is>
      </c>
      <c r="B305" t="inlineStr">
        <is>
          <t>Principal Applied Scientist, Advertiser Growth, Amazon Sponsored Products &amp; Brands</t>
        </is>
      </c>
      <c r="C305" t="inlineStr">
        <is>
          <t>Amazon.com</t>
        </is>
      </c>
      <c r="D305" t="inlineStr">
        <is>
          <t>indeed</t>
        </is>
      </c>
      <c r="E305">
        <f>HYPERLINK("https://www.indeed.com/viewjob?jk=3ef482b55250cbb2", "https://www.indeed.com/viewjob?jk=3ef482b55250cbb2")</f>
        <v/>
      </c>
      <c r="F305">
        <f>HYPERLINK("https://www.amazon.jobs/jobs/3115279/principal-applied-scientist-advertiser-growth-amazon-sponsored-products--brands?cmpid=DA_INAD200785B", "https://www.amazon.jobs/jobs/3115279/principal-applied-scientist-advertiser-growth-amazon-sponsored-products--brands?cmpid=DA_INAD200785B")</f>
        <v/>
      </c>
      <c r="G305" t="inlineStr">
        <is>
          <t>Palo Alto, CA, US</t>
        </is>
      </c>
      <c r="H305" s="2" t="n">
        <v>45942</v>
      </c>
      <c r="I30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6">
      <c r="A306" t="inlineStr">
        <is>
          <t>in-5061aff43c8788a8</t>
        </is>
      </c>
      <c r="B306" t="inlineStr">
        <is>
          <t>Applied Scientist</t>
        </is>
      </c>
      <c r="C306" t="inlineStr">
        <is>
          <t>Amazon.com</t>
        </is>
      </c>
      <c r="D306" t="inlineStr">
        <is>
          <t>indeed</t>
        </is>
      </c>
      <c r="E306">
        <f>HYPERLINK("https://www.indeed.com/viewjob?jk=5061aff43c8788a8", "https://www.indeed.com/viewjob?jk=5061aff43c8788a8")</f>
        <v/>
      </c>
      <c r="F306">
        <f>HYPERLINK("https://www.amazon.jobs/jobs/3106501/applied-scientist?cmpid=DA_INAD200785B", "https://www.amazon.jobs/jobs/3106501/applied-scientist?cmpid=DA_INAD200785B")</f>
        <v/>
      </c>
      <c r="G306" t="inlineStr">
        <is>
          <t>Seattle, WA, US</t>
        </is>
      </c>
      <c r="H306" s="2" t="n">
        <v>45939</v>
      </c>
      <c r="I30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7">
      <c r="A307" t="inlineStr">
        <is>
          <t>in-44a3b8e7a7911f28</t>
        </is>
      </c>
      <c r="B307" t="inlineStr">
        <is>
          <t>Applied Scientist</t>
        </is>
      </c>
      <c r="C307" t="inlineStr">
        <is>
          <t>Amazon.com</t>
        </is>
      </c>
      <c r="D307" t="inlineStr">
        <is>
          <t>indeed</t>
        </is>
      </c>
      <c r="E307">
        <f>HYPERLINK("https://www.indeed.com/viewjob?jk=44a3b8e7a7911f28", "https://www.indeed.com/viewjob?jk=44a3b8e7a7911f28")</f>
        <v/>
      </c>
      <c r="F307">
        <f>HYPERLINK("https://www.amazon.jobs/jobs/3106501/applied-scientist?cmpid=DA_INAD200785B", "https://www.amazon.jobs/jobs/3106501/applied-scientist?cmpid=DA_INAD200785B")</f>
        <v/>
      </c>
      <c r="G307" t="inlineStr">
        <is>
          <t>New York, NY, US</t>
        </is>
      </c>
      <c r="H307" s="2" t="n">
        <v>45939</v>
      </c>
      <c r="I30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8">
      <c r="A308" t="inlineStr">
        <is>
          <t>in-c545e2f84185e2a6</t>
        </is>
      </c>
      <c r="B308" t="inlineStr">
        <is>
          <t>Applied Scientist</t>
        </is>
      </c>
      <c r="C308" t="inlineStr">
        <is>
          <t>Amazon.com</t>
        </is>
      </c>
      <c r="D308" t="inlineStr">
        <is>
          <t>indeed</t>
        </is>
      </c>
      <c r="E308">
        <f>HYPERLINK("https://www.indeed.com/viewjob?jk=c545e2f84185e2a6", "https://www.indeed.com/viewjob?jk=c545e2f84185e2a6")</f>
        <v/>
      </c>
      <c r="F308">
        <f>HYPERLINK("https://www.amazon.jobs/jobs/3106501/applied-scientist?cmpid=DA_INAD200785B", "https://www.amazon.jobs/jobs/3106501/applied-scientist?cmpid=DA_INAD200785B")</f>
        <v/>
      </c>
      <c r="G308" t="inlineStr">
        <is>
          <t>Palo Alto, CA, US</t>
        </is>
      </c>
      <c r="H308" s="2" t="n">
        <v>45939</v>
      </c>
      <c r="I30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9">
      <c r="A309" t="inlineStr">
        <is>
          <t>in-c19e0105e1091893</t>
        </is>
      </c>
      <c r="B309" t="inlineStr">
        <is>
          <t>Sr. Applied Scientist, SPB Advertiser Guidance</t>
        </is>
      </c>
      <c r="C309" t="inlineStr">
        <is>
          <t>Amazon.com</t>
        </is>
      </c>
      <c r="D309" t="inlineStr">
        <is>
          <t>indeed</t>
        </is>
      </c>
      <c r="E309">
        <f>HYPERLINK("https://www.indeed.com/viewjob?jk=c19e0105e1091893", "https://www.indeed.com/viewjob?jk=c19e0105e1091893")</f>
        <v/>
      </c>
      <c r="F309">
        <f>HYPERLINK("https://www.amazon.jobs/jobs/3106497/sr-applied-scientist-spb-advertiser-guidance?cmpid=DA_INAD200785B", "https://www.amazon.jobs/jobs/3106497/sr-applied-scientist-spb-advertiser-guidance?cmpid=DA_INAD200785B")</f>
        <v/>
      </c>
      <c r="G309" t="inlineStr">
        <is>
          <t>New York, NY, US</t>
        </is>
      </c>
      <c r="H309" s="2" t="n">
        <v>45939</v>
      </c>
      <c r="I30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0">
      <c r="A310" t="inlineStr">
        <is>
          <t>in-5e40c096db853ac6</t>
        </is>
      </c>
      <c r="B310" t="inlineStr">
        <is>
          <t>Sr. Applied Scientist, SPB Advertiser Guidance</t>
        </is>
      </c>
      <c r="C310" t="inlineStr">
        <is>
          <t>Amazon.com</t>
        </is>
      </c>
      <c r="D310" t="inlineStr">
        <is>
          <t>indeed</t>
        </is>
      </c>
      <c r="E310">
        <f>HYPERLINK("https://www.indeed.com/viewjob?jk=5e40c096db853ac6", "https://www.indeed.com/viewjob?jk=5e40c096db853ac6")</f>
        <v/>
      </c>
      <c r="F310">
        <f>HYPERLINK("https://www.amazon.jobs/jobs/3106497/sr-applied-scientist-spb-advertiser-guidance?cmpid=DA_INAD200785B", "https://www.amazon.jobs/jobs/3106497/sr-applied-scientist-spb-advertiser-guidance?cmpid=DA_INAD200785B")</f>
        <v/>
      </c>
      <c r="G310" t="inlineStr">
        <is>
          <t>Palo Alto, CA, US</t>
        </is>
      </c>
      <c r="H310" s="2" t="n">
        <v>45939</v>
      </c>
      <c r="I31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1">
      <c r="A311" t="inlineStr">
        <is>
          <t>in-3195a58da0d0ed0c</t>
        </is>
      </c>
      <c r="B311" t="inlineStr">
        <is>
          <t>Sr. Applied Scientist, SPB Advertiser Guidance</t>
        </is>
      </c>
      <c r="C311" t="inlineStr">
        <is>
          <t>Amazon.com</t>
        </is>
      </c>
      <c r="D311" t="inlineStr">
        <is>
          <t>indeed</t>
        </is>
      </c>
      <c r="E311">
        <f>HYPERLINK("https://www.indeed.com/viewjob?jk=3195a58da0d0ed0c", "https://www.indeed.com/viewjob?jk=3195a58da0d0ed0c")</f>
        <v/>
      </c>
      <c r="F311">
        <f>HYPERLINK("https://www.amazon.jobs/jobs/3106497/sr-applied-scientist-spb-advertiser-guidance?cmpid=DA_INAD200785B", "https://www.amazon.jobs/jobs/3106497/sr-applied-scientist-spb-advertiser-guidance?cmpid=DA_INAD200785B")</f>
        <v/>
      </c>
      <c r="G311" t="inlineStr">
        <is>
          <t>Seattle, WA, US</t>
        </is>
      </c>
      <c r="H311" s="2" t="n">
        <v>45939</v>
      </c>
      <c r="I31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2">
      <c r="A312" t="inlineStr">
        <is>
          <t>in-da11d552b621d8d1</t>
        </is>
      </c>
      <c r="B312" t="inlineStr">
        <is>
          <t>Applied Scientist II, Prime Video - Personalization and Discovery Science, Personalization and Discovery Science</t>
        </is>
      </c>
      <c r="C312" t="inlineStr">
        <is>
          <t>Amazon.com</t>
        </is>
      </c>
      <c r="D312" t="inlineStr">
        <is>
          <t>indeed</t>
        </is>
      </c>
      <c r="E312">
        <f>HYPERLINK("https://www.indeed.com/viewjob?jk=da11d552b621d8d1", "https://www.indeed.com/viewjob?jk=da11d552b621d8d1")</f>
        <v/>
      </c>
      <c r="F31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312" t="inlineStr">
        <is>
          <t>Seattle, WA, US</t>
        </is>
      </c>
      <c r="H312" s="2" t="n">
        <v>45930</v>
      </c>
      <c r="I3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3">
      <c r="A313" t="inlineStr">
        <is>
          <t>in-0ce12f0de3ceba41</t>
        </is>
      </c>
      <c r="B313" t="inlineStr">
        <is>
          <t>Applied Scientist II, Prime Video - Personalization and Discovery Science, Personalization and Discovery Science</t>
        </is>
      </c>
      <c r="C313" t="inlineStr">
        <is>
          <t>Amazon.com</t>
        </is>
      </c>
      <c r="D313" t="inlineStr">
        <is>
          <t>indeed</t>
        </is>
      </c>
      <c r="E313">
        <f>HYPERLINK("https://www.indeed.com/viewjob?jk=0ce12f0de3ceba41", "https://www.indeed.com/viewjob?jk=0ce12f0de3ceba41")</f>
        <v/>
      </c>
      <c r="F31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313" t="inlineStr">
        <is>
          <t>Sunnyvale, CA, US</t>
        </is>
      </c>
      <c r="H313" s="2" t="n">
        <v>45930</v>
      </c>
      <c r="I3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4">
      <c r="A314" t="inlineStr">
        <is>
          <t>in-f6991efca38216e1</t>
        </is>
      </c>
      <c r="B314" t="inlineStr">
        <is>
          <t>Applied Scientist II, Prime Video - Personalization and Discovery Science, Personalization and Discovery Science</t>
        </is>
      </c>
      <c r="C314" t="inlineStr">
        <is>
          <t>Amazon.com</t>
        </is>
      </c>
      <c r="D314" t="inlineStr">
        <is>
          <t>indeed</t>
        </is>
      </c>
      <c r="E314">
        <f>HYPERLINK("https://www.indeed.com/viewjob?jk=f6991efca38216e1", "https://www.indeed.com/viewjob?jk=f6991efca38216e1")</f>
        <v/>
      </c>
      <c r="F31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314" t="inlineStr">
        <is>
          <t>New York, NY, US</t>
        </is>
      </c>
      <c r="H314" s="2" t="n">
        <v>45930</v>
      </c>
      <c r="I3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5">
      <c r="A315" t="inlineStr">
        <is>
          <t>in-74e2c10d236bd703</t>
        </is>
      </c>
      <c r="B315" t="inlineStr">
        <is>
          <t>Applied Scientist, Workplace Health &amp; Safety</t>
        </is>
      </c>
      <c r="C315" t="inlineStr">
        <is>
          <t>Amazon.com</t>
        </is>
      </c>
      <c r="D315" t="inlineStr">
        <is>
          <t>indeed</t>
        </is>
      </c>
      <c r="E315">
        <f>HYPERLINK("https://www.indeed.com/viewjob?jk=74e2c10d236bd703", "https://www.indeed.com/viewjob?jk=74e2c10d236bd703")</f>
        <v/>
      </c>
      <c r="F315">
        <f>HYPERLINK("https://www.amazon.jobs/jobs/3144886/applied-scientist-workplace-health--safety-?cmpid=DA_INAD200785B", "https://www.amazon.jobs/jobs/3144886/applied-scientist-workplace-health--safety-?cmpid=DA_INAD200785B")</f>
        <v/>
      </c>
      <c r="G315" t="inlineStr">
        <is>
          <t>Bellevue, WA, US</t>
        </is>
      </c>
      <c r="H315" s="2" t="n">
        <v>45917</v>
      </c>
      <c r="I31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6">
      <c r="A316" t="inlineStr">
        <is>
          <t>in-adc9d17ad0b7f1b6</t>
        </is>
      </c>
      <c r="B316" t="inlineStr">
        <is>
          <t>Applied Scientist, Workplace Health &amp; Safety</t>
        </is>
      </c>
      <c r="C316" t="inlineStr">
        <is>
          <t>Amazon.com</t>
        </is>
      </c>
      <c r="D316" t="inlineStr">
        <is>
          <t>indeed</t>
        </is>
      </c>
      <c r="E316">
        <f>HYPERLINK("https://www.indeed.com/viewjob?jk=adc9d17ad0b7f1b6", "https://www.indeed.com/viewjob?jk=adc9d17ad0b7f1b6")</f>
        <v/>
      </c>
      <c r="F316">
        <f>HYPERLINK("https://www.amazon.jobs/jobs/3144886/applied-scientist-workplace-health--safety-?cmpid=DA_INAD200785B", "https://www.amazon.jobs/jobs/3144886/applied-scientist-workplace-health--safety-?cmpid=DA_INAD200785B")</f>
        <v/>
      </c>
      <c r="G316" t="inlineStr">
        <is>
          <t>Nashville, TN, US</t>
        </is>
      </c>
      <c r="H316" s="2" t="n">
        <v>45917</v>
      </c>
      <c r="I31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7">
      <c r="A317" t="inlineStr">
        <is>
          <t>in-578c73292beee410</t>
        </is>
      </c>
      <c r="B317" t="inlineStr">
        <is>
          <t>Sr. Applied Scientist, Prime Video - Personalization and Discovery Science</t>
        </is>
      </c>
      <c r="C317" t="inlineStr">
        <is>
          <t>Amazon.com</t>
        </is>
      </c>
      <c r="D317" t="inlineStr">
        <is>
          <t>indeed</t>
        </is>
      </c>
      <c r="E317">
        <f>HYPERLINK("https://www.indeed.com/viewjob?jk=578c73292beee410", "https://www.indeed.com/viewjob?jk=578c73292beee410")</f>
        <v/>
      </c>
      <c r="F317">
        <f>HYPERLINK("https://www.amazon.jobs/jobs/3084479/sr-applied-scientist-prime-video--personalization-and-discovery-science?cmpid=DA_INAD200785B", "https://www.amazon.jobs/jobs/3084479/sr-applied-scientist-prime-video--personalization-and-discovery-science?cmpid=DA_INAD200785B")</f>
        <v/>
      </c>
      <c r="G317" t="inlineStr">
        <is>
          <t>New York, NY, US</t>
        </is>
      </c>
      <c r="H317" s="2" t="n">
        <v>45896</v>
      </c>
      <c r="I3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318">
      <c r="A318" t="inlineStr">
        <is>
          <t>in-81cc8ba1b7c274c4</t>
        </is>
      </c>
      <c r="B318" t="inlineStr">
        <is>
          <t>Sr. Applied Scientist, Prime Video - Personalization and Discovery Science</t>
        </is>
      </c>
      <c r="C318" t="inlineStr">
        <is>
          <t>Amazon.com</t>
        </is>
      </c>
      <c r="D318" t="inlineStr">
        <is>
          <t>indeed</t>
        </is>
      </c>
      <c r="E318">
        <f>HYPERLINK("https://www.indeed.com/viewjob?jk=81cc8ba1b7c274c4", "https://www.indeed.com/viewjob?jk=81cc8ba1b7c274c4")</f>
        <v/>
      </c>
      <c r="F318">
        <f>HYPERLINK("https://www.amazon.jobs/jobs/3084479/sr-applied-scientist-prime-video--personalization-and-discovery-science?cmpid=DA_INAD200785B", "https://www.amazon.jobs/jobs/3084479/sr-applied-scientist-prime-video--personalization-and-discovery-science?cmpid=DA_INAD200785B")</f>
        <v/>
      </c>
      <c r="G318" t="inlineStr">
        <is>
          <t>Sunnyvale, CA, US</t>
        </is>
      </c>
      <c r="H318" s="2" t="n">
        <v>45896</v>
      </c>
      <c r="I3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319">
      <c r="A319" t="inlineStr">
        <is>
          <t>in-c78fd0083fcd40b6</t>
        </is>
      </c>
      <c r="B319" t="inlineStr">
        <is>
          <t>Sr. Applied Scientist, Prime Video - Personalization and Discovery Science</t>
        </is>
      </c>
      <c r="C319" t="inlineStr">
        <is>
          <t>Amazon.com</t>
        </is>
      </c>
      <c r="D319" t="inlineStr">
        <is>
          <t>indeed</t>
        </is>
      </c>
      <c r="E319">
        <f>HYPERLINK("https://www.indeed.com/viewjob?jk=c78fd0083fcd40b6", "https://www.indeed.com/viewjob?jk=c78fd0083fcd40b6")</f>
        <v/>
      </c>
      <c r="F319">
        <f>HYPERLINK("https://www.amazon.jobs/jobs/3084479/sr-applied-scientist-prime-video--personalization-and-discovery-science?cmpid=DA_INAD200785B", "https://www.amazon.jobs/jobs/3084479/sr-applied-scientist-prime-video--personalization-and-discovery-science?cmpid=DA_INAD200785B")</f>
        <v/>
      </c>
      <c r="G319" t="inlineStr">
        <is>
          <t>Seattle, WA, US</t>
        </is>
      </c>
      <c r="H319" s="2" t="n">
        <v>45896</v>
      </c>
      <c r="I3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320">
      <c r="A320" t="inlineStr">
        <is>
          <t>in-0d7c1a1c42ea121e</t>
        </is>
      </c>
      <c r="B320" t="inlineStr">
        <is>
          <t>Applied Scientist II, Prime Video , Personalization and Discovery Science</t>
        </is>
      </c>
      <c r="C320" t="inlineStr">
        <is>
          <t>Amazon.com</t>
        </is>
      </c>
      <c r="D320" t="inlineStr">
        <is>
          <t>indeed</t>
        </is>
      </c>
      <c r="E320">
        <f>HYPERLINK("https://www.indeed.com/viewjob?jk=0d7c1a1c42ea121e", "https://www.indeed.com/viewjob?jk=0d7c1a1c42ea121e")</f>
        <v/>
      </c>
      <c r="F320">
        <f>HYPERLINK("https://www.amazon.jobs/jobs/3061303/applied-scientist-ii-prime-video--personalization-and-discovery-science?cmpid=DA_INAD200785B", "https://www.amazon.jobs/jobs/3061303/applied-scientist-ii-prime-video--personalization-and-discovery-science?cmpid=DA_INAD200785B")</f>
        <v/>
      </c>
      <c r="G320" t="inlineStr">
        <is>
          <t>Sunnyvale, CA, US</t>
        </is>
      </c>
      <c r="H320" s="2" t="n">
        <v>45886</v>
      </c>
      <c r="I3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321">
      <c r="A321" t="inlineStr">
        <is>
          <t>in-92eb36308738b7df</t>
        </is>
      </c>
      <c r="B321" t="inlineStr">
        <is>
          <t>Applied Scientist II, Prime Video , Personalization and Discovery Science</t>
        </is>
      </c>
      <c r="C321" t="inlineStr">
        <is>
          <t>Amazon.com</t>
        </is>
      </c>
      <c r="D321" t="inlineStr">
        <is>
          <t>indeed</t>
        </is>
      </c>
      <c r="E321">
        <f>HYPERLINK("https://www.indeed.com/viewjob?jk=92eb36308738b7df", "https://www.indeed.com/viewjob?jk=92eb36308738b7df")</f>
        <v/>
      </c>
      <c r="F321">
        <f>HYPERLINK("https://www.amazon.jobs/jobs/3061303/applied-scientist-ii-prime-video--personalization-and-discovery-science?cmpid=DA_INAD200785B", "https://www.amazon.jobs/jobs/3061303/applied-scientist-ii-prime-video--personalization-and-discovery-science?cmpid=DA_INAD200785B")</f>
        <v/>
      </c>
      <c r="G321" t="inlineStr">
        <is>
          <t>Seattle, WA, US</t>
        </is>
      </c>
      <c r="H321" s="2" t="n">
        <v>45886</v>
      </c>
      <c r="I3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322">
      <c r="A322" t="inlineStr">
        <is>
          <t>in-d92315ba8c43de1b</t>
        </is>
      </c>
      <c r="B322" t="inlineStr">
        <is>
          <t>Applied Scientist II, Prime Video , Personalization and Discovery Science</t>
        </is>
      </c>
      <c r="C322" t="inlineStr">
        <is>
          <t>Amazon.com</t>
        </is>
      </c>
      <c r="D322" t="inlineStr">
        <is>
          <t>indeed</t>
        </is>
      </c>
      <c r="E322">
        <f>HYPERLINK("https://www.indeed.com/viewjob?jk=d92315ba8c43de1b", "https://www.indeed.com/viewjob?jk=d92315ba8c43de1b")</f>
        <v/>
      </c>
      <c r="F322">
        <f>HYPERLINK("https://www.amazon.jobs/jobs/3061303/applied-scientist-ii-prime-video--personalization-and-discovery-science?cmpid=DA_INAD200785B", "https://www.amazon.jobs/jobs/3061303/applied-scientist-ii-prime-video--personalization-and-discovery-science?cmpid=DA_INAD200785B")</f>
        <v/>
      </c>
      <c r="G322" t="inlineStr">
        <is>
          <t>New York, NY, US</t>
        </is>
      </c>
      <c r="H322" s="2" t="n">
        <v>45886</v>
      </c>
      <c r="I3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323">
      <c r="A323" t="inlineStr">
        <is>
          <t>in-3298319ddea114d3</t>
        </is>
      </c>
      <c r="B323" t="inlineStr">
        <is>
          <t>Sr. Applied Scientist, Prime Video - Personalization and Discovery Science</t>
        </is>
      </c>
      <c r="C323" t="inlineStr">
        <is>
          <t>Amazon.com</t>
        </is>
      </c>
      <c r="D323" t="inlineStr">
        <is>
          <t>indeed</t>
        </is>
      </c>
      <c r="E323">
        <f>HYPERLINK("https://www.indeed.com/viewjob?jk=3298319ddea114d3", "https://www.indeed.com/viewjob?jk=3298319ddea114d3")</f>
        <v/>
      </c>
      <c r="F323">
        <f>HYPERLINK("https://www.amazon.jobs/jobs/3059256/sr-applied-scientist-prime-video--personalization-and-discovery-science?cmpid=DA_INAD200785B", "https://www.amazon.jobs/jobs/3059256/sr-applied-scientist-prime-video--personalization-and-discovery-science?cmpid=DA_INAD200785B")</f>
        <v/>
      </c>
      <c r="G323" t="inlineStr">
        <is>
          <t>Seattle, WA, US</t>
        </is>
      </c>
      <c r="H323" s="2" t="n">
        <v>45881</v>
      </c>
      <c r="I3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4">
      <c r="A324" t="inlineStr">
        <is>
          <t>in-3302990840ee13d6</t>
        </is>
      </c>
      <c r="B324" t="inlineStr">
        <is>
          <t>Sr. Applied Scientist, Prime Video - Personalization and Discovery Science</t>
        </is>
      </c>
      <c r="C324" t="inlineStr">
        <is>
          <t>Amazon.com</t>
        </is>
      </c>
      <c r="D324" t="inlineStr">
        <is>
          <t>indeed</t>
        </is>
      </c>
      <c r="E324">
        <f>HYPERLINK("https://www.indeed.com/viewjob?jk=3302990840ee13d6", "https://www.indeed.com/viewjob?jk=3302990840ee13d6")</f>
        <v/>
      </c>
      <c r="F324">
        <f>HYPERLINK("https://www.amazon.jobs/jobs/3059256/sr-applied-scientist-prime-video--personalization-and-discovery-science?cmpid=DA_INAD200785B", "https://www.amazon.jobs/jobs/3059256/sr-applied-scientist-prime-video--personalization-and-discovery-science?cmpid=DA_INAD200785B")</f>
        <v/>
      </c>
      <c r="G324" t="inlineStr">
        <is>
          <t>Sunnyvale, CA, US</t>
        </is>
      </c>
      <c r="H324" s="2" t="n">
        <v>45881</v>
      </c>
      <c r="I3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5">
      <c r="A325" t="inlineStr">
        <is>
          <t>in-704df06d4609e9cf</t>
        </is>
      </c>
      <c r="B325" t="inlineStr">
        <is>
          <t>Applied Scientist II, Prime Video - Personalization and Discovery Science</t>
        </is>
      </c>
      <c r="C325" t="inlineStr">
        <is>
          <t>Amazon.com</t>
        </is>
      </c>
      <c r="D325" t="inlineStr">
        <is>
          <t>indeed</t>
        </is>
      </c>
      <c r="E325">
        <f>HYPERLINK("https://www.indeed.com/viewjob?jk=704df06d4609e9cf", "https://www.indeed.com/viewjob?jk=704df06d4609e9cf")</f>
        <v/>
      </c>
      <c r="F325">
        <f>HYPERLINK("https://www.amazon.jobs/jobs/3059253/applied-scientist-ii-prime-video--personalization-and-discovery-science?cmpid=DA_INAD200785B", "https://www.amazon.jobs/jobs/3059253/applied-scientist-ii-prime-video--personalization-and-discovery-science?cmpid=DA_INAD200785B")</f>
        <v/>
      </c>
      <c r="G325" t="inlineStr">
        <is>
          <t>Sunnyvale, CA, US</t>
        </is>
      </c>
      <c r="H325" s="2" t="n">
        <v>45881</v>
      </c>
      <c r="I3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6">
      <c r="A326" t="inlineStr">
        <is>
          <t>in-88a5ed6a235cef5a</t>
        </is>
      </c>
      <c r="B326" t="inlineStr">
        <is>
          <t>Applied Scientist II, Prime Video - Personalization and Discovery Science</t>
        </is>
      </c>
      <c r="C326" t="inlineStr">
        <is>
          <t>Amazon.com</t>
        </is>
      </c>
      <c r="D326" t="inlineStr">
        <is>
          <t>indeed</t>
        </is>
      </c>
      <c r="E326">
        <f>HYPERLINK("https://www.indeed.com/viewjob?jk=88a5ed6a235cef5a", "https://www.indeed.com/viewjob?jk=88a5ed6a235cef5a")</f>
        <v/>
      </c>
      <c r="F326">
        <f>HYPERLINK("https://www.amazon.jobs/jobs/3059253/applied-scientist-ii-prime-video--personalization-and-discovery-science?cmpid=DA_INAD200785B", "https://www.amazon.jobs/jobs/3059253/applied-scientist-ii-prime-video--personalization-and-discovery-science?cmpid=DA_INAD200785B")</f>
        <v/>
      </c>
      <c r="G326" t="inlineStr">
        <is>
          <t>Seattle, WA, US</t>
        </is>
      </c>
      <c r="H326" s="2" t="n">
        <v>45881</v>
      </c>
      <c r="I3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7">
      <c r="A327" t="inlineStr">
        <is>
          <t>in-65b171ba02ec0f4f</t>
        </is>
      </c>
      <c r="B327" t="inlineStr">
        <is>
          <t>Applied Scientist II, Prime Video - Personalization and Discovery Science</t>
        </is>
      </c>
      <c r="C327" t="inlineStr">
        <is>
          <t>Amazon.com</t>
        </is>
      </c>
      <c r="D327" t="inlineStr">
        <is>
          <t>indeed</t>
        </is>
      </c>
      <c r="E327">
        <f>HYPERLINK("https://www.indeed.com/viewjob?jk=65b171ba02ec0f4f", "https://www.indeed.com/viewjob?jk=65b171ba02ec0f4f")</f>
        <v/>
      </c>
      <c r="F327">
        <f>HYPERLINK("https://www.amazon.jobs/jobs/3059253/applied-scientist-ii-prime-video--personalization-and-discovery-science?cmpid=DA_INAD200785B", "https://www.amazon.jobs/jobs/3059253/applied-scientist-ii-prime-video--personalization-and-discovery-science?cmpid=DA_INAD200785B")</f>
        <v/>
      </c>
      <c r="G327" t="inlineStr">
        <is>
          <t>New York, NY, US</t>
        </is>
      </c>
      <c r="H327" s="2" t="n">
        <v>45881</v>
      </c>
      <c r="I3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8">
      <c r="A328" t="inlineStr">
        <is>
          <t>in-641f2019eba47d7c</t>
        </is>
      </c>
      <c r="B328" t="inlineStr">
        <is>
          <t>Sr. Applied Scientist, Prime Video - Personalization and Discovery Science</t>
        </is>
      </c>
      <c r="C328" t="inlineStr">
        <is>
          <t>Amazon.com</t>
        </is>
      </c>
      <c r="D328" t="inlineStr">
        <is>
          <t>indeed</t>
        </is>
      </c>
      <c r="E328">
        <f>HYPERLINK("https://www.indeed.com/viewjob?jk=641f2019eba47d7c", "https://www.indeed.com/viewjob?jk=641f2019eba47d7c")</f>
        <v/>
      </c>
      <c r="F328">
        <f>HYPERLINK("https://www.amazon.jobs/jobs/3059256/sr-applied-scientist-prime-video--personalization-and-discovery-science?cmpid=DA_INAD200785B", "https://www.amazon.jobs/jobs/3059256/sr-applied-scientist-prime-video--personalization-and-discovery-science?cmpid=DA_INAD200785B")</f>
        <v/>
      </c>
      <c r="G328" t="inlineStr">
        <is>
          <t>New York, NY, US</t>
        </is>
      </c>
      <c r="H328" s="2" t="n">
        <v>45881</v>
      </c>
      <c r="I3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9">
      <c r="A329" t="inlineStr">
        <is>
          <t>in-13c37722a9d35932</t>
        </is>
      </c>
      <c r="B329" t="inlineStr">
        <is>
          <t>Applied Scientist III, StoreGen</t>
        </is>
      </c>
      <c r="C329" t="inlineStr">
        <is>
          <t>Amazon.com</t>
        </is>
      </c>
      <c r="D329" t="inlineStr">
        <is>
          <t>indeed</t>
        </is>
      </c>
      <c r="E329">
        <f>HYPERLINK("https://www.indeed.com/viewjob?jk=13c37722a9d35932", "https://www.indeed.com/viewjob?jk=13c37722a9d35932")</f>
        <v/>
      </c>
      <c r="F329">
        <f>HYPERLINK("https://www.amazon.jobs/jobs/3065534/applied-scientist-iii-storegen?cmpid=DA_INAD200785B", "https://www.amazon.jobs/jobs/3065534/applied-scientist-iii-storegen?cmpid=DA_INAD200785B")</f>
        <v/>
      </c>
      <c r="G329" t="inlineStr">
        <is>
          <t>Seattle, WA, US</t>
        </is>
      </c>
      <c r="H329" s="2" t="n">
        <v>45868</v>
      </c>
      <c r="I329"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0">
      <c r="A330" t="inlineStr">
        <is>
          <t>in-e0d62e2dedbb015d</t>
        </is>
      </c>
      <c r="B330" t="inlineStr">
        <is>
          <t>Applied Scientist III, StoreGen</t>
        </is>
      </c>
      <c r="C330" t="inlineStr">
        <is>
          <t>Amazon.com</t>
        </is>
      </c>
      <c r="D330" t="inlineStr">
        <is>
          <t>indeed</t>
        </is>
      </c>
      <c r="E330">
        <f>HYPERLINK("https://www.indeed.com/viewjob?jk=e0d62e2dedbb015d", "https://www.indeed.com/viewjob?jk=e0d62e2dedbb015d")</f>
        <v/>
      </c>
      <c r="F330">
        <f>HYPERLINK("https://www.amazon.jobs/jobs/3065534/applied-scientist-iii-storegen?cmpid=DA_INAD200785B", "https://www.amazon.jobs/jobs/3065534/applied-scientist-iii-storegen?cmpid=DA_INAD200785B")</f>
        <v/>
      </c>
      <c r="G330" t="inlineStr">
        <is>
          <t>Sunnyvale, CA, US</t>
        </is>
      </c>
      <c r="H330" s="2" t="n">
        <v>45868</v>
      </c>
      <c r="I330"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1">
      <c r="A331" t="inlineStr">
        <is>
          <t>in-2d4bafa74cfba844</t>
        </is>
      </c>
      <c r="B331" t="inlineStr">
        <is>
          <t>Sr. Applied Scientist, Amazon Advertising</t>
        </is>
      </c>
      <c r="C331" t="inlineStr">
        <is>
          <t>Amazon.com</t>
        </is>
      </c>
      <c r="D331" t="inlineStr">
        <is>
          <t>indeed</t>
        </is>
      </c>
      <c r="E331">
        <f>HYPERLINK("https://www.indeed.com/viewjob?jk=2d4bafa74cfba844", "https://www.indeed.com/viewjob?jk=2d4bafa74cfba844")</f>
        <v/>
      </c>
      <c r="F331">
        <f>HYPERLINK("https://www.amazon.jobs/jobs/3035686/sr-applied-scientist-amazon-advertising?cmpid=DA_INAD200785B", "https://www.amazon.jobs/jobs/3035686/sr-applied-scientist-amazon-advertising?cmpid=DA_INAD200785B")</f>
        <v/>
      </c>
      <c r="G331" t="inlineStr">
        <is>
          <t>New York, NY, US</t>
        </is>
      </c>
      <c r="H331" s="2" t="n">
        <v>45851</v>
      </c>
      <c r="I33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2">
      <c r="A332" t="inlineStr">
        <is>
          <t>in-7d38c4246f947e68</t>
        </is>
      </c>
      <c r="B332" t="inlineStr">
        <is>
          <t>Sr. Applied Scientist, Amazon Advertising</t>
        </is>
      </c>
      <c r="C332" t="inlineStr">
        <is>
          <t>Amazon.com</t>
        </is>
      </c>
      <c r="D332" t="inlineStr">
        <is>
          <t>indeed</t>
        </is>
      </c>
      <c r="E332">
        <f>HYPERLINK("https://www.indeed.com/viewjob?jk=7d38c4246f947e68", "https://www.indeed.com/viewjob?jk=7d38c4246f947e68")</f>
        <v/>
      </c>
      <c r="F332">
        <f>HYPERLINK("https://www.amazon.jobs/jobs/3035686/sr-applied-scientist-amazon-advertising?cmpid=DA_INAD200785B", "https://www.amazon.jobs/jobs/3035686/sr-applied-scientist-amazon-advertising?cmpid=DA_INAD200785B")</f>
        <v/>
      </c>
      <c r="G332" t="inlineStr">
        <is>
          <t>Palo Alto, CA, US</t>
        </is>
      </c>
      <c r="H332" s="2" t="n">
        <v>45851</v>
      </c>
      <c r="I33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3">
      <c r="A333" t="inlineStr">
        <is>
          <t>in-480560ced040e07e</t>
        </is>
      </c>
      <c r="B333" t="inlineStr">
        <is>
          <t>Sr. Applied Scientist, Amazon Advertising</t>
        </is>
      </c>
      <c r="C333" t="inlineStr">
        <is>
          <t>Amazon.com</t>
        </is>
      </c>
      <c r="D333" t="inlineStr">
        <is>
          <t>indeed</t>
        </is>
      </c>
      <c r="E333">
        <f>HYPERLINK("https://www.indeed.com/viewjob?jk=480560ced040e07e", "https://www.indeed.com/viewjob?jk=480560ced040e07e")</f>
        <v/>
      </c>
      <c r="F333">
        <f>HYPERLINK("https://www.amazon.jobs/jobs/3035686/sr-applied-scientist-amazon-advertising?cmpid=DA_INAD200785B", "https://www.amazon.jobs/jobs/3035686/sr-applied-scientist-amazon-advertising?cmpid=DA_INAD200785B")</f>
        <v/>
      </c>
      <c r="G333" t="inlineStr">
        <is>
          <t>West Hollywood, CA, US</t>
        </is>
      </c>
      <c r="H333" s="2" t="n">
        <v>45851</v>
      </c>
      <c r="I33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4">
      <c r="A334" t="inlineStr">
        <is>
          <t>in-7bdeaafa8d63ee51</t>
        </is>
      </c>
      <c r="B334" t="inlineStr">
        <is>
          <t>Sr. Applied Scientist, Amazon Advertising</t>
        </is>
      </c>
      <c r="C334" t="inlineStr">
        <is>
          <t>Amazon.com</t>
        </is>
      </c>
      <c r="D334" t="inlineStr">
        <is>
          <t>indeed</t>
        </is>
      </c>
      <c r="E334">
        <f>HYPERLINK("https://www.indeed.com/viewjob?jk=7bdeaafa8d63ee51", "https://www.indeed.com/viewjob?jk=7bdeaafa8d63ee51")</f>
        <v/>
      </c>
      <c r="F334">
        <f>HYPERLINK("https://www.amazon.jobs/jobs/3035686/sr-applied-scientist-amazon-advertising?cmpid=DA_INAD200785B", "https://www.amazon.jobs/jobs/3035686/sr-applied-scientist-amazon-advertising?cmpid=DA_INAD200785B")</f>
        <v/>
      </c>
      <c r="G334" t="inlineStr">
        <is>
          <t>Los Angeles, CA, US</t>
        </is>
      </c>
      <c r="H334" s="2" t="n">
        <v>45851</v>
      </c>
      <c r="I3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5">
      <c r="A335" t="inlineStr">
        <is>
          <t>in-cf43ac3ba76f7e91</t>
        </is>
      </c>
      <c r="B335" t="inlineStr">
        <is>
          <t>Sr. Applied Scientist, Amazon Advertising</t>
        </is>
      </c>
      <c r="C335" t="inlineStr">
        <is>
          <t>Amazon.com</t>
        </is>
      </c>
      <c r="D335" t="inlineStr">
        <is>
          <t>indeed</t>
        </is>
      </c>
      <c r="E335">
        <f>HYPERLINK("https://www.indeed.com/viewjob?jk=cf43ac3ba76f7e91", "https://www.indeed.com/viewjob?jk=cf43ac3ba76f7e91")</f>
        <v/>
      </c>
      <c r="F335">
        <f>HYPERLINK("https://www.amazon.jobs/jobs/3035686/sr-applied-scientist-amazon-advertising?cmpid=DA_INAD200785B", "https://www.amazon.jobs/jobs/3035686/sr-applied-scientist-amazon-advertising?cmpid=DA_INAD200785B")</f>
        <v/>
      </c>
      <c r="G335" t="inlineStr">
        <is>
          <t>Austin, TX, US</t>
        </is>
      </c>
      <c r="H335" s="2" t="n">
        <v>45851</v>
      </c>
      <c r="I3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6">
      <c r="A336" t="inlineStr">
        <is>
          <t>in-9888e27bd5b3956f</t>
        </is>
      </c>
      <c r="B336" t="inlineStr">
        <is>
          <t>Sr. Applied Scientist, Amazon Advertising</t>
        </is>
      </c>
      <c r="C336" t="inlineStr">
        <is>
          <t>Amazon.com</t>
        </is>
      </c>
      <c r="D336" t="inlineStr">
        <is>
          <t>indeed</t>
        </is>
      </c>
      <c r="E336">
        <f>HYPERLINK("https://www.indeed.com/viewjob?jk=9888e27bd5b3956f", "https://www.indeed.com/viewjob?jk=9888e27bd5b3956f")</f>
        <v/>
      </c>
      <c r="F336">
        <f>HYPERLINK("https://www.amazon.jobs/jobs/3035686/sr-applied-scientist-amazon-advertising?cmpid=DA_INAD200785B", "https://www.amazon.jobs/jobs/3035686/sr-applied-scientist-amazon-advertising?cmpid=DA_INAD200785B")</f>
        <v/>
      </c>
      <c r="G336" t="inlineStr">
        <is>
          <t>Seattle, WA, US</t>
        </is>
      </c>
      <c r="H336" s="2" t="n">
        <v>45851</v>
      </c>
      <c r="I33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7">
      <c r="A337" t="inlineStr">
        <is>
          <t>in-ac74c07430f19d22</t>
        </is>
      </c>
      <c r="B337" t="inlineStr">
        <is>
          <t>Sr. Applied Scientist, Amazon Advertising</t>
        </is>
      </c>
      <c r="C337" t="inlineStr">
        <is>
          <t>Amazon.com</t>
        </is>
      </c>
      <c r="D337" t="inlineStr">
        <is>
          <t>indeed</t>
        </is>
      </c>
      <c r="E337">
        <f>HYPERLINK("https://www.indeed.com/viewjob?jk=ac74c07430f19d22", "https://www.indeed.com/viewjob?jk=ac74c07430f19d22")</f>
        <v/>
      </c>
      <c r="F337">
        <f>HYPERLINK("https://www.amazon.jobs/jobs/3035686/sr-applied-scientist-amazon-advertising?cmpid=DA_INAD200785B", "https://www.amazon.jobs/jobs/3035686/sr-applied-scientist-amazon-advertising?cmpid=DA_INAD200785B")</f>
        <v/>
      </c>
      <c r="G337" t="inlineStr">
        <is>
          <t>Arlington, VA, US</t>
        </is>
      </c>
      <c r="H337" s="2" t="n">
        <v>45851</v>
      </c>
      <c r="I33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8">
      <c r="A338" t="inlineStr">
        <is>
          <t>in-8564e481818f10be</t>
        </is>
      </c>
      <c r="B338" t="inlineStr">
        <is>
          <t>Sr. Applied Scientist, Amazon Advertising</t>
        </is>
      </c>
      <c r="C338" t="inlineStr">
        <is>
          <t>Amazon.com</t>
        </is>
      </c>
      <c r="D338" t="inlineStr">
        <is>
          <t>indeed</t>
        </is>
      </c>
      <c r="E338">
        <f>HYPERLINK("https://www.indeed.com/viewjob?jk=8564e481818f10be", "https://www.indeed.com/viewjob?jk=8564e481818f10be")</f>
        <v/>
      </c>
      <c r="F338">
        <f>HYPERLINK("https://www.amazon.jobs/jobs/3035686/sr-applied-scientist-amazon-advertising?cmpid=DA_INAD200785B", "https://www.amazon.jobs/jobs/3035686/sr-applied-scientist-amazon-advertising?cmpid=DA_INAD200785B")</f>
        <v/>
      </c>
      <c r="G338" t="inlineStr">
        <is>
          <t>Simi Valley, CA, US</t>
        </is>
      </c>
      <c r="H338" s="2" t="n">
        <v>45851</v>
      </c>
      <c r="I33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9">
      <c r="A339" t="inlineStr">
        <is>
          <t>in-afc94bf450110fd5</t>
        </is>
      </c>
      <c r="B339" t="inlineStr">
        <is>
          <t>Sr. Applied Scientist, Sales AI</t>
        </is>
      </c>
      <c r="C339" t="inlineStr">
        <is>
          <t>Amazon.com</t>
        </is>
      </c>
      <c r="D339" t="inlineStr">
        <is>
          <t>indeed</t>
        </is>
      </c>
      <c r="E339">
        <f>HYPERLINK("https://www.indeed.com/viewjob?jk=afc94bf450110fd5", "https://www.indeed.com/viewjob?jk=afc94bf450110fd5")</f>
        <v/>
      </c>
      <c r="F339">
        <f>HYPERLINK("https://www.amazon.jobs/jobs/3020528/sr-applied-scientist-sales-ai?cmpid=DA_INAD200785B", "https://www.amazon.jobs/jobs/3020528/sr-applied-scientist-sales-ai?cmpid=DA_INAD200785B")</f>
        <v/>
      </c>
      <c r="G339" t="inlineStr">
        <is>
          <t>Sunnyvale, CA, US</t>
        </is>
      </c>
      <c r="H339" s="2" t="n">
        <v>45830</v>
      </c>
      <c r="I33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0">
      <c r="A340" t="inlineStr">
        <is>
          <t>in-ed9e4b36af9d365c</t>
        </is>
      </c>
      <c r="B340" t="inlineStr">
        <is>
          <t>Sr. Applied Scientist, Sales AI</t>
        </is>
      </c>
      <c r="C340" t="inlineStr">
        <is>
          <t>Amazon.com</t>
        </is>
      </c>
      <c r="D340" t="inlineStr">
        <is>
          <t>indeed</t>
        </is>
      </c>
      <c r="E340">
        <f>HYPERLINK("https://www.indeed.com/viewjob?jk=ed9e4b36af9d365c", "https://www.indeed.com/viewjob?jk=ed9e4b36af9d365c")</f>
        <v/>
      </c>
      <c r="F340">
        <f>HYPERLINK("https://www.amazon.jobs/jobs/3020528/sr-applied-scientist-sales-ai?cmpid=DA_INAD200785B", "https://www.amazon.jobs/jobs/3020528/sr-applied-scientist-sales-ai?cmpid=DA_INAD200785B")</f>
        <v/>
      </c>
      <c r="G340" t="inlineStr">
        <is>
          <t>New York, NY, US</t>
        </is>
      </c>
      <c r="H340" s="2" t="n">
        <v>45830</v>
      </c>
      <c r="I34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1">
      <c r="A341" t="inlineStr">
        <is>
          <t>in-4b517d242b81d7a8</t>
        </is>
      </c>
      <c r="B341" t="inlineStr">
        <is>
          <t>Sr. Applied Scientist, Sales AI</t>
        </is>
      </c>
      <c r="C341" t="inlineStr">
        <is>
          <t>Amazon.com</t>
        </is>
      </c>
      <c r="D341" t="inlineStr">
        <is>
          <t>indeed</t>
        </is>
      </c>
      <c r="E341">
        <f>HYPERLINK("https://www.indeed.com/viewjob?jk=4b517d242b81d7a8", "https://www.indeed.com/viewjob?jk=4b517d242b81d7a8")</f>
        <v/>
      </c>
      <c r="F341">
        <f>HYPERLINK("https://www.amazon.jobs/jobs/3020528/sr-applied-scientist-sales-ai?cmpid=DA_INAD200785B", "https://www.amazon.jobs/jobs/3020528/sr-applied-scientist-sales-ai?cmpid=DA_INAD200785B")</f>
        <v/>
      </c>
      <c r="G341" t="inlineStr">
        <is>
          <t>Seattle, WA, US</t>
        </is>
      </c>
      <c r="H341" s="2" t="n">
        <v>45830</v>
      </c>
      <c r="I34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2">
      <c r="A342" t="inlineStr">
        <is>
          <t>in-491726b00ac07c4e</t>
        </is>
      </c>
      <c r="B342" t="inlineStr">
        <is>
          <t>Senior Applied Scientist, Delivery Foundation Model</t>
        </is>
      </c>
      <c r="C342" t="inlineStr">
        <is>
          <t>Amazon.com</t>
        </is>
      </c>
      <c r="D342" t="inlineStr">
        <is>
          <t>indeed</t>
        </is>
      </c>
      <c r="E342">
        <f>HYPERLINK("https://www.indeed.com/viewjob?jk=491726b00ac07c4e", "https://www.indeed.com/viewjob?jk=491726b00ac07c4e")</f>
        <v/>
      </c>
      <c r="F342">
        <f>HYPERLINK("https://www.amazon.jobs/jobs/2998435/senior-applied-scientist-delivery-foundation-model-?cmpid=DA_INAD200785B", "https://www.amazon.jobs/jobs/2998435/senior-applied-scientist-delivery-foundation-model-?cmpid=DA_INAD200785B")</f>
        <v/>
      </c>
      <c r="G342" t="inlineStr">
        <is>
          <t>Bellevue, WA, US</t>
        </is>
      </c>
      <c r="H342" s="2" t="n">
        <v>45806</v>
      </c>
      <c r="I34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3">
      <c r="A343" t="inlineStr">
        <is>
          <t>in-78f6c0898f2a0d53</t>
        </is>
      </c>
      <c r="B343" t="inlineStr">
        <is>
          <t>Senior Applied Scientist, Delivery Foundation Model</t>
        </is>
      </c>
      <c r="C343" t="inlineStr">
        <is>
          <t>Amazon.com</t>
        </is>
      </c>
      <c r="D343" t="inlineStr">
        <is>
          <t>indeed</t>
        </is>
      </c>
      <c r="E343">
        <f>HYPERLINK("https://www.indeed.com/viewjob?jk=78f6c0898f2a0d53", "https://www.indeed.com/viewjob?jk=78f6c0898f2a0d53")</f>
        <v/>
      </c>
      <c r="F343">
        <f>HYPERLINK("https://www.amazon.jobs/jobs/2998435/senior-applied-scientist-delivery-foundation-model-?cmpid=DA_INAD200785B", "https://www.amazon.jobs/jobs/2998435/senior-applied-scientist-delivery-foundation-model-?cmpid=DA_INAD200785B")</f>
        <v/>
      </c>
      <c r="G343" t="inlineStr">
        <is>
          <t>New York, NY, US</t>
        </is>
      </c>
      <c r="H343" s="2" t="n">
        <v>45806</v>
      </c>
      <c r="I34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4">
      <c r="A344" t="inlineStr">
        <is>
          <t>in-04511d7342630999</t>
        </is>
      </c>
      <c r="B344" t="inlineStr">
        <is>
          <t>Senior Applied Scientist, Delivery Foundation Model</t>
        </is>
      </c>
      <c r="C344" t="inlineStr">
        <is>
          <t>Amazon.com</t>
        </is>
      </c>
      <c r="D344" t="inlineStr">
        <is>
          <t>indeed</t>
        </is>
      </c>
      <c r="E344">
        <f>HYPERLINK("https://www.indeed.com/viewjob?jk=04511d7342630999", "https://www.indeed.com/viewjob?jk=04511d7342630999")</f>
        <v/>
      </c>
      <c r="F344">
        <f>HYPERLINK("https://www.amazon.jobs/jobs/2998435/senior-applied-scientist-delivery-foundation-model-?cmpid=DA_INAD200785B", "https://www.amazon.jobs/jobs/2998435/senior-applied-scientist-delivery-foundation-model-?cmpid=DA_INAD200785B")</f>
        <v/>
      </c>
      <c r="G344" t="inlineStr">
        <is>
          <t>Santa Clara, CA, US</t>
        </is>
      </c>
      <c r="H344" s="2" t="n">
        <v>45806</v>
      </c>
      <c r="I34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5">
      <c r="A345" t="inlineStr">
        <is>
          <t>in-514f0c548f5b7a16</t>
        </is>
      </c>
      <c r="B345" t="inlineStr">
        <is>
          <t>Sr. Applied Scientist - Privacy, Privacy Engineering</t>
        </is>
      </c>
      <c r="C345" t="inlineStr">
        <is>
          <t>Amazon.com</t>
        </is>
      </c>
      <c r="D345" t="inlineStr">
        <is>
          <t>indeed</t>
        </is>
      </c>
      <c r="E345">
        <f>HYPERLINK("https://www.indeed.com/viewjob?jk=514f0c548f5b7a16", "https://www.indeed.com/viewjob?jk=514f0c548f5b7a16")</f>
        <v/>
      </c>
      <c r="F345">
        <f>HYPERLINK("https://www.amazon.jobs/jobs/2997657/sr-applied-scientist--privacy-privacy-engineering?cmpid=DA_INAD200785B", "https://www.amazon.jobs/jobs/2997657/sr-applied-scientist--privacy-privacy-engineering?cmpid=DA_INAD200785B")</f>
        <v/>
      </c>
      <c r="G345" t="inlineStr">
        <is>
          <t>Seattle, WA, US</t>
        </is>
      </c>
      <c r="H345" s="2" t="n">
        <v>45787</v>
      </c>
      <c r="I34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6">
      <c r="A346" t="inlineStr">
        <is>
          <t>in-6ee2b8247bc9214a</t>
        </is>
      </c>
      <c r="B346" t="inlineStr">
        <is>
          <t>Sr. Applied Scientist - Privacy, Privacy Engineering</t>
        </is>
      </c>
      <c r="C346" t="inlineStr">
        <is>
          <t>Amazon.com</t>
        </is>
      </c>
      <c r="D346" t="inlineStr">
        <is>
          <t>indeed</t>
        </is>
      </c>
      <c r="E346">
        <f>HYPERLINK("https://www.indeed.com/viewjob?jk=6ee2b8247bc9214a", "https://www.indeed.com/viewjob?jk=6ee2b8247bc9214a")</f>
        <v/>
      </c>
      <c r="F346">
        <f>HYPERLINK("https://www.amazon.jobs/jobs/2997657/sr-applied-scientist--privacy-privacy-engineering?cmpid=DA_INAD200785B", "https://www.amazon.jobs/jobs/2997657/sr-applied-scientist--privacy-privacy-engineering?cmpid=DA_INAD200785B")</f>
        <v/>
      </c>
      <c r="G346" t="inlineStr">
        <is>
          <t>Santa Clara, CA, US</t>
        </is>
      </c>
      <c r="H346" s="2" t="n">
        <v>45787</v>
      </c>
      <c r="I34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7">
      <c r="A347" t="inlineStr">
        <is>
          <t>in-f9d9d25807b9c6ec</t>
        </is>
      </c>
      <c r="B347" t="inlineStr">
        <is>
          <t>Sr. Applied Scientist - Privacy, Privacy Engineering</t>
        </is>
      </c>
      <c r="C347" t="inlineStr">
        <is>
          <t>Amazon.com</t>
        </is>
      </c>
      <c r="D347" t="inlineStr">
        <is>
          <t>indeed</t>
        </is>
      </c>
      <c r="E347">
        <f>HYPERLINK("https://www.indeed.com/viewjob?jk=f9d9d25807b9c6ec", "https://www.indeed.com/viewjob?jk=f9d9d25807b9c6ec")</f>
        <v/>
      </c>
      <c r="F347">
        <f>HYPERLINK("https://www.amazon.jobs/jobs/2997657/sr-applied-scientist--privacy-privacy-engineering?cmpid=DA_INAD200785B", "https://www.amazon.jobs/jobs/2997657/sr-applied-scientist--privacy-privacy-engineering?cmpid=DA_INAD200785B")</f>
        <v/>
      </c>
      <c r="G347" t="inlineStr">
        <is>
          <t>Sunnyvale, CA, US</t>
        </is>
      </c>
      <c r="H347" s="2" t="n">
        <v>45787</v>
      </c>
      <c r="I34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8">
      <c r="A348" t="inlineStr">
        <is>
          <t>in-fe74fcb05ebae649</t>
        </is>
      </c>
      <c r="B348" t="inlineStr">
        <is>
          <t>Sr. Applied Scientist - Privacy, Privacy Engineering</t>
        </is>
      </c>
      <c r="C348" t="inlineStr">
        <is>
          <t>Amazon.com</t>
        </is>
      </c>
      <c r="D348" t="inlineStr">
        <is>
          <t>indeed</t>
        </is>
      </c>
      <c r="E348">
        <f>HYPERLINK("https://www.indeed.com/viewjob?jk=fe74fcb05ebae649", "https://www.indeed.com/viewjob?jk=fe74fcb05ebae649")</f>
        <v/>
      </c>
      <c r="F348">
        <f>HYPERLINK("https://www.amazon.jobs/jobs/2997657/sr-applied-scientist--privacy-privacy-engineering?cmpid=DA_INAD200785B", "https://www.amazon.jobs/jobs/2997657/sr-applied-scientist--privacy-privacy-engineering?cmpid=DA_INAD200785B")</f>
        <v/>
      </c>
      <c r="G348" t="inlineStr">
        <is>
          <t>San Francisco, CA, US</t>
        </is>
      </c>
      <c r="H348" s="2" t="n">
        <v>45787</v>
      </c>
      <c r="I348"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9">
      <c r="A349" t="inlineStr">
        <is>
          <t>in-2f1ed71c7a04d686</t>
        </is>
      </c>
      <c r="B349" t="inlineStr">
        <is>
          <t>Sr. Data Scientist- Computer Vision, Data &amp; Machine Learning (DML)</t>
        </is>
      </c>
      <c r="C349" t="inlineStr">
        <is>
          <t>Amazon Web Services</t>
        </is>
      </c>
      <c r="D349" t="inlineStr">
        <is>
          <t>indeed</t>
        </is>
      </c>
      <c r="E349">
        <f>HYPERLINK("https://www.indeed.com/viewjob?jk=2f1ed71c7a04d686", "https://www.indeed.com/viewjob?jk=2f1ed71c7a04d686")</f>
        <v/>
      </c>
      <c r="F349">
        <f>HYPERLINK("https://www.amazon.jobs/jobs/3181194/sr-data-scientist-computer-vision-data--machine-learning-dml?cmpid=DA_INAD200785B", "https://www.amazon.jobs/jobs/3181194/sr-data-scientist-computer-vision-data--machine-learning-dml?cmpid=DA_INAD200785B")</f>
        <v/>
      </c>
      <c r="G349" t="inlineStr">
        <is>
          <t>Herndon, VA, US</t>
        </is>
      </c>
      <c r="H349" s="2" t="n">
        <v>46062</v>
      </c>
      <c r="I349"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5\+ years of data querying languages (e.g. SQL), scripting languages (e.g. Python) or statistical/mathematical software (e.g. R, SAS, Matlab, etc.) experience
* Knowledge of AWS tech stack (e.g., AWS Redshift, S3, EC2, Glue)
* Bachelor's degree in a quantitative field such as statistics, mathematics, data science, business analytics, economics, finance, engineering, or computer science
* 2\+ years of experience with machine learning, statistical modeling, data analysis tools and techniques, and performance parameters for computer vision delivery requirements
* Current, active US Government Security Clearance of Top Secret or above
**PREFERRED QUALIFICATIONS**
----------------------------
* 3\+ years of data visualization using AWS QuickSight, Tableau, R Shiny, etc. experience
* Experience managing data pipelines
* Experience as a leader and mentor on a data science team
* Master's degree in a quantitative field such as statistics, mathematics, data science, business analytics, economics, finance, engineering, or computer science
* Familiarity with internals of LLMs, VLMs, and traditional Computer Vision object detection models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350">
      <c r="A350" t="inlineStr">
        <is>
          <t>in-0d9b7c8473a6bf13</t>
        </is>
      </c>
      <c r="B350" t="inlineStr">
        <is>
          <t>Sr. Data Scientist- Computer Vision, Data &amp; Machine Learning (DML)</t>
        </is>
      </c>
      <c r="C350" t="inlineStr">
        <is>
          <t>Amazon Web Services</t>
        </is>
      </c>
      <c r="D350" t="inlineStr">
        <is>
          <t>indeed</t>
        </is>
      </c>
      <c r="E350">
        <f>HYPERLINK("https://www.indeed.com/viewjob?jk=0d9b7c8473a6bf13", "https://www.indeed.com/viewjob?jk=0d9b7c8473a6bf13")</f>
        <v/>
      </c>
      <c r="F350">
        <f>HYPERLINK("https://www.amazon.jobs/jobs/3181194/sr-data-scientist-computer-vision-data--machine-learning-dml?cmpid=DA_INAD200785B", "https://www.amazon.jobs/jobs/3181194/sr-data-scientist-computer-vision-data--machine-learning-dml?cmpid=DA_INAD200785B")</f>
        <v/>
      </c>
      <c r="G350" t="inlineStr">
        <is>
          <t>Arlington, VA, US</t>
        </is>
      </c>
      <c r="H350" s="2" t="n">
        <v>46062</v>
      </c>
      <c r="I350"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5\+ years of data querying languages (e.g. SQL), scripting languages (e.g. Python) or statistical/mathematical software (e.g. R, SAS, Matlab, etc.) experience
* Knowledge of AWS tech stack (e.g., AWS Redshift, S3, EC2, Glue)
* Bachelor's degree in a quantitative field such as statistics, mathematics, data science, business analytics, economics, finance, engineering, or computer science
* 2\+ years of experience with machine learning, statistical modeling, data analysis tools and techniques, and performance parameters for computer vision delivery requirements
* Current, active US Government Security Clearance of Top Secret or above
**PREFERRED QUALIFICATIONS**
----------------------------
* 3\+ years of data visualization using AWS QuickSight, Tableau, R Shiny, etc. experience
* Experience managing data pipelines
* Experience as a leader and mentor on a data science team
* Master's degree in a quantitative field such as statistics, mathematics, data science, business analytics, economics, finance, engineering, or computer science
* Familiarity with internals of LLMs, VLMs, and traditional Computer Vision object detection models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351">
      <c r="A351" t="inlineStr">
        <is>
          <t>in-9adb7eeab0ceacf6</t>
        </is>
      </c>
      <c r="B351" t="inlineStr">
        <is>
          <t>Data Scientist - Computer Vision, Data &amp; Machine Learning (DML)</t>
        </is>
      </c>
      <c r="C351" t="inlineStr">
        <is>
          <t>Amazon Web Services</t>
        </is>
      </c>
      <c r="D351" t="inlineStr">
        <is>
          <t>indeed</t>
        </is>
      </c>
      <c r="E351">
        <f>HYPERLINK("https://www.indeed.com/viewjob?jk=9adb7eeab0ceacf6", "https://www.indeed.com/viewjob?jk=9adb7eeab0ceacf6")</f>
        <v/>
      </c>
      <c r="F351">
        <f>HYPERLINK("https://www.amazon.jobs/jobs/3171977/data-scientist--computer-vision-data--machine-learning-dml?cmpid=DA_INAD200785B", "https://www.amazon.jobs/jobs/3171977/data-scientist--computer-vision-data--machine-learning-dml?cmpid=DA_INAD200785B")</f>
        <v/>
      </c>
      <c r="G351" t="inlineStr">
        <is>
          <t>Arlington, VA, US</t>
        </is>
      </c>
      <c r="H351" s="2" t="n">
        <v>46051</v>
      </c>
      <c r="I351"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52">
      <c r="A352" t="inlineStr">
        <is>
          <t>in-2fd7da1145a8ef8a</t>
        </is>
      </c>
      <c r="B352" t="inlineStr">
        <is>
          <t>Data Scientist - Computer Vision, Data &amp; Machine Learning (DML)</t>
        </is>
      </c>
      <c r="C352" t="inlineStr">
        <is>
          <t>Amazon Web Services</t>
        </is>
      </c>
      <c r="D352" t="inlineStr">
        <is>
          <t>indeed</t>
        </is>
      </c>
      <c r="E352">
        <f>HYPERLINK("https://www.indeed.com/viewjob?jk=2fd7da1145a8ef8a", "https://www.indeed.com/viewjob?jk=2fd7da1145a8ef8a")</f>
        <v/>
      </c>
      <c r="F352">
        <f>HYPERLINK("https://www.amazon.jobs/jobs/3171977/data-scientist--computer-vision-data--machine-learning-dml?cmpid=DA_INAD200785B", "https://www.amazon.jobs/jobs/3171977/data-scientist--computer-vision-data--machine-learning-dml?cmpid=DA_INAD200785B")</f>
        <v/>
      </c>
      <c r="G352" t="inlineStr">
        <is>
          <t>Herndon, VA, US</t>
        </is>
      </c>
      <c r="H352" s="2" t="n">
        <v>46051</v>
      </c>
      <c r="I352"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 Exploring the data and brainstorming and prioritizing ideas for model development
* Implementing new features in our sizable code base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Three to four days a week, you would travel to the customer site in Northern Virginia to perform tasking as described below. Weekdays when you do not travel to the customer site, you would work from your local Amazon office.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Apache AirFlow,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 Run data conversion pipelines to transform customer data into the structure needed by models for training
* Perform EDA on the customer data
* Train deep neural network models on overhead imagery
* Develop and implement hyper\-parameter optimization strategies
* Test and Evaluate models and analyze results
* Package and deliver models to the customer
* Incorporate model R\&amp;D from low\-side researchers
* Implement new features to the model development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Experience with AWS services including S3, Redshift, Sagemaker, EMR, Kinesis, Lambda, and EC2
* Current, active US Government Security Clearance of Top Secret or above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effectively communicating complex concepts through written and verbal communication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53">
      <c r="A353" t="inlineStr">
        <is>
          <t>in-fff4b895e003e9db</t>
        </is>
      </c>
      <c r="B353" t="inlineStr">
        <is>
          <t>Data Scientist- Vision Language Model Researcher, Data &amp; Machine Learning (DML)</t>
        </is>
      </c>
      <c r="C353" t="inlineStr">
        <is>
          <t>Amazon Web Services</t>
        </is>
      </c>
      <c r="D353" t="inlineStr">
        <is>
          <t>indeed</t>
        </is>
      </c>
      <c r="E353">
        <f>HYPERLINK("https://www.indeed.com/viewjob?jk=fff4b895e003e9db", "https://www.indeed.com/viewjob?jk=fff4b895e003e9db")</f>
        <v/>
      </c>
      <c r="F353">
        <f>HYPERLINK("https://www.amazon.jobs/jobs/3172308/data-scientist-vision-language-model-researcher-data--machine-learning-dml?cmpid=DA_INAD200785B", "https://www.amazon.jobs/jobs/3172308/data-scientist-vision-language-model-researcher-data--machine-learning-dml?cmpid=DA_INAD200785B")</f>
        <v/>
      </c>
      <c r="G353" t="inlineStr">
        <is>
          <t>Herndon, VA, US</t>
        </is>
      </c>
      <c r="H353" s="2" t="n">
        <v>46051</v>
      </c>
      <c r="I353"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54">
      <c r="A354" t="inlineStr">
        <is>
          <t>in-2c9e1279bc92980c</t>
        </is>
      </c>
      <c r="B354" t="inlineStr">
        <is>
          <t>Data Scientist- Vision Language Model Researcher, Data &amp; Machine Learning (DML)</t>
        </is>
      </c>
      <c r="C354" t="inlineStr">
        <is>
          <t>Amazon Web Services</t>
        </is>
      </c>
      <c r="D354" t="inlineStr">
        <is>
          <t>indeed</t>
        </is>
      </c>
      <c r="E354">
        <f>HYPERLINK("https://www.indeed.com/viewjob?jk=2c9e1279bc92980c", "https://www.indeed.com/viewjob?jk=2c9e1279bc92980c")</f>
        <v/>
      </c>
      <c r="F354">
        <f>HYPERLINK("https://www.amazon.jobs/jobs/3172308/data-scientist-vision-language-model-researcher-data--machine-learning-dml?cmpid=DA_INAD200785B", "https://www.amazon.jobs/jobs/3172308/data-scientist-vision-language-model-researcher-data--machine-learning-dml?cmpid=DA_INAD200785B")</f>
        <v/>
      </c>
      <c r="G354" t="inlineStr">
        <is>
          <t>Arlington, VA, US</t>
        </is>
      </c>
      <c r="H354" s="2" t="n">
        <v>46051</v>
      </c>
      <c r="I354"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TS/SCI
* Familiarity with internals of LLMs, VLMs, and traditional Computer Vision object detection models
* Ability to implement and modify deep neural networks in PyTorch
* Familiarity with techniques and libraries such as Deepspeed/ZeRO, LoRA/QLoRA, or SFT for LLMs
**PREFERRED QUALIFICATIONS**
----------------------------
* Master's degree or above in computer science, machine learning, engineering, or related fields
* Knowledge of machine learning concepts and their application to reasoning and problem\-solving
* Experience working on multi\-team, cross\-disciplinary projects
* Experience with AWS services including S3, Redshift, Sagemaker, EMR, Kinesis, Lambda, and EC2
* Experience in Linux, Git workflows, and use of satellite imagery for computer vision requirements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55">
      <c r="A355" t="inlineStr">
        <is>
          <t>in-c392b7d88860358f</t>
        </is>
      </c>
      <c r="B355" t="inlineStr">
        <is>
          <t>Data Scientist - Computer Vision, Data &amp; Machine Learning (DML)</t>
        </is>
      </c>
      <c r="C355" t="inlineStr">
        <is>
          <t>Amazon Web Services</t>
        </is>
      </c>
      <c r="D355" t="inlineStr">
        <is>
          <t>indeed</t>
        </is>
      </c>
      <c r="E355">
        <f>HYPERLINK("https://www.indeed.com/viewjob?jk=c392b7d88860358f", "https://www.indeed.com/viewjob?jk=c392b7d88860358f")</f>
        <v/>
      </c>
      <c r="F355">
        <f>HYPERLINK("https://www.amazon.jobs/jobs/3178354/data-scientist--computer-vision-data--machine-learning-dml?cmpid=DA_INAD200785B", "https://www.amazon.jobs/jobs/3178354/data-scientist--computer-vision-data--machine-learning-dml?cmpid=DA_INAD200785B")</f>
        <v/>
      </c>
      <c r="G355" t="inlineStr">
        <is>
          <t>Arlington, VA, US</t>
        </is>
      </c>
      <c r="H355" s="2" t="n">
        <v>46051</v>
      </c>
      <c r="I355"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primarily on the unclassified networks.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AWS Services,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Run data conversion pipelines to transform customer data into the structure needed by models for training
Perform EDA on the customer data
Train deep neural network models on overhead imagery
Develop and implement hyper\-parameter optimization strategies
Test and Evaluate models and analyze results
Package and deliver models to the customer
Implement new features to the model development code base
Collaborate with the rest of the team on long term strategy and short\-medium term implementation.
Contribute to presentations to the customer regarding the team’s work.
**BASIC QUALIFICATIONS**
------------------------
* Bachelor's degree or above in computer science, computer engineering, or related field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with AWS services including S3, Redshift, Sagemaker, EMR, Kinesis, Lambda, and EC2
* Current, active US Government Security Clearance of Top Secret or above
**PREFERRED QUALIFICATIONS**
----------------------------
* Knowledge of machine learning concepts and their application to reasoning and problem\-solving
* Experience in a ML or data scientist role with a large technology company
* Experience working on multi\-team, cross\-disciplinary projects
* Master's degree or above in computer science, machine learning, engineering, or related fields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56">
      <c r="A356" t="inlineStr">
        <is>
          <t>in-e893fb8d1c56fbea</t>
        </is>
      </c>
      <c r="B356" t="inlineStr">
        <is>
          <t>Data Scientist - Computer Vision, Data &amp; Machine Learning (DML)</t>
        </is>
      </c>
      <c r="C356" t="inlineStr">
        <is>
          <t>Amazon Web Services</t>
        </is>
      </c>
      <c r="D356" t="inlineStr">
        <is>
          <t>indeed</t>
        </is>
      </c>
      <c r="E356">
        <f>HYPERLINK("https://www.indeed.com/viewjob?jk=e893fb8d1c56fbea", "https://www.indeed.com/viewjob?jk=e893fb8d1c56fbea")</f>
        <v/>
      </c>
      <c r="F356">
        <f>HYPERLINK("https://www.amazon.jobs/jobs/3178354/data-scientist--computer-vision-data--machine-learning-dml?cmpid=DA_INAD200785B", "https://www.amazon.jobs/jobs/3178354/data-scientist--computer-vision-data--machine-learning-dml?cmpid=DA_INAD200785B")</f>
        <v/>
      </c>
      <c r="G356" t="inlineStr">
        <is>
          <t>Herndon, VA, US</t>
        </is>
      </c>
      <c r="H356" s="2" t="n">
        <v>46051</v>
      </c>
      <c r="I356" t="inlineStr">
        <is>
          <t>**DESCRIPTION**
---------------
This position requires that the candidate selected be a US Citizen and currently possess and maintain an active Top Secret security clearance.  
Join a sizeable team of data scientists, research scientists, and machine learning engineers that develop computer vision models on overhead imagery for a high\-impact government customer. We own the entire machine learning development life cycle, developing models on customer data:
Exploring the data and brainstorming and prioritizing ideas for model development
Implementing new features in our sizable code base
Training models in support of experimental or performance goals
T\&amp;E\-ing, packaging, and delivering models  
We perform this work on both unclassified and classified networks, with portions of our team working on each network.
We seek a new team member to work primarily on the unclassified networks. You would work collaboratively with teammates to use and contribute to a well\-maintained code base that the team has developed over the last several years, almost entirely in python. You would have great opportunities to learn from team members and technical leads, while also having opportunities for ownership of important project workflows. You would work with Jupyter Notebooks, the Linux command line, AWS Services, GitLab, and Visual Studio Code. We are a very collaborative team, and regularly teach and learn from each other, so, if you are familiar with some of these technologies, but unfamiliar with others, we encourage you to apply \- especially if you are someone who likes to learn. We are always learning on the job ourselves.
Key job responsibilities  
With support from technical leads, carry out tasking across the entire machine learning development lifecycle to develop computer vision models on overhead imagery:
Run data conversion pipelines to transform customer data into the structure needed by models for training
Perform EDA on the customer data
Train deep neural network models on overhead imagery
Develop and implement hyper\-parameter optimization strategies
Test and Evaluate models and analyze results
Package and deliver models to the customer
Implement new features to the model development code base
Collaborate with the rest of the team on long term strategy and short\-medium term implementation.
Contribute to presentations to the customer regarding the team’s work.
**BASIC QUALIFICATIONS**
------------------------
* Bachelor's degree or above in computer science, computer engineering, or related field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with AWS services including S3, Redshift, Sagemaker, EMR, Kinesis, Lambda, and EC2
* Current, active US Government Security Clearance of Top Secret or above
**PREFERRED QUALIFICATIONS**
----------------------------
* Knowledge of machine learning concepts and their application to reasoning and problem\-solving
* Experience in a ML or data scientist role with a large technology company
* Experience working on multi\-team, cross\-disciplinary projects
* Master's degree or above in computer science, machine learning, engineering, or related fields
* Experience in Linux, PyTorch, and Git workflows for MLOps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57">
      <c r="A357" t="inlineStr">
        <is>
          <t>in-77342bbd3b611e17</t>
        </is>
      </c>
      <c r="B357" t="inlineStr">
        <is>
          <t>Applied Scientist, Alexa Smart Home</t>
        </is>
      </c>
      <c r="C357" t="inlineStr">
        <is>
          <t>Amazon.com</t>
        </is>
      </c>
      <c r="D357" t="inlineStr">
        <is>
          <t>indeed</t>
        </is>
      </c>
      <c r="E357">
        <f>HYPERLINK("https://www.indeed.com/viewjob?jk=77342bbd3b611e17", "https://www.indeed.com/viewjob?jk=77342bbd3b611e17")</f>
        <v/>
      </c>
      <c r="F357">
        <f>HYPERLINK("https://www.amazon.jobs/jobs/3169205/applied-scientist-alexa-smart-home?cmpid=DA_INAD200785B", "https://www.amazon.jobs/jobs/3169205/applied-scientist-alexa-smart-home?cmpid=DA_INAD200785B")</f>
        <v/>
      </c>
      <c r="G357" t="inlineStr">
        <is>
          <t>Sunnyvale, CA, US</t>
        </is>
      </c>
      <c r="H357" s="2" t="n">
        <v>46033</v>
      </c>
      <c r="I357"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58">
      <c r="A358" t="inlineStr">
        <is>
          <t>in-5a1e6110117a48d0</t>
        </is>
      </c>
      <c r="B358" t="inlineStr">
        <is>
          <t>Applied Scientist, Alexa Smart Home</t>
        </is>
      </c>
      <c r="C358" t="inlineStr">
        <is>
          <t>Amazon.com</t>
        </is>
      </c>
      <c r="D358" t="inlineStr">
        <is>
          <t>indeed</t>
        </is>
      </c>
      <c r="E358">
        <f>HYPERLINK("https://www.indeed.com/viewjob?jk=5a1e6110117a48d0", "https://www.indeed.com/viewjob?jk=5a1e6110117a48d0")</f>
        <v/>
      </c>
      <c r="F358">
        <f>HYPERLINK("https://www.amazon.jobs/jobs/3169205/applied-scientist-alexa-smart-home?cmpid=DA_INAD200785B", "https://www.amazon.jobs/jobs/3169205/applied-scientist-alexa-smart-home?cmpid=DA_INAD200785B")</f>
        <v/>
      </c>
      <c r="G358" t="inlineStr">
        <is>
          <t>Seattle, WA, US</t>
        </is>
      </c>
      <c r="H358" s="2" t="n">
        <v>46033</v>
      </c>
      <c r="I358"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li-4364763854</t>
        </is>
      </c>
      <c r="B2" t="inlineStr">
        <is>
          <t>Data Scientist (Entry-Level)</t>
        </is>
      </c>
      <c r="C2" t="inlineStr">
        <is>
          <t>Why Hiring</t>
        </is>
      </c>
      <c r="D2" t="inlineStr">
        <is>
          <t>linkedin</t>
        </is>
      </c>
      <c r="E2" t="inlineStr"/>
      <c r="F2" t="inlineStr"/>
      <c r="G2" t="inlineStr"/>
      <c r="H2" t="inlineStr"/>
      <c r="I2" t="inlineStr">
        <is>
          <t>At Why Hiring, we believe in the power of connecting talented individuals with incredible remote job opportunities. Our mission is to simplify the job search process and empower professionals to find fulfilling roles that align with their skills and passions, regardless of geographical constraints. Why Hiring is setting the benchmark in both permanent and contract recruitment for Tech clients.
 We’re looking for a data scientist his/her crucial role will assist in fulfilling our client's analytics and inference requirements, enabling the company to expand and further invest in advancing the product's future.
**Responsibilities for this position involve:** 
 Working alongside engineers and the Data Science lead to ensure a dependable and orderly data flow into the data warehouse, crafting significant business insights from this data.
 Collaborating with Data Science leads to innovative data\-centric product functionalities, such as the company's universal catalog, and contributes to the development of suggested product and vendor selections.
 Delivering uniquely valuable insights to customers through dashboards, reports, and recommendations.
 Providing feedback on metrics to the product and engineering departments to optimize the value customers derive from the features we introduce.
**Your Achievements:** 
 Over 2 years of experience in roles centered around analytics, with a preference for prior involvement in data science teams.
**Tech Stack Proficiency** 
 Proficient in Python, SQL, and BI Tooling; additional expertise in Azure, AWS, GCP, and Docker is advantageous.
**Proven Track Record** 
 Demonstrated ability to swiftly execute projects and iterate effectively.
**Collaborative Skills** 
 Ability to empathize while collaborating with internal cross\-functional stakeholders and in client\-facing endeavors.
**Data Quality Enhancement** 
 History of elevating real\-world business and usage data quality to generate dependable insights.
**Communication and Precision** 
 Skill in translating non\-technical requests into accurate terms.
**Data Management Proficiency** 
 Understanding of managing intricate and diverse data sources, unifying them effectively.</t>
        </is>
      </c>
    </row>
    <row r="3">
      <c r="A3" t="inlineStr">
        <is>
          <t>li-4367600331</t>
        </is>
      </c>
      <c r="B3" t="inlineStr">
        <is>
          <t>Senior Data Scientist</t>
        </is>
      </c>
      <c r="C3" t="inlineStr">
        <is>
          <t>Outdoorsy</t>
        </is>
      </c>
      <c r="D3" t="inlineStr">
        <is>
          <t>linkedin</t>
        </is>
      </c>
      <c r="E3" t="inlineStr"/>
      <c r="F3" t="inlineStr"/>
      <c r="G3" t="inlineStr">
        <is>
          <t>Austin, TX</t>
        </is>
      </c>
      <c r="H3" t="inlineStr"/>
      <c r="I3" t="inlineStr">
        <is>
          <t>**About The Outdoorsy Group**
 Founded in 2015, Outdoorsy Group pioneered access to the outdoors by building the world's leading outdoor travel ecosystem. Millions of guests trust Outdoorsy to create lifelong family memories, while hosts rely on its products and innovations to grow their businesses and unlock life\-changing sources of income. Outdoorsy Group's portfolio includes
 **Outdoorsy.com** 
**,** 
 the largest outdoor travel and hospitality marketplace; the
 **Destination Network** 
 , a growing collection of campgrounds and glamping retreats set in some of the country's most iconic landscapes; and
 **Roamly** 
 , its proprietary insurtech platform powering
 **Outdoorsy.com** 
 and enabling insurance infrastructure for global marketplaces. Together, Outdoorsy Group's businesses are united by a long\-term mission: to restore our relationship with the outdoors—and with one another.
**About Outdoorsy**
 Outdoorsy is the world's largest RV rental and outdoor travel marketplace. Our platform has facilitated over
 **9 million nights spent outdoors** 
 across almost
 **2 million trips** 
 , establishing us as the leader in experiential travel through RV rentals that are available in 4,800 cities across North America. Outdoorsy's marketplace, insurance, and retreats provide life\-changing financial benefits for RV hosts and retreat communities and offer guests the trust and guidance they need to enjoy memorable rustic travel experiences. Outdoorsy's team is inspired by a mission to restore our relationship with the outdoors and each other by inviting guests to Live Outdoorsy.
**About Roamly**
 Roamly is a leading provider of innovative, specialty insurance solutions purpose\-built for the modern mobility and marketplace travel economy. As a Lloyd's Coverholder and AI\-first insurance innovator, Roamly delivers a robust platform, deep carrier partnerships, and an expanding ecosystem that empowers consumers, professional fleet owners, and marketplaces to unlock new revenue streams while reducing risk. Our technology harnesses AI, advanced automation, and embedded distribution to power tailored coverages for recreational vehicles, carsharing, and other emerging mobility models—covering everything from underwriting and claims to compliance, data analytics, and real\-time risk management. Learn more at
 **www.roamly.com** 
 .
**About the Role:**
 The Outdoorsy Group is seeking a Data Scientist to solve complex advanced analytics challenges for Outdoorsy and Roamly. Reporting to the Senior Director of Analytics, they will be responsible for building dynamic pricing and recommendation engines, as well as predictive retention and claims models. The ideal candidate will be able to show a track record of leveraging advanced analytics and machine learning to solve complex problems in the travel or insurance space. With the role straddling both Outdoorsy and Roamly, they will need to demonstrate a passion and aptitude for pivoting between different business models and goals. If you're self\-driven and looking to make an impact in a fast\-paced environment, then we'd love to have you!
* Candidates in Austin, TX will be prioritized
**Requirements**
**Key Responsibilities \&amp; Deliverables**
* Develop Lead Scoring algorithms that predict the LTV of qualified insurance leads, and pass it back to our ad partners to optimize bidding strategies, as well as to our internal Sales team to prioritize outreach
* Develop models to predict churn and claims losses across our insurance products. Work closely with the Underwriting team to ensure these models are integrated into business processes
* Assist in the development of a dynamic pricing model to help RV marketplace hosts adjust prices seamlessly in response to seasonal and vehicle\-based factors, as well as surges in demand
* Develop models to predict what ancillary products should be recommended for upsell to a given Outdoorsy / Roamly customer
* Use advanced statistical methods to conduct audience clustering and segmentation on both RV Rental and Insurance customers, and evangelize these findings across stakeholders in Marketing and Product
* Collaborate closely with Data Analysts and Engineers to ensure that data pipelines and models are accurate and optimized
**Who You Are (Candidate Profile)**
* Industry Expert: 3\+ years data science experience, with a proven track record of standing up Machine Learning algorithms within consumer\-facing products (Travel, marketplace, or insurance experience preferred)
* Business\-Focused: Proven ability to understand business imperatives and trade\-offs (Bookings vs. Revenue, Premium vs. Risk) and tailor outputs to align with company goals
* Collaborative Team Player: You work effectively across departments, e.g. Product, Engineering, and Finance, and understand that great products come from diverse perspectives
* Velocity\-Focused: You thrive in fast\-paced environments where priorities shift quickly, and you're energized by solving real customer problems
* Technical Proficiency: Advanced expertise in SQL, Python/R, and relevant machine learning libraries. Demonstrated experience with statistical methods such as regression, hypothesis testing, clustering, classification, tree\-based methods, neural networks, and anomaly detection. Familiarity with ELT tools such as FiveTran and DBT, and ability to collaborate with data counterparts on data repositories and models. Expertise with business intelligence tools such as Tableau (preferred)
* Academic Background: Degree in a quantitative field like data science, mathematics, economics, or computer science, or equivalent practical experience (Masters preferred)
**Benefits**
**Why You'll Love Working Here**
* Competitive Compensation: Base salary of $140k\-$200k DOE
* Growth Opportunity: Join a company in its early stages and help build its foundation for success
* Equity: Opportunity to earn equity compensation
* Comprehensive Benefits: 100% company\-paid medical premiums for employees, 401(k) \[Match], and Flexible PTO
* Vibrant Culture: Lively Austin HQ with catered lunches, Happy Hours, and team\-building events.
* Work\-Life Balance: Enjoy RV rental discounts and a company culture that values a healthy balance between work and adventure</t>
        </is>
      </c>
    </row>
    <row r="4">
      <c r="A4" t="inlineStr">
        <is>
          <t>li-4372362684</t>
        </is>
      </c>
      <c r="B4" t="inlineStr">
        <is>
          <t>Data Scientist</t>
        </is>
      </c>
      <c r="C4" t="inlineStr">
        <is>
          <t>Tata Consultancy Services</t>
        </is>
      </c>
      <c r="D4" t="inlineStr">
        <is>
          <t>linkedin</t>
        </is>
      </c>
      <c r="E4" t="inlineStr"/>
      <c r="F4" t="inlineStr"/>
      <c r="G4" t="inlineStr">
        <is>
          <t>Charlotte, NC</t>
        </is>
      </c>
      <c r="H4" t="inlineStr"/>
      <c r="I4" t="inlineStr">
        <is>
          <t>**Job Description**
 Data Scientist
 Must Have Technical/Functional Skills
 Technical Skills
* Machine Learning (ML) techniques and algorithms
* Hypothesis Testing and Statistical Analysis
* Regression Analysis and Predictive Modeling
* Natural Language Processing (NLP)
* Programming in Python and/or R
* SQL for data manipulation and querying
* Experience with PyTorch and TensorFlow
 Functional Skills
* Strong foundation in Mathematics and Statistics
* Familiarity with Machine Learning product system design
* Understanding of Large Language Models (LLMs)
* Proficiency in model documentation and model governance
 Roles \&amp; Responsibilities
* Work with business SMEs to understand data requirements and translate them into predictive models and analytical tools.
* Apply NLP and applied mathematics techniques to develop text classification tools for automating manual document review processes.
* Present insights using data visualization techniques and communicate findings effectively.
* Assess the accuracy and effectiveness of new data sources and data gathering techniques.
* Develop processes and tools to monitor and analyze model performance.
 Salary Range\- $95,000\-$130,000 a year
**Qualifications:** 
 BACHELOR OF COMPUTER SCIENCE</t>
        </is>
      </c>
    </row>
    <row r="5">
      <c r="A5" t="inlineStr">
        <is>
          <t>li-4346479557</t>
        </is>
      </c>
      <c r="B5" t="inlineStr">
        <is>
          <t>Data Scientist</t>
        </is>
      </c>
      <c r="C5" t="inlineStr">
        <is>
          <t>PPG</t>
        </is>
      </c>
      <c r="D5" t="inlineStr">
        <is>
          <t>linkedin</t>
        </is>
      </c>
      <c r="E5" t="inlineStr"/>
      <c r="F5" t="inlineStr"/>
      <c r="G5" t="inlineStr">
        <is>
          <t>Pittsburgh, PA</t>
        </is>
      </c>
      <c r="H5" t="inlineStr"/>
      <c r="I5" t="inlineStr">
        <is>
          <t>**Job Description**
 PPG Digital Organization is seeking to drive growth and improve productivity for the company at scale in the areas of formulation development (new product development), product quality (manufacturing), and color matching. We are seeking a creative and motivated
 **Data Scientist** 
 to join our team to use scientific knowledge and translate to digital solutions.
 As a
 **Data Scientist** 
 , and member of our PPG Digital Organization, you'll be contributing to specific business projects utilizing machine learning, computer vision, advanced statistical analysis, data mining, optimization, and data visualization methods to drive product and service development that lie at the intersection of both digital and physical sciences. You will make recommendations on the data and provide insights into seeking rapid solutions through agile teams / sprints.
**Key Responsibilities**
* Devising and applying state of the art algorithms related to deep learning and reinforcement learning.
* Evaluate AI/ML readiness and provide data acquisition recommendations to bridge gaps
* Visualize data to discover and communicate solutions and opportunities.
* Application of advanced statistics on scientific problems.
* Producing meaningful and actionable results quickly with teams
* Employ Machine learning sub fields such as:
+ Multivariate data analysis and clustering based models
+ Classification \- discrete events and perceptions (image, voice, and text)
+ Regression models
+ Multi\-objective optimization
* Stay current of trends in applied machine learning, computer vision and advanced statistics.
* Collaborate with external partners to bring groundbreaking results to PPG operations.
* Work with global teams to translate innovative ideas into deployable digital products and services with quantifiable business impact.
**Qualifications**
* Ph.D. in Chemical Engineering, Chemistry, Polymer Science or equivalent
* Strong proficiency in machine learning, with experience in unstructured/cognitive learning algorithms.
* Strong proficiency with Python
* Minimum of 5 years of experience using data analysis techniques to solve business related problems regardless of industry. (School internship experience can count)
**Preferred Qualifications**
* Experience in delivering results at the intersection of machine learning, computer vision, engineering and material sciences
* Experience with Matlab, R and/or other statistical programming languages applying the appropriate statistical procedures to problems.
* Experience with state\-of\-the\-art deep learning frameworks such as TensorFlow, PyTorch, Keras or comparable technologies.
* Six Sigma methodology experience (Yellow belt and above).
* Experience working with both structured and distributed data technologies ranging from SQL to Hadoop, Hive and Spark.
* Experience with agile development methodology.
**About Us**
 Here at PPG we make it happen, and we seek candidates of the highest integrity and professionalism who share our values, with the commitment and drive to strive today to do better than yesterday – everyday.
**PPG: WE PROTECT AND BEAUTIFY THE WORLD™**
 Through leadership in innovation, sustainability and color, PPG helps customers in industrial, transportation, consumer products, and construction markets and aftermarkets to enhance more surfaces in more ways than does any other company. To learn more, visit www.ppg.com and follow @ PPG on Twitter.
 At PPG we use AI in the hiring process to make the process more efficient. AI tools do not make hiring decisions. You can learn more by going to https://careers.ppg.com/us/en/candidate\-resources.
 PPG provides equal opportunity to all candidates and employees. We offer an opportunity to grow and develop your career in an environment that provides a fulfilling workplace for employees, creates an environment for continuous learning, and embraces the ideas and diversity of others. All qualified applicants will receive consideration for employment without regard to sex, pregnancy, race, color, creed, religion, national origin, age, disability status, marital status, veteran status, sexual orientation, gender identity or expression. If you need assistance to complete your application due to a disability, please email recruiting@ppg.com.
 PPG values your feedback on our recruiting process. We encourage you to visit Glassdoor.com and provide feedback on the process, so that we can do better today than yesterday.
 Benefits will be discussed with you by your recruiter during the hiring process.
 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
 Our employee benefits programs are designed to support the health and well\-being of our employees. Any insurance coverages and benefits will be in accordance with the terms and conditions of the applicable plans and associated governing plan documents.
 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
 Our employee benefits programs are designed to support the health and well\-being of our employees. Any insurance coverages and benefits will be in accordance with the terms and conditions of the applicable plans and associated governing plan documents.</t>
        </is>
      </c>
    </row>
    <row r="6">
      <c r="A6" t="inlineStr">
        <is>
          <t>li-4372343901</t>
        </is>
      </c>
      <c r="B6" t="inlineStr">
        <is>
          <t>Data Scientist</t>
        </is>
      </c>
      <c r="C6" t="inlineStr">
        <is>
          <t>Tata Consultancy Services</t>
        </is>
      </c>
      <c r="D6" t="inlineStr">
        <is>
          <t>linkedin</t>
        </is>
      </c>
      <c r="E6" t="inlineStr"/>
      <c r="F6" t="inlineStr"/>
      <c r="G6" t="inlineStr">
        <is>
          <t>Alpharetta, GA</t>
        </is>
      </c>
      <c r="H6" t="inlineStr"/>
      <c r="I6" t="inlineStr">
        <is>
          <t>**Job Description**
 Must Have Technical/Functional Skills
 Experience: 3\+ years of experience in AI, Machine Learning, or Data Science, with a strong preference for experience in a manufacturing or industrial setting.
**Technical Prowess**
 Proficiency in Python and its key ML libraries (e.g., scikit\-learn, TensorFlow, PyTorch).
 Strong SQL skills for data querying and manipulation.
 Familiarity with data visualization tools (e.g., Power BI, Tableau).
 Basic understanding of MLOps concepts for model deployment and management.
 Domain Knowledge (Nice to have): Understanding of manufacturing processes, data sources (like MES, ERP), and common challenges (e.g., quality control, predictive maintenance, order backlog etc).
 Problem\-Solving Skills: A curious mind and the ability to break down complex problems into manageable, data\-driven solutions.
 Collaboration \&amp; Communication: Excellent communication skills to work effectively with diverse teams, from plant operators to senior leadership.
**Nice\-to\-Haves**
 Experience with cloud platforms (AWS, Azure, GCP).
 Knowledge of time\-series analysis, anomaly detection, or optimization techniques.
 Roles \&amp; Responsibilities
 Groom AI/ML Use Cases: Collaborate with our manufacturing and business teams to pinpoint opportunities where AI and machine learning can solve problems, improve efficiency, and create value. You will help define project scopes and success metrics.
 Execute End\-to\-End ML Projects: Take ownership of machine learning initiatives from start to finish. This includes everything from data collection and preparation to model development, deployment, and ongoing monitoring in production environments.
 Programming \&amp; Data Engineering: Write clean, efficient code (primarily in Python) to build data pipelines, develop machine learning models, and automate analytical workflows. You will also work with SQL for data extraction and manipulation.
 Data Analysis \&amp; Modeling: Dive deep into manufacturing data (from sources like MES, ERP, and IoT sensors) to uncover patterns, engineer features, and build robust predictive or prescriptive models (e.g., for quality, maintenance, or process optimization).
 Communicate Insights: Translate complex technical findings into clear, understandable recommendations for non\-technical stakeholders, helping them make data\-driven decisions.
 Base Salary Range: $110,000 \- $135,000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7">
      <c r="A7" t="inlineStr">
        <is>
          <t>li-4372362687</t>
        </is>
      </c>
      <c r="B7" t="inlineStr">
        <is>
          <t>Data Scientist</t>
        </is>
      </c>
      <c r="C7" t="inlineStr">
        <is>
          <t>Tata Consultancy Services</t>
        </is>
      </c>
      <c r="D7" t="inlineStr">
        <is>
          <t>linkedin</t>
        </is>
      </c>
      <c r="E7" t="inlineStr"/>
      <c r="F7" t="inlineStr"/>
      <c r="G7" t="inlineStr">
        <is>
          <t>Atlanta, GA</t>
        </is>
      </c>
      <c r="H7" t="inlineStr"/>
      <c r="I7" t="inlineStr">
        <is>
          <t>**Job Description**
 Must Have Technical/Functional Skills
* 𝐏𝐫𝐨𝐠𝐫𝐚𝐦𝐦𝐢𝐧𝐠 \&amp; 𝐓𝐞𝐜𝐡𝐧𝐨𝐥𝐨𝐠𝐢𝐞𝐬: Proficient in Python, SQL, and R coding languages coupled with expertise in Domo, SAS, and web development languages. Adept in leveraging cloud technologies including AWS, Azure, and Hadoop ecosystems for scalable data solutions.
* 𝐀𝐝𝐯𝐚𝐧𝐜𝐞𝐝 𝐌𝐨𝐝𝐞𝐥𝐢𝐧𝐠: Skilled in utilizing techniques like PCA, Lasso, and Elastic Net for feature selection, and deploying machine learning algorithms such as Linear \&amp; Logistic Regression, SVM, Decision Trees, XGBoost, Hist Gradient Boosting, and LightGBM for high\-impact results.
* 𝐃𝐚𝐭𝐚 𝐕𝐢𝐬𝐮𝐚𝐥𝐢𝐳𝐚𝐭𝐢𝐨𝐧 \&amp; 𝐃𝐚𝐭𝐚 𝐒𝐭𝐨𝐫𝐲𝐭𝐞𝐥𝐥𝐢𝐧𝐠: Adept at designing visually appealing data presentations and utilizing data storytelling techniques to effectively communicate insights. Proficient with Domo, Tableau, PowerBI, D3\.js, and Matplotlib for creating data visualizations and dashboards. Experienced in transforming complex findings into actionable insights and narratives that resonate with diverse audiences.
* Palantir \&amp; Skywise experience is a plus point
**Roles \&amp; Responsibilities**
* Design and implement predictive models and machine learning algorithms to solve business problems.
* Perform feature selection using techniques such as PCA, Lasso, and Elastic Net.
* Develop and deploy models using algorithms like Linear \&amp; Logistic Regression, SVM, Decision Trees, XGBoost, Hist Gradient Boosting, and LightGBM.
* Utilize cloud technologies (AWS, Azure, Hadoop) for scalable data solutions.
* Create interactive dashboards and visualizations using tools like Domo, Tableau, PowerBI, D3\.js, and Matplotlib.
* Communicate insights through compelling data storytelling for diverse stakeholders.
* Collaborate with cross\-functional teams to integrate data solutions into business processes.
 Salary Range\-$100,000\-$140,000 a 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t>
        </is>
      </c>
    </row>
    <row r="8">
      <c r="A8" t="inlineStr">
        <is>
          <t>li-4372351781</t>
        </is>
      </c>
      <c r="B8" t="inlineStr">
        <is>
          <t>Data Scientist- Product Owner</t>
        </is>
      </c>
      <c r="C8" t="inlineStr">
        <is>
          <t>Tata Consultancy Services</t>
        </is>
      </c>
      <c r="D8" t="inlineStr">
        <is>
          <t>linkedin</t>
        </is>
      </c>
      <c r="E8" t="inlineStr"/>
      <c r="F8" t="inlineStr"/>
      <c r="G8" t="inlineStr">
        <is>
          <t>Long Beach, CA</t>
        </is>
      </c>
      <c r="H8" t="inlineStr"/>
      <c r="I8" t="inlineStr">
        <is>
          <t>**Job Description**
 Experience in executing projects in Agile Framework
 Understanding of machine learning and deep learning frameworks
 Understanding of generative models (e.g., GANs, VAEs, Transformers) and natural language processing.
 Understanding of natural language processing (NLP).
 Understanding of data preprocessing and model fine\-tuning.
 Awareness of ethical considerations and bias mitigation strategies.
 Proficiency in programming language Python / C\#
 Strong analytical and problem\-solving skills.
 Base Salary Range: $110,000 \- $145,000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9">
      <c r="A9" t="inlineStr">
        <is>
          <t>li-4370895889</t>
        </is>
      </c>
      <c r="B9" t="inlineStr">
        <is>
          <t>Lead Data Scientist</t>
        </is>
      </c>
      <c r="C9" t="inlineStr">
        <is>
          <t>Caterpillar Inc.</t>
        </is>
      </c>
      <c r="D9" t="inlineStr">
        <is>
          <t>linkedin</t>
        </is>
      </c>
      <c r="E9" t="inlineStr"/>
      <c r="F9" t="inlineStr"/>
      <c r="G9" t="inlineStr">
        <is>
          <t>Peoria, IL</t>
        </is>
      </c>
      <c r="H9" t="inlineStr"/>
      <c r="I9"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As a Lead Data Scientist in Corporate Aftermarket Finance Services, you will provide specialized data science expertise and technical leadership to support all aspects of forecast analytics for Caterpillar aftermarket parts and related special projects. The role is responsible for managing and optimizing key analytical processes that support the enterprise\-critical Dealer Parts Orders (DPO) forecast and insights generation. This position oversees the end‑to‑end Parts Long‑Term Forecast (LTF) process – spanning system architecture design and implementation; data engineering and statistical model development; user training, and stakeholder approvals – to ensure accurate and efficient forecasting. The role owns design, maintenance and enhancements of Power BI dashboards to deliver clear, actionable insights to stakeholders.
 A core responsibility is safeguarding the integrity of both the Sales \&amp; Operations Planning (S\&amp;OP) forecast disaggregation and the annual business plan disaggregation for DPO. This includes owning the statistical modeling required to calculate probabilistic confidence intervals for aftermarket parts forecasts. The position also ensures timely, accurate updates to DPO systems and provides expert\-level support for all product‑based allocation inquiries.
 The role requires strong planning and prioritization skills to independently complete broadly scoped assignments and drive key business outcomes. Success in this position directly contributes to organizational goals related to customer satisfaction, process quality, accuracy, efficiency, and continuous improvement.
**What You Will Do**
* Responsible for answering questions regarding the Dealer Parts Orders (DPO) product\-based allocation.
* Own the Parts LTF process: system architecture design, analytics solution development, and user training.
* Own the design, development and maintenance of PowerBI dashboards to deliver the forecast analytics solutions.
* Responsible for the integrity of the disaggregation of the S\&amp;OP forecast.
* Own the foundational research in leveraging Gen AI LLM models for explainable forecast initiative.
* Lead design and implementation of LLM\-powered analytics insight generation to explain forecast miss
* Own the statistical modelling for calculating forecast confidence intervals for aftermarket parts.
* Responsible for the integrity of the annual business plan disaggregation for DPO.
* Regularly and accurately maintain and update DPO systems and answer all related queries for their assigned allocations.
* Responsible for setting priorities and preparing work plan to complete broadly defined assignments and achieve desired results.
* Responsible for Value Stream Mapping for Business Process analysis and improvement.
* Responsible for Impact key quality goals including Customer Satisfaction, Continuous Improvement, Timeliness, Accuracy, Efficiency, Cost Savings, Process Quality, etc.
**What You Have**
 Business Statistics: In\-depth knowledge of statistical methods, models, tools, and techniques, as used as industry\-best\-practices to solve diverse business problems and support business decision\-making.
 Time Series Modeling: In\-depth knowledge of fundamental concepts of time series stationarity, seasonality, and time series decomposition. Extensive experience in applying statistical tools and techniques for time series analysis and modelling.
 Machine Learning: In\-depth knowledge of principles, technologies and algorithms of machine learning and deep learning; Demonstrated ability to develop, implement and deliver related systems, products and services.
 Accuracy and Attention to Detail: Understanding the necessity and value of accuracy; ability to complete tasks with high levels of precision.
 Analytical Thinking: Knowledge of techniques and tools that promote effective analysis; ability to determine the root cause of organizational problems and create alternative solutions that resolve these problems.
 Platform and Programming Skill: Knowledge of basic concepts and capabilities of analytics programming languages; Ability to use tools, techniques and platforms in order to write and modify analytics programs; Proficiency in the following:
* Analytics Programming Language: Python, R, SQL and SAS
* Data Engineering and Warehousing: Snowflake
* ML Platform: PyTorch or Tensorflow
* Insights Delivery: PowerBI; Rshiny / Dash / Streamlit
* Cloud Platform: AWS (S3, EC2, LAMBDA, Glue, Sagemaker) or its equivalent in Azure
* AI and Gen AI Orchestration: Ollama, AWS Bedrock / Sagemaker or Azure ML / Azure OpenAI
 Query and Database Access Tools: Knowledge of data management systems; ability to use, support and access facilities for searching, extracting and formatting data for further use; Specifically, Proficiency in Snowflake SQL.
 Requirements Analysis: Knowledge of tools, methods, and techniques of requirement analysis; ability to elicit, analyze and record required business functionality and non\-functionality requirements to ensure the success of a system or software development project. Specifically, Experience in Azure DevOps
**Top Candidates Will Also Have**
* Doctoral or Master’s degree with 5 years of experience or a Bachelor’s degree with 10 years of experience in Computer Science, Mathematics, Engineering, Accounting, Statistics, Data Science, Business Analytics, or a closely related field with extensive coursework in mathematical and statistical modeling.
* 5\+ years of extensive experience in applying statistical models and methods to solve wide range of industry problems.
* 5\+ years of extensive experience in applying statistical tools and techniques for time series analysis and modelling; demonstrating deep understanding of fundamental concepts of time series analysis: stationarity; seasonality; time series decomposition.
* 5\+ years of extensive experience in developing end\-to\-end analytics solutions that span from data pipeline to insights delivery.
* Deep expertise and experience in applying classical statistical modelling methods, tools and techniques for time series forecasting included in the GLM, ARIMA and State Space family of models.
* Deep expertise and experience in contemporary deep learning tools and techniques for time series forecasting included in Transformer family of models with self\-attention mechanism.
* Deep understanding of models and methods for Hierarchical time series and forecast reconciliation.
* Extensive experience and proficiency in R, Python and SQL / Snowflake queries
* Experience with AWS Cloud platform and AWS Glue
* Experience with Alteryx and SAS
* Extensive experience with PowerBI for development of reporting dashboards
* Experience with Rshiny / Dash / Streamlit for development of interactive web application for forecast analytics.
* High level of interpersonal skills and excellent communication and storytelling skills
* Experience in Value Stream Mapping for Business Process analysis and improvement
**Additional Info**
* The ideal location for this role is Peoria – IL or Dallas \- TX
* This position may require 10% travel.
**About Caterpillar \-**
 For more than a century, Caterpillar has helped build a better, more sustainable world. With 2025 sales and revenues of $67\.6 billion, Caterpillar Inc. is shaping the future as the world’s leading manufacturer of construction and mining equipment, off\-highway diesel and natural gas engines, industrial gas turbines and diesel\-electric locomotives. Backed by one of the largest independent global dealer networks and financing services through Cat Financial, the company’s primary business segments: Power \&amp; Energy, Construction Industries and Resource Industries are solving customers’ toughest challenges through commercial excellence and advanced technology, driven by a highly skilled, dedicated global team. Learn more at www.caterpillar.com.
**Summary Pay Range**
 $128,470\.00 \- $208,770\.00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This position requires working onsite five days a week.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February 9, 2026 \- February 22,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0">
      <c r="A10" t="inlineStr">
        <is>
          <t>li-4373576962</t>
        </is>
      </c>
      <c r="B10" t="inlineStr">
        <is>
          <t>Staff Product Data Scientist ($300k - $500k salary)</t>
        </is>
      </c>
      <c r="C10" t="inlineStr">
        <is>
          <t>Baton Corporation</t>
        </is>
      </c>
      <c r="D10" t="inlineStr">
        <is>
          <t>linkedin</t>
        </is>
      </c>
      <c r="E10" t="inlineStr"/>
      <c r="F10" t="inlineStr"/>
      <c r="G10" t="inlineStr">
        <is>
          <t>New York, NY</t>
        </is>
      </c>
      <c r="H10" t="inlineStr"/>
      <c r="I10" t="inlineStr">
        <is>
          <t>**Who Are We**
 Baton Corporation is the development company that builds and operates the entire technology stack behind pump.fun, the largest memecoin launchpad in production today. The systems are low latency, high throughput, live under constant load, and break if you get them wrong.
**What You'll Do**
 We're seeking an experienced, versatile Data Scientist who thrives in a fast\-paced environment. In this role, you'll have the freedom to identify opportunities, design and implement solutions, and measure their impact across our product. You'll collaborate with cross\-functional teams while maintaining ownership of your projects from conception to completion.
* Design, run, and analyse A/B tests to optimise our consumer product experience
* Proactively identify problems and opportunities through data analysis
* Build and maintain dashboards to track key metrics and visualise insights
* Develop models to understand user behaviour and predict outcomes
* Collaborate with product and engineering teams to implement data\-driven solutions
* Drive projects independently from problem identification through solution implementation
* Communicate complex findings clearly to technical and non\-technical stakeholders
* Help establish data best practices and methodologies
**Who You Are**
* 3\+ years of data science experience at a startup, scale\-up, or FAANG/equivalent company
* Proficiency with Python/R and SQL/BigQuery
* Strong experience designing, running, and analysing A/B tests on consumer products
* Demonstrated ability to work autonomously, managing entire projects from ideation to implementation
* Experience translating data insights into actionable recommendations
* Excellent communication skills, with the ability to present complex findings clearly
**Preferred Qualifications**
* Experience with cryptocurrency and blockchain data
* Strong data visualisation skills (esp. Omni/Looker)
* Experience working with event tracking data
* Advanced knowledge of statistical methods and causal inference
* Experience building and maintaining data pipelines (esp. Dagster, DBT)
* Familiarity with Machine Learning methods and applications
* Experience in consumer tech products or fintech
**What It's Like To Work Here**
* We work in person
* Hours can be long and unconventional
* The pace is intense
* Expectations are high, and impact is immediate
* Working at Baton is not for everyone
**Why Join Us?**
* Unmatched ownership and autonomy
* Exposure to systems operating at the edge of crypto scale
* The ability to ship fast and see real\-world impact immediately
 If you’re motivated by responsibility, speed, and building products used by massive audiences, you’ll feel at home here.
 Compensation Range: $300K \- $500K</t>
        </is>
      </c>
    </row>
    <row r="11">
      <c r="A11" t="inlineStr">
        <is>
          <t>li-4373599679</t>
        </is>
      </c>
      <c r="B11" t="inlineStr">
        <is>
          <t>Data Scientist</t>
        </is>
      </c>
      <c r="C11" t="inlineStr">
        <is>
          <t>Sartre Group</t>
        </is>
      </c>
      <c r="D11" t="inlineStr">
        <is>
          <t>linkedin</t>
        </is>
      </c>
      <c r="E11" t="inlineStr"/>
      <c r="F11" t="inlineStr"/>
      <c r="G11" t="inlineStr">
        <is>
          <t>New York, United States</t>
        </is>
      </c>
      <c r="H11" t="inlineStr"/>
      <c r="I11" t="inlineStr">
        <is>
          <t>We are currently partnering a mid\-sized hedge fund who after a sustained period of success are looking to further scale their data science efforts.
 As a Data Scientist you will utilize your coding capabilities to extract alpha from a wide variety of unstructured and alternative data to be actioned across the US equity market.
 They are looking for someone with a successful track record of delivering commercially positive impacts through the analysis of alternative data. They are considering individuals coming from the hedge fund space or outside, providing there is a clear interest in monetizing data in the markets.
 As well as the technical component of analyzing the data, they are looking for strong communicators who can take a creative approach to their analysis but also what that may mean taking into account real world factors. To that point, open ended problem solving capabilities are just as important a the coding capability.
 If you are interested in learning more about this opportunity please apply!</t>
        </is>
      </c>
    </row>
    <row r="12">
      <c r="A12" t="inlineStr">
        <is>
          <t>li-4291194062</t>
        </is>
      </c>
      <c r="B12" t="inlineStr">
        <is>
          <t>Data Scientist, Integrity</t>
        </is>
      </c>
      <c r="C12" t="inlineStr">
        <is>
          <t>OpenAI</t>
        </is>
      </c>
      <c r="D12" t="inlineStr">
        <is>
          <t>linkedin</t>
        </is>
      </c>
      <c r="E12" t="inlineStr"/>
      <c r="F12" t="inlineStr"/>
      <c r="G12" t="inlineStr">
        <is>
          <t>San Francisco, CA</t>
        </is>
      </c>
      <c r="H12" t="inlineStr"/>
      <c r="I12" t="inlineStr">
        <is>
          <t>**About The Team**
 The Applied team safely brings OpenAI's technology to the world. We released ChatGPT; Plugins; DALL·E; and the APIs for GPT\-4, GPT\-3, embeddings, and fine\-tuning. We also operate inference infrastructure at scale. There's a lot more on the immediate horizon.
 Our customers build fast\-growing businesses around our APIs, which power product features that were never before possible. ChatGPT is a prime example of what is currently possible. We simultaneously ensure that our powerful tools are used responsibly. Safe deployment is more important to us than unfettered growth.
 The Scaled Abuse team works within our Applied Engineering organization identifying and responding to fraudsters on our platform. We are looking for a data scientist with anti fraud \&amp; abuse experience to help architect and build our next\-generation anti\-abuse systems.
**About The Role**
 The Platform Abuse team protects OpenAI’s products from abuse. In the data scientist role, you will be responsible for discovering and mitigating new types of misuse, and scaling our detection techniques and processes. Platform Abuse is an especially exciting area since we believe most of the ways our technologies will be abused haven’t even been invented yet.
 This role is based in our San Francisco HQ. We offer relocation assistance to new employees.
**In This Role, You Will**
* Design and build systems for fraud detection and remediation while balancing fraud loss, cost of implementation, and customer experience
* Work closely with finance, security, product, research, and trust \&amp; safety operations to holistically combat fraudulent and abusive actors on our system
* Stay abreast of the latest techniques and tools to stay several steps ahead of determined and well resourced adversaries
* Utilize GPT\-5 and future models to more effectively combat fraud and abuse
**You Might Thrive In This Role If You**
* Have experience on a highly technical trust and safety team and/or have worked closely with policy, content moderation, or security teams
* Can use coding languages (Python preferred) to programmatically explore large datasets and generate actionable insights to solve problems
* Proven ability to propose, design, and run rigorous experiments (A/B tests, quasi\-experiments, simulations) with clear insights and actionable product recommendations, leveraging SQL and Python.
* Excellent communication skills with a track record of influencing cross\-functional partners, including product managers, engineers, policy leads, and executives.
* Bonus if you have experience with deploying scaled detection solutions using large language models, embeddings, or fine tuning
* 5\+ years of quantitative experience in ambiguous environments, ideally as a data scientist at a hyper\-growth company or research org, with exposure to fraud, abuse, or security problems.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$490K</t>
        </is>
      </c>
    </row>
    <row r="13">
      <c r="A13" t="inlineStr">
        <is>
          <t>li-4364726888</t>
        </is>
      </c>
      <c r="B13" t="inlineStr">
        <is>
          <t>Data Scientist</t>
        </is>
      </c>
      <c r="C13" t="inlineStr">
        <is>
          <t>Galent</t>
        </is>
      </c>
      <c r="D13" t="inlineStr">
        <is>
          <t>linkedin</t>
        </is>
      </c>
      <c r="E13" t="inlineStr"/>
      <c r="F13" t="inlineStr"/>
      <c r="G13" t="inlineStr">
        <is>
          <t>California, United States</t>
        </is>
      </c>
      <c r="H13" t="inlineStr"/>
      <c r="I13" t="inlineStr">
        <is>
          <t>**Role: Data Scientist** 
**Location: New York City, NY / San Francisco, CA (Onsite)** 
**Job type: Fulltime** 
**Primary focus : Model reproduction, feature engineering logic, performance validation, and** 
 ensuring alignment with Visa’s established modeling frameworks.
* Rebuild and port existing Visa Python based models into customer’s Databricks platform.
* Develop, train, and validate predictive models using Python, PySpark, and ML frameworks
* such as scikitlearn, XGBoost, and Spark MLlib.
* Develop, validate and reproduce feature engineering logic and ensure parity with VISA
* models.
* Train, retain, validate, and benchmark model performance using customer provided
* datasets while maintain performance parity with baseline models.
* Work with data engineers to define feature requirements and ensure datasets support
* model needs.
* Perform model diagnostics, bias checks, stability checks, and accuracy assessments.
* Prepare model documentation, validation summaries, and stakeholder ready insights.
* Support scoring pipeline design and ensure reproducibility across Dev/QA/Prod.
* Collaborate with compliance and platform teams to ensure adherence to governance.
* Perform model diagnostics, hyperparameter tuning, and stability analysis.
* Evaluate model performance across population segments and time periods.
* Work with platform and engineering teams to support scoring pipeline deployment across
* Dev/QA/Prod.
**Qualifications:** 
* 4–6 years of experience in applied machine learning or data science.
* Strong hands\-on experience with Python, scikit\-learn, XGBoost, LightGBM,
 CatBoost, or similar libraries.
* Experience developing ML models in Databricks with Python or PySpark.
* Strong knowledge of feature engineering, model training workflows, and evaluation
 techniques.
* Experience working with large structured datasets (financial or transactional data
 preferred).
* Ability to write clear documentation and communicate technical results to non\-technical stakeholders.
* 4\+ years of hands\-on experience developing, deploying, and maintaining machine\-learning models.
* Advanced proficiency in Python (NumPy, pandas, scikit\-learn, PyTorch or TensorFlow).
* Strong statistical and mathematical foundation, including regression, classification probability, optimization, etc.
* Experience building end\-to\-end ML pipelines: data ingestion, cleaning, feature engineering, modeling, evaluation, deployment.
* Experience working within client environments, including adapting to unfamiliar Infrastructure, constraints, and security requirements.
* Experience with cloud platforms (AWS, Azure, or GCP) and on\-prem environments.
* Advanced SQL ability and experience with big\-data tools (Spark, Databricks, Hadoop).</t>
        </is>
      </c>
    </row>
    <row r="14">
      <c r="A14" t="inlineStr">
        <is>
          <t>li-4371925144</t>
        </is>
      </c>
      <c r="B14" t="inlineStr">
        <is>
          <t>Data Scientist</t>
        </is>
      </c>
      <c r="C14" t="inlineStr">
        <is>
          <t>SoTalent</t>
        </is>
      </c>
      <c r="D14" t="inlineStr">
        <is>
          <t>linkedin</t>
        </is>
      </c>
      <c r="E14" t="inlineStr"/>
      <c r="F14" t="inlineStr"/>
      <c r="G14" t="inlineStr">
        <is>
          <t>New York, United States</t>
        </is>
      </c>
      <c r="H14" t="inlineStr"/>
      <c r="I14" t="inlineStr">
        <is>
          <t>**Job Title: Data Scientist** 
**Location: New York, United States** 
**Type: Full Time** 
 Our client, a leading innovator in financial technology, is searching for a Generative AI Specialist to drive next‑generation customer experiences.
 In this role, you will shape the future of how millions of people engage with their finances through cutting‑edge AI and machine learning solutions.
**What You’ll Do** 
* **Collaborate across disciplines** 
 —work closely with data scientists, engineers, ML specialists, and product leaders to deliver intelligent, customer‑centric AI products.
* **Work hands‑on with modern AI stacks** 
 , including PyTorch, AWS UltraClusters, Hugging Face, LangChain, Lightning, vector databases, and other emerging tools.
* **Lead NLP innovation** 
 by developing, customizing, and fine‑tuning large language models for real‑world applications at massive scale.
* **Build and operationalize ML solutions** 
 from initial design to evaluation and deployment—supporting reliable, scalable systems used by over 80 million users.
* **Translate technical complexity** 
 into clear, meaningful insights that align with business outcomes.
**Who You Are** 
* **Customer‑focused.** 
 You value creativity and experimentation but always aim to make the right impact for end users.
* **Forward‑thinking.** 
 Constantly exploring new research, advancements, and breakthrough technologies—and eager to apply them.
* **Creative problem solver.** 
 You excel at bringing structure to open‑ended challenges and aren’t afraid to propose bold ideas.
* **A natural leader.** 
 You question outdated approaches and inspire teams to improve processes, systems, and products.
* **Deeply technical.** 
 Strong hands‑on experience with large language models, ML engineering, cloud environments, and open‑source AI tooling.
* **Influential communicator.** 
 Skilled at rallying cross‑functional teams around innovative AI initiatives and presenting complex concepts simply.
**Your Background** 
**Basic Qualifications** 
 One of the following (to be completed by the role’s start date):
* Bachelor’s degree in a quantitative field \+ 5\+ years of analytics experience
* Master’s degree in a quantitative field or MBA with quantitative focus \+ 3\+ years analytics experience
* PhD in a quantitative discipline
**Preferred Qualifications** 
* Master’s degree or PhD in a STEM field
* Experience in:
* Information retrieval
* Recommendation systems
* Reinforcement learning
* Generative AI application development
* 3\+ years with PyTorch or TensorFlow
* 3\+ years in machine learning
* 1\+ year working with AWS
* Experience designing and training large‑scale language models or vision systems
* Strong foundations in training optimization, self‑supervised learning, model explainability, or RLHF
* Proven track record of delivering ML solutions at production scale</t>
        </is>
      </c>
    </row>
    <row r="15">
      <c r="A15" t="inlineStr">
        <is>
          <t>li-4364569938</t>
        </is>
      </c>
      <c r="B15" t="inlineStr">
        <is>
          <t>Data Scientist</t>
        </is>
      </c>
      <c r="C15" t="inlineStr">
        <is>
          <t>SoTalent</t>
        </is>
      </c>
      <c r="D15" t="inlineStr">
        <is>
          <t>linkedin</t>
        </is>
      </c>
      <c r="E15" t="inlineStr"/>
      <c r="F15" t="inlineStr"/>
      <c r="G15" t="inlineStr">
        <is>
          <t>Chicago, IL</t>
        </is>
      </c>
      <c r="H15" t="inlineStr"/>
      <c r="I15" t="inlineStr">
        <is>
          <t>**Job Title : Data Scientist** 
**Location : Chicago, Illinois, United States** 
**Job Type : Full Time** 
**Job Summary** 
 Our client is Looking a data science professional who thrives in a collaborative, innovation‑driven environment. This role involves close partnership with data scientists, analysts, and engineering teams throughout the entire model‑building lifecycle. The organization fosters continuous learning, encourages taking on new challenges, and celebrates creative solutions.
**Role Overview** 
 The selected candidate will:
* Design, develop, train, evaluate, and deploy machine learning models end‑to‑end
* Work with a diverse technology ecosystem — including Python, Conda, AWS, Spark, and Kubeflow Pipelines — to analyze and extract insights from large\-scale numerical and text\-based datasets
* Collaborate closely with cross‑functional partners across data science, engineering, and product to deliver impactful customer‑focused solutions
* Communicate complex analytical concepts in a way that aligns with business objectives and drives decision\-making
**Who Excels in This Role** 
 The ideal individual is:
* **Data\-savvy:** 
 Comfortable navigating massive datasets, combining information from various formats, and uncovering patterns essential to driving meaningful outcomes
* **Strong in statistics:** 
 Experienced in building, validating, and interpreting machine learning models, with familiarity in methods such as clustering, classification, sentiment analysis, time\-series forecasting, and deep learning
* **Technically driven:** 
 Passionate about open‑source technologies and hands‑on solution development, particularly in cloud\-based environments
* **Customer\-oriented:** 
 Motivated by delivering solutions that not only demonstrate technical excellence but also support the best outcomes for end users
**Basic Qualifications** 
 Candidates should meet one of the following:
* A Bachelor’s degree in a quantitative discipline (Statistics, Mathematics, Economics, Operations Research, Analytics, Computer Science, etc.) plus 5\+ years of data analytics experience
* A Master’s degree in a quantitative field or an MBA with a quantitative focus plus 3\+ years of data analytics experience
* A PhD in a quantitative discipline
**Preferred Qualifications** 
* Master’s degree or PhD in a STEM\-related field
* 1\+ year of experience working in AWS
* 3\+ years of hands‑on Python experience
* 3\+ years of experience building machine learning models, including at least one year working with gradient boosting methods (GBM)
* 3\+ years of SQL experience</t>
        </is>
      </c>
    </row>
    <row r="16">
      <c r="A16" t="inlineStr">
        <is>
          <t>li-4373807940</t>
        </is>
      </c>
      <c r="B16" t="inlineStr">
        <is>
          <t>Data Scientist</t>
        </is>
      </c>
      <c r="C16" t="inlineStr">
        <is>
          <t>ECOM</t>
        </is>
      </c>
      <c r="D16" t="inlineStr">
        <is>
          <t>linkedin</t>
        </is>
      </c>
      <c r="E16" t="inlineStr"/>
      <c r="F16" t="inlineStr"/>
      <c r="G16" t="inlineStr">
        <is>
          <t>Houston, TX</t>
        </is>
      </c>
      <c r="H16" t="inlineStr"/>
      <c r="I16" t="inlineStr">
        <is>
          <t>\*\*No 3rd party recruiter or candidates\*\*
 Build, train, and deploy large\-scale, self\-supervised "foundation" models that learn rich representations of time series, sequential sensor data in addition to textual and vision data, to be fine\-tuned for tasks such as anomaly/event detection, predictive maintenance, forecasting, classification, or multi\-modal sensor fusion for industrial and scientific applications.
 Data/Signal Processing
 • Time Series \&amp; Sequential Data: processing, augmentation, feature engineering for financial, industrial, IoT, medical, or other sensor streams (univariate/multivariate time series).
 • Sensor Data Analysis: expertise with diverse sensor modalities (e.g., accelerometers, temperature, vibration, audio, images), sampling rates, synchronization, and real\-world noise/artifact handling.
 • Multi\-Modality Learning: integrating heterogeneous data types (time series, images, text, audio, structured) into robust deep learning architectures; cross\-modal representation learning.
 Machine Learning \&amp; Foundation Model Expertise
 • Self\-supervised and Semi\-supervised Learning: time series foundation models, masked modeling, contrastive methods, temporal predictive coding, multimodal alignment and fusion.
 • Model Architectures: sequence models (RNNs, GRU/LSTM, TCN), 1D/2D/3D CNNs, Transformers (BERT, ViT, TimeSFormer), graph neural networks, diffusion/generative models, multi\-modal/fusion encoders.
 • Transfer Learning \&amp; Fine\-Tuning at Scale: prompt/adapter\-based strategies, temporal domain adaptation, few\-shot learning for specialized tasks.
 • Evaluation Metrics: regression/classification (MSE, F1, AUC), time series similarity (DTW, correlation), event detection/segmentation (IoU, accuracy), business/end\-user KPIs.
 Software \&amp; Infrastructure
 • Programming: expert Python (NumPy, SciPy, Pandas), C\+\+/CUDA for custom kernels and high\-performance preprocessing.
 • Deep Learning Frameworks: PyTorch (Lightning, Distributed), TensorFlow/Keras, JAX/Flax.
 • Large\-scale Training: multi\-GPU, multi\-node clusters, mixed\-precision, ZeRO optimization, scalable data loaders for long sequences.
 • Data Engineering: robust pipelines for ingesting, cleaning, segmenting, and aligning large\-scale, time\-synchronized multi\-sensor datasets.
 Mathematical \&amp; Algorithmic Foundations
 • Linear Algebra, Probability \&amp; Statistics, Optimization (stochastic, convex/non\-convex, Bayesian).
 • Signal Processing: Fourier/wavelet analysis, filters (Kalman, Savitzky–Golay), resampling, noise modeling.
 • Numerical Methods: ODE/PDE solvers, inverse problems, regularization, time\-frequency methods for complex systems.
 Collaboration \&amp; Communication
 • Cross\-disciplinary teamwork with domain experts, engineers, product owners, and end\-users from industrial, scientific, or medical backgrounds.
 • Clear presentation of complex model behaviors (interpretability, attention analysis), uncertainty quantification, and value impact.
 MS / Ph.D. in computer science, data science and AI or related fields.
 3\+ years of relevant experience in data science and AI or related fields.</t>
        </is>
      </c>
    </row>
    <row r="17">
      <c r="A17" t="inlineStr">
        <is>
          <t>li-4369620870</t>
        </is>
      </c>
      <c r="B17" t="inlineStr">
        <is>
          <t>Staff Data Scientist - Credit Risk &amp; Propensity Models</t>
        </is>
      </c>
      <c r="C17" t="inlineStr">
        <is>
          <t>Inizio Partners</t>
        </is>
      </c>
      <c r="D17" t="inlineStr">
        <is>
          <t>linkedin</t>
        </is>
      </c>
      <c r="E17" t="inlineStr"/>
      <c r="F17" t="inlineStr"/>
      <c r="G17" t="inlineStr"/>
      <c r="H17" t="inlineStr"/>
      <c r="I17" t="inlineStr">
        <is>
          <t>**Role: Staff Data Scientist \- Credit Risk \&amp; Propensity Models** 
**Location: San Diego, CA \| Hybrid (2\-3 days from office)** 
**Roles \&amp; Responsibilities** 
 As the Staff Data Scientist – Credit Risk \&amp; Propensity Models, you will lead development of statistical and machine\-learning models that power credit decisioning, pricing, and lifecycle optimization for a small\-business lending portfolio. You will build and maintain Probability of Default (PD) and related risk models, as well as propensity, conversion, and price\-sensitivity models used in live decisioning. You will partner with client and stakeholders across Risk, Credit Strategy, Product, Data Engineering, and MLOps to productionize models, monitor performance, and maintain strong model governance.
* Design, develop, and maintain Probability of Default (PD) and other core credit\-risk models used in underwriting, portfolio management, and credit strategy
* Build and enhance propensity, conversion, and price\-sensitivity models to optimize funnel performance, approval rates, and expected profitability
* Partner with Risk \&amp; Analytics leadership to translate risk appetite, growth objectives, and portfolio constraints into scalable modeling solutions
* Develop segmentation frameworks and decision logic to support differentiated credit terms, limits, and pricing across customer cohorts
* Lead model validation, performance monitoring, and stability analysis, including back\-testing, drift detection, and recalibration
* Conceptualize and execute on data science research roadmap that create new insights unique to client ecosystem and drive fundamental transformation of risk models. This transformation would be the key for client to increase its market share in specific segments against incumbents.
* Collaborate with Engineering and Data teams to productionize models, ensure reliable execution, and support ongoing model monitoring and governance
* Support experimentation, A/B testing, and test\-and\-learn initiatives to measure model and policy impact across the customer funnel
* Communicate model design, performance, and tradeoffs clearly to technical and non\-technical stakeholders
* Contribute to documentation, model governance artifacts, and regulatory or audit\-ready materials as needed
**Candidate Profile** 
* 7\+ years of hands\-on experience building underwriting, credit\-risk, or loss\-prediction models for small\-business or commercial portfolios
* Demonstrated experience developing PD, propensity, pricing, or funnel\-optimization models used in live decisioning
* Experience supporting model deployment, execution, and ongoing monitoring in a production environment; MLOps experience is strongly preferred
* Statistical risk modeling
* Loss forecasting and portfolio analytics
* Limit assignment optimization
* Pricing and interest rate statistical simulations
* ML model deployment and governance
* Experimentation and A/B testing
* Strong SQL and Python proficiency; ability to work with large datasets and build reproducible analytical workflows.
* Excellent communication, presentation, and story\-building skills in a consulting/client\-facing setup.
* Demonstrated ability to lead cross\-functional initiatives end\-to\-end and coordinate with offshore delivery teams.
* Bachelors degree in a related quantitative field such as Data Science, Statistics, Mathematics, Economics, Finance, or Engineering required.
* Masters degree in Data Science, Statistics, Economics, Finance, or a related quantitative discipline is a plus
**\*\* Client is also open to hire junior candidates (4\-5 years exp.) with similar skills at a lower band.**</t>
        </is>
      </c>
    </row>
    <row r="18">
      <c r="A18" t="inlineStr">
        <is>
          <t>li-4312894201</t>
        </is>
      </c>
      <c r="B18" t="inlineStr">
        <is>
          <t>Principal Data Scientist - Machine Learning</t>
        </is>
      </c>
      <c r="C18" t="inlineStr">
        <is>
          <t>AvePoint</t>
        </is>
      </c>
      <c r="D18" t="inlineStr">
        <is>
          <t>linkedin</t>
        </is>
      </c>
      <c r="E18" t="inlineStr"/>
      <c r="F18" t="inlineStr"/>
      <c r="G18" t="inlineStr"/>
      <c r="H18" t="inlineStr"/>
      <c r="I18" t="inlineStr">
        <is>
          <t>**About AvePoint**
 Beyond Secure. AvePoint is the global leader in data security, governance, and resilience, going beyond traditional solutions to ensure a robust data foundation and enable organizations everywhere to collaborate with confidence. Over 25,000 customers worldwide rely on the AvePoint Confidence Platform to prepare, secure, and optimize their critical data across Microsoft, Google, Salesforce, and other collaboration environments. AvePoint’s global channel partner program includes approximately 5,000 managed service providers, value\-added resellers, and systems integrators, with our solutions available in more than 100 cloud marketplaces. To learn more, visit
 **www.avepoint.com** 
 .
 At AvePoint, we are committed to investing in our people. Agility, passion and teamwork set us up to do our best work and foster a culture where you are empowered to craft your career, make an impact, and own (y)our future. Unleash the power of you!
**What You'll Be Doing**
 We are seeking an analytical and innovative Data Scientist to join our Data \&amp; AI team. You will play a key role in developing and deploying advanced machine learning models to solve real\-world business challenges. Your efforts will help optimize data pipelines, extract actionable insights, and shape the future of intelligent solutions at AvePoint.
**Your Key Responsibilities**
* Design, build, and deploy machine learning models leveraging structured and unstructured data.
* Shape and engineer data pipelines for optimal model performance and production\-grade scalability.
* Collaborate cross\-functionally with engineers, researchers, and product teams to define requirements and deliver impactful AI/ML solutions.
* Analyze experimental data, conduct model validation, and continuously improve accuracy and robustness.
* Document methodologies and results, presenting findings to both technical and non\-technical stakeholders.
* Stay up\-to\-date with the latest advancements in machine learning and data science best practices.
* Support operationalizing models within AvePoint’s ecosystem, ensuring responsible data handling and compliance.
**Preferred Qualifications**
* Bachelor’s or Master’s degree in Computer Science, Data Science, Engineering, Statistics, or related field (PhD not required, but a strong plus).
* 10\+ years of hands\-on machine learning experience, including building, evaluating, and streamlining data\-driven models for business use.
* Proficiency with Python and major ML/data libraries (e.g., Pandas, Scikit\-learn, TensorFlow, PyTorch).
* Strong background in data wrangling, cleansing, feature engineering, and ETL pipeline development.
* Practical experience deploying models in a cloud or distributed environment.
**What We Value**
* Commitment to excellence and continual professional development.
* Excellent analytical, problem\-solving, and communication skills.
* Initiative and ownership in research and project execution.
* Collaboration with diverse, global teams.
* Clarity in communicating technical information to varied audiences.
**Benefits We Offer**
* Competitive market\-based compensation (salary, yearly bonus \+ equity).
* Career progression and internal mobility opportunities.
* Work\-life balance through a hybrid working model.
* Unlimited PTO.
 This role offers the opportunity to work at the intersection of machine learning innovation and industry impact, contributing to AvePoint’s vision for secure, intelligent, and data\-driven workplaces.
 If you are passionate about transforming data into actionable solutions and want to be part of a global tech leader, we want to hear from you!
 The Salary Range for this role is $200,000 \- $245,000\. At AvePoint, we strive to offer competitive, fair, and equitable total rewards. The listed salary range represents a good faith estimate, with final offers based on location, experience, skills, and qualifications. The listed range reflects base salary only; our total rewards include base salary, comprehensive benefits (medical, dental, vision, 401(k) with match, unlimited PTO), and depending on the role, bonuses, commissions, or equity (RSUs). We welcome compensation discussions—apply even if your expectations fall outside the range.
 Any personal data you share with us during the application process will be processed strictly in compliance with applicable data protection laws and our Privacy Notice.</t>
        </is>
      </c>
    </row>
    <row r="19">
      <c r="A19" t="inlineStr">
        <is>
          <t>li-4371921832</t>
        </is>
      </c>
      <c r="B19" t="inlineStr">
        <is>
          <t>Senior Data Scientist | ML</t>
        </is>
      </c>
      <c r="C19" t="inlineStr">
        <is>
          <t>Machinify</t>
        </is>
      </c>
      <c r="D19" t="inlineStr">
        <is>
          <t>linkedin</t>
        </is>
      </c>
      <c r="E19" t="inlineStr"/>
      <c r="F19" t="inlineStr"/>
      <c r="G19" t="inlineStr"/>
      <c r="H19" t="inlineStr"/>
      <c r="I19" t="inlineStr">
        <is>
          <t>Machinify is a leading healthcare intelligence company with expertise across the payment continuum, delivering unmatched value, transparency, and efficiency to health plan clients across the country. Deployed by over 85 health plans, including many of the top 20, and representing more than 270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builds machine learning models for some of the largest health plans in the country to identify nearly $1B in erroneous healthcare payments. Our customers receive tens of millions of claims each year, many of which are billed with mistakes or fraud. Our production models detect and stop those errors on a daily basis, resulting in measurable healthcare savings that significantly outperform industry standards. Machinify has already had a huge impact as a small company, and we are growing quickly!
 We are looking for a
 **Data Scientist \| ML** 
 for our "Pay" team (claims payments product) to advance our models further. In addition to building best\-in\-class models, this person will create technical frameworks and tools to help the team achieve greater scale and improved business outcomes.
**What You’ll Do**
* Master understanding of various claims payment policies and healthcare concepts.
* Build and improve the models by thoughtfully curating data and creating features.
* Precisely measure and improve model performance against real\-world outcomes. Make operational recommendations to the customer to optimize model results.
* Interpret and refine large\-scale data created by complex business workflows.
* Advance the team’s capabilities by improving pipelines, infrastructure, and tools.
**What You’ll Bring**
* Several years of experience solving real\-world business problems with data and ML modeling
* Proven ability to make team\-level contributions and develop frameworks and tools to improve the work of many
* Able to build a high\-level, strategic work plan while keeping attention to detail
* Experience precisely measuring and optimizing the business impact of your work
* Experience handling large\-scale, complex data which may not be clean or well\-defined
* Experience writing production\-quality code (i.e. building pipelines, productionizing models) and overcoming practical challenges to deploy a model
* Deep curiosity about healthcare
**What We Offer**
* Work from anywhere in the US! Machinify is digital\-first.
* Top Medical/Dental/Vision offerings
* FSA/HSA
* Tuition reimbursement
* Competitive salary, 401(k) with company match
* Unlimited PTO
* Additional health and wellness benefits and perks
* Flexible and trusting environment where you’ll feel empowered to do your best work
 The salary for this position is based on an array of factors unique to each candidate: Such as years and depth of experience, set skills, certifications, etc. We are hiring for different levels, and our Recruiting team will let you know if you qualify for a different role/range. Salary is one component of the total compensation package, which includes meaningful equity, excellent healthcare, flexible time off, and other benefits and perks.
**Equal Employment Opportunity at Machinify**
 We are committed to equal employment opportunity regardless of race, color, ancestry, religion, sex, national origin, sexual orientation, age, citizenship, marital status, disability, gender, gender identity or expression, or veteran status. We are proud to be an equal opportunity workplace. Machinify is an employment at will employer. We participate in E\-Verify as required by applicable law. In accordance with applicable state laws, we do not inquire about salary history during the recruitment process. If you require a reasonable accommodation to complete any part of the application or recruitment process, please let our recruiters know. See our Candidate Privacy Notice at: https://www.machinify.com/candidate\-privacy\-notice/</t>
        </is>
      </c>
    </row>
    <row r="20">
      <c r="A20" t="inlineStr">
        <is>
          <t>li-4373838206</t>
        </is>
      </c>
      <c r="B20" t="inlineStr">
        <is>
          <t>Data Scientist</t>
        </is>
      </c>
      <c r="C20" t="inlineStr">
        <is>
          <t>TekWissen ®</t>
        </is>
      </c>
      <c r="D20" t="inlineStr">
        <is>
          <t>linkedin</t>
        </is>
      </c>
      <c r="E20" t="inlineStr"/>
      <c r="F20" t="inlineStr"/>
      <c r="G20" t="inlineStr">
        <is>
          <t>Houston, TX</t>
        </is>
      </c>
      <c r="H20" t="inlineStr"/>
      <c r="I20" t="inlineStr">
        <is>
          <t>**Job Title: Data Scientist** 
**Duration: Full Time** 
**Work Location: Houston, TX 77077** 
**Job Type: Full Time** 
**Work Type: Hybrid** 
**Pay: $130000\.00 \- $210000\.00/ Yearly** 
**Overview** 
 TekWissen is a global workforce management provider headquartered in Ann Arbor, Michigan that offers strategic talent solutions to our clients world\-wide. Our client Limited is an oilfield services company and has more than 140 nationalities working in more than 120 countries. This Client has four principal executive offices located in Paris, Houston, London, and The Hague. This Client is the world’s largest offshore drilling company.
**Job Description** 
* Build, train, and deploy large\-scale, self\-supervised "foundation" models that learn rich representations of time series, sequential sensor data in addition to textual and vision data, to be fine\-tuned for tasks such as anomaly/event detection, predictive maintenance, forecasting, classification, or multi\-modal sensor fusion for industrial and scientific applications.
**Data/Signal Processing** 
* Time Series \&amp; Sequential Data: processing, augmentation, feature engineering for financial, industrial, IoT, medical, or other sensor streams (univariate/multivariate time series).
* Sensor Data Analysis: expertise with diverse sensor modalities (e.g., accelerometers, temperature, vibration, audio, images), sampling rates, synchronization, and real\-world noise/artifact handling.
* Multi\-Modality Learning: integrating heterogeneous data types (time series, images, text, audio, structured) into robust deep learning architectures; cross\-modal representation learning.
**Machine Learning \&amp; Foundation Model Expertise** 
* Self\-supervised and Semi\-supervised Learning: time series foundation models, masked modeling, contrastive methods, temporal predictive coding, multimodal alignment and fusion.
* Model Architectures: sequence models (RNNs, GRU/LSTM, TCN), 1D/2D/3D CNNs, Transformers (BERT, ViT, TimeSFormer), graph neural networks, diffusion/generative models, multi\-modal/fusion encoders.
* Transfer Learning \&amp; Fine\-Tuning at Scale: prompt/adapter\-based strategies, temporal domain adaptation, few\-shot learning for specialized tasks.
* Evaluation Metrics: regression/classification (MSE, F1, AUC), time series similarity (DTW, correlation), event detection/segmentation (IoU, accuracy), business/end\-user KPIs.
**Software \&amp; Infrastructure** 
* Programming: expert Python (NumPy, SciPy, Pandas), C\+\+/CUDA for custom kernels and high\-performance preprocessing.
* Deep Learning Frameworks: PyTorch (Lightning, Distributed), TensorFlow/Keras, JAX/Flax.
* Large\-scale Training: multi\-GPU, multi\-node clusters, mixed\-precision, ZeRO optimization, scalable data loaders for long sequences.
* Data Engineering: robust pipelines for ingesting, cleaning, segmenting, and aligning large\-scale, time\-synchronized multi\-sensor datasets.
**Mathematical \&amp; Algorithmic Foundations** 
* Linear Algebra, Probability \&amp; Statistics, Optimization (stochastic, convex/non\-convex, Bayesian).
* Signal Processing: Fourier/wavelet analysis, filters (Kalman, Savitzky–Golay), resampling, noise modeling.
* Numerical Methods: ODE/PDE solvers, inverse problems, regularization, time\-frequency methods for complex systems.
**Collaboration \&amp; Communication** 
* Cross\-disciplinary teamwork with domain experts, engineers, product owners, and end\-users from industrial, scientific, or medical backgrounds.
* Clear presentation of complex model behaviors (interpretability, attention analysis), uncertainty quantification, and value impact.
* MS / Ph.D. in computer science, data science and AI or related fields
* 3\+ years of relevant experience in data science and AI or related fields.
**TekWissen® Group is an equal opportuity employer supporting workforce diversity.**</t>
        </is>
      </c>
    </row>
    <row r="21">
      <c r="A21" t="inlineStr">
        <is>
          <t>li-4333209675</t>
        </is>
      </c>
      <c r="B21" t="inlineStr">
        <is>
          <t>Senior Data Scientist, Square Financial Services, Credit Policy</t>
        </is>
      </c>
      <c r="C21" t="inlineStr">
        <is>
          <t>Block</t>
        </is>
      </c>
      <c r="D21" t="inlineStr">
        <is>
          <t>linkedin</t>
        </is>
      </c>
      <c r="E21" t="inlineStr"/>
      <c r="F21" t="inlineStr"/>
      <c r="G21" t="inlineStr"/>
      <c r="H21" t="inlineStr"/>
      <c r="I21"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As a Data Scientist within the Credit Policy team of Square Financial Services (SFS), you will work across both commercial (Square) and consumer (Cash App) banking \&amp; lending products. While core model development sits with our adjacent ML teams, the Credit Policy team provides crucial oversight and strategic direction for our underwriting processes. This includes monitoring existing products and their performance to maintain efficient underwriting, analyzing and shaping new product initiatives for growth, and ensuring regulatory compliance through documentation and process.
 You'll collaborate closely with a broad range of functions including ML, product, software engineering, operations, and capital markets teams to drive impact across our portfolio.
 Work from anywhere: This role can be performed from any location in the US with the flexibility to work from home
**You Will**
* Analyze large datasets using SQL and Python to surface actionable insights that directly inform our product and credit strategy that drive business decisions
* Approach problems from first principles, using a variety of statistical and mathematical modeling techniques to research and understand customer behavior and loan performance
* Partner closely with ML engineers throughout the modeling lifecycle to develop, deploy, evaluate, and monitor models and credit policies
* Maintain and improve our systems for simulating the impacts of model/policy changes and the decision engine that implements those rules in production
* Develop KPIs and measurement systems focused on credit resiliency and product performance monitoring.
* Build, visualize and report on metrics that drive strategy and facilitate decision making for key business initiatives
* Effectively communicate your work with team leads and cross\-functional stakeholders on a regular basis
**You Have**
* Minimum of 8 years of related experience with a Bachelor's degree; or 6 years and a Master's degree; or a PhD with 3 years experience; or equivalent experience.
* A background in Statistics, Mathematics, Biostatistics, Economics or related quantitative field
* Advanced proficiency with SQL and Python for data analysis
* Advanced proficiency building product metrics in data visualization tools (e.g. Mode, Looker)
* Direct experience in credit, lending, risk management, or financial services.
* Ability to turn unstructured business problems into concrete analyses that yield actionable insights and recommendations
* Working understanding of core ML concepts, with a focus on usage in decision making.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$198,000—$297,000 USD
**Zone B**
 $188,100—$282,100 USD
**Zone C**
 $178,200—$267,400 USD
**Zone D**
 $168,300—$252,500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22">
      <c r="A22" t="inlineStr">
        <is>
          <t>li-4373829059</t>
        </is>
      </c>
      <c r="B22" t="inlineStr">
        <is>
          <t>Data Scientist</t>
        </is>
      </c>
      <c r="C22" t="inlineStr">
        <is>
          <t>Managed Staffing, Inc.</t>
        </is>
      </c>
      <c r="D22" t="inlineStr">
        <is>
          <t>linkedin</t>
        </is>
      </c>
      <c r="E22" t="inlineStr"/>
      <c r="F22" t="inlineStr"/>
      <c r="G22" t="inlineStr">
        <is>
          <t>Houston, TX</t>
        </is>
      </c>
      <c r="H22" t="inlineStr"/>
      <c r="I22" t="inlineStr">
        <is>
          <t>Python
 PyTorch
 Distributed / Multi\-GPU Training
 TensorFlow / Keras or JAX
 Time Series / Sequential Modeling Experience
 Signal Processing Libraries
 MS / Ph.D. in computer science, data science and AI or related fields.
 3\+ years of relevant experience in data science and AI or related fields.</t>
        </is>
      </c>
    </row>
    <row r="23">
      <c r="A23" t="inlineStr">
        <is>
          <t>li-4364589494</t>
        </is>
      </c>
      <c r="B23" t="inlineStr">
        <is>
          <t>Data Scientist</t>
        </is>
      </c>
      <c r="C23" t="inlineStr">
        <is>
          <t>US Tech Solutions</t>
        </is>
      </c>
      <c r="D23" t="inlineStr">
        <is>
          <t>linkedin</t>
        </is>
      </c>
      <c r="E23" t="inlineStr"/>
      <c r="F23" t="inlineStr"/>
      <c r="G23" t="inlineStr">
        <is>
          <t>Houston, TX</t>
        </is>
      </c>
      <c r="H23" t="inlineStr"/>
      <c r="I23" t="inlineStr">
        <is>
          <t>**Summary:** 
 Build, train, and deploy large\-scale, self\-supervised "foundation" models that learn rich representations of time series, sequential sensor data in addition to textual and vision data, to be fine\-tuned for tasks such as anomaly/event detection, predictive maintenance, forecasting, classification, or multi\-modal sensor fusion for industrial and scientific applications.
**Data/Signal Processing** 
 • Time Series \&amp; Sequential Data: processing, augmentation, feature engineering for financial, industrial, IoT, medical, or other sensor streams (univariate/multivariate time series).
 • Sensor Data Analysis: expertise with diverse sensor modalities (e.g., accelerometers, temperature, vibration, audio, images), sampling rates, synchronization, and real\-world noise/artifact handling.
 • Multi\-Modality Learning: integrating heterogeneous data types (time series, images, text, audio, structured) into robust deep learning architectures; cross\-modal representation learning.
**Machine Learning \&amp; Foundation Model Expertise** 
 • Self\-supervised and Semi\-supervised Learning: time series foundation models, masked modeling, contrastive methods, temporal predictive coding, multimodal alignment and fusion.
 • Model Architectures: sequence models (RNNs, GRU/LSTM, TCN), 1D/2D/3D CNNs, Transformers (BERT, ViT, TimeSFormer), graph neural networks, diffusion/generative models, multi\-modal/fusion encoders.
 • Transfer Learning \&amp; Fine\-Tuning at Scale: prompt/adapter\-based strategies, temporal domain adaptation, few\-shot learning for specialized tasks.
 • Evaluation Metrics: regression/classification (MSE, F1, AUC), time series similarity (DTW, correlation), event detection/segmentation (IoU, accuracy), business/end\-user KPIs.
**Software \&amp; Infrastructure** 
 • Programming: expert Python (NumPy, SciPy, Pandas), C\+\+/CUDA for custom kernels and high\-performance preprocessing.
 • Deep Learning Frameworks: PyTorch (Lightning, Distributed), TensorFlow/Keras, JAX/Flax.
 • Large\-scale Training: multi\-GPU, multi\-node clusters, mixed\-precision, ZeRO optimization, scalable data loaders for long sequences.
 • Data Engineering: robust pipelines for ingesting, cleaning, segmenting, and aligning large\-scale, time\-synchronized multi\-sensor datasets.
**Mathematical \&amp; Algorithmic Foundations** 
 • Linear Algebra, Probability \&amp; Statistics, Optimization (stochastic, convex/non\-convex, Bayesian).
 • Signal Processing: Fourier/wavelet analysis, filters (Kalman, Savitzky–Golay), resampling, noise modeling.
 • Numerical Methods: ODE/PDE solvers, inverse problems, regularization, time\-frequency methods for complex systems.
**Collaboration \&amp; Communication** 
 • Cross\-disciplinary teamwork with domain experts, engineers, product owners, and end\-users from industrial, scientific, or medical backgrounds.
 • Clear presentation of complex model behaviors (interpretability, attention analysis), uncertainty quantification, and value impact.
**Qualifications:**
 MS / Ph.D. in computer science, data science and AI or related fields.
 3\+ years of relevant experience in data science and AI or related fields.
**About US Tech Solutions:** 
 US Tech Solutions is a global staff augmentation firm providing a wide range of talent on\-demand and total workforce solutions. To know more about US Tech Solutions, please visit www.ustechsolutions.com.
**Disclaimer:**
 US Tech Solutions is an Equal Opportunity Employer. All qualified applicants will receive consideration for employment without regard to race, colour, religion, sex, sexual orientation, gender identity, national origin, disability, or status as a protected veteran.
 Recruiter Details:
 Name: Mohd Bilal
 Email: mohd.bilal@ustechsolutionsinc.com
 Internal ID:
 **26\-03616**</t>
        </is>
      </c>
    </row>
    <row r="24">
      <c r="A24" t="inlineStr">
        <is>
          <t>li-4371920843</t>
        </is>
      </c>
      <c r="B24" t="inlineStr">
        <is>
          <t>Data Scientist</t>
        </is>
      </c>
      <c r="C24" t="inlineStr">
        <is>
          <t>Pinnacle Technology</t>
        </is>
      </c>
      <c r="D24" t="inlineStr">
        <is>
          <t>linkedin</t>
        </is>
      </c>
      <c r="E24" t="inlineStr"/>
      <c r="F24" t="inlineStr"/>
      <c r="G24" t="inlineStr">
        <is>
          <t>Houston, TX</t>
        </is>
      </c>
      <c r="H24" t="inlineStr"/>
      <c r="I24" t="inlineStr">
        <is>
          <t>**Job Title: Data Scientist Direct Hire** 
**Location: Houston Texas 77077** 
**Duration: Direct Hire** 
**Shift: Hybrid \- 2 days in Office 3 days WFH** 
**Overview** 
 This is a Direct Hire Role
**Interviews will be** 
 1st 15 min phone screen
 2nd Technical Interview 1hr
 3rd 30min with Hiring Manager
 4th Onsite 4Hours Onsite
**Relocation \= yes** 
 Build, train, and deploy large\-scale, self\-supervised "foundation" models that learn rich representations of time series, sequential sensor data in addition to textual and vision data, to be fine\-tuned for tasks such as anomaly/event detection, predictive maintenance, forecasting, classification, or multi\-modal sensor fusion for industrial and scientific applications.
**Data/Signal Processing** 
 • Time Series \&amp; Sequential Data: processing, augmentation, feature engineering for financial, industrial, IoT, medical, or other sensor streams (univariate/multivariate time series).
 • Sensor Data Analysis: expertise with diverse sensor modalities (e.g., accelerometers, temperature, vibration, audio, images), sampling rates, synchronization, and real\-world noise/artifact handling.
 • Multi\-Modality Learning: integrating heterogeneous data types (time series, images, text, audio, structured) into robust deep learning architectures; cross\-modal representation learning.
**Machine Learning \&amp; Foundation Model Expertise** 
 • Self\-supervised and Semi\-supervised Learning: time series foundation models, masked modeling, contrastive methods, temporal predictive coding, multimodal alignment and fusion.
 • Model Architectures: sequence models (RNNs, GRU/LSTM, TCN), 1D/2D/3D CNNs, Transformers (BERT, ViT, TimeSFormer), graph neural networks, diffusion/generative models, multi\-modal/fusion encoders.
 • Transfer Learning \&amp; Fine\-Tuning at Scale: prompt/adapter\-based strategies, temporal domain adaptation, few\-shot learning for specialized tasks.
 • Evaluation Metrics: regression/classification (MSE, F1, AUC), time series similarity (DTW, correlation), event detection/segmentation (IoU, accuracy), business/end\-user KPIs.
**Software \&amp; Infrastructure** 
 • Programming: expert Python (NumPy, SciPy, Pandas), C\+\+/CUDA for custom kernels and high\-performance preprocessing.
 • Deep Learning Frameworks: PyTorch (Lightning, Distributed), TensorFlow/Keras, JAX/Flax.
 • Large\-scale Training: multi\-GPU, multi\-node clusters, mixed\-precision, ZeRO optimization, scalable data loaders for long sequences.
 • Data Engineering: robust pipelines for ingesting, cleaning, segmenting, and aligning large\-scale, time\-synchronized multi\-sensor datasets.
**Mathematical \&amp; Algorithmic Foundations** 
 • Linear Algebra, Probability \&amp; Statistics, Optimization (stochastic, convex/non\-convex, Bayesian).
 • Signal Processing: Fourier/wavelet analysis, filters (Kalman, Savitzky–Golay), resampling, noise modeling.
 • Numerical Methods: ODE/PDE solvers, inverse problems, regularization, time\-frequency methods for complex systems.
**Collaboration \&amp; Communication** 
 • Cross\-disciplinary teamwork with domain experts, engineers, product owners, and end\-users from industrial, scientific, or medical backgrounds.
 • Clear presentation of complex model behaviors (interpretability, attention analysis), uncertainty quantification, and value impact.
 MS / Ph.D. in computer science, data science and AI or related fields.
 3\+ years of relevant experience in data science and AI or related fields.</t>
        </is>
      </c>
    </row>
    <row r="25">
      <c r="A25" t="inlineStr">
        <is>
          <t>li-4372546191</t>
        </is>
      </c>
      <c r="B25" t="inlineStr">
        <is>
          <t>Data Scientist</t>
        </is>
      </c>
      <c r="C25" t="inlineStr">
        <is>
          <t>Optomi</t>
        </is>
      </c>
      <c r="D25" t="inlineStr">
        <is>
          <t>linkedin</t>
        </is>
      </c>
      <c r="E25" t="inlineStr"/>
      <c r="F25" t="inlineStr"/>
      <c r="G25" t="inlineStr">
        <is>
          <t>Plano, TX</t>
        </is>
      </c>
      <c r="H25" t="inlineStr"/>
      <c r="I25" t="inlineStr">
        <is>
          <t>\*Marketing Experience Required\*
 Optomi, in partnership with a leader in the automotive manufacturing industry, is hiring a Marketing Data Scientist to connect with local communities through various marketing campaigns.
**What you will do** 
* Build end\-to\-end machine learning models to solve business problems in Marketing
* Perform feature engineering and support data engineering to build robust data pipelines on large marketing datasets from different sources
* Collaborate with ML Engineering to build ML Pipelines to Train, Test, Deploy, Serve and Monitor models, Tune Hyperparameters, detect model and data drift and resolve issues
* Present machine learning models outcomes, and help interpret model predictions to various stakeholders using standard data visualization tools
* Contribute to designing Experiments to prove hypothesis, and conduct A/B testing
* Write unit test cases, validation checks, technical documentation, and user stories as per requirements
* Need to be able to write production quality code, but not deployment
**What you will need** 
* Must: Experience in all phases of machine learning lifecycle including model selection, training, and evaluation, feature engineering, tuning hyperparameters, and deployment
* Must: Knowledge of CI/CD, Github Actions, Docker
* Must: Hands\-on experience with Python, Software development concepts (Object\-oriented or Functional Programming)
* Must: Proficient in Tensorflow or PyTorch, Keras, Jupyter Notebooks, GitHub, and SQL
* Must: Experience with atleast one deep learning and/or Causal Inferencing
* Must: Experience working in cloud platforms like AWS, and Big data technologies
* Nice to have: Hands\-on experience with A/B Test result analysis and Experimentation
* Nice to have: Worked with large marketing dataset in Digital Marketing, Google Analytics, Adobe Omniture, etc.
* Bonus: GenAI or Agentic AI experience</t>
        </is>
      </c>
    </row>
    <row r="26">
      <c r="A26" t="inlineStr">
        <is>
          <t>li-4373839044</t>
        </is>
      </c>
      <c r="B26" t="inlineStr">
        <is>
          <t>Data Scientist</t>
        </is>
      </c>
      <c r="C26" t="inlineStr">
        <is>
          <t>SGF Global</t>
        </is>
      </c>
      <c r="D26" t="inlineStr">
        <is>
          <t>linkedin</t>
        </is>
      </c>
      <c r="E26" t="inlineStr"/>
      <c r="F26" t="inlineStr"/>
      <c r="G26" t="inlineStr">
        <is>
          <t>Houston, TX</t>
        </is>
      </c>
      <c r="H26" t="inlineStr"/>
      <c r="I26" t="inlineStr">
        <is>
          <t>**Job Title:** 
 Data Scientist
**Location:** 
 Houston, Texas, USA (Hybrid work model with 2 days in\-office and 3 days work\-from\-home)
**Employment Type:** 
 Permanent
**About the Role** 
 We are looking for a motivated and detail\-oriented Data Scientist to join our client's team in the technology sector. In this role, you will contribute to building, training, and deploying large\-scale, self\-supervised "foundation" models, processing and analyzing time series and sensor data, and integrating multi\-modal data for industrial and scientific applications.
**Responsibilities:** 
* Build, train, and deploy large\-scale, self\-supervised models for various applications.
* Process and augment time series and sequential sensor data.
* Analyze diverse sensor modalities and handle real\-world noise/artifacts.
* Integrate heterogeneous data types into robust deep learning architectures.
**Requirements:** 
* Expertise in self\-supervised and semi\-supervised learning techniques.
* Proficiency in model architectures such as RNNs, Transformers, and CNNs.
* Strong programming skills in Python and C/CUDA.
* Experience with deep learning frameworks like PyTorch and TensorFlow.
* MS / Ph.D. in computer science, data science, AI, or related fields.
* 3 years of relevant experience in data science and AI.
**Preferred Qualifications:** 
* Experience with multi\-modal learning and cross\-modal representation learning.
* Knowledge of large\-scale training techniques and data engineering.
**Salary \&amp; Benefits:** 
 Competitive salary with stock options and other incentives.
 Relocation assistance available.
**Who We Are** 
 SGF Global is an integrated talent solutions provider, offering staffing, recruitment, Employer of Record (EOR), nearshore, and consulting services across a wide range of industries in 35 countries. We’re a dynamic, people\-first organization where fresh ideas are always welcome. Our culture is built on collaboration, innovation, and a genuine passion for helping people grow. At SGF Global, smiles are part of the dress code, and every voice matters. Are you looking to join an organization where your ideas are valued, your growth is supported, and your work makes a global impact? We’re always looking for talented individuals who are ready to make a difference.
* Explore opportunities
* Grow your career
* Be part of something global
* Your future starts here.</t>
        </is>
      </c>
    </row>
    <row r="27">
      <c r="A27" t="inlineStr">
        <is>
          <t>li-4372527735</t>
        </is>
      </c>
      <c r="B27" t="inlineStr">
        <is>
          <t>Data Scientist</t>
        </is>
      </c>
      <c r="C27" t="inlineStr">
        <is>
          <t>FetchJobs.co</t>
        </is>
      </c>
      <c r="D27" t="inlineStr">
        <is>
          <t>linkedin</t>
        </is>
      </c>
      <c r="E27" t="inlineStr"/>
      <c r="F27" t="inlineStr"/>
      <c r="G27" t="inlineStr"/>
      <c r="H27" t="inlineStr"/>
      <c r="I27" t="inlineStr">
        <is>
          <t>**About The Company**
 Guidehouse is a leading management, technology, and risk consulting firm dedicated to solving complex challenges for government, commercial, and nonprofit clients. With a focus on innovation and excellence, Guidehouse provides strategic insights and tailored solutions that drive operational efficiency, enhance decision\-making, and foster sustainable growth. The company values diversity, inclusion, and integrity, fostering a collaborative environment where employees are empowered to make a meaningful impact. As a trusted partner in the industry, Guidehouse is committed to delivering measurable results and maintaining the highest standards of professionalism and ethical conduct.
**About The Role**
 We are seeking a highly experienced Senior Data Scientist to join our AI and Data practice, supporting initiatives within transportation and federal civilian agencies. This role requires a hands\-on leader with a strategic mindset who can provide technical oversight, innovative solutions, and expert guidance on data\-driven projects. The Senior Data Scientist will play a pivotal role in designing, developing, and implementing advanced analytics, AI/ML models, and data governance frameworks. The position involves collaborating with cross\-functional teams, mentoring junior staff, and engaging with stakeholders to translate complex business challenges into actionable data solutions. The ideal candidate will have a strong background in data science, analytics, and cloud platforms, with a proven track record of leading large\-scale analytics engagements and delivering impactful results.
**Qualifications**
 The ideal candidate must be a U.S. citizen with a minimum of a bachelor’s degree in a relevant field such as Data Science, Computer Science, Statistics, or related disciplines. A minimum of five (5\) years of hands\-on experience in data science, engineering, and analytics is required, along with at least two (2\) years of experience leading data\-driven transformation programs. Proficiency in Python, including libraries such as Pandas, NumPy, scikit\-learn, and data visualization tools, is essential. Experience with R, PowerBI, MicroStrategy, and cloud analytics environments like Azure, AWS, or GCP is highly desirable. Candidates should possess a strong understanding of AI/ML technologies, data platforms, and analytics methodologies, along with experience in developing self\-service data products, dashboards, and AI/ML solutions. Excellent communication, facilitation, and relationship\-building skills are critical, as is the ability to collaborate effectively across technical and business teams.
**Responsibilities**
* Serve as a trusted advisor on data strategy, governance, and analytics modernization initiatives.
* Lead end\-to\-end project engagements from strategic planning to implementation, ensuring quality delivery and measurable outcomes.
* Design and oversee AI/ML and analytics solutions utilizing platforms such as Databricks, Snowflake, Azure, AWS, or GCP.
* Develop, maintain, and enhance Python\-based tools, scripts, and models for data analysis, automation, and reporting purposes.
* Apply methodologies like CRISP\-DM, Agile Kanban, and human\-centered design to create impactful data solutions.
* Mentor multidisciplinary teams, fostering a culture of innovation, continuous learning, and best practices.
* Collaborate with stakeholders to understand business challenges and translate them into technical data solutions.
* Support business development efforts by contributing to proposal writing and strategic pursuits.
* Promote data literacy and a data\-driven culture through training, enablement resources, and community of practice sessions.
**Benefits**
 Guidehouse offers a comprehensive total rewards package designed to support employees both professionally and personally. Benefits include competitive medical, dental, and vision insurance plans, along with Rx coverage. Employees enjoy paid time off, including personal and family sick leave, as well as company\-paid holidays. The position may be eligible for a discretionary variable incentive bonus, recognizing individual and organizational performance. Additional benefits include parental leave, adoption assistance, a 401(k) retirement plan, and life insurance options. Health Savings Accounts, Flexible Spending Accounts for dental, vision, and dependent care, as well as short\-term and long\-term disability coverage, are provided to support financial well\-being. Employees also have access to student loan repayment programs, tuition reimbursement, and various personal development and certification opportunities. Guidehouse fosters a supportive work environment through employee referral programs, community outreach initiatives, emergency childcare, and mobility stipends, ensuring a well\-rounded employee experience.
 Equal Opportunity
 Guidehouse is an Equal Opportunity Employer that values diversity and inclusion in the workplace. We are committed to providing equal employment opportunities to all qualified applicants regardless of race, color, religion, sex, sexual orientation, gender identity, national origin, veteran status, disability, or any other protected characteristic. We consider qualified applicants with criminal histories in accordance with applicable laws and ordinances, including the Fair Chance Ordinance of Los Angeles and San Francisco. We encourage all candidates to apply and join our inclusive environment where everyone’s contributions are valued and respected. If you require accommodations during the application process, please contact Guidehouse Recruiting for assistance. We do not charge fees or require payments at any stage of the hiring process and advise candidates to be cautious of unauthorized communications or solicitations from third parties.</t>
        </is>
      </c>
    </row>
    <row r="28">
      <c r="A28" t="inlineStr">
        <is>
          <t>li-4372539890</t>
        </is>
      </c>
      <c r="B28" t="inlineStr">
        <is>
          <t>Sr Data Scientist</t>
        </is>
      </c>
      <c r="C28" t="inlineStr">
        <is>
          <t>Healthcare.com</t>
        </is>
      </c>
      <c r="D28" t="inlineStr">
        <is>
          <t>linkedin</t>
        </is>
      </c>
      <c r="E28" t="inlineStr"/>
      <c r="F28" t="inlineStr"/>
      <c r="G28" t="inlineStr"/>
      <c r="H28" t="inlineStr"/>
      <c r="I28" t="inlineStr">
        <is>
          <t>HealthCare.com
 has become one of America’s fastest\-growing insurtech companies, revolutionizing how consumers shop for health insurance. Leveraging advanced technology and data science, the company has developed customized proprietary products to better fit consumer requirements, enhance customer satisfaction, and take some of the guesswork and inefficiencies out of buying insurance.
**About the Role** 
 We’re hiring a
 **Data Scientist** 
 (Production ML) to own and evolve our core production bidding system. This is not a research\-only role and not a ticket\-taking role. You’ll work directly with product, engineering, and business stakeholders to define problems, design solutions, and ship production\-ready models that materially impact the business.
 We’re especially interested in people who are
 **curious, pragmatic, and adaptable** 
 —the kind of data scientist who can move between modeling, data engineering, and software development as the problem requires. Prior experience matters, but how you think and learn matters more.
 This role sits on the data team alongside data engineers, data scientists, and analysts.
**What You’ll Do** 
* Own and operate machine learning models that run in
 **production** 
 , including monitoring, debugging, and iterative improvement.
* Develop, train, and optimize models used in a real\-time or near\-real\-time
 **bidding and decisioning system** 
 .
* Work with stakeholders to clarify ambiguous problems, define success metrics, and translate business needs into technical solutions.
* Design and implement
 **feature engineering pipelines** 
 , balancing model performance, latency, and maintainability.
* Write
 **production\-quality Python code** 
 (not just notebooks) and collaborate with engineering on deployment, CI/CD, and system design.
* Analyze model behavior using logs, metrics, and offline analysis to identify performance issues and opportunities.
* Contribute to data pipelines and infrastructure where needed (e.g., ETL, materialized tables, model inputs).
* Make thoughtful tradeoffs between something that is “theoretically optimal” and something that is reliable, fast, and shippable.
**What We’re Looking For** 
**Core Requirements** 
* Strong Python experience, including writing code that runs in
 **production systems** 
 .
* Solid SQL skills and experience working with analytical databases (Snowflake or similar).
* Hands\-on experience training and tuning tree\-based models (e.g., LightGBM, XGBoost, CatBoost) on real, messy data.
* Experience deploying, maintaining, or owning ML models beyond experimentation (APIs, batch jobs, or streaming systems).
* Comfort working across
 **dev, staging, and production** 
 environments.
* Ability to operate with limited guidance: you can ask good questions, propose solutions, and move work forward independently.
**Bonus Skills** 
* Experience at a smaller company or on a small team where you wore multiple hats.
* Depth in one or more of:
* Gradient boosted models and performance optimization
* Feature engineering for tabular data
* Data engineering / ETL design
* Model monitoring, evaluation, and debugging in production
* Experience improving model latency, reliability, or cost—not just accuracy.
* Prior technical leadership or informal mentoring experience.
* Familiarity with Airflow, Kubernetes, or cloud infrastructure.
**What This Role Is
 *Not***
* Not a research\-only role.
* Not a role where requirements are always fully specified up front.
* Not a notebook\-only environment.
* Not a position where “training a model once” is considered done.
**Why You Might Like This Role** 
* You’ll own systems that directly affect revenue and business outcomes.
* You’ll have real autonomy over technical decisions.
* You’ll work on problems where good judgment matters more than shiny tools.
* You’ll see the full lifecycle of models—from idea to production to iteration.
**Benefits** 
 Opportunity to work from home
 Excellent work environment
 Medical, dental, and vision insurance
 Up to 15 days of paid time off
 11 company observed holidays
 8 weeks of paid parental leave
 401k plan with company match
 Life insurance
 Professional growth opportunity
 Most importantly, an inclusive company culture established by an incredible team!
**Get to Know Us!** 
 https://www.healthcare.com/
 linkedin.com/company/healthcare\-com</t>
        </is>
      </c>
    </row>
    <row r="29">
      <c r="A29" t="inlineStr">
        <is>
          <t>li-4371927001</t>
        </is>
      </c>
      <c r="B29" t="inlineStr">
        <is>
          <t>Senior Data Scientist | Analytics</t>
        </is>
      </c>
      <c r="C29" t="inlineStr">
        <is>
          <t>Machinify</t>
        </is>
      </c>
      <c r="D29" t="inlineStr">
        <is>
          <t>linkedin</t>
        </is>
      </c>
      <c r="E29" t="inlineStr"/>
      <c r="F29" t="inlineStr"/>
      <c r="G29" t="inlineStr"/>
      <c r="H29" t="inlineStr"/>
      <c r="I29" t="inlineStr">
        <is>
          <t>Machinify is a leading healthcare intelligence company with expertise across the payment continuum, delivering unmatched value, transparency, and efficiency to health plan clients across the country. Deployed by over 85 health plans, including many of the top 20, and representing more than 270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is seeking a Data Scientist to lead analytics efforts. You will be required to work hands\-on and obtain a deep understanding of healthcare data as you ramp\-up.
**What You'll Bring**
* Extensive hands\-on experience with data science and engineering in a business environment
* Experience leading projects and delivering technical products with measurable impact.
* Analytical, first principles approach to problem solving and data\-driven decision making.
* Able to write efficient and effective SQL queries on complex data.
* Experience with cloud\-based services and enterprise software environments.
* Ability to balance trade\-offs among multiple competing priorities.
* Bachelor's or Master's degree in Computer Science or STEM disciplines
* Experience building live production\-quality dashboards for cross\-functional teams.
* Experience with large\-scale production data pipelines
**What We Offer**
* Work from anywhere in the US! Machinify is digital\-first.
* Top Medical/Dental/Vision offerings
* FSA/HSA
* Tuition reimbursement
* Competitive salary, 401(k) with company match
* Unlimited PTO
* Additional health and wellness benefits and perks
* Flexible and trusting environment where you’ll feel empowered to do your best work
 The salary for this position is based on an array of factors unique to each candidate: Such as years and depth of experience, set skills, certifications, etc. We are hiring for different levels, and our Recruiting team will let you know if you qualify for a different role/range. Salary is one component of the total compensation package, which includes meaningful equity, excellent healthcare, flexible time off, and other benefits and perks.
**Equal Employment Opportunity at Machinify**
 We are committed to equal employment opportunity regardless of race, color, ancestry, religion, sex, national origin, sexual orientation, age, citizenship, marital status, disability, gender, gender identity or expression, or veteran status. We are proud to be an equal opportunity workplace. Machinify is an employment at will employer. We participate in E\-Verify as required by applicable law. In accordance with applicable state laws, we do not inquire about salary history during the recruitment process. If you require a reasonable accommodation to complete any part of the application or recruitment process, please let our recruiters know. See our Candidate Privacy Notice at: https://www.machinify.com/candidate\-privacy\-notice/</t>
        </is>
      </c>
    </row>
    <row r="30">
      <c r="A30" t="inlineStr">
        <is>
          <t>li-4212867885</t>
        </is>
      </c>
      <c r="B30" t="inlineStr">
        <is>
          <t>Senior/Staff Data Scientist</t>
        </is>
      </c>
      <c r="C30" t="inlineStr">
        <is>
          <t>Zip</t>
        </is>
      </c>
      <c r="D30" t="inlineStr">
        <is>
          <t>linkedin</t>
        </is>
      </c>
      <c r="E30" t="inlineStr"/>
      <c r="F30" t="inlineStr"/>
      <c r="G30" t="inlineStr">
        <is>
          <t>San Francisco, CA</t>
        </is>
      </c>
      <c r="H30" t="inlineStr"/>
      <c r="I30" t="inlineStr">
        <is>
          <t>The simple task of buying software, services, or tools at work has become hopelessly complicated at even the most innovative companies in the world. Today, enterprises spend $120T\+ per year globally (\&gt;30 times larger than annual consumer e\-commerce spend) and rely on vendors more than ever before to run their businesses.
 Our cofounders started Zip in 2020 to address this seemingly intractable problem with a purpose\-built procurement platform that provides a simple, consumer\-grade user experience. Within the last 4 years, Zip has created a new category and developed the leading solution in this $50B\+ TAM space. Today, the world’s leading companies like OpenAI, Snowflake, Anthropic, Coinbase, and Prudential rely on Zip to manage billions of dollars in spend.
 We have a world\-class team coming from category\-defining companies like Airbnb, Meta, Stripe, Salesforce, Apple, and Google. With a $2\.2 billion valuation and $370 million in funding from Y Combinator, Tiger Global, BOND, DST Global, and CRV, we’re focused on developing cutting\-edge technology, expanding into new global markets, and—above all–driving incredible value for our customers. Join us!
 Your Role
 As a founding Data Scientist at Zip, you'll collaborate extensively with cross\-functional teams to provide the models, data products, and insights necessary for informed decision\-making and sustainable growth. You'll leverage our comprehensive data resources to extract valuable insights, while working alongside leadership to transform business challenges into data\-driven solutions. Your responsibilities will include developing metrics, building simple data pipelines, creating intuitive dashboards, and generating reports that drive business operations. Through thoughtful analysis and compelling data storytelling, you'll deliver actionable recommendations that directly impact business outcomes.
**Qualifications**
* 4\-8 years of professional experience in roles such as Data Science, Data Engineering, Data Analysis, with a track record of building simple data pipelines and analyzing complex datasets to address business challenges.
* Bachelor’s degree in Mathematics, Statistics, Economics, Engineering, or a related technical field.
* Strong command of SQL and Python programming languages
* Solid foundation in statistical methods and applications.
* Demonstrated skill in data visualization and translating insights into actionable recommendations that drive goal achievement.
* Exceptional project management capabilities with the ability to prioritize and deliver multiple initiatives while maintaining meticulous attention to detail.
* Excellent communication skills to effectively present findings and influence decisions.
* Adept at cross\-functional collaboration to identify analytical challenges and implement solutions that combine technical excellence with data\-driven insights.
 Nice To Haves
* Master’s (or above) degree in Mathematics, Statistics, Economics, Engineering, or a related technical field.
* Prior experience at a growth stage internet or software company.
* Experience with Airflow, Superset, Omni, Sigma, Looker, or Tableau.
* Good understanding of development processes and best practices like engineering standards, code reviews, and testing.
* Experience with using AI tools to help with analyses and building dashboards.
 The salary range for this role is $160,000 \- $220,000\.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Full health, vision \&amp; dental coverage
* 🍽️ Catered lunches \&amp; dinners for SF employees
* 🚍 Commuter benefit
* 🚠 Team building events \&amp; happy hours
* 🌴 Flexible PTO
* 💻 Apple equipment plus home office budget
* 💸 401k plan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row>
    <row r="31">
      <c r="A31" t="inlineStr">
        <is>
          <t>li-4372558816</t>
        </is>
      </c>
      <c r="B31" t="inlineStr">
        <is>
          <t>Advanced Data Scientist - FULL TIME (Equity only)</t>
        </is>
      </c>
      <c r="C31" t="inlineStr">
        <is>
          <t>Fact Finders Pro</t>
        </is>
      </c>
      <c r="D31" t="inlineStr">
        <is>
          <t>linkedin</t>
        </is>
      </c>
      <c r="E31" t="inlineStr"/>
      <c r="F31" t="inlineStr"/>
      <c r="G31" t="inlineStr"/>
      <c r="H31" t="inlineStr"/>
      <c r="I31" t="inlineStr">
        <is>
          <t>**Key Responsibilities:** 
* Collecting data through means such as analyzing business results or by setting up and managing new studies.
* Transferring data into a new format to make it more appropriate for analysis.
* Creating new, experimental frameworks to collect data.
* Building tools to automate data collection.
* Searching through large data sets for usable information.
* Creating reports and presentations for business uses.
* Correlating similar data to find actionable results. Perform statistical analysis of results and refine models.
**Qualifications:** 
* A Master's or advanced degree in Data Science, Computer Science, Statistics, or a related field.
* A minimum of 5 years of experience in data exploration, data cleaning, data analysis, data visualization, and data mining.
* Mandatory to have 6months \-1 yr of LLM experience in projects.
* Experience with Python for at least 5 years developing basic level prediction model
* Deep understanding of Machine Learning \&amp; Deep Learning algorithms
* Knowledge of most of the following quantitative fields: Natural Language Processing, Information Retrieval, Machine Comprehension, Question Answering/Conversational AI, Reinforcement Learning, Knowledge Graph, Causal Inference, and Design of Experiment
* Statistical and data science programming skills, such as Python and R
* SQL expertise for data extraction, transformation, and analysis
* Experience in Big Data, search, NLP, and chatbot technologies such as Elasticsearch and Solr
* Knowledge of Deep Learning and related tools such as TensorFlow, Keras, MXNET, or H2O is preferred
* Experience deploying NLP solutions in a commercial environment.
* Extensive experience with Microsoft Azure, including certification in machine learning
* Experience with machine learning pipelines (Azure ML, AWS SAGEMAKER)
* Experience in an Agile working environment and related project management tools (Jira, Azure DevOps, etc.)
* Public AI\-related projects you have developed available on GitHub
* What You'll Do:
* Work closely with software and business teams to build, integrate and deliver successful algorithms in a modern SaaS platform.
* Contribute to advancing NLP and its applications, to create highly innovative products and customer experiences, ranging from text understanding and classification to information extraction.
* Build end\-to\-end products from the ground up, from data exploration through feature generation and model construction and deployment.
* Own design, implementation, and deployment of your models and see them deliver business impact.
* Mentor other team members and continuously further the Data Science organization.
* Guide design, architecture, tooling, and processes at the organization level.</t>
        </is>
      </c>
    </row>
    <row r="32">
      <c r="A32" t="inlineStr">
        <is>
          <t>li-4371790618</t>
        </is>
      </c>
      <c r="B32" t="inlineStr">
        <is>
          <t>Lead Data Scientist with AI Studio experience</t>
        </is>
      </c>
      <c r="C32" t="inlineStr">
        <is>
          <t>Delta System &amp; Software, Inc.</t>
        </is>
      </c>
      <c r="D32" t="inlineStr">
        <is>
          <t>linkedin</t>
        </is>
      </c>
      <c r="E32" t="inlineStr"/>
      <c r="F32" t="inlineStr"/>
      <c r="G32" t="inlineStr">
        <is>
          <t>New York, NY</t>
        </is>
      </c>
      <c r="H32" t="inlineStr"/>
      <c r="I32" t="inlineStr">
        <is>
          <t>**Position: Lead Data Scientist with AI Studio experience** 
**Location: Boston, MA\|\| New York, NY\|\| Holmdel, NJ \|\| Stamford, CT (Hybrid 3 Days/week Onsite)** 
**Duration: Permanent Role** 
**US Citizen/Green are advised to apply for this role** 
**Job Description** 
* Looking for 10\+ years of hands\-on ML modeling/development experience
* Candidate should have solid understanding of data analysis and statistical modeling.
* Should have knowledge of a variety of machine learning techniques (clustering, decision tree, bagging/boosting artificial neural networks, etc.) and their real\-world advantages/drawbacks.
* Should have demonstrated track records in experimental design and executions
* Hands\-on experience with data wrangling including fuzzy matching and regular expression, distributed computing and applying parallelism to ML solutions is Highly required
* Solid background in algorithms and a range of ML models
* Proven leadership in providing technical leadership and mentoring to data scientists and strong management skills with ability to monitor/track performance for enterprise success
* Strong programming skills in Python
* PhD with 2\+ years of experience, Master's degree with 4\+ years of experience in Statistics, Computer Science, Engineering, Applied mathematics or related field.</t>
        </is>
      </c>
    </row>
    <row r="33">
      <c r="A33" t="inlineStr">
        <is>
          <t>li-4333318395</t>
        </is>
      </c>
      <c r="B33" t="inlineStr">
        <is>
          <t>Consumer Product Data Scientist</t>
        </is>
      </c>
      <c r="C33" t="inlineStr">
        <is>
          <t>Accenture Federal Services</t>
        </is>
      </c>
      <c r="D33" t="inlineStr">
        <is>
          <t>linkedin</t>
        </is>
      </c>
      <c r="E33" t="inlineStr"/>
      <c r="F33" t="inlineStr"/>
      <c r="G33" t="inlineStr">
        <is>
          <t>Washington, DC</t>
        </is>
      </c>
      <c r="H33" t="inlineStr"/>
      <c r="I33"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within global Accenture. Recognized as a Glassdoor Top 100 Best Place to Work, we offer a collaborative and caring community where you feel like you belong and are empowered to grow, learn and thrive through hands\-on experience, certifications, industry training and more.
 Join us to drive positive, lasting change that moves missions and the government forward!
**The work:**
 As a Consumer Product Data Scientist, you will be using the Databricks platform to analyze complex datasets, identify trends, uncover patterns, and provide meaningful interpretations for a highly visible online product. The ideal candidate will possess a robust background in data analytics, hands\-on experience with Databricks, and a proven track record in consumer research and retail analytics, with a strong preference for incorporating AI solutions. You will leverage skills in big data collection, cleaning, and exploratory analysis to discover patterns, anomalies, and relationships using statistical methods and visualization techniques. Requires strong experience applying statistical tests and models to validate hypotheses and identify significant trends in customer retention and churn.
**Here's what you need:**
* 10\+ years of experience in data analytics to drive impactful insights and solutions.
* Must have hands\-on experience within Databricks environment.
* Must have hands\-on experience developing and maintaining analytics and dashboards to support client decision\-making.
* Must have experience with consumer research and retail analytics.
* Demonstrates successful outcomes with quantifiable metrics.
* Incorporate success in integrating AI\-driven solutions into analytics projects (strongly desired).
**Eligibility Requirements:**
 US Citizenship required.
*Location:* 
 Washington, DC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
 The pay range for the states of California, Colorado, Hawaii, Illinois, Maryland, Massachusetts, Minnesota, New Jersey, New York, Washington, Vermont, the District of Columbia, and the city of Cleveland is:
 $114,700—$221,100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34">
      <c r="A34" t="inlineStr">
        <is>
          <t>li-4373583650</t>
        </is>
      </c>
      <c r="B34" t="inlineStr">
        <is>
          <t>AI/ML Data Scientist Consultant</t>
        </is>
      </c>
      <c r="C34" t="inlineStr">
        <is>
          <t>Guidehouse</t>
        </is>
      </c>
      <c r="D34" t="inlineStr">
        <is>
          <t>linkedin</t>
        </is>
      </c>
      <c r="E34" t="inlineStr"/>
      <c r="F34" t="inlineStr"/>
      <c r="G34" t="inlineStr">
        <is>
          <t>Chantilly, VA</t>
        </is>
      </c>
      <c r="H34" t="inlineStr"/>
      <c r="I34" t="inlineStr">
        <is>
          <t>**Job Family**
 Data Science \&amp; Analysis
**Travel Required**
 None
**Clearance Required**
 Active Top Secret SCI with Polygraph
**What You Will Do**
 Our Data and Analytics consultants help clients maximize the value of their data. This high performing team works with clients to implement the full spectrum of data analytics and data science, from data querying and data wrangling to data visualization and dashboarding for business intelligence (BI), to predictive analytics, machine learning, and artificial intelligence. They will join a team responsible for developing advanced analytics products; applying data visualization and statistical programming tools to enterprise data to advance and enable the key mission outcomes. In this role, they will support all phases of analytic work product development, from the identification of key business questions, through data collection and ETL, from performing analyses and using a wide range of statistical, machine learning, and applied mathematical techniques to delivery insights to decision\-makers. This role requires special attention to the interplay between data and the business processes that produce it and the decision\-makers that consume insights.
**What You Will Need**
* An ACTIVE and MAINTAINED TS/SCI Federal or DoD security clearance with a FULL SCOPE (FS/FSP) polygraph
* Bachelor’s degree
* FOUR or more (4\+) years of experience Data Science or Data Analytics
* Experience cleaning, manipulating, and pre\-processing data using Python, SQL, or R
**What Would Be Nice To Have**
* M.S./M.A. in Data Science/Analytics, Statistics, Mathematics, Operations Research, Computer Science, Information Systems, Engineering, Economics, or similar quantitative/computational discipline.
* Experience performing data science / analytics, such as statistical modelling, predictive analysis, or machine learning using Python, SQL, PySpark and cloud\-based tools such as Big Query, Databricks
* Experience with Data science and ML packages such as scikit\-learn, pandas, NumPy etc.,
* Experience conducting cutting edge research in AI and ML with emphasis on novel algorithm development and advanced methodologies especially concerning model interpretability.
* Experience Designing, executing and evaluating exercises against AI models to ensure robustness against attack in real\-world environments.
* Experience developing and implementing risk assessment frameworks to evaluate model assurance, interpretability, and performance reliability.
* Experience maintaining a thorough understanding of the latest advancements in AI/ML research and model security, actively contributing to the development of best practices and defensive strategies.
* Strong foundation in python, deep learning frameworks (Pytorch, Tensorflow), and experience with the tools and libraries relevant to AI model evaluation.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35">
      <c r="A35" t="inlineStr">
        <is>
          <t>li-4373800274</t>
        </is>
      </c>
      <c r="B35" t="inlineStr">
        <is>
          <t>Data Scientist III</t>
        </is>
      </c>
      <c r="C35" t="inlineStr">
        <is>
          <t>Keystone Recruitment</t>
        </is>
      </c>
      <c r="D35" t="inlineStr">
        <is>
          <t>linkedin</t>
        </is>
      </c>
      <c r="E35" t="inlineStr"/>
      <c r="F35" t="inlineStr"/>
      <c r="G35" t="inlineStr"/>
      <c r="H35" t="inlineStr"/>
      <c r="I35" t="inlineStr">
        <is>
          <t>* **Role:** 
 Data Scientist III
* **Location:** 
 100% Remote (Global)
* **Compensation:** 
 USD 90–110 per hour
**About the Role** 
 We are seeking a
 **Senior Marketing Analyst (Data Scientist III)** 
 with deep expertise in
 **Salesforce Data Cloud and advanced SQL** 
 to join a high\-impact Marketing Analytics team supporting Business Messaging initiatives.
 This role will focus on building and scaling audience segmentation capabilities to power data\-driven marketing campaigns reaching millions of customers. The ideal candidate is highly technical, hands\-on with large\-scale datasets, and experienced in partnering cross\-functionally to develop scalable audience systems and reporting pipelines.
**Key Responsibilities** 
 Audience Segmentation \&amp; Strategy
* Build and maintain complex audience segments in Salesforce Data Cloud
* Develop Calculated Insights using advanced SQL
* Identify and define audience signals to drive targeted marketing campaigns
* Activate audience segments to marketing automation platforms
**Data Engineering Partnership** 
* Collaborate with Data Engineers to design and enhance data pipelines supporting marketing systems
* Ensure reliable data flow into reporting and segmentation environments
* Maintain and optimize large\-scale datasets (millions of records)
**Analytics \&amp; Reporting** 
* Develop automated reporting solutions and self\-service dashboards
* Monitor campaign performance and key marketing KPIs
* Size revenue opportunities through segmentation analysis
* Troubleshoot and resolve data discrepancies across systems
**Business Translation** 
* Translate marketing requirements into technical audience definitions
* Partner with campaign managers on complex audience builds
* Present insights clearly to both technical and non\-technical stakeholders
**Required Qualifications** 
* 7\+ years of experience in marketing analytics, data science, data engineering, or related field
* Expert\-level SQL skills (CTEs, window functions, query optimization, large dataset handling)
* Hands\-on experience with Salesforce Data Cloud or similar CDP platforms
* Experience building audience signals and segmentation frameworks
* Proven collaboration with Data Engineering teams on pipeline development
* Experience automating reports and building self\-service dashboards
* Proficiency in Tableau or similar visualization tools
* Advanced Excel / Google Sheets skills
* Basic Python knowledge for automation and APIs
* Strong communication and stakeholder management skills
**Preferred Qualifications** 
* Experience with Salesforce Marketing Cloud (SFMC)
* Familiarity with CRM data structures and account\-level models
* Background in B2B marketing analytics
* Experience supporting large\-scale marketing ecosystems
**Core Competencies** 
* Salesforce Data Cloud
* Customer Data Platforms (CDP)
* Advanced SQL \&amp; Data Modeling
* Audience Segmentation Strategy
* Marketing Analytics
* Data Pipelines \&amp; Automation
* Dashboard Development
* Campaign Performance Analysis
* Cross\-Functional Collaboration
**Equal Opportunity Statement** 
 We are an equal opportunity employer and consider all qualified applicants without regard to legally protected characteristics. Reasonable accommodations are available upon request.
**APPLY NOW!**</t>
        </is>
      </c>
    </row>
    <row r="36">
      <c r="A36" t="inlineStr">
        <is>
          <t>li-4373597504</t>
        </is>
      </c>
      <c r="B36" t="inlineStr">
        <is>
          <t>Data Scientist III</t>
        </is>
      </c>
      <c r="C36" t="inlineStr">
        <is>
          <t>Keystone Recruitment</t>
        </is>
      </c>
      <c r="D36" t="inlineStr">
        <is>
          <t>linkedin</t>
        </is>
      </c>
      <c r="E36" t="inlineStr"/>
      <c r="F36" t="inlineStr"/>
      <c r="G36" t="inlineStr"/>
      <c r="H36" t="inlineStr"/>
      <c r="I36" t="inlineStr">
        <is>
          <t>* **Role:** 
 Data Scientist III
* **Location:** 
 100% Remote (Global)
* **Compensation:** 
 USD 90–110 per hour
**Overview** 
 We are seeking an experienced
 **Data Scientist III** 
 to support high\-impact strategic initiatives across a large\-scale product and platform ecosystem. This role is ideal for a data professional with strong analytical depth, experience working with complex datasets, and a proven ability to translate data into actionable business insights.
 The successful candidate will partner closely with Product and Engineering teams to drive product strategy, experimentation, and ecosystem health measurement.
**Key Responsibilities** 
 Data Analysis \&amp; Modeling
* Analyze large, complex datasets to identify trends, patterns, and actionable insights
* Build statistical and predictive models to support product and ecosystem decision\-making
* Deliver high\-quality ad hoc analysis in response to urgent business needs
**Metrics \&amp; Measurement** 
* Design, implement, and maintain key metrics to measure product performance, engagement, and ecosystem health
* Develop frameworks for long\-term performance tracking and reporting
**Experimentation** 
* Design and execute structured experiments to evaluate product features, partnerships, and strategic initiatives
* Apply statistical rigor and causal inference principles to interpret results
**Reporting \&amp; Visualization** 
* Build dashboards and reports using tools such as Tableau, Unidash, or Metrics360
* Communicate findings clearly to both technical and non\-technical stakeholders
**Cross\-Functional Collaboration** 
* Partner with Product and Engineering teams to define analytical requirements
* Present insights that directly inform product strategy and roadmap decisions
**Minimum Qualifications** 
* Bachelor’s or Master’s degree in Data Science, Statistics, Computer Science, Economics, or related quantitative field
* 5\+ years of experience in data science, analytics, or similar roles
* Advanced proficiency in SQL
* Proficiency in Python or R
* Experience with data visualization tools (Tableau, Unidash, Metrics360, or similar)
* Strong communication skills and ability to present complex insights clearly
* Ability to work independently in a fast\-paced environment
**Preferred Qualifications** 
* Experience working with large\-scale data infrastructure in technology or platform ecosystems
* Familiarity with big data tools (e.g., Presto, Hive, Scuba or similar technologies)
* Experience in experimentation design and causal inference methodologies
* Prior experience in contractor or consulting environments
* Previous experience at a major technology company
**Required Core Competencies** 
* Advanced Data Analysis \&amp; Modeling
* Product Analytics \&amp; Metrics Development
* Experimentation \&amp; Statistical Testing
* Data Visualization \&amp; Storytelling
* Cross\-Functional Collaboration
**Work Environment** 
* Onsite in Menlo Park, CA
* Fast\-paced, product\-driven environment
* Cross\-functional collaboration across product and engineering teams
**Equal Opportunity Statement** 
 We are an equal opportunity employer and consider all qualified applicants without regard to legally protected characteristics. Qualified applicants with arrest and conviction records will be considered in accordance with applicable laws. Reasonable accommodations are available upon request.
**APPLY NOW!**</t>
        </is>
      </c>
    </row>
    <row r="37">
      <c r="A37" t="inlineStr">
        <is>
          <t>li-4373838057</t>
        </is>
      </c>
      <c r="B37" t="inlineStr">
        <is>
          <t>Cancer Biology Omics Associate Data Scientist</t>
        </is>
      </c>
      <c r="C37" t="inlineStr">
        <is>
          <t>Komen Graduate Training Program UT MDACC</t>
        </is>
      </c>
      <c r="D37" t="inlineStr">
        <is>
          <t>linkedin</t>
        </is>
      </c>
      <c r="E37" t="inlineStr"/>
      <c r="F37" t="inlineStr"/>
      <c r="G37" t="inlineStr">
        <is>
          <t>Houston, TX</t>
        </is>
      </c>
      <c r="H37" t="inlineStr"/>
      <c r="I37" t="inlineStr">
        <is>
          <t>The Immunology department at MD Anderson Cancer Center seeks to determine the fundamental cellular and molecular mechanisms of a wide range of processes by which the body recognizes and eliminates pathogens and use these findings to unleash the patient's own immune system against previously treatment\-resistant cancers. Treating the immune system rather than the cancer itself, the therapeutics developed are applicable to many cancers.
 The Associate Data Scientist in the Bullman Lab will assist in the computational analysis of spatial single\-cell transcriptomic and proteomic data from patient tumors generated from platforms such as CosMx Spatial Molecular Imager. Analyses will involve identifying spatially localized cellular niches, characterizing immune and epithelial cell states, modeling cell\-cell communication, and uncovering pathways through which host\-microbe interactions influence tumor biology.
 The ideal candidate brings experience in single\-cell or spatial biology, cancer biology omics or genomics, and proficiency in Python, supported by relevant academic training and applied research or industry experience.
 Minimum $42\.31 \- Midpoint $52\.88 \- Maximum $63\.46
 The typical work schedule is onsite.
 Work location: Texas Medical Center.
**Why Us?**
 Joining MD Anderson means contributing directly to research that shapes the future of cancer treatment while developing deep technical and scientific expertise. This role offers opportunities for collaboration, growth, and meaningful impact within a mission\-driven environment that values both innovation and work\-life balance.
* Employer\-paid medical coverage starting day one for employees working 30\+ hours/week, plus optional group dental, vision, life, AD\&amp;D, and disability insurance.
* Accruals for PTO and Extended Illness Bank, plus paid holidays, wellness, childcare, and other leave options.
* Tuition Assistance Program after six months of service and access to extensive wellness, fitness, and employee resource groups.
* Defined\-benefit pension through the Teachers Retirement System, voluntary retirement plans, and employer\-paid life and reduced salary protection programs.
**Responsibilities**
* Analyze \&amp; Integrate Single\-Cell and Spatial Omics Data
 Process and interpret single\-cell RNA\-seq, spatial transcriptomic, and spatial proteomic datasets.
 Apply clustering, differential expression, trajectory inference, and spatial proximity methods.
 Integrate multimodal datasets from CosMx, MIBI, STOmics, and GeoMx platforms.
 Identify spatially localized cellular niches and characterize immune and epithelial cell states.
 Model cell\-cell interactions and evaluate host\-microbe influences on tumor biology.
* Develop Computational Pipelines
 Build and maintain reproducible Python and R analysis pipelines.
 Document workflows and ensure consistency across high\-dimensional omics analyses.
 Conduct pathway enrichment and network analyses to identify relevant biological trends.
 Generate publication\-quality figures for manuscripts, grants, and presentations.
* Collaborate \&amp; Communicate Research Findings
 Partner with interdisciplinary team members to interpret data and support experimental planning.
 Present analytical results in lab meetings and project discussions.
 Maintain organized code, metadata, and supplementary materials to ensure reproducibility and data sharing.
**EDUCATION**
 Required: Bachelor's Degree Biomedical Engineering, Electrical Engineering, Computer Engineering, Physics, Applied Mathematics, Statistics, Computer Science, Computational Biology, or related field.
**Work Experience**
 Required: Two years Scientific software or industry development/analysis.
 Preferred: Must have prior experience in single\-cell or spatial biology, cancer biology omics, or cancer genomics, and demonstrate proficiency in Python.
 The University of Texas MD Anderson Cancer Center offers excellent benefits , including medical, dental, paid time off , retirement , tuition benefits, educational opportunities, and individual and team recognition.
 This position may be responsible for maintaining the security and integrity of critical infrastructure, as defined in Section 113\.001(2\) of the Texas Business and Commerce Code and therefore may require routine reviews and screening. The ability to satisfy and maintain all requirements necessary to ensure the continued security and integrity of such infrastructure is a condition of hire and continued employment.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 http://www.mdanderson.org/about\-us/legal\-and\-policy/legal\-statements/eeo\-affirmative\-action.html
 Additional Information
* Requisition ID: 178822
* Employment Status: Full\-Time
* Employee Status: Regular
* Work Week: Day/Evening, Days
* Minimum Salary: US Dollar (USD) 88,000
* Midpoint Salary: US Dollar (USD) 110,000
* Maximum Salary : US Dollar (USD) 132,000
* FLSA: exempt and not eligible for overtime pay
* Fund Type: Soft
* Work Location: Onsite
* Pivotal Position: Yes
* Referral Bonus Available?: Yes
* Relocation Assistance Available?: Yes</t>
        </is>
      </c>
    </row>
    <row r="38">
      <c r="A38" t="inlineStr">
        <is>
          <t>li-4372556227</t>
        </is>
      </c>
      <c r="B38" t="inlineStr">
        <is>
          <t>Senior Business Data Scientist, Global Business Strategy and Operations</t>
        </is>
      </c>
      <c r="C38" t="inlineStr">
        <is>
          <t>Google</t>
        </is>
      </c>
      <c r="D38" t="inlineStr">
        <is>
          <t>linkedin</t>
        </is>
      </c>
      <c r="E38" t="inlineStr"/>
      <c r="F38" t="inlineStr"/>
      <c r="G38" t="inlineStr">
        <is>
          <t>Atlanta, GA</t>
        </is>
      </c>
      <c r="H38" t="inlineStr"/>
      <c r="I38" t="inlineStr">
        <is>
          <t>This role may also be located in our Playa Vista, CA campus.
 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**New York, NY, USA; Atlanta, GA, USA; Mountain View, CA, USA; Los Angeles, CA, USA; San Francisco, CA, USA; Washington D.C., DC, USA** 
 .
 **Minimum qualifications:**
* Master's degree in a quantitative discipline such as Statistics, Engineering, Sciences, or equivalent practical experience.
* 4 years of experience using analytics to solve product or business problems, coding (e.g., Python, R, SQL), querying databases or statistical analysis.
**Preferred qualifications:**
* 6 years of experience using analytics to solve product or business problems, coding (e.g., Python, R, SQL), querying databases or statistical analysis.
* Experience with ads policy, risk, or compliance.
**About The Job**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In this role, your primary mission is to help our Global Business Strategy and Operations (GBS\&amp;O) partners make the best possible decisions using data. You will own the full data science life\-cycle for ambiguous business problems from initial analysis to recommendation. You will drive value across the full data spectrum, from core BI, data pipelining, and dashboarding to advanced causal and correlational modeling. Your primary focus will be transforming our Policy, Risk, and Compliance strategy, moving beyond analysis to produce and present insights that directly influence business outcomes. You will need the agility to pivot and deliver solutions as high\-stakes business priorities evolve.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the full data science life\-cycle, applying your expertise in causal inference, predictive modeling, data infrastructure, and descriptive analytics to build frameworks that solve business problems.
* Lead analytics and strategy for the Policy, Risk, and Compliance partner team, overseeing the process from data pipeline and tool design to advanced statistical analysis and the generation of insights.
* Partner with stakeholders across StratOps and other Analytics teams to translate ambiguous, high\-priority business problems into clear, data\-driven strategies and decisions.
* Address ambiguous problems by diving into messy datasets, then use your expert toolkit (e.g., SQL, R, and Python) to find creative, scalable solutions and build automated data pipelines, BI infrastructure, and dashboards from the ground up.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9">
      <c r="A39" t="inlineStr">
        <is>
          <t>li-4372565116</t>
        </is>
      </c>
      <c r="B39" t="inlineStr">
        <is>
          <t>Data Scientist (W2 Role)</t>
        </is>
      </c>
      <c r="C39" t="inlineStr">
        <is>
          <t>Jobs via Dice</t>
        </is>
      </c>
      <c r="D39" t="inlineStr">
        <is>
          <t>linkedin</t>
        </is>
      </c>
      <c r="E39" t="inlineStr"/>
      <c r="F39" t="inlineStr"/>
      <c r="G39" t="inlineStr">
        <is>
          <t>Austin, TX</t>
        </is>
      </c>
      <c r="H39" t="inlineStr"/>
      <c r="I39" t="inlineStr">
        <is>
          <t>Dice is the leading career destination for tech experts at every stage of their careers. Our client, SoftCorp International, Inc., is seeking the following. Apply via Dice today!
 Must be work on W2 basis no C2C or Third\-Party resources are allowed.
 Role: Data Scientist
 Location: Austin, TX
* Demonstrated competency in developing production\-ready models in an Object\-Oriented Prog language such as Python.
* Demonstrated competency in using data\-access technologies such as SQL, Spark, Databricks, etc.
* Experience with Visualization tools such as Tableau, Kepler.gl, etc.
* Experience with Data Modelling techniques such as Normalization, data quality and coverage assessment, attribute analysis, performance management, etc.
* Experience building machine learning models such as Regression, supervised learning, unsupervised learning, probabilistic inference, natural language modelling, etc.
* Excellent communication skills. Able to effectively lead meetings, to document work for reproduction, to write persuasively, to communicate proof\-of\-concepts, and to effectively take notes. Experience with Geospatial data search and analysis, geo\-indexing techniques, vector and raster data structures.
* Experience with remote sensing, GIS tools, and satellite imagery analysis.
* Experience with CVML
* Experience with advanced AI techniques and tools.
* Examples of professional work such as publications, patents, a portfolio of relevant project\-work, etc.
* Familiarity with Distributed Datasets
* Experienced with a variety of data structures such as time\-series, geo\-tagged, text, structured, and unstructured.
* Additional experience with other languages such as Java, JavaScript, Scala, etc.
* Experience with simulations such as Monte Carlo simulation, Gibbs sampling, etc.
* Experience with model validation, measuring model bias, measuring model drift, etc.
* Experience collaborating with stakeholders from disciplines such as Product, Sales, Finance, etc.
* Ability to communicate complex analytical insights in a manner which is clearly understandable by nontechnical audiences.</t>
        </is>
      </c>
    </row>
    <row r="40">
      <c r="A40" t="inlineStr">
        <is>
          <t>li-4372561443</t>
        </is>
      </c>
      <c r="B40" t="inlineStr">
        <is>
          <t>Data Scientist</t>
        </is>
      </c>
      <c r="C40" t="inlineStr">
        <is>
          <t>OSI Engineering</t>
        </is>
      </c>
      <c r="D40" t="inlineStr">
        <is>
          <t>linkedin</t>
        </is>
      </c>
      <c r="E40" t="inlineStr"/>
      <c r="F40" t="inlineStr"/>
      <c r="G40" t="inlineStr">
        <is>
          <t>Cupertino, CA</t>
        </is>
      </c>
      <c r="H40" t="inlineStr"/>
      <c r="I40" t="inlineStr">
        <is>
          <t>A globally leading consumer device company headquartered in Cupertino, CA is looking for a highly skilled
 **Data Scientist \+ ML Engineer (Generative AI)** 
 to join their team. In this role, you will be responsible for developing, fine\-tuning, and applying advanced generative AI models — including diffusion models, large language models (LLMs), and other state\-of\-the\-art architectures. You will collaborate closely with cross\-functional partners in research, data engineering, and operations to deliver high\-quality machine learning solutions and scalable datasets. This position requires a balance of technical depth and creative problem\-solving. You should be comfortable working with large, complex datasets and possess a strong grasp of modern ML frameworks, distributed computing environments, and end\-to\-end data pipelines.
* **Job Responsibilities:** 
 Design and Implement LLM\-Driven Synthetic Data Pipelines: Design and build workflows using LLMs and Gen AI techniques to create high\-volume, high\-quality synthetic data for model training and testing.
* Design, implement, and deploy machine learning models with a focus on generative AI (diffusion models, LLMs, and related architectures)
* Fine\-tune, evaluate, and optimize large language models for specific downstream tasks and data needs
* Develop and maintain scalable data pipelines supporting training, evaluation, and inference workflows
* Conduct exploratory data analysis to surface insights and identify opportunities for model or data improvement
* Partner cross\-functionally with researchers, engineers, and data program managers to define requirements and deliver high\-impact ML solutions
* Build and enhance internal tools, libraries, and automation workflows to accelerate experimentation and iteration
* **Required Qualifications:** 
 Bachelor’s degree in Computer Science or related field from an accredited U.S. institution
* 2\+ years of experience in Machine Learning or Software Engineering
* Expert\-level proficiency in Python and familiarity with deep learning frameworks such as PyTorch
* Strong foundation in machine learning algorithms, data preprocessing, and evaluation techniques
* Demonstrated experience working with diffusion models, stable diffusion, or large language models (LLMs)
* Excellent analytical, problem\-solving, and debugging skills
* Strong communication and documentation skills with the ability to explain complex concepts clearly
* Ability to work independently in a fast\-paced, iterative development environment
**Type:** 
 Contract
**Duration:** 
 12 months with extension
**Work Location:** 
 Cupertino, CA (hybrid)
**Pay rate:** 
 $59\.00 \- $74\.00 per hour (DOE)</t>
        </is>
      </c>
    </row>
    <row r="41">
      <c r="A41" t="inlineStr">
        <is>
          <t>li-4372543741</t>
        </is>
      </c>
      <c r="B41" t="inlineStr">
        <is>
          <t>Senior Data Scientist</t>
        </is>
      </c>
      <c r="C41" t="inlineStr">
        <is>
          <t>Jobs via Dice</t>
        </is>
      </c>
      <c r="D41" t="inlineStr">
        <is>
          <t>linkedin</t>
        </is>
      </c>
      <c r="E41" t="inlineStr"/>
      <c r="F41" t="inlineStr"/>
      <c r="G41" t="inlineStr">
        <is>
          <t>Spring, TX</t>
        </is>
      </c>
      <c r="H41" t="inlineStr"/>
      <c r="I41" t="inlineStr">
        <is>
          <t>Dice is the leading career destination for tech experts at every stage of their careers. Our client, Nava Software Solutions, is seeking the following. Apply via Dice today!
**NAVA Software solutions is looking for a Sr Data Scientist.**
**Details:**
**Senior Data Scientist**
**Location: Spring TX \- Hybrid**
**Duration: 6\-12 months**
**Job Duties/Roles**
* Apply advanced data science concepts to deliver data\-driven digital offerings and insights using Databricks Lakehouse architecture.
* Utilize modern machine learning methods and domain understanding to support the creation of new products and services, leveraging MLflow for experiment tracking and model lifecycle management.
* Collaborate with data and analytics teams and cross\-functional departments such as digital, services, class, and engineering to build scalable ML solutions and deliver actionable insights.
* Write independent source code in Python, PySpark, and SQL, validate and test models, and use Databricks Feature Store for consistent feature reuse and governance.
* Design and implement robust data architectures using Delta Lake and manage data assets securely via Unity Catalog and Azure Data Lake.
* Combine Agile methodologies with data science practices to build advanced analytics and AI products using Databricks Workflows and Azure ML Pipelines.
* Develop, test, deploy, and maintain machine learning and AI models using Databricks Runtime for ML, ensuring scalability, performance, and governance.
* Lead the data\-driven decision\-making process, from data collection and analysis to implementation and monitoring of solutions using Databricks Jobs, CI/CD pipelines, and Azure DevOps.
* Support organizational decision\-making based on the results of analytics efforts, ensuring traceability and governance via Unity Catalog and Azure Purview.
* Work independently on data engineering, preprocessing, and preparation tasks using Databricks Notebooks, SQL Warehouses, and Azure Synapse Analytics.
* Mentor data scientists, ASPIRES, and interns, providing guidance and support in their professional development and technical growth.
* Evaluate and partner with external customers, vendors, university relations, and other teams to drive innovation and collaboration.
* Stay current in the field of AI and advanced analytics, with a focus on innovations within the Databricks, Azure, and OpenAI ecosystems, including LLMs, GenAI, and MLOps.
* Develop and deploy scalable and interpretable data products per business\-defined requirements using Databricks Repos, Model Serving, and Azure Machine Learning.
**Knowledge, Skills And Abilities Required (KSAR)**
* Strong written and verbal communication skills, with the ability to translate complex data into actionable insights.
* Experienced in working with cross\-functional teams to understand business challenges and deliver data\-driven solutions.
* Proficient in machine learning, data mining, statistical analysis, and applied AI methods using Databricks, Azure ML, and Dataiku.
* Skilled in developing scalable ML solutions and translating analytics into business impact.
* Advanced proficiency in Python, PySpark, SQL, and tools such as Jupyter, VS Code, and MLflow.
* Experience with database technologies and architectures including Delta Lake, Azure Data Lake, SQL Warehouses, and Synapse Analytics.
* Hands\-on experience with AutoML platforms such as Dataiku, and familiarity with Azure AutoML.
* Deep understanding of Azure Cloud resources, including Azure Machine Learning, Azure DevOps, Azure Cognitive Search, and Azure OpenAI.
* Familiarity with Generative AI solutions, Large Language Models, and NLP frameworks like Hugging Face Transformers.
* Ability to quickly adapt and learn new domains, technologies, and platforms.
* Proven ability to lead data\-driven projects and guide strategic decisions through analytics.
* Strong mentoring skills to support junior team members and interns.
* Demonstrated ability to solve complex problems with innovative and practical solutions.
* Entrepreneurial mindset with a focus on experimentation, scalability, and business value.
**Minimum Years Of Experience**
 2 to 3 years' work experience as a Senior Data Scientist and over 7 years' experience in Data Science, Information Systems, Computer Science, Engineering or other relevant field with relevant experience.
**Required/Preferred Education Requirements**
 Preferred \- master's degree in data science, Data Analytics, Information Systems, Computer Science, Engineering or other relevant field. Required bachelor's degree in data science, Information Systems, Computer Science, Engineering or other relevant field with relevant experience.
**Required/Preferred Professional Requirements**
* Prefer to have Career Essentials in Generative AI by Microsoft and LinkedIn
* Prefer to have Build Your Generative AI Productivity Skills with Microsoft and LinkedIn
* Prefer to have Azure AI Fundamentals
* Prefer to have Azure Data Scientist Associate
* Prefer to have Azure AI Engineer Associate</t>
        </is>
      </c>
    </row>
    <row r="42">
      <c r="A42" t="inlineStr">
        <is>
          <t>li-4364748062</t>
        </is>
      </c>
      <c r="B42" t="inlineStr">
        <is>
          <t>Jr Data Scientist - AI</t>
        </is>
      </c>
      <c r="C42" t="inlineStr">
        <is>
          <t>Spring Venture Group</t>
        </is>
      </c>
      <c r="D42" t="inlineStr">
        <is>
          <t>linkedin</t>
        </is>
      </c>
      <c r="E42">
        <f>HYPERLINK("https://www.linkedin.com/jobs/view/4364748062", "https://www.linkedin.com/jobs/view/4364748062")</f>
        <v/>
      </c>
      <c r="F42" t="inlineStr"/>
      <c r="G42" t="inlineStr">
        <is>
          <t>Kansas City, MO</t>
        </is>
      </c>
      <c r="H42" t="inlineStr"/>
      <c r="I42" t="inlineStr">
        <is>
          <t>**Company Description**
**Who We Are:**
 Spring Venture Group is a leading digital direct\-to\-consumer sales and marketing company with product offerings focused on the senior market. We specialize in distributing Medicare Supplement, Medicare Advantage, and related products via our family of brands and dedicated team of licensed insurance agents. Powered by our unique technologies that combine sophisticated marketing, comparison shopping, sales execution, and customer engagement – we help thousands of seniors across the country navigate the complex world of Medicare every day.
**Overview**
**Job Description**
 At SVG, we are a leader in driving business solutions using analytics and data. The Data Science team operates at the very heart of this culture, constantly investigating how machine learning can optimize business, automate processes, improve KPIs, and forecast trends. The Data Science team is ideal for those who like to be where business and science intersect. They collaborate with stakeholders across SVG to identify business problems, and then apply data science skills to optimize objectives and directly impact key performance indicators.
**About The Role**
 As a Junior Data Scientist on the DS team you will receive exposure to all facets of data science at SVG and be given self\-development and skills training opportunities. You will work as part of a team to solve business\-related problems using data\-driven techniques. You will help transform our data into tangible business value by performing statistical analysis, contributing to production services, and communicating the outcomes across business verticals.
* This is a hybrid role 2\-3 days a week in our dowtown office, so you must currently be in Kansas City. We are unable to sponsor for this role, so can not consider candidates with their EAD/OPT. Also, no third parties.
**Responsibilities**
* Learn about and improve existing AI and machine learning systems, or build new ones altogether.
* Train and Deploy great models, then create tangible value with them.
+ Develop lead engagement strategies that utilize model outputs.
+ Train a close rate model and apply it to customer outreach.
+ Derive actionable insights from transcripts using LLMs.
+ Test a hypothesis and utilize the data to drive the way forward.
* Run thorough A/B tests that show and validate measurable improvements.
* Conduct analyses of business topics and present actionable insights to team leadership.
* Build Tableau dashboards to investigate business questions and analyze ML systems.
* Begin writing production\-level machine learning and engineering code.
* Create automated solutions that solve operational pain\-points and reduce manual work.
* Develop understanding of and utilize our tech stack \- including MySQL, Python, AWS (esp. SageMaker), Git, FastAPI, and LangChain.
* Share ownership of production workflows, in collaboration with senior team members.
* Demonstrate consistent initiative and follow\-through.
* Work through every step of the Machine Learning Lifecycle; take a problem definition all the way through to a deployed and tracked production model.
* Build trust throughout the organization.
* Perform other duties and responsibilities as assigned.
**Qualifications**
* Bachelor’s degree in analytical or technical field, or 2\+ years of relevant work experience.
* Experience analyzing data and using it to drive decisions.
* Demonstrated problem\-solving skills.
* Passionate about mathematical and statistical applications in business.
* Strong sense of accountability and integrity with exceptional written and verbal communication skills.
* Adaptable, acting with appropriate urgency when needed.
* General understanding of SQL and relational databases.
* Fluency in at least one programming language, preferably Python.
* Familiarity with basic machine learning concepts.
* Interest in AI and LLMs for engineering and analysis tasks.
* A strong work ethic combined with self\-awareness and a commitment to continuous improvement. Demonstrated ability to receive and incorporate feedback effectively.
**Preferred**
* Graduate coursework in Data Science, Statistics, or similar.
* Experience using version control systems and performing code reviews.
* Familiarity with owning 24/7 operational systems.
* Experience in a highly\-productive work environment where ambiguity is the norm.
**Benefits**
**Additional Information**
*The Company offers the following benefits for this position, subject to applicable eligibility requirements:*
* Competitive Compensation
* Medical, Dental and vision benefits after a short waiting period
* 401(k) matching program
* Life Insurance, and Short\-term and Long\-term Disability Insurance
* Optional enrollment includes HSA/FSA, AD\&amp;D, Spousal/Dependent Life Insurance, Travel Assist and Legal Plan
* Generous paid time off (PTO) program starting off at 15 days your first year
* 15 paid Holidays (includes holiday break between Christmas and New Years)
* 10 days of Paid Parental Leave and 5 days of Paid Birth Recovery Leave
* Annual Volunteer Time Off (VTO) and a donation matching program
* Employee Assistance Program (EAP) \- health and well\-being on and off the job
* Rewards and Recognition
* Diverse, inclusive and welcoming culture
* Training program and ongoing support throughout your Venture Spring Venture Group career
**Security Responsibilities**
* Operating in alignment with policies and standards
* Reporting Security Incidents Completing assigned training
* Protecting assigned organizational assets
 Spring Venture Group is an Equal Opportunity Employer</t>
        </is>
      </c>
    </row>
    <row r="43">
      <c r="A43" t="inlineStr">
        <is>
          <t>li-4372801244</t>
        </is>
      </c>
      <c r="B43" t="inlineStr">
        <is>
          <t>Data Scientist</t>
        </is>
      </c>
      <c r="C43" t="inlineStr">
        <is>
          <t>Capgemini Engineering</t>
        </is>
      </c>
      <c r="D43" t="inlineStr">
        <is>
          <t>linkedin</t>
        </is>
      </c>
      <c r="E43">
        <f>HYPERLINK("https://www.linkedin.com/jobs/view/4372801244", "https://www.linkedin.com/jobs/view/4372801244")</f>
        <v/>
      </c>
      <c r="F43" t="inlineStr"/>
      <c r="G43" t="inlineStr"/>
      <c r="H43" t="inlineStr"/>
      <c r="I43" t="inlineStr">
        <is>
          <t>**Data Scientist** 
 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**Job Description** 
 About the Job You’re Considering
 Are you ready to shape the future of digital transformation through AI and machine learning? We’re looking for a Data Scientist who thrives on innovation and wants to make an impact at scale. In this role, you’ll lead high\-impact projects that drive personalization, automation, and smarter decision\-making across our digital products. You’ll collaborate with top\-tier professionals in a fast\-paced, inclusive environment, working with cutting\-edge technologies like Large Language Models (LLMs), Generative AI, and Knowledge Graphs. You’ll work on projects that truly matter, driving AI/ML adoption across a global organization. You’ll have the chance to innovate, learn, and grow alongside industry experts while contributing to a culture that values diversity, creativity, and continuous improvement. Hybrid in Philadelphia, PA – relocation available for the right candidate.
 Your Role
* Develop and optimize predictive and prescriptive models to extract insights and enhance decision\-making.
* Apply deep learning and neural network techniques for customer classification, segmentation, and personalization.
* Utilize MLOps to efficiently deploy, monitor, and maintain ML models in production.
* Implement and fine\-tune Large Language Models (LLMs) and Generative AI solutions for automation and user engagement.
* Explore and integrate knowledge graphs to enhance data relationships and improve AI\-driven recommendations.
* Work with data engineers to design and develop robust data pipelines for large\-scale ETL processing using SQL and cloud\-based solutions (GCP preferred).
* Write complex SQL queries for extracting, transforming, and loading (ETL) data efficiently and implement CI/CD workflows to automate model training, deployment, and monitoring.
* Collaborate in an Agile/DevOps environment, promoting a data\-centric culture and clearly communicating complex methodologies and insights to technical and non\-technical audiences.
 Your Skills and Experience
* 10\+ years of experience in Data Science, Machine Learning, or related fields.
* Strong expertise in Python, SQL, and modern ML frameworks (TensorFlow, PyTorch, Scikit\-Learn).
* Experience with MLOps tools (MLflow, Kubeflow, Airflow) for model deployment and monitoring.
* Proficiency in cloud platforms (GCP/AWS) and scalable data engineering.
* Strong understanding of probability theory, statistics, and experimental design (A/B Testing).
* Experience with collaborative software engineering practices (Agile, DevOps).
* Bachelor’s or Master’s degree in Computer Science, Mathematics, Engineering, or related field.
* Experience with Knowledge Graphs and their integration into AI/ML pipelines.
* Hands\-on experience in LLMs (e.g., GPT, BERT, LLaMA, Claude) and Generative AI technologies.
* Background in Retail and Personalization Web Technologies.
* Understanding of digital ecosystems and data\-driven decision\-making.
* Proficiency in BI tools and data visualization.
 The base compensation range for this role in the posted location is: $76,200\.\- $187,740/Year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44">
      <c r="A44" t="inlineStr">
        <is>
          <t>li-4372587248</t>
        </is>
      </c>
      <c r="B44" t="inlineStr">
        <is>
          <t>Senior Data Scientist (AI/ML/GenAI Specialist)</t>
        </is>
      </c>
      <c r="C44" t="inlineStr">
        <is>
          <t>VantageScore®</t>
        </is>
      </c>
      <c r="D44" t="inlineStr">
        <is>
          <t>linkedin</t>
        </is>
      </c>
      <c r="E44">
        <f>HYPERLINK("https://www.linkedin.com/jobs/view/4372587248", "https://www.linkedin.com/jobs/view/4372587248")</f>
        <v/>
      </c>
      <c r="F44" t="inlineStr"/>
      <c r="G44" t="inlineStr">
        <is>
          <t>Washington, DC</t>
        </is>
      </c>
      <c r="H44" t="inlineStr"/>
      <c r="I44" t="inlineStr">
        <is>
          <t>About VantageScore
**At VantageScore we drive impact for good on a massive scale impacting tens of millions of people across the United States. Our mission is to be the leading credit modeling company delivering the most predictive, most innovative, and most inclusive tri\-bureau models and attributes in the US market. Our innovation is increasing access for millions more Americans to financial products and homeownership. Our models are among, if not the most, inclusive in the United States and power billions of credits scores a year.** 
**We are fueled by a growing, exceptionally talented team and are actively seeking individuals who can join us in driving us toward our ambitious goals. At VantageScore, you’ll have the unique opportunity to work within a fast\-paced, independent start\-up culture while enjoying the financial stability that comes from being backed by the three leading US credit bureaus.** 
**VantageScore® consumer credit scoring models combine the need for both financial inclusion and dependable predictiveness across all scoring ranges. An industry thought leader and technology innovation leader, the company’s most recent models score approximately 94 percent of all adults 18 and older \- including 33 million more people than conventional models \- without sacrificing safety and soundness. As a result, lenders using VantageScore can extend credit to those who have been historically marginalized, including minority and lower\-to\-middle\-income Americans. VantageScore credit scores are used by over 3,700 banks, fintechs and other companies use VantageScore credit scores every day to assess consumer creditworthiness.** 
**Last year, over 42 billion VantageScore credit scores were used representing a 55% yearly increase. All 10 US banks use VantageScore credit scores or digital tools in one or more line of business. Starting in 2025 the FHFA has required VantageScore credit scores to be used for all mortgages sold to, or guaranteed by, Fannie Mae and Freddie Mac. Get started using VantageScore credit scores today \- we are the leader in predictive power and financial inclusion.** 
 About The Role
**We are seeking a highly motivated and innovative** 
 Senior Data Scientist (AI/ML)
  to join our brilliant team of analytics professionals and developers, supporting the cutting\-edge development of credit scoring models, generation of unique insights, and delivery of transformative technologies rooted in innovative value propositions.
 In this role, you will be essential to credit score model innovation, credit and open banking related research initiatives, pilot program analyses with lenders and fintech partners, and ongoing model monitoring and reporting processes. You’ll bring your expertise in AI/ML and GenAI/Large Language Models (LLMs) to advance our use of structured and unstructured data to deliver new products and insights.
 You’ll partner cross\-functionally to deliver scalable AI\-powered products and solutions that redefine how consumers engage with credit \- ensuring our models are accurate, explainable, and aligned with our mission to empower responsible lending and financial inclusion.
 Key Responsibilities
* Conduct advanced research on structured and unstructured data, developing insights to support product management and new product development.
* Contribute to the design, development, evaluation, and deployment of machine learning (ML) models, including credit risk and predictive models.
* Serve as the team’s expert on GenAI/LLMs, adapting and fine\-tuning models and ensuring explainability and compliance.
* Drive pilot program analyses, including back\-testing, rejection inference, and performance analyses using diverse data sets.
* Improve and maintain existing model monitoring processes and develop compelling data visualizations and dashboards to communicate key insights to stakeholders.
* Partner with engineers to operationalize models into production systems, ensuring scalability and resilience at high data and inference volumes.
* Research and apply emerging AI/ML, GenAI/LLM technologies, staying abreast of state\-of\-the\-art methods, tools, and best practices.
* Translate complex analyses into clear, actionable business recommendations for both technical and non\-technical audiences.
* Contribute to thought leadership through white papers, presentations, and insights shared internally and externally.
 Basic Qualifications
* Master’s or PhD degree in a quantitative field (e.g., Data Science, Applied Mathematics/Statistics, Computer Science, Engineering, Econometrics).
* A minimum of 5 years of professional experience in advanced analytics, AI/ML/LLM, and data science in research and/or corporate environments.
* Proficiency in Python for data science and machine learning workflows.
* Proven experience with machine learning techniques (classification, clustering, regression, neural networks) for predictive risk and credit modeling.
* Strong track record of conducting research, developing analyses, and producing clear and impactful presentations or publications.
* Experience delivering insights and solutions that drive business impact.
* Experience working in Agile and cross\-functional teams.
 Preferred Skills \&amp; Experience
* Deep expertise in GenAI \- Natural Language Processing (NLP) and Large Language Models (LLMs) \- including training, fine\-tuning, explainability, and deployment.
* Deep expertise in advanced ML techniques (self\-supervised learning, training optimization, explainability) with focus on credit scoring.
* Proficiency with modern ML/AI technology stack, such as PyTorch, AWS and related tools.
* Experience delivering innovative, scalable AI/ML solutions integrated into production platforms.
* High\-level analytical problem\-solving ability, with creativity in defining and solving ambiguous problems.
* Exceptional communication skills, able to convey technical concepts to diverse stakeholders.
* Self\-motivated with a collaborative mindset and leadership presence \- capable of challenging the status quo and championing innovation.
 Additional
* Generous Benefits: 401(K) matched up to 7%, Flexible Time Off, 12 Paid Holidays, Medical/Dental/Vision/Wellness benefits, Monthly Team Events, Modern Work/Collaboration Spaces
* Join Us and Be the Catalyst of Change in Fintech!
  Are you a Senior Data Scientist who thrives on innovation and has a deep passion for fintech? We invite you to take the leap and join our team. Together, let’s embark on a mission to redefine the industry and propel your career to new heights at VantageScore!</t>
        </is>
      </c>
    </row>
    <row r="45">
      <c r="A45" t="inlineStr">
        <is>
          <t>li-4372573381</t>
        </is>
      </c>
      <c r="B45" t="inlineStr">
        <is>
          <t>Senior Data Scientist (AI/ML/GenAI Specialist)</t>
        </is>
      </c>
      <c r="C45" t="inlineStr">
        <is>
          <t>VantageScore®</t>
        </is>
      </c>
      <c r="D45" t="inlineStr">
        <is>
          <t>linkedin</t>
        </is>
      </c>
      <c r="E45">
        <f>HYPERLINK("https://www.linkedin.com/jobs/view/4372573381", "https://www.linkedin.com/jobs/view/4372573381")</f>
        <v/>
      </c>
      <c r="F45" t="inlineStr"/>
      <c r="G45" t="inlineStr">
        <is>
          <t>Washington, DC</t>
        </is>
      </c>
      <c r="H45" t="inlineStr"/>
      <c r="I45" t="inlineStr">
        <is>
          <t>About VantageScore
 At VantageScore we drive impact for good on a massive scale impacting tens of millions of people across the United States. Our mission is to be the leading credit modeling company delivering the most predictive, most innovative, and most inclusive tri\-bureau models and attributes in the US market. Our innovation is increasing access for millions more Americans to financial products and homeownership. Our models are among, if not the most, inclusive in the United States and power billions of credits scores a year.
 We are fueled by a growing, exceptionally talented team and are actively seeking individuals who can join us in driving us toward our ambitious goals. At VantageScore, you’ll have the unique opportunity to work within a fast\-paced, independent start\-up culture while enjoying the financial stability that comes from being backed by the three leading US credit bureaus.
 VantageScore® consumer credit scoring models combine the need for both financial inclusion and dependable predictiveness across all scoring ranges. An industry thought leader and technology innovation leader, the company’s most recent models score approximately 94 percent of all adults 18 and older \- including 33 million more people than conventional models \- without sacrificing safety and soundness. As a result, lenders using VantageScore can extend credit to those who have been historically marginalized, including minority and lower\-to\-middle\-income Americans. VantageScore credit scores are used by over 3,700 banks, fintechs and other companies use VantageScore credit scores every day to assess consumer creditworthiness.
 Last year, over 42 billion VantageScore credit scores were used representing a 55% yearly increase. All 10 US banks, as well as, large credit unions and leading fin\-techs use VantageScore credit scores in one or more lines of business including credit cards, auto loans, personal loans and more. Starting in 2025 the FHFA has required VantageScore credit scores to be used for all mortgages sold to, or guaranteed by, Fannie Mae and Freddie Mac. Get started using VantageScore credit scores today \- we are the leader in predictive power and financial inclusion.
 About The Role
 We are seeking a highly motivated and innovative Senior Data Scientist (AI/ML) to join our brilliant team of analytics professionals and developers, supporting the cutting\-edge development of credit scoring models, generation of unique insights, and delivery of transformative technologies rooted in innovative value propositions.
 In this role, you will be essential to credit score model innovation, credit and open banking related research initiatives, pilot program analyses with lenders and fintech partners, and ongoing model monitoring and reporting processes. You’ll bring your expertise in AI/ML and GenAI/Large Language Models (LLMs) to advance our use of structured and unstructured data to deliver new products and insights.
 You’ll partner cross\-functionally to deliver scalable AI\-powered products and solutions that redefine how consumers engage with credit \- ensuring our models are accurate, explainable, and aligned with our mission to empower responsible lending and financial inclusion.
 Key Responsibilities
 * Conduct advanced research on structured and unstructured data, developing insights to support product management and new product development.
* Contribute to the design, development, evaluation, and deployment of machine learning (ML) models, including credit risk and predictive models.
* Serve as the team’s expert on GenAI/LLMs, adapting and fine\-tuning models and ensuring explainability and compliance.
* Drive pilot program analyses, including back\-testing, rejection inference, and performance analyses using diverse data sets.
* Improve and maintain existing model monitoring processes and develop compelling data visualizations and dashboards to communicate key insights to stakeholders.
* Partner with engineers to operationalize models into production systems, ensuring scalability and resilience at high data and inference volumes.
* Research and apply emerging AI/ML, GenAI/LLM technologies, staying abreast of state\-of\-the\-art methods, tools, and best practices.
* Translate complex analyses into clear, actionable business recommendations for both technical and non\-technical audiences.
* Contribute to thought leadership through white papers, presentations, and insights shared internally and externally.
 Basic Qualifications
 * Master’s or PhD degree in a quantitative field (e.g., Data Science, Applied Mathematics/Statistics, Computer Science, Engineering, Econometrics).
* A minimum of 3 years of professional experience in advanced analytics, AI/ML/LLM, and data science in research and/or corporate environments.
* Proficiency in Python for data science and machine learning workflows.
* Proven experience with machine learning techniques (classification, clustering, regression, neural networks) for predictive risk and credit modeling.
* Strong track record of conducting research, developing analyses, and producing clear and impactful presentations or publications.
* Experience delivering insights and solutions that drive business impact.
* Experience working in Agile and cross\-functional teams.
 Preferred Skills \&amp; Experience
 * Deep expertise in GenAI \- Natural Language Processing (NLP) and Large Language Models (LLMs) \- including training, fine\-tuning, explainability, and deployment.
* Deep expertise in advanced ML techniques (self\-supervised learning, training optimization, explainability) with focus on credit scoring.
* Proficiency with modern ML/AI technology stack, such as PyTorch, AWS and related tools.
* Experience delivering innovative, scalable AI/ML solutions integrated into production platforms.
* High\-level analytical problem\-solving ability, with creativity in defining and solving ambiguous problems.
* Exceptional communication skills, able to convey technical concepts to diverse stakeholders.
* Self\-motivated with a collaborative mindset and leadership presence \- capable of challenging the status quo and championing innovation.
 Additional \-
 * Generous Benefits: 401(K) matched up to 7%, Flexible Time Off, 12 Paid Holidays, Medical/Dental/Vision/Wellness benefits, Monthly Team Events, Modern Work/Collaboration Spaces
 Join Us and Be the Catalyst of Change in Fintech! Are you a Senior Data Scientist who thrives on innovation and has a deep passion for fintech? We invite you to take the leap and join our team. Together, let’s embark on a mission to redefine the industry and propel your career to new heights at VantageScore!</t>
        </is>
      </c>
    </row>
    <row r="46">
      <c r="A46" t="inlineStr">
        <is>
          <t>li-4372568445</t>
        </is>
      </c>
      <c r="B46" t="inlineStr">
        <is>
          <t>Data Scientist</t>
        </is>
      </c>
      <c r="C46" t="inlineStr">
        <is>
          <t>Buyers Edge Platform</t>
        </is>
      </c>
      <c r="D46" t="inlineStr">
        <is>
          <t>linkedin</t>
        </is>
      </c>
      <c r="E46">
        <f>HYPERLINK("https://www.linkedin.com/jobs/view/4372568445", "https://www.linkedin.com/jobs/view/4372568445")</f>
        <v/>
      </c>
      <c r="F46" t="inlineStr"/>
      <c r="G46" t="inlineStr"/>
      <c r="H46" t="inlineStr"/>
      <c r="I46" t="inlineStr">
        <is>
          <t>We are seeking a Data Scientist – Business Intelligence to join our growing BI organization. In this role, you will help power predictive intelligence across the company through the development of statistical and machine learning models. You will collaborate with BI analysts, data engineers, and business stakeholders to transform raw data into actionable insights that help strengthen data\-informed decision making. The ideal candidate is a hands\-on modeler who thrives in a fast\-paced, collaborative environment and is passionate about transforming business questions into data\-driven solutions.
**Who we are:**
 Buyers Edge Platform stands at the forefront of revolutionizing the food service industry through technology, purchasing power and partnerships. We are dedicated to empowering stakeholders across the entire food service ecosystem (operators, distributors, manufacturers) with efficiency and unprecedented visibility. With a diverse portfolio of over a dozen brands, our mission is clear: to reduce costs, streamline the foodservice supply chain, and propel the industry from manual to automated.
 Today, we are one of the largest players in food service, with over 200K operator locations across North America and over $50 billion of aggregated spend volume. Our commitment to food service excellence is proven in four distinct areas of value: Digital Procurement Network, Fresh Solutions, Supply Chain Management, and Software. Buyers Edge Platform is not just a provider – we are a strategic partner on the journey towards a more efficient, connected, and automated future for the foodservice industry.
***This position is remotely based. We are unable to offer work sponsorship for this role.***
**Your impact:** 
* Strategic Problem Solving
+ Complete exploratory data analysis and hypothesis testing to uncover patterns, trends, and opportunities.
+ Translate ambiguous business problems into clearly defined modeling challenges with measurable outcomes.
* Model Development \&amp; Deployment
+ Design, build, and validate statistical, predictive, and machine learning models to drive business insights and automation.
+ Collaborate with relevant stakeholders to identify high\-impact opportunities for modeling.
+ Collaborate with engineering teams to productionize models and integrate them into business workflows and dashboards.
* Innovation \&amp; Best Practices
+ Promote rigorous methodology, model interpretability, and transparent communication of findings.
+ Stay current with industry trends and emerging techniques in machine learning, forecasting, and AI.
**About you:**
* Education in Statistics, Computer Science, Mathematics, or a related field.
* 2\-3 years of experience in data science, analytics, or applied statistics.
* Experience with analytics and modeling of large\-scale datasets.
* (Preferred) Experience with MLOps, model evaluation and monitoring, or deploying models in production environments is a plus.
* (Preferred) Experience in foodservice, distribution, or supply chain domains is a plus.
* (Preferred) Familiarity with Tableau is a plus.
* Understanding of statistical modeling, time series forecasting, and/or supervised learning techniques.
* Ability to identify and evaluate hypothesis in data analysis and modeling.
* Strong proficiency in Python (e.g. pandas, scikit\-learn, statsmodels) and SQL for analysis, model building, and data visualization.
* Ability to communicate insights to technical and non\-technical stakeholders.
 Not sure you meet every qualification? Studies show that diverse applicants often hesitate to apply unless they check every box. At Buyers Edge Platform, we value authenticity and inclusion—if you're excited about the role, we encourage you to apply. You might be exactly who we’re looking for!
**What's in this for you:**
* Great benefits from day one. We offer medical, dental, vision, FSA, company\-paid life insurance, and more—plus a 401(k) with company match.
* Grow with us. Enjoy strong training, development, and competitive pay.
* Work\-life balance. Our flexible PTO policy lets you take time when you need it—no accrual required.
 We welcome all.
 We are committed to creating a diverse environment and are proud to be an equal opportunity employer. All qualified applicants will receive consideration for employment without regard to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t>
        </is>
      </c>
    </row>
    <row r="47">
      <c r="A47" t="inlineStr">
        <is>
          <t>li-4372573952</t>
        </is>
      </c>
      <c r="B47" t="inlineStr">
        <is>
          <t>Data Scientist</t>
        </is>
      </c>
      <c r="C47" t="inlineStr">
        <is>
          <t>Pacer Group</t>
        </is>
      </c>
      <c r="D47" t="inlineStr">
        <is>
          <t>linkedin</t>
        </is>
      </c>
      <c r="E47">
        <f>HYPERLINK("https://www.linkedin.com/jobs/view/4372573952", "https://www.linkedin.com/jobs/view/4372573952")</f>
        <v/>
      </c>
      <c r="F47" t="inlineStr"/>
      <c r="G47" t="inlineStr">
        <is>
          <t>Houston, TX</t>
        </is>
      </c>
      <c r="H47" t="inlineStr"/>
      <c r="I47" t="inlineStr">
        <is>
          <t>Data Scientist experience
 Proficient in Python (NumPy, Pandas, SciPy), PyTorch/TensorFlow/JAX, and high\-performance computing (multi\-GPU, distributed training).
 Large\-scale data engineering, signal processing, and mathematical foundations including optimization, statistics, and numerical methods.</t>
        </is>
      </c>
    </row>
    <row r="48">
      <c r="A48" t="inlineStr">
        <is>
          <t>li-4372567783</t>
        </is>
      </c>
      <c r="B48" t="inlineStr">
        <is>
          <t>Data Scientist</t>
        </is>
      </c>
      <c r="C48" t="inlineStr">
        <is>
          <t>HirePower</t>
        </is>
      </c>
      <c r="D48" t="inlineStr">
        <is>
          <t>linkedin</t>
        </is>
      </c>
      <c r="E48">
        <f>HYPERLINK("https://www.linkedin.com/jobs/view/4372567783", "https://www.linkedin.com/jobs/view/4372567783")</f>
        <v/>
      </c>
      <c r="F48" t="inlineStr"/>
      <c r="G48" t="inlineStr">
        <is>
          <t>Houston, TX</t>
        </is>
      </c>
      <c r="H48" t="inlineStr"/>
      <c r="I48" t="inlineStr">
        <is>
          <t>Job Summary
 Our client is looking for a Data Scientist to design, train, and deploy large\-scale foundation models for time series, sensor, and multimodal data. This role focuses on self\-supervised learning, sequence modeling, and production\-grade ML systems that deliver measurable business impact.
**Key Responsibilities** 
* Design and train large\-scale
 **self\-supervised and semi\-supervised** 
 models for time series and sensor data
* Implement techniques such as
 **masked modeling, contrastive learning, temporal predictive coding, and multimodal alignment**
* Develop
 **transfer learning and fine\-tuning** 
 strategies (adapters, domain adaptation, few\-shot)
* Engineer features for
 **univariate and multivariate time series** 
 across industrial, IoT, financial, or medical domains
* Apply advanced
 **signal processing** 
 (Fourier/wavelets, Kalman, Savitzky–Golay, time\-frequency methods)
* Build and optimize
 **sequence models** 
 (RNN, LSTM/GRU, TCN),
 **CNNs** 
 ,
 **Transformers** 
 ,
 **GNNs** 
 , and
 **generative/diffusion models**
* Design
 **multimodal fusion** 
 architectures for heterogeneous data
* Develop scalable
 **Python ML pipelines** 
 (NumPy, SciPy, Pandas)
* Train models using
 **PyTorch, TensorFlow/Keras, or JAX** 
 with distributed/multi\-GPU strategies
* Optimize performance with
 **C\+\+/CUDA** 
 when needed
* Define and track model metrics (MSE, F1, AUC, DTW, IoU, business KPIs)
* Partner cross\-functionally and communicate model insights, interpretability, and uncertainty
**Required Qualifications** 
* 3\+ years of experience in
 **machine learning / AI / applied data science**
* Strong expertise in
 **time series and multimodal ML**
* Experience with
 **distributed model training at scale**
* Proven ability to transition
 **research → production systems**
* Strong foundation in
 **statistics, optimization, and numerical methods**
* Experience building
 **foundation models** 
 in industrial, scientific, or medical domains
* Background in
 **advanced signal processing or physics\-informed ML**
* Open\-source contributions or peer\-reviewed publications
* Experience with multi\-sensor data (vibration, audio, vision, etc.)
 Education
* MS or PhD in Computer Science, Data Science, AI, or related field
 HirePower Personnel, Inc. is an Equal Opportunity Employer. Employment decisions are made without regard to race, color, religion, national or ethnic origin, sex, sexual orientation, gender identity or expression, disability, protected veteran status, or other characteristics protected by law.
**JOB\-10045934**</t>
        </is>
      </c>
    </row>
    <row r="49">
      <c r="A49" t="inlineStr">
        <is>
          <t>li-4372579143</t>
        </is>
      </c>
      <c r="B49" t="inlineStr">
        <is>
          <t>Data Scientist I</t>
        </is>
      </c>
      <c r="C49" t="inlineStr">
        <is>
          <t>RemoteHunter</t>
        </is>
      </c>
      <c r="D49" t="inlineStr">
        <is>
          <t>linkedin</t>
        </is>
      </c>
      <c r="E49">
        <f>HYPERLINK("https://www.linkedin.com/jobs/view/4372579143", "https://www.linkedin.com/jobs/view/4372579143")</f>
        <v/>
      </c>
      <c r="F49">
        <f>HYPERLINK("https://www.remotehunter.com/apply-with-ai/00f2ddf3-12c5-4915-904b-c17d2e0f0733?utm_medium=job_posting&amp;utm_source=linkedin&amp;utm_campaign=data_scientist_remote&amp;utm_category=data_scientist&amp;utm_term=data_scientist_i&amp;urlHash=kqBr", "https://www.remotehunter.com/apply-with-ai/00f2ddf3-12c5-4915-904b-c17d2e0f0733?utm_medium=job_posting&amp;utm_source=linkedin&amp;utm_campaign=data_scientist_remote&amp;utm_category=data_scientist&amp;utm_term=data_scientist_i&amp;urlHash=kqBr")</f>
        <v/>
      </c>
      <c r="G49" t="inlineStr"/>
      <c r="H49" t="inlineStr"/>
      <c r="I49" t="inlineStr">
        <is>
          <t>About the Opportunity:
 This role involves developing predictive models and algorithms to automate critical business functions. The focus is on exploring and analyzing data from multiple sources to gain insights that provide a competitive advantage.
 Responsibilities:
 • Develop, implement, and validate predictive and statistical models
 • Analyze data from various sources to extract meaningful insights
 • Manage the full modeling life cycle, including data cleansing, feature creation, and iterative model selection
 • Apply statistics, modeling, and machine learning to enhance system efficiency and algorithm relevance
 • Participate in Agile ceremonies such as daily scrum, refinement, sprint planning, and retrospectives
 • Recommend process improvements
 • Follow safety guidelines and participate in pre\-task planning
 • Report safety concerns to management
 • Maintain quality standards across projects
 Requirements:
 • Bachelor’s degree in statistics, mathematics, economics, computer science, or related technical discipline plus 3 years of relevant experience, or 7 years of related experience without a degree
 • Experience with statistics, machine learning, algorithm development, predictive modeling, and advanced mathematics
 • Proficiency in programming languages
 • Valid driver’s license with acceptable violation history
 Benefits \&amp; Perks:
 • Medical, dental, and vision insurance
 • Life insurance
 • 401(k) plan
 • Paid time off and holidays
 • Education reimbursement
 • Various bonus programs
 Employment Type:
 Regular, Full Time
 Exempt
 Service Line:
 Office Management/Administration
 Location:
 Olathe, KS (Remote Only)
 Job Category:
 IT
 Job Expires:
 28\-Jan\-2026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0">
      <c r="A50" t="inlineStr">
        <is>
          <t>li-4372572658</t>
        </is>
      </c>
      <c r="B50" t="inlineStr">
        <is>
          <t>Senior Data Scientist (Credit File Expert)</t>
        </is>
      </c>
      <c r="C50" t="inlineStr">
        <is>
          <t>VantageScore®</t>
        </is>
      </c>
      <c r="D50" t="inlineStr">
        <is>
          <t>linkedin</t>
        </is>
      </c>
      <c r="E50">
        <f>HYPERLINK("https://www.linkedin.com/jobs/view/4372572658", "https://www.linkedin.com/jobs/view/4372572658")</f>
        <v/>
      </c>
      <c r="F50" t="inlineStr"/>
      <c r="G50" t="inlineStr">
        <is>
          <t>Washington, DC</t>
        </is>
      </c>
      <c r="H50" t="inlineStr"/>
      <c r="I50" t="inlineStr">
        <is>
          <t>About VantageScore
**At VantageScore we drive impact for good on a massive scale impacting tens of millions of people across the United States. Our mission is to be the leading credit modeling company delivering the most predictive, most innovative, and most inclusive tri\-bureau models and attributes in the US market. Our innovation is increasing access for millions more Americans to financial products and homeownership. Our models are among, if not the most, inclusive in the United States and power billions of credits scores a year.** 
**We are fueled by a growing, exceptionally talented team and are actively seeking individuals who can join us in driving us toward our ambitious goals. At VantageScore, you’ll have the unique opportunity to work within a fast\-paced, independent start\-up culture while enjoying the financial stability that comes from being backed by the three leading US credit bureaus.** 
**VantageScore® consumer credit scoring models combine the need for both financial inclusion and dependable predictiveness across all scoring ranges. An industry thought leader and technology innovation leader, the company’s most recent models score approximately 94 percent of all adults 18 and older \- including 33 million more people than conventional models \- without sacrificing safety and soundness. As a result, lenders using VantageScore can extend credit to those who have been historically marginalized, including minority and lower\-to\-middle\-income Americans. VantageScore credit scores are used by over 3,700 banks, fintechs and other companies use VantageScore credit scores every day to assess consumer creditworthiness.** 
**Last year, over 42 billion VantageScore credit scores were used representing a 55% yearly increase. All 10 US banks use VantageScore credit scores or digital tools in one or more line of business. Starting in 2025 the FHFA has required VantageScore credit scores to be used for all mortgages sold to, or guaranteed by, Fannie Mae and Freddie Mac. Get started using VantageScore credit scores today \- we are the leader in predictive power and financial inclusion.** 
 About The Role
**We are seeking a highly motivated** 
 Senior Data Scientist (Credit File Expert)
  to join our team of analytics professionals and developers dedicated to advancing the science of credit scoring, uncovering unique insights, and creating next\-generation products grounded in innovative value propositions. This role is ideal for an accomplished data science and statistics practitioner who also possesses deep expertise in U.S. credit bureau data reporting and structure \- specifically at Equifax, Experian, and TransUnion.
 You will play a critical role in supporting our research initiatives and enhancing our ongoing product initiatives. Success in this role requires not only strong analytical and technical capabilities but also a deep understanding of credit bureau file formats, reporting practices, and nuances across the three major credit bureaus.
 Key Responsibilities
* Provide research support by analyzing structured and unstructured data sets to generate actionable insights, guide product management, and inform new product development.
* Conduct comprehensive consumer profiling analyses leveraging credit file data alongside alternative data sources.
* Interpret and document bureau file specifications and schemas, staying current with changes and bureau\-specific nuances, coding schemes, and reporting idiosyncrasies.
* Conduct advanced exploratory data analyses to uncover insights and trends in consumer credit behavior.
* Drive pilot program analyses, including back\-testing, rejection inference, and performance analyses using diverse data sets.
* Improve and maintain existing model monitoring processes and develop compelling data visualizations and dashboards to communicate key insights to stakeholders.
* Partner with engineers to operationalize products into production systems, ensuring scalability and resilience at high data and inference volumes.
* Translate complex analyses into clear, actionable business recommendations for both technical and non\-technical audiences.
* Contribute to thought leadership through white papers, presentations, and insights shared internally and externally.
 Basic Qualifications
* Master’s or PhD Degree in a quantitative background (data science, applied mathematics or statistics, computer science, engineering, econometrics or another related field).
* At least 3 years of direct experience manipulating and analyzing credit bureau data and applying advanced analytics (statistics, machine learning) in research and/or corporate environment.
* Demonstrated proficiency in credit bureau file reporting standards and data conventions at Equifax, Experian, and TransUnion, with an ability to identify, interpret, and reconcile differences across bureaus.
* Strong foundation in data science, statistics, and advanced analytics, with the ability to design rigorous analyses and clearly communicate results.
* Proven ability to bridge technical analytics expertise with domain knowledge of credit data to deliver insights and develop impactful solutions.
* Strong track record of conducting research, developing analyses, and producing clear and impactful presentations or publications.
* Advanced programming skills in Python and working experience with SAS.
* Experience working in Agile and cross\-functional teams.
 Additional
* Generous Benefits: 401(K) matched up to 7%, Flexible Time Off, 12 Paid Holidays, Medical/Dental/Vision/Wellness benefits, Monthly Team Events, Modern Work/Collaboration Spaces
* Join Us and Be the Catalyst of Change in Fintech!
  Are you a Data Scientist who thrives on innovation and has a deep passion for fintech? We invite you to take the leap and join our team. Together, let’s embark on a mission to redefine the industry and propel your career to new heights at VantageScore!</t>
        </is>
      </c>
    </row>
    <row r="51">
      <c r="A51" t="inlineStr">
        <is>
          <t>li-4373829637</t>
        </is>
      </c>
      <c r="B51" t="inlineStr">
        <is>
          <t>Data Scientist</t>
        </is>
      </c>
      <c r="C51" t="inlineStr">
        <is>
          <t>Westat</t>
        </is>
      </c>
      <c r="D51" t="inlineStr">
        <is>
          <t>linkedin</t>
        </is>
      </c>
      <c r="E51">
        <f>HYPERLINK("https://www.linkedin.com/jobs/view/4373829637", "https://www.linkedin.com/jobs/view/4373829637")</f>
        <v/>
      </c>
      <c r="F51">
        <f>HYPERLINK("https://sjobs.brassring.com/TGnewUI/Search/home/HomeWithPreLoad?PageType=JobDetails&amp;partnerid=82&amp;siteid=5197&amp;jobId=935499&amp;urlHash=PqyW", "https://sjobs.brassring.com/TGnewUI/Search/home/HomeWithPreLoad?PageType=JobDetails&amp;partnerid=82&amp;siteid=5197&amp;jobId=935499&amp;urlHash=PqyW")</f>
        <v/>
      </c>
      <c r="G51" t="inlineStr">
        <is>
          <t>Atlanta, GA</t>
        </is>
      </c>
      <c r="H51" t="inlineStr"/>
      <c r="I51" t="inlineStr">
        <is>
          <t>**Job Description**
 Westat is a leader in research, data collection and analysis, technical assistance, evaluation, and communications. Our evidence\-based findings help clients in government and the private sector accelerate advancements in health, education, transportation, and social and economic policy. Our dedication to improving lives through research and our approach to projects grounded in investigative curiosity, statistical and data rigor, adaptive methods, and advanced technology are why clients find exceptional value in our work.
**Job Summary**
 Westat is seeking a Data Scientist to join our Statistics and Data Science team. The position involves programing in R, Python, and SQL; applying data science and artificial intelligence (AI) methods (e.g., natural language processing, machine learning, and large language models) to structured and unstructured data; data analytics, data visualization, and dashboard development with minimal oversight and supervision.
 This role is based in our Atlanta office and will be eligible for a hybrid work arrangement requiring 1\-2 days onsite each week.
**Job Responsibilities**
* Develop and test R and Python to collect, process, link, and analyze data in various formats.
* Develop SQL code to query, process, and manage large data files in databases.
* Apply supervised and unsupervised machine learning frameworks to data collected from a variety of sources.
* Use natural language processing methods and large language models to clean, parse, link, summarize and analyze large and unstructured data.
* Collect/acquire data from a variety of sources including websites using Application Programming Interface (API) and web\-scraping.
* Develop data visualizations and dashboards using open\-source libraries in R and Python and proprietary software such as Tableau and PowerBI.
* Develop and maintain code documentation using Git, implement coding standards, and apply best practices.
* Present to internal and external clients.
* Engage in thought leadership via publications and conference presentations.
**Basic Qualifications**
* Ability to obtain a Public Trust clearance, requiring consistent U.S. residency for the majority of the last five years.
* A bachelor’s degree in data science, statistics, computer science, mathematics or other related quantitative field..
* 3\-5 years of experience in data science or related projects.
* Proficiency in R, Python, SQL, and demonstrated experience in data visualization tools (e.g., Tableau and PowerBI).
* Demonstrated experience developing machine learning and natural language processing methods.
* Developed, queried, and managed large data files in databases.
* Proven experience using Git as version control system.
**Preferred Qualifications**
* Current or recent Public Trust Clearance is preferred.
* Master’s degree in data science, statistics, computer science, mathematics or other related quantitative field preferred.
* Experience working in a professional services research environment.
* Knowledge of industry best practices and emerging technologies.
* Strong problem\-solving abilities and experience in developing actionable insights from complex data.
* Excellent oral and written communication skills for presenting technical concepts to non\-technical stakeholders.
* Strong organizational skills, including time management, and the ability to handle multiple tasks simultaneously, and work both independently and in a team environment.
**Requirements**
 Westat offers a well\-rounded and comprehensive benefits program focused on wellness and work/life balance. Subject to plan requirements, employees may participate in:
* Employee Stock Ownership Plan
* 401(k) Retirement Plan
* Paid Parental Leave
* Vacation Leave (15 days per year)
* Sick Leave (9 days per year)
* Holiday Leave (7 Government Holidays and 2 Floating Holidays)
* Professional Development
* Health Advocate
* Employee Assistance Program
* Travel Accident Insurance
* Medical Insurance
* Dental Insurance
* Vision Insurance
* Short Term Disability Insurance
* Long Term Disability Insurance
* Life and AD\&amp;D Insurance
* Critical Illness Insurance
* Supplemental Life Insurance
* Flexible Spending Account
* Health Savings Account
 Any offer of employment may be contingent upon receipt of acceptable results from a post\-offer background screening, if required for the specific position, which may include, for example, identity verification, employment history, motor vehicle driving record history, and criminal or sexual offender records history. Any background screening results will be evaluated through an individualized assessment based on the individual’s specific record and the duties and requirements of the position.
 This opportunity will be posted for a minimum of 5 days and applications will be accepted on an ongoing basis.
 Westat is an Equal Opportunity Employer and does not discriminate on the basis of race, creed, color, religion, sex, national origin, age, veteran status, disability, marital status, sexual orientation, citizenship status, genetic information, or any other protected status under applicable law. It is unlawful in Massachusetts to require or administer a lie detector test as a condition of employment or continued employment. An employer who violates this law shall be subject to criminal penalties and civil liability.
**Career Area**
 Research \- Statistics
**Pay Range**
 The anticipated salary range for this role is between $75,000 \- $82,000 and will commensurate with experience.
**Bonus Eligibility**
 No</t>
        </is>
      </c>
    </row>
    <row r="52">
      <c r="A52" t="inlineStr">
        <is>
          <t>li-4372803275</t>
        </is>
      </c>
      <c r="B52" t="inlineStr">
        <is>
          <t>Data Scientist, Early Career</t>
        </is>
      </c>
      <c r="C52" t="inlineStr">
        <is>
          <t>Jobright.ai</t>
        </is>
      </c>
      <c r="D52" t="inlineStr">
        <is>
          <t>linkedin</t>
        </is>
      </c>
      <c r="E52">
        <f>HYPERLINK("https://www.linkedin.com/jobs/view/4372803275", "https://www.linkedin.com/jobs/view/4372803275")</f>
        <v/>
      </c>
      <c r="F52" t="inlineStr"/>
      <c r="G52" t="inlineStr"/>
      <c r="H52" t="inlineStr"/>
      <c r="I52"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Develop and deploy predictive models and machine learning algorithms that power the core logic of our production AI agents
* Experiment with and optimize Large Language Model (LLM) prompts, fine\-tuning techniques, and RAG pipelines to improve agent performance and reliability
* Perform deep\-dive statistical analysis on user interaction data to identify patterns that drive product improvements and feature innovation
* Monitor model performance and provide technical support during critical product iteration cycles
**Qualification** 
 Required
* Recent graduate or entry\-level professional (0–2 years of experience) with a degree in Data Science, Computer Science, Statistics, or a related quantitative field
* Strong programming skills in Python and proficiency with machine learning libraries such as PyTorch, TensorFlow, or Scikit\-learn
* Practical understanding of LLM architectures, prompt engineering, and the evaluation of generative AI outputs
* Excellent communication skills with the ability to articulate technical methodology and complex modeling results to the broader team
* Must live in and be authorized to work in the United States
 Preferred
* Previous internship or research experience focused on Natural Language Processing (NLP), autonomous agents, or recommendation systems
* Experience building and maintaining data pipelines and working with cloud infrastructure (AWS/GCP/Azure)
* Strong technical foundation in SQL and database management for efficient data extraction and feature engineering</t>
        </is>
      </c>
    </row>
    <row r="53">
      <c r="A53" t="inlineStr">
        <is>
          <t>li-4364747891</t>
        </is>
      </c>
      <c r="B53" t="inlineStr">
        <is>
          <t>Senior Data Scientist</t>
        </is>
      </c>
      <c r="C53" t="inlineStr">
        <is>
          <t>LMRE</t>
        </is>
      </c>
      <c r="D53" t="inlineStr">
        <is>
          <t>linkedin</t>
        </is>
      </c>
      <c r="E53">
        <f>HYPERLINK("https://www.linkedin.com/jobs/view/4364747891", "https://www.linkedin.com/jobs/view/4364747891")</f>
        <v/>
      </c>
      <c r="F53" t="inlineStr"/>
      <c r="G53" t="inlineStr">
        <is>
          <t>New York, United States</t>
        </is>
      </c>
      <c r="H53" t="inlineStr"/>
      <c r="I53" t="inlineStr">
        <is>
          <t>**Senior / Lead Data Scientist \- Risk \&amp; Decisioning** 
 Well\-funded, high\-growth Proptech / Insurtech startup
 The company is building a rent/security guarantee platform and need a someone to develop and maintain the core decisioning models behind renter approval and pricing.
 This is a senior IC role focused on building the predictive systems that power underwriting decisions. You will design, deploy, and continuously improve the core model determining approvals and expected losses, working closely with leadership.
**Responsibilities** 
* Build and iterate a production decisioning model predicting renter default risk
* Develop features from alternative and behavioural data beyond traditional credit
* Translate model outputs into approval and pricing logic
* Evaluate performance against approval rate, revenue, and loss ratio targets
* Build monitoring, validation, and cohort performance reporting
* Identify drift and emerging risk patterns and recalibrate models
* Provide analytical insight for insurer and partner performance discussions
**Requirements** 
* Experience as a Data Scientist working on real\-world decision systems (risk, fraud, lending, pricing, insurance, marketplaces)
* Track record deploying and maintaining models in production
* Strong feature engineering and experimentation mindset
* Interest in applied risk modelling and financial outcomes
* High ownership and comfortable in an early\-stage environment
**First months** 
* Understand current datasets and decisioning logic
* Implement performance monitoring and loss tracking
* Build and test the next generation underwriting model
 Preference for NYC based but open to remove with travel to NY</t>
        </is>
      </c>
    </row>
    <row r="54">
      <c r="A54" t="inlineStr">
        <is>
          <t>li-4373838206</t>
        </is>
      </c>
      <c r="B54" t="inlineStr">
        <is>
          <t>Data Scientist</t>
        </is>
      </c>
      <c r="C54" t="inlineStr">
        <is>
          <t>TekWissen ®</t>
        </is>
      </c>
      <c r="D54" t="inlineStr">
        <is>
          <t>linkedin</t>
        </is>
      </c>
      <c r="E54">
        <f>HYPERLINK("https://www.linkedin.com/jobs/view/4373838206", "https://www.linkedin.com/jobs/view/4373838206")</f>
        <v/>
      </c>
      <c r="F54" t="inlineStr"/>
      <c r="G54" t="inlineStr">
        <is>
          <t>Houston, TX</t>
        </is>
      </c>
      <c r="H54" t="inlineStr"/>
      <c r="I54" t="inlineStr">
        <is>
          <t>**Job Title: Data Scientist** 
**Duration: Full Time** 
**Work Location: Houston, TX 77077** 
**Job Type: Full Time** 
**Work Type: Hybrid** 
**Pay: $130000\.00 \- $210000\.00/ Yearly** 
**Overview** 
 TekWissen is a global workforce management provider headquartered in Ann Arbor, Michigan that offers strategic talent solutions to our clients world\-wide. Our client Limited is an oilfield services company and has more than 140 nationalities working in more than 120 countries. This Client has four principal executive offices located in Paris, Houston, London, and The Hague. This Client is the world’s largest offshore drilling company.
**Job Description** 
* Build, train, and deploy large\-scale, self\-supervised "foundation" models that learn rich representations of time series, sequential sensor data in addition to textual and vision data, to be fine\-tuned for tasks such as anomaly/event detection, predictive maintenance, forecasting, classification, or multi\-modal sensor fusion for industrial and scientific applications.
**Data/Signal Processing** 
* Time Series \&amp; Sequential Data: processing, augmentation, feature engineering for financial, industrial, IoT, medical, or other sensor streams (univariate/multivariate time series).
* Sensor Data Analysis: expertise with diverse sensor modalities (e.g., accelerometers, temperature, vibration, audio, images), sampling rates, synchronization, and real\-world noise/artifact handling.
* Multi\-Modality Learning: integrating heterogeneous data types (time series, images, text, audio, structured) into robust deep learning architectures; cross\-modal representation learning.
**Machine Learning \&amp; Foundation Model Expertise** 
* Self\-supervised and Semi\-supervised Learning: time series foundation models, masked modeling, contrastive methods, temporal predictive coding, multimodal alignment and fusion.
* Model Architectures: sequence models (RNNs, GRU/LSTM, TCN), 1D/2D/3D CNNs, Transformers (BERT, ViT, TimeSFormer), graph neural networks, diffusion/generative models, multi\-modal/fusion encoders.
* Transfer Learning \&amp; Fine\-Tuning at Scale: prompt/adapter\-based strategies, temporal domain adaptation, few\-shot learning for specialized tasks.
* Evaluation Metrics: regression/classification (MSE, F1, AUC), time series similarity (DTW, correlation), event detection/segmentation (IoU, accuracy), business/end\-user KPIs.
**Software \&amp; Infrastructure** 
* Programming: expert Python (NumPy, SciPy, Pandas), C\+\+/CUDA for custom kernels and high\-performance preprocessing.
* Deep Learning Frameworks: PyTorch (Lightning, Distributed), TensorFlow/Keras, JAX/Flax.
* Large\-scale Training: multi\-GPU, multi\-node clusters, mixed\-precision, ZeRO optimization, scalable data loaders for long sequences.
* Data Engineering: robust pipelines for ingesting, cleaning, segmenting, and aligning large\-scale, time\-synchronized multi\-sensor datasets.
**Mathematical \&amp; Algorithmic Foundations** 
* Linear Algebra, Probability \&amp; Statistics, Optimization (stochastic, convex/non\-convex, Bayesian).
* Signal Processing: Fourier/wavelet analysis, filters (Kalman, Savitzky–Golay), resampling, noise modeling.
* Numerical Methods: ODE/PDE solvers, inverse problems, regularization, time\-frequency methods for complex systems.
**Collaboration \&amp; Communication** 
* Cross\-disciplinary teamwork with domain experts, engineers, product owners, and end\-users from industrial, scientific, or medical backgrounds.
* Clear presentation of complex model behaviors (interpretability, attention analysis), uncertainty quantification, and value impact.
* MS / Ph.D. in computer science, data science and AI or related fields
* 3\+ years of relevant experience in data science and AI or related fields.
**TekWissen® Group is an equal opportuity employer supporting workforce diversity.**</t>
        </is>
      </c>
    </row>
    <row r="55">
      <c r="A55" t="inlineStr">
        <is>
          <t>li-4373809321</t>
        </is>
      </c>
      <c r="B55" t="inlineStr">
        <is>
          <t>Data Scientist</t>
        </is>
      </c>
      <c r="C55" t="inlineStr">
        <is>
          <t>Wiraa</t>
        </is>
      </c>
      <c r="D55" t="inlineStr">
        <is>
          <t>linkedin</t>
        </is>
      </c>
      <c r="E55">
        <f>HYPERLINK("https://www.linkedin.com/jobs/view/4373809321", "https://www.linkedin.com/jobs/view/4373809321")</f>
        <v/>
      </c>
      <c r="F55" t="inlineStr"/>
      <c r="G55" t="inlineStr"/>
      <c r="H55" t="inlineStr"/>
      <c r="I55" t="inlineStr">
        <is>
          <t>**About The Company**
 Humana Inc. is a leading healthcare company dedicated to putting health first for its members, employees, and communities. With a strong commitment to innovation and excellence, Humana operates through its insurance services and CenterWell healthcare services, aiming to make healthcare more accessible, affordable, and effective. The organization is renowned for its focus on enhancing quality of life, especially for individuals with Medicare, Medicaid, military personnel, families, and diverse communities. Humana's mission revolves around delivering personalized care, leveraging advanced technology, and fostering a supportive environment that promotes well\-being and health equity. As a forward\-thinking enterprise, Humana continually invests in research, development, and the deployment of innovative healthcare solutions to meet the evolving needs of the populations it serves.
**About The Role**
 We are seeking a highly skilled and innovative AI specialist to join our Enterprise AI organization at Humana. This role focuses on developing autonomous agents capable of managing complex, long\-term goals within dynamic, real\-world environments. The successful candidate will be instrumental in designing, implementing, and evaluating goal\-setting mechanisms, planning systems, and safety protocols for AI agents. Your work will contribute to building reliable, interpretable, and robust agentic systems that can interface with various APIs, databases, and real\-world actuators to pursue objectives efficiently and safely. This position offers a unique opportunity to influence the future of healthcare AI by creating systems that can adapt, learn, and operate independently, ultimately improving care quality and operational efficiency across
 Humana’s business segments.
**Qualifications**
* Master's Degree in Computer Science, Data Science, Machine Learning, or a related field
* 4\+ years of experience in research, ML engineering, or applied research, with a focus on AI solutions
* 2\+ years of leading AI/ML system development projects
* Proficiency in SQL, Python, and data analysis/data mining tools
* Experience with machine learning frameworks such as Pytorch, Jax, LangChain, LangGraph, or AutoGen
* Experience with large\-scale ML systems and high\-performance computing
* Knowledge of language modeling with transformers
* Understanding of symbolic planning, causal reasoning, and model\-based reinforcement learning
* Experience with large\-scale ETL processes
* Preferred: Ph.D. in Computer Science, Data Science, or related disciplines
* Preferred: Demonstrated experience shipping autonomous or semi\-autonomous agents in production or simulation environments
* Preferred: Knowledge of autonomy risk mitigation strategies and safety protocols
**Responsibilities**
* Design and architect goal setting and decomposition mechanisms for autonomous agents operating in uncertain and open\-ended environments
* Develop and implement dynamic planning systems, including hierarchical planning, curriculum learning, and self\-refinement loops
* Collaborate on memory, tool\-use, and feedback\-loop designs to enable multi\-step, self\-directed agent behaviors
* Create evaluation frameworks to ensure alignment with human intent, consistency, and progress toward long\-term objectives
* Prototype agents capable of interfacing with APIs, search engines, databases, and real\-world actuators to achieve goals safely and efficiently
* Explore mechanisms to detect and mitigate goal misalignment, looping behaviors, or undesirable emergent strategies
* Work with cross\-functional teams to integrate safety, alignment, and operational reliability measures into agent systems
* Conduct research to improve agent robustness, interpretability, and scalability in real\-world applications
**Benefits**
* Comprehensive health benefits effective from day one
* Generous paid time off and holiday leave
* Work\-life balance initiatives and flexible work arrangements
* Annual incentive and bonus plans based on performance
* 401(k) retirement plan with an excellent company match
* Well\-being programs and resources to support mental and physical health
* Paid volunteer time off to engage with community initiatives
 Equal Opportunity
 Humana is an equal opportunity employer. We are committed to creating a diverse and inclusive environment and do not discriminate against any employee or applicant based on race, color, religion, sex, sexual orientation, gender identity, national origin, age, marital status, genetic information, disability, or protected veteran status. We also adhere to all applicable federal civil rights laws and provide reasonable accommodations and free language interpreter services where needed. Our policies promote affirmative action and ensure fair employment practices across all levels of the organization.</t>
        </is>
      </c>
    </row>
    <row r="56">
      <c r="A56" t="inlineStr">
        <is>
          <t>li-4373871450</t>
        </is>
      </c>
      <c r="B56" t="inlineStr">
        <is>
          <t>Data Scientist [207886]</t>
        </is>
      </c>
      <c r="C56" t="inlineStr">
        <is>
          <t>Aquent</t>
        </is>
      </c>
      <c r="D56" t="inlineStr">
        <is>
          <t>linkedin</t>
        </is>
      </c>
      <c r="E56">
        <f>HYPERLINK("https://www.linkedin.com/jobs/view/4373871450", "https://www.linkedin.com/jobs/view/4373871450")</f>
        <v/>
      </c>
      <c r="F56" t="inlineStr"/>
      <c r="G56" t="inlineStr">
        <is>
          <t>Houston, TX</t>
        </is>
      </c>
      <c r="H56" t="inlineStr"/>
      <c r="I56" t="inlineStr">
        <is>
          <t>**Hybrid Onsite in Houston, TX : 2 days a week onsite, 3 days WFH**
**Relocation Assistance: Offered**
**Must be authorized to work in the US, will not sponsor**
 This is an exciting opportunity to join a pioneering team at the forefront of industrial and scientific innovation. As a key contributor, you will be instrumental in developing and deploying cutting\-edge AI models that unlock profound insights from complex, real\-world data. Your work will directly impact critical applications, driving advancements in areas like predictive maintenance, anomaly detection, and multi\-modal sensor fusion, ultimately shaping the future of intelligent systems. Partnering with Aquent, you will contribute to a leading organization that is committed to pushing the boundaries of technology and making a tangible difference in various sectors.
* About the Opportunity\*\*
 Our partner is a global leader dedicated to solving some of the world’s most complex challenges through technological innovation. They are building the next generation of intelligent systems, leveraging vast amounts of sensor, time series, and multi\-modal data to create predictive and analytical solutions. This role offers a unique chance to work on large\-scale, self\-supervised “foundation” models, transforming raw data into actionable intelligence across diverse industrial and scientific applications. You will be part of a collaborative environment where your expertise in machine learning and data science will drive significant advancements and create lasting impact.
* What You Will Do\*\*
**Responsibilities**
 As a core member of the team, you will be responsible for pioneering the development and deployment of advanced AI solutions, including:
**Foundation Model Development:** 
 Architect, train, and deploy large\-scale, self\-supervised foundation models capable of learning rich representations from time series, sequential sensor data, textual, and vision data.
**Model Fine\-Tuning \&amp; Application:** 
 Adapt and fine\-tune models for critical tasks such as anomaly/event detection, predictive maintenance, forecasting, classification, and multi\-modal sensor fusion for industrial and scientific applications.
**Advanced Data Processing:** 
 Implement sophisticated processing, augmentation, and feature engineering techniques for diverse financial, industrial, IoT, medical, and other sensor streams, handling both univariate and multivariate time series.
**Sensor Data Expertise:** 
 Apply deep expertise in analyzing diverse sensor modalities (e.g., accelerometers, temperature, vibration, audio, images), managing varying sampling rates, synchronization, and real\-world noise/artifact handling.
**Multi\-Modality Learning:** 
 Design and implement robust deep learning architectures that integrate heterogeneous data types (time series, images, text, audio, structured data) through cross\-modal representation learning.
**Cutting\-Edge ML Techniques:** 
 Drive innovation using self\-supervised and semi\-supervised learning methods, including masked modeling, contrastive methods, temporal predictive coding, and multimodal alignment and fusion.
**Model Architecture Exploration:** 
 Work with a wide array of model architectures, such as sequence models (RNNs, GRU/LSTM, TCN), 1D/2D/3D CNNs, Transformers, graph neural networks, diffusion/generative models, and multi\-modal/fusion encoders.
**Scalable Solutions:** 
 Implement transfer learning and fine\-tuning strategies at scale, including prompt/adapter\-based methods, temporal domain adaptation, and few\-shot learning for specialized tasks.
**Performance Evaluation:** 
 Define and apply comprehensive evaluation metrics for regression/classification (MSE, F1, AUC), time series similarity (DTW, correlation), event detection/segmentation (IoU, accuracy), and alignment with business/end\-user KPIs.
**High\-Performance Software Development:** 
 Develop custom kernels and high\-performance preprocessing solutions using Python (NumPy, SciPy, Pandas) and C\+\+/CUDA.
**Deep Learning Infrastructure:** 
 Leverage and optimize deep learning frameworks such as PyTorch (Lightning, Distributed), TensorFlow/Keras, and JAX/Flax for large\-scale training on multi\-GPU, multi\-node clusters with mixed\-precision and ZeRO optimization.
**Robust Data Engineering:** 
 Build and maintain robust data pipelines for ingesting, cleaning, segmenting, and aligning large\-scale, time\-synchronized multi\-sensor datasets.
**Mathematical Foundations:** 
 Apply strong theoretical knowledge in Linear Algebra, Probability \&amp; Statistics, Optimization (stochastic, convex/non\-convex, Bayesian), Signal Processing (Fourier/wavelet analysis, filters, resampling, noise modeling), and Numerical Methods (ODE/PDE solvers, inverse problems, regularization, time\-frequency methods).
**Collaborative Impact:** 
 Engage in cross\-disciplinary teamwork with domain experts, engineers, product owners, and end\-users, effectively communicating complex model behaviors, uncertainty quantification, and value impact.
* Must\-Have Qualifications:\*\*
* MS or Ph.D. in Computer Science, Data Science and AI, or a closely related quantitative field.
* Minimum of 3 years of relevant professional experience in data science and AI or related fields.
* Expert proficiency in Python, including libraries such as NumPy, SciPy, and Pandas.
* Demonstrated experience with leading deep learning frameworks like PyTorch (including Lightning and Distributed training), TensorFlow/Keras, or JAX/Flax.
* Proven ability to build, train, and deploy large\-scale, self\-supervised “foundation” models.
* Solid understanding and practical experience with self\-supervised and semi\-supervised learning techniques.
* Experience with various model architectures, including sequence models (RNNs, GRU/LSTM, TCN), CNNs, and Transformers.
* Proficiency in developing robust data pipelines for large\-scale, time\-synchronized multi\-sensor datasets.
* Strong foundational knowledge in Linear Algebra, Probability \&amp; Statistics, and Optimization.
* Practical experience with Signal Processing techniques.
* Excellent collaboration and communication skills, with the ability to present complex technical concepts clearly to diverse audiences.
* Nice\-to\-Have Qualifications:\*\*
* Experience with C\+\+/CUDA for developing custom kernels and optimizing high\-performance preprocessing.
* Familiarity with specific Transformer models such as BERT, ViT, or TimeSFormer.
* Knowledge of specific filters like Kalman or Savitzky–Golay in signal processing.
* Prior experience in industrial, IoT, medical, or financial sensor data domains.
* Experience with model interpretability, attention analysis, and uncertainty quantification.
**\#app**</t>
        </is>
      </c>
    </row>
    <row r="57">
      <c r="A57" t="inlineStr">
        <is>
          <t>li-4372574156</t>
        </is>
      </c>
      <c r="B57" t="inlineStr">
        <is>
          <t>Data Scientist</t>
        </is>
      </c>
      <c r="C57" t="inlineStr">
        <is>
          <t>RemoteHunter</t>
        </is>
      </c>
      <c r="D57" t="inlineStr">
        <is>
          <t>linkedin</t>
        </is>
      </c>
      <c r="E57">
        <f>HYPERLINK("https://www.linkedin.com/jobs/view/4372574156", "https://www.linkedin.com/jobs/view/4372574156")</f>
        <v/>
      </c>
      <c r="F57">
        <f>HYPERLINK("https://www.remotehunter.com/apply-with-ai/61d53ec1-dd64-46df-96f9-5c99aeab0a88?utm_medium=job_posting&amp;utm_source=linkedin&amp;utm_campaign=data_scientist_remote&amp;utm_category=data_scientist&amp;utm_term=data_scientist&amp;urlHash=3Bf6", "https://www.remotehunter.com/apply-with-ai/61d53ec1-dd64-46df-96f9-5c99aeab0a88?utm_medium=job_posting&amp;utm_source=linkedin&amp;utm_campaign=data_scientist_remote&amp;utm_category=data_scientist&amp;utm_term=data_scientist&amp;urlHash=3Bf6")</f>
        <v/>
      </c>
      <c r="G57" t="inlineStr"/>
      <c r="H57" t="inlineStr"/>
      <c r="I57"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8">
      <c r="A58" t="inlineStr">
        <is>
          <t>li-4372566926</t>
        </is>
      </c>
      <c r="B58" t="inlineStr">
        <is>
          <t>Data Scientist</t>
        </is>
      </c>
      <c r="C58" t="inlineStr">
        <is>
          <t>FetchJobs.co</t>
        </is>
      </c>
      <c r="D58" t="inlineStr">
        <is>
          <t>linkedin</t>
        </is>
      </c>
      <c r="E58">
        <f>HYPERLINK("https://www.linkedin.com/jobs/view/4372566926", "https://www.linkedin.com/jobs/view/4372566926")</f>
        <v/>
      </c>
      <c r="F58" t="inlineStr"/>
      <c r="G58" t="inlineStr"/>
      <c r="H58" t="inlineStr"/>
      <c r="I58" t="inlineStr">
        <is>
          <t>**About The Company**
 Guidehouse is a leading global consulting firm dedicated to delivering innovative solutions across various industries, including government, financial services, energy, healthcare, and more. Renowned for its commitment to excellence, integrity, and client success, Guidehouse offers a wide range of advisory, consulting, and technology services designed to help organizations navigate complex challenges and achieve their strategic objectives. The company fosters a collaborative and inclusive work environment that values diversity, continuous learning, and professional growth. With a focus on leveraging cutting\-edge technology and data\-driven insights, Guidehouse empowers its clients to transform their operations, optimize performance, and sustain long\-term success.
**About The Role**
 As a Data Scientist within Guidehouse's AI and Data Capability Team, you will play a pivotal role in helping clients unlock the full potential of their data assets. Your expertise will contribute to designing and implementing advanced analytics solutions that drive strategic decision\-making and operational efficiencies. This position offers a unique opportunity to work on impactful projects across various sectors, applying your technical skills to real\-world problems. You will collaborate with multidisciplinary teams, including data engineers, analysts, and business stakeholders, to develop scalable models, insightful dashboards, and automated processes. The role requires a keen analytical mind, strong communication skills, and a passion for uncovering hidden insights within complex datasets.
**Qualifications**
 To excel in this role, candidates must meet the following qualifications:
* U.S. Citizenship is required.
* A Bachelor's degree in Computer Science, Data Science, Statistics, or a related field.
* Minimum of three (3\) years of experience using visualization tools such as Power BI, Tableau, or similar platforms to create intuitive dashboards and visualizations.
* Proficiency in SQL, R, and other programming languages essential for data querying and statistical analysis.
* Strong foundational knowledge in statistics, probability, and experimental design.
* Experience working with cloud platforms like Amazon Web Services, Azure, or Google Cloud, as well as containerization technologies such as Docker.
* Hands\-on experience applying data governance principles to ensure data quality and reliability.
* Excellent problem\-solving skills with a creative approach to uncovering patterns and opportunities within data.
* Strong verbal and written communication skills to effectively bridge technical and non\-technical audiences.
 Additional preferred qualifications include experience with Python, Java, or modern machine learning frameworks, and prior work within the public sector or supporting business development efforts through RFP/RFQ/RFI responses.
**Responsibilities**
* Identify, collect, and manage data from diverse primary and secondary sources, ensuring data accuracy, completeness, and integrity.
* Clean and preprocess raw data by addressing inconsistencies, missing values, and errors to prepare datasets for analysis.
* Apply statistical techniques and analytical methods to explore datasets, identify trends, and discover meaningful patterns.
* Develop and maintain dynamic reports, dashboards, and visualizations using tools like Tableau or Power BI to communicate insights effectively to stakeholders.
* Collaborate with cross\-functional teams to understand business requirements and translate them into technical solutions.
* Communicate complex findings clearly and concisely to both technical and non\-technical audiences to facilitate data\-driven decision\-making.
* Address specific business challenges by leveraging data insights to optimize processes, identify growth opportunities, and support strategic initiatives.
* Support the development of scalable data architectures and models, ensuring they meet organizational standards and security protocols.
**Benefits**
 Guidehouse offers a comprehensive total rewards package designed to support employee well\-being, professional growth, and work\-life balance. Benefits include:
* Competitive medical, dental, vision, and prescription drug coverage.
* Personal and family sick leave, along with company\-paid holidays.
* Potential eligibility for discretionary variable incentive bonuses.
* Parental leave and adoption assistance programs.
* 401(k) retirement savings plan with company matching contributions.
* Basic and supplemental life insurance options.
* Health Savings Accounts (HSAs), Flexible Spending Accounts (FSAs) for dental, vision, and dependent care.
* Short\-term and long\-term disability coverage.
* Student loan repayment assistance programs.
* Tuition reimbursement, ongoing training, and certification opportunities to support continuous learning.
* Employee referral programs, community engagement initiatives, and corporate\-sponsored events.
* Emergency back\-up childcare services and mobility stipends to support diverse employee needs.
 Equal Opportunity
 Guidehouse is an Equal Opportunity Employer committed to fostering a diverse and inclusive workplace. We welcome applications from protected veterans, individuals with disabilities, and all qualified candidates regardless of race, color, religion, gender, sexual orientation, gender identity, age, or national origin. We are dedicated to providing reasonable accommodations throughout the hiring process to ensure equal access for all applicants. Our policies reflect our commitment to fairness, respect, and equal opportunity in employment practices.</t>
        </is>
      </c>
    </row>
    <row r="59">
      <c r="A59" t="inlineStr">
        <is>
          <t>li-4371936523</t>
        </is>
      </c>
      <c r="B59" t="inlineStr">
        <is>
          <t>Data Scientist Associate</t>
        </is>
      </c>
      <c r="C59" t="inlineStr">
        <is>
          <t>ConstructConnect</t>
        </is>
      </c>
      <c r="D59" t="inlineStr">
        <is>
          <t>linkedin</t>
        </is>
      </c>
      <c r="E59">
        <f>HYPERLINK("https://www.linkedin.com/jobs/view/4371936523", "https://www.linkedin.com/jobs/view/4371936523")</f>
        <v/>
      </c>
      <c r="F59">
        <f>HYPERLINK("https://careers-constructconnect.icims.com/jobs/2024/data-scientist-associate/job?mode=apply&amp;iis=LinkedIn&amp;urlHash=nlIM", "https://careers-constructconnect.icims.com/jobs/2024/data-scientist-associate/job?mode=apply&amp;iis=LinkedIn&amp;urlHash=nlIM")</f>
        <v/>
      </c>
      <c r="G59" t="inlineStr">
        <is>
          <t>Atlanta, GA</t>
        </is>
      </c>
      <c r="H59" t="inlineStr"/>
      <c r="I59" t="inlineStr">
        <is>
          <t>**Overview**
 This position is hybrid in Peachtree Corners, Georgia and sits within our Product Development division, which develops, tests, and improves our software solutions in an innovative and collaborative environment.
**The Opportunity**
 As Data Scientist Associate, you will work in a team to expand the analytics capabilities of the company by identifying business trends and solve complex problems. You will interpret results from petabytes of data using a variety of techniques, ranging from simple data aggregation via statistical analysis to complex data mining. You will also engage in developing Machine Learning and AI solutions to complicated problems on the leading edge of construction planning technology. You will have the opportunity to design, develop and implement best\-in\-class solutions for our organization and our clients.
**Responsibilities**
**What You’ll Be Doing**
* Use data analysis combined with economic and business knowledge to make recommendations on the business direction to various stakeholders within the company.
* Define and develop analytical, statistical and machine learning algorithms for advanced analysis and prediction
* Work with Python and other technologies to do rapid design, prototyping, analysis, simulation, and experimentation.
* Build massively scalable solutions and predictive models
* Collaborate across the organization to develop curated training data sets for Machine Learning
* This job description in no way implies that the duties listed here are the only ones that team members can be required to perform
**Qualifications**
**What You Bring to the Team**
* Bachelor’s Degree or equivalent experience in Statistics, Mathematics, Economics, Econometrics, Computer Science, or related quantitative discipline
* Creative problem\-solver who is passionate about digging into complex problems and devising new approaches to reach results.
* Strong communication skills and experience distilling and presenting complex quantitative analysis into action\-oriented recommendations.
* Understanding of applied mathematics, statistics, and economics
* Experience with a range of data science techniques including computer vision, NLP, and network analysis
* Familiarity with Tensorflow or Pytorch
**Physical Demands And Work Environment**
* The physical activities of this position include frequent sitting, telephone communication , working on a computer for extended periods of time. Visual acuity is required to perform activities close to the eyes.
* Team members are expected to maintain a dedicated and ergonomically appropriate remote workspace.
* Team members who live within commuting distance of one of our office locations (Greater Cincinnati/Northern Kentucky or Atlanta, Georgia) are expected to work in a hybrid capacity, with regular in\-office presence as determined by the team or department.
* All team members must reside and perform their work within the United States
**E\-Verify Statement**
 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
 Privacy Notice</t>
        </is>
      </c>
    </row>
    <row r="60">
      <c r="A60" t="inlineStr">
        <is>
          <t>li-4373860518</t>
        </is>
      </c>
      <c r="B60" t="inlineStr">
        <is>
          <t>Data Scientist</t>
        </is>
      </c>
      <c r="C60" t="inlineStr">
        <is>
          <t>Managed Staffing, Inc.</t>
        </is>
      </c>
      <c r="D60" t="inlineStr">
        <is>
          <t>linkedin</t>
        </is>
      </c>
      <c r="E60">
        <f>HYPERLINK("https://www.linkedin.com/jobs/view/4373860518", "https://www.linkedin.com/jobs/view/4373860518")</f>
        <v/>
      </c>
      <c r="F60" t="inlineStr"/>
      <c r="G60" t="inlineStr">
        <is>
          <t>Houston, TX</t>
        </is>
      </c>
      <c r="H60" t="inlineStr"/>
      <c r="I60" t="inlineStr">
        <is>
          <t>MUST BE US C
 Machine Learning Scientist or AI Research Scientist or Data Scientist or similar with below skills
 Python
 PyTorch
 AI Research Scientist
 Distributed / Multi\-GPU Training
 TensorFlow / Keras or JAX
 Time Series / Sequential Modeling Experience
 Signal Processing Libraries
**MS / Ph.D. in computer science, data science and AI or related fields.** 
**3\+ years of relevant experience in data science and AI or related fields.**</t>
        </is>
      </c>
    </row>
    <row r="61">
      <c r="A61" t="inlineStr">
        <is>
          <t>li-4373842381</t>
        </is>
      </c>
      <c r="B61" t="inlineStr">
        <is>
          <t>Senior Data Scientist</t>
        </is>
      </c>
      <c r="C61" t="inlineStr">
        <is>
          <t>TalentAlly</t>
        </is>
      </c>
      <c r="D61" t="inlineStr">
        <is>
          <t>linkedin</t>
        </is>
      </c>
      <c r="E61">
        <f>HYPERLINK("https://www.linkedin.com/jobs/view/4373842381", "https://www.linkedin.com/jobs/view/4373842381")</f>
        <v/>
      </c>
      <c r="F61" t="inlineStr"/>
      <c r="G61" t="inlineStr">
        <is>
          <t>Kissimmee, FL</t>
        </is>
      </c>
      <c r="H61" t="inlineStr"/>
      <c r="I61" t="inlineStr">
        <is>
          <t>**About The Role \&amp; Team:** 
 At Disney Consumer Products
 **, we inspire imagination around the world** 
 and are committed to creating happiness for families and fans by bringing captivating, inspiring, and inclusive products into their daily lives. From toys to t\-shirts, console games, books, and more, our team brings our beloved brands and franchises into the lives of families through products and experiences that can be found worldwide, such as the Disney Store e\-commerce platform, Disney Parks, local and international retailers, and Disney Store locations around the world.
 The Merchandise Business Insight and Analytics (MBIA) team is part of Disney's Consumer Products organization, which creates and sells Disney products worldwide. The MBIA team supports the full retail lifecycle by providing analytics, reporting, and insights that empower data\-informed decision\-making for a broad community of stakeholders across Category and Location Planning, Product Development, Merchandising, and Retail Operations.
 We are seeking a
 **Sr. Data Scientist** 
 to support and drive advanced analytics and data science initiatives for brick\-and\-mortar and ecommerce retail across Disney Experiences. This role will focus on developing and enhancing machine learning models and data\-driven solutions to optimize key areas such as customer segmentation, assortment rationalization, promotion optimization, and performance forecasting. The ideal candidate will have deep expertise in statistical modeling, machine learning, and retail strategy. This position plays a critical role in enabling data\-informed decisions that enhance guest experience, drive revenue growth, and support strategic business objectives across digital and physical retail environments.
 This role will report to the Sr. Manager, Data Science.
**What you will do:** 
* Lead End\-to\-End Model Development: Design, develop, and deploy advanced statistical and machine learning models (e.g., regression, classification, clustering, time series forecasting) to solve complex retail problems including customer segmentation, promotion optimization, and demand forecasting.
* Drive Scalable Data Solutions: Architect and implement scalable data pipelines and model workflows using Python, SQL, and cloud platforms (e.g., Google Cloud Platform, Snowflake) to support continuous data integration and model retraining across large\-scale retail datasets.
* Develop Visual Analytics Tools: Build dynamic dashboards and self\-service analytics solutions using Tableau, Looker, or similar platforms to monitor key business metrics, track model performance, and deliver actionable insights to cross\-functional partners.
* Partner with Business \&amp; Technical Stakeholders: Collaborate with product, merchandising, marketing, and technology teams to translate ambiguous business questions into structured analytics problems and deliver insights that drive strategic decisions and operational improvements.
* Mentor and Lead Data Science Best Practices: Guide data scientists and analysts by promoting code quality, model validation, reproducibility, and responsible AI practices including performance monitoring, bias mitigation, and stakeholder education.
**Required Qualifications and Skills:** 
* 5\+ years as a Data Scientist with subject matter expertise in retail, with experience in areas including customer segmentation, performance forecasting, and business optimization.
* Business Acumen: Ability to translate complex analytical insights into actionable strategies; proven track record of partnering with cross\-functional teams such as Merchandising, Operations, Finance, and Marketing to drive revenue outcomes.
* Retail Expertise: Proven experience developing and optimizing retail strategies through advanced analytics, including customer segmentation, demand forecasting, promotional analysis, and performance measurement across both brick\-and\-mortar channels and ecommerce channels.
* Data Visualization \&amp; Dashboarding: Proficient in developing intuitive, impactful dashboards and visual analytics using tools (e.g., Tableau) to enable self\-service insights, monitor key retail metrics, and support data\-driven decision\-making across stakeholders.
* Advanced Statistical Modeling: Deep knowledge of predictive modeling techniques such as regression, time series forecasting (e.g., ARIMA, Prophet), causal inference, and machine learning methods (e.g., XGBoost, LightGBM).
* Experimental Design: Proficiency in designing and analyzing experiments, including A/B testing, geo\-lift studies, and other causal frameworks to measure the impact of retail changes.
* Python Proficiency: Expert\-level skills in Python, with demonstrated ability to build scalable, production\-ready pricing and forecasting models using libraries such as pandas, scikit\-learn, statsmodels, and PyMC.
* SQL Expertise: Expert\-level skills in SQL for querying and manipulating large\-scale retail and transactional datasets, with experience building automated data pipelines.
* Big Data \&amp; Cloud Proficiency: Hands\-on experience working with large\-scale data environments using platforms such as Google Cloud Platform (GCP), Snowflake, BigQuery, and Spark to ingest, process, and analyze complex retail datasets efficiently and at scale.
**Education:** 
* Bachelor's degree in Mathematics, Economics, Data Science, Computer Science, Operations Research, or a related field of study, and/or equivalent work experience.
**Preferred Education:** 
* Master of Science or PhD
**Additional Information:** 
* This role is located in Orlando, FL
* As part of the interview process, there will be a skill assessment
 Benefits and Perks: Disney offers a rewards package to help you live your best life. This includes health and savings benefits, educational opportunities, and special extras that only Disney can provide. Learn more about our benefits and perks at
 PDN\-a11759d7\-0eb0\-4ce3\-994c\-64612c33f9a8</t>
        </is>
      </c>
    </row>
    <row r="62">
      <c r="A62" t="inlineStr">
        <is>
          <t>li-4372584351</t>
        </is>
      </c>
      <c r="B62" t="inlineStr">
        <is>
          <t>Sr Data Scientist</t>
        </is>
      </c>
      <c r="C62" t="inlineStr">
        <is>
          <t>FetchJobs.co</t>
        </is>
      </c>
      <c r="D62" t="inlineStr">
        <is>
          <t>linkedin</t>
        </is>
      </c>
      <c r="E62">
        <f>HYPERLINK("https://www.linkedin.com/jobs/view/4372584351", "https://www.linkedin.com/jobs/view/4372584351")</f>
        <v/>
      </c>
      <c r="F62" t="inlineStr"/>
      <c r="G62" t="inlineStr"/>
      <c r="H62" t="inlineStr"/>
      <c r="I62" t="inlineStr">
        <is>
          <t>**About The Company**
 Guidehouse is a leading management consulting firm dedicated to delivering innovative solutions that address complex challenges faced by public and private sector clients. With a strong focus on technology, data analytics, and strategic advisory services, Guidehouse empowers organizations to achieve operational excellence and mission success. The company prides itself on fostering a diverse and inclusive workplace, promoting continuous learning, and maintaining a commitment to integrity and excellence in all its endeavors. Serving a broad range of industries including government, healthcare, energy, and financial services, Guidehouse leverages deep industry expertise and cutting\-edge technology to drive impactful results for its clients.
**About The Role**
 We are seeking a highly skilled and experienced Senior Data Scientist to join our AI and Data practice. This role entails supporting transportation and federal civilian agency initiatives through advanced analytics, AI/ML solutions, and data strategy. As a hands\-on leader, you will provide strategic guidance, technical oversight, and direct support for complex data\-driven projects. Your expertise will enable clients to optimize their operations, improve decision\-making processes, and achieve mission\-critical outcomes. The ideal candidate will possess a strong background in data science, engineering, and analytics, with a proven track record of leading large\-scale projects and mentoring multidisciplinary teams. This position offers an exciting opportunity to work on impactful projects within the federal government sector, leveraging your technical skills and strategic insights to deliver innovative solutions.
**Qualifications**
 The ideal candidate will possess the following qualifications:
* U.S. Citizenship is required.
* A bachelor’s degree in Computer Science, Data Science, Statistics, or a related field; a master’s degree is preferred.
* Minimum of five (5\) years of hands\-on experience in data science, data engineering, and analytics.
* At least two (2\) years of experience delivering data\-driven transformation programs within government or enterprise environments.
* Proficiency in Python for data analysis, automation, and model development, including libraries such as Pandas, NumPy, scikit\-learn, and visualization tools.
* Experience with R, PowerBI, MicroStrategy, and cloud analytics platforms such as Azure, AWS, or GCP.
* Strong understanding of AI/ML technologies, data platforms, and analytics methodologies.
* Experience developing and deploying self\-service data products, dashboards, and AI/ML solutions.
* Proven ability to lead large\-scale analytics projects and collaborate effectively across technical and business teams.
* Excellent communication, facilitation, and relationship\-building skills.
**Responsibilities**
 The responsibilities for this role include, but are not limited to:
* Serving as a trusted advisor on data strategy, governance, and analytics modernization to federal agencies and transportation clients.
* Leading end\-to\-end project engagements from strategic planning through implementation, ensuring delivery excellence and measurable outcomes.
* Designing, developing, and overseeing AI/ML and analytics solutions utilizing platforms such as Databricks, Snowflake, and cloud services (Azure, AWS, GCP).
* Developing, maintaining, and enhancing Python\-based tools, scripts, and automation processes for data analysis, reporting, and operational efficiency.
* Applying methodologies like CRISP\-DM, Agile Kanban, and human\-centered design to deliver impactful and user\-centric solutions.
* Mentoring multidisciplinary teams, fostering innovation, and promoting continuous learning and development.
* Collaborating with stakeholders to translate complex business challenges into actionable data solutions and strategic initiatives.
* Supporting business development efforts through proposal writing, strategic pursuits, and client engagement.
* Driving the adoption of data culture and literacy by providing enablement resources, training sessions, and community of practice activities.
**Benefits**
 Guidehouse offers a comprehensive total rewards package designed to support our employees' well\-being and professional growth. Our benefits include:
* Medical, prescription, dental, and vision insurance plans.
* Personal and family sick leave, along with company\-paid holidays.
* Potential eligibility for discretionary variable incentive bonuses.
* Parental leave and adoption assistance programs.
* 401(k) retirement savings plan with company matching.
* Basic and supplemental life insurance options.
* Health Savings Account (HSA), Flexible Spending Accounts (FSAs) for dental, vision, and dependent care.
* Short\-term and long\-term disability coverage.
* Student Loan PayDown assistance.
* Tuition reimbursement, ongoing personal development, and certification opportunities.
* Employee referral programs and participation in corporate\-sponsored events and community outreach.
* Emergency back\-up childcare programs and mobility stipends to support work\-life balance.
 Equal Opportunity
 Guidehouse is an Equal Opportunity Employer committed to creating an inclusive environment for all employees and applicants. We value diversity and do not discriminate based on race, color, religion, sex, national origin, age, disability, veteran status, or any other protected characteristic under applicable law. We will consider qualified applicants with criminal histories in accordance with applicable laws and ordinances, including the Fair Chance Ordinance of Los Angeles and San Francisco. We encourage all qualified individuals to apply and join our team, fostering a workplace where everyone can thrive and contribute to our collective success.</t>
        </is>
      </c>
    </row>
    <row r="63">
      <c r="A63" t="inlineStr">
        <is>
          <t>li-4372544659</t>
        </is>
      </c>
      <c r="B63" t="inlineStr">
        <is>
          <t>AI/ML &amp; Data Scientist SME</t>
        </is>
      </c>
      <c r="C63" t="inlineStr">
        <is>
          <t>Zachary Piper Solutions</t>
        </is>
      </c>
      <c r="D63" t="inlineStr">
        <is>
          <t>linkedin</t>
        </is>
      </c>
      <c r="E63">
        <f>HYPERLINK("https://www.linkedin.com/jobs/view/4372544659", "https://www.linkedin.com/jobs/view/4372544659")</f>
        <v/>
      </c>
      <c r="F63" t="inlineStr"/>
      <c r="G63" t="inlineStr">
        <is>
          <t>Washington, DC</t>
        </is>
      </c>
      <c r="H63" t="inlineStr"/>
      <c r="I63" t="inlineStr">
        <is>
          <t>Zachary Piper Solutions is seeking an
 **AI/ML \&amp; Data Scientist SME** 
 to support
 **hybrid** 
 operations in
 **Washington, DC** 
 . This role will analyze data, build clear visualizations, and automate cloud‑based workflows to deliver actionable insights.
**Responsibilities for the AI/ML \&amp; Data Scientist SME include:**
* Analyze complex datasets and deliver actionable insights using BI, AI/ML, and predictive analytics.
* Create clear, impactful Tableau/Power BI dashboards and communicate findings effectively.
* Perform SQL\-based ETL, manage relational databases, and ensure data quality through governance best practices.
* Use AWS and Power Automate to modernize data workflows and automate scalable processes.
**Qualifications for the AI/ML \&amp; Data Scientist SME include:**
* Bachelor’s degree (Master’s preferred) and 6\+ years in AI/ML, data analysis, and visualization
* Proficient in Python, SQL, and automated data workflows/pipelines
* Strong Tableau/Power BI dashboard and reporting expertise
* Familiar with AWS cloud services and Collibra Data Governance
* Active DHS or Top Secret clearance
**Compensation for the AI/ML \&amp; Data Scientist SME include:**
* Salary Range: $120,000 \- $140,000 based on years of experience
* Benefits: Medical, Dental, Vision, 401k Plan, PTO (Paid Time Off), Holidays, Sick leave as required by law
**This job opens for applications on 1/20/2025\. Applications for this job will be accepted for at least 30 days from the posting date**
**Keywords:** 
 AI/ML, data analytics, data visualization, Power BI, Tableau, SQL, ETL, Python, AWS, S3, EC2, RDS, Lambda, automation, Power Automate, data governance, Collibra, dashboards, reporting, predictive analytics, generative AI, data modeling, business intelligence, cloud computing, data pipelines, workflow automation, Oracle, PostgreSQL, MySQL, data quality, data integrity, data lineage, stakeholder engagement, insights, analytics solutions, data storytelling, relational databases, cloud modernization, analytics engineering, data processing, data extraction, KPI reporting, communication skills, cross\-functional collaboration, technical analysis, data\-driven decision\-making, performance metrics, analytics strategy, enterprise data, trends and patterns</t>
        </is>
      </c>
    </row>
    <row r="64">
      <c r="A64" t="inlineStr">
        <is>
          <t>li-4373836842</t>
        </is>
      </c>
      <c r="B64" t="inlineStr">
        <is>
          <t>Senior AI-First Data Scientist - REMOTE</t>
        </is>
      </c>
      <c r="C64" t="inlineStr">
        <is>
          <t>Jobgether</t>
        </is>
      </c>
      <c r="D64" t="inlineStr">
        <is>
          <t>linkedin</t>
        </is>
      </c>
      <c r="E64">
        <f>HYPERLINK("https://www.linkedin.com/jobs/view/4373836842", "https://www.linkedin.com/jobs/view/4373836842")</f>
        <v/>
      </c>
      <c r="F64" t="inlineStr"/>
      <c r="G64" t="inlineStr"/>
      <c r="H64" t="inlineStr"/>
      <c r="I64" t="inlineStr">
        <is>
          <t>This position is posted by Jobgether on behalf of a partner company. We are currently looking for a Senior AI\-First Data Scientist. In this highly technical and impactful role, you will utilize deep statistical and machine learning expertise to design and deploy production\-ready ML solutions. Your contributions will drive critical business decisions, optimize operations, and advance the integration of AI into our systems. By collaborating directly with senior operators, you will have the opportunity to shape AI systems that continuously enhance performance and decision\-making capabilities. This role demands innovation, leadership, and a proactive approach to solving complex business problems.
**Accountabilities**
* Develop and deploy end\-to\-end ML pipelines using modern MLOps practices and cloud\-native platforms.
* Conduct causal analysis and treatment effect estimation to guide high\-stakes business strategy.
* Build, train, and optimize predictive and prescriptive models for various use cases.
* Integrate models into production systems and monitor their performance.
* Partner with business leaders to translate problems into machine learning frameworks.
* Collaborate with engineering teams to improve data pipelines and ensure model reproducibility.
* Research and apply emerging techniques in AI.
* Design robust experiment and quasi\-experiment setups.
**Requirements**
* 5\+ years of experience in applied data science and machine learning engineering.
* Master or PhD degree in a quantitative field such as Data Science, Computer Science, or Statistics.
* Expertise in causal inference frameworks, including Double Machine Learning.
* Strong proficiency in Python or R, with hands\-on experience in SQL and cloud ML platforms.
* Familiarity with MLOps tools for experiment tracking and automated deployment.
* Experience working with large datasets and data engineering best practices.
* Strong background in applying advanced causal and time\-series methods.
* Ability to independently deliver ML solutions with measurable success metrics.
**Benefits**
* Executive Access: Work directly with brand CEOs and senior leadership.
* AI\-First Skill Building: Hands\-on experience with advanced AI tools.
* Accelerated Career Path: Fast\-tracked responsibilities and leadership opportunities.
* Competitive Benefits: Paid time off, 401(k) match, medical/dental/vision, and employee discounts.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5">
      <c r="A65" t="inlineStr">
        <is>
          <t>li-4373889073</t>
        </is>
      </c>
      <c r="B65" t="inlineStr">
        <is>
          <t>Sr. Data Scientist, Marketing</t>
        </is>
      </c>
      <c r="C65" t="inlineStr">
        <is>
          <t>MoneyGram</t>
        </is>
      </c>
      <c r="D65" t="inlineStr">
        <is>
          <t>linkedin</t>
        </is>
      </c>
      <c r="E65">
        <f>HYPERLINK("https://www.linkedin.com/jobs/view/4373889073", "https://www.linkedin.com/jobs/view/4373889073")</f>
        <v/>
      </c>
      <c r="F65" t="inlineStr"/>
      <c r="G65" t="inlineStr">
        <is>
          <t>Dallas, TX</t>
        </is>
      </c>
      <c r="H65" t="inlineStr"/>
      <c r="I65" t="inlineStr">
        <is>
          <t>At MoneyGram, we're combining the strength of a trusted global brand with the agility of a tech\-forward, growth driven culture. With 80\+ years of experience and a presence in more than 200 countries and territories, we've built a foundation of stability and trust to help millions of people around the world send funds quickly, securely, and affordably.
 We're looking for bold thinkers, builders, technologists, and sellers who want real ownership of their work, thrive in collaborative environments, and are energized by solving complex challenges. Here, you'll have the opportunity to make a measurable impact \- fast.
 If you're eager to shape the future of cross\-border payments and financial services, join us as we transform how the world moves money.
**About The Role**
 As part of this transformation, we’re building a best\-in\-class performance marketing engine—and we’re hiring a Sr. Data Scientist, Marketing to help us push it to the next level.
 You will sit at the intersection of marketing and data science, developing statistical models, designing experiments, and generating insights that drive customer acquisition and retention across 200\+ countries. Reporting to the Director of Marketing Analytics, you’ll work cross\-functionally with Marketing, Product, Engineering, Finance, and Regional teams to create impact at scale.
 This is a high\-visibility, high\-impact role that’s ideal for someone who thrives on using data to solve real\-world challenges.
**What You Will Do:**
* Develop and deploy advanced statistical and machine learning models to support key marketing initiatives—including media mix modeling, attribution, targeting, and customer LTV forecasting
* Design and implement robust experimentation frameworks to power A/B and multivariate testing across marketing channels and customer journeys
* Lead exploratory data analysis to uncover opportunities for growth, personalization, and efficiency—leveraging internal and third\-party data sources
* Build predictive models that inform campaign strategy, audience segmentation, and churn prevention
* Collaborate with Data Engineering and Analytics teams to build scalable data pipelines and ensure data integrity for modeling and reporting
* Partner with performance marketing, CRM, brand, and regional teams to translate analytical findings into business action
* Develop clear, concise, and compelling data stories for leadership and cross\-functional stakeholders
* Stay ahead of the curve on new methodologies, tools, and privacy trends in marketing data science—and help drive their adoption across the organization.
**What We Are Looking For:**
* 5\+ years of experience in data science with a Bachelor’s or Master’s degree or 2\+ years with a PhD, preferably with a focus on marketing, customer analytics, or growth in a fintech or B2C tech environment
* Strong programming skills in Python or R, especially for modeling, data manipulation, and visualization
* Expertise in statistical methods (e.g., regression, clustering, time\-series, causal inference, uplift modeling, Bayesian approaches)
* Deep experience with A/B testing, experiment design, and measurement
* Proficiency in SQL and working with large\-scale datasets from data warehouses (e.g., Snowflake, Redshift, BigQuery)
* Familiarity with data visualization tools (e.g., Looker, Tableau, Power BI)
* Hands\-on experience with marketing platforms (e.g., Google Ads, Meta, CRM tools) is a plus
* Strong communication skills with the ability to distill complex analysis into clear insights and actionable recommendations
* Comfort operating in a fast\-moving, ambiguous, and highly collaborative environment
* Multilingual skills or global market experience is a plus.
**Location:**
* This position will be remotely based in the United States
**Here Are Some Reasons You Will Love Working At MoneyGram!**
* Remote first flexibility
* Generous PTO
* 13 Paid Holidays
* Medical / Dental / Vision Insurance
* Life, Disability, and other benefits
* 401k with competitive Employer Match
* Community Service Days
* Generous Parental Leave
 Anticipated Base Pay: $145,000 \- $200,000 \+ participation in our annual bonus plan
*The salary/pay rate listed is a good faith determination that may be offered to a successful applicant for this position at the time of this job advertisement based on company hiring process and budget for this role and may be modified in the future. Actual compensation may vary from posting based on geographic location, work experience, education and/or skill level.*
 MoneyGram does not sponsor US work authorizations for this job position including H\-1Bs, O\-1, and TN. MoneyGram also does not hire F\-1s working on EAD for this position.
**About MoneyGram**
 MoneyGram International, Inc is a global financial technology leader, empowering consumers and businesses to send and manage money across 200 countries and territories. With an industry\-leading app and one of the world's largest cash distribution networks, MoneyGram processes more than $200 billion annually, serving over 50 million people. A pioneer in blockchain technology, the company enables customers to buy, sell, and hold digital currencies, with over 50% of transactions now digital. Headquartered in Dallas, TX, MoneyGram is celebrated for its strong culture, earning the Top Workplaces USA award three years in a row.
**Primary Location**
 United States of America\-Texas\-Dallas
**Work Locations**
 VIRTUAL EMPLOYEES
**Job**
 eMarketing
**Organization**
 Marketing
 Full\-time
**Job Posting**
 Feb 16, 2026, 1:20:13 PM
 MoneyGram</t>
        </is>
      </c>
    </row>
    <row r="66">
      <c r="A66" t="inlineStr">
        <is>
          <t>li-4371927556</t>
        </is>
      </c>
      <c r="B66" t="inlineStr">
        <is>
          <t>Data Scientist</t>
        </is>
      </c>
      <c r="C66" t="inlineStr">
        <is>
          <t>MANTECH</t>
        </is>
      </c>
      <c r="D66" t="inlineStr">
        <is>
          <t>linkedin</t>
        </is>
      </c>
      <c r="E66">
        <f>HYPERLINK("https://www.linkedin.com/jobs/view/4371927556", "https://www.linkedin.com/jobs/view/4371927556")</f>
        <v/>
      </c>
      <c r="F66">
        <f>HYPERLINK("https://click.appcast.io/t/e8ENBf8WP9LaIIdw1ZGWXGzUP_QA2y-xuDFfMRuHfUUQTCdhYtz6jvYFXhyeAe2n?source=LinkedIn&amp;urlHash=YV-6", "https://click.appcast.io/t/e8ENBf8WP9LaIIdw1ZGWXGzUP_QA2y-xuDFfMRuHfUUQTCdhYtz6jvYFXhyeAe2n?source=LinkedIn&amp;urlHash=YV-6")</f>
        <v/>
      </c>
      <c r="G66" t="inlineStr">
        <is>
          <t>Ashburn, VA</t>
        </is>
      </c>
      <c r="H66" t="inlineStr"/>
      <c r="I66" t="inlineStr">
        <is>
          <t>**MANTECH** 
 seeks a motivated, career\- and customer\-oriented
 **Data Scientist** 
 to join our innovative team in
 **Ashburn, VA** 
 . This is a hybrid position with 2 days onsite and 3 days remote.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solutions help CBP ensure the movement of people, capital, and products are legal, safe, and secure.
**Responsibilities Include But Are Not Limited To**
* Perform hands\-on analysis and modeling involving the creation of intervention hypotheses and experiments, assessment of data needs and available sources, determination of optimal analytical approaches, performance of exploratory data analysis, and feature generation (e.g., identification, derivation, aggregation).
* Demonstrate proficiency in extracting, cleaning, and transforming CBP transactional and mission data associated within an identified problem space to build predictive models as well as develop appropriate supporting documentation.
* Leverage knowledge of a variety of statistical and machine learning techniques and methods to define and develop programming algorithms; train, evaluate, and deploy predictive analytics models that directly inform mission decisions.
* Execute projects including those intended to identify patterns and/or anomalies in large datasets; perform automated text/data classification and categorization as well as entity recognition, resolution and extraction; and named entity matching.
**Minimum Qualifications**
* HS Diploma/GED and 6 or more years of experience or AS/AA and 4 or more years or BS/BA and 2 or more years or MS/MA/MBA or PhD/Doctorate
* Experience in developing machine learning models and applying advanced analytics solutions to solve complex business problems
* Experience with programming languages including: R, Python, Scala, Java.
* Experience with SQL programming
* Experience constructing and executing queries to extract data in support of EDA and model development
* Experience with unsupervised and supervised machine learning techniques and methods
* Experience performing data mining, analysis, and training set construction
**Preferred Qualifications**
* Proficiency with statistical software packages including: SAS, SPSS Modeler, R, WEKA, or equivalent
* Proficiency with Unsupervised Machine Learning methods including Cluster Analysis (e.g., K\-means, K\-nearest Neighbor, Hierarchical, Deep Belief Networks, Principal Component Analysis), Segmentation, etc.
* Proficiency with Supervised Machine Learning methods including Decision Trees, Support Vector Machines, Logistic Regression, Random/Rotation Forests, Categorization/Classification, Neural Nets, Bayesian Networks, etc.
* Experience with pattern recognition and extraction, automated classification, and categorization and with entity resolution (e.g., record linking, named\-entity matching, deduplication/ disambiguation)
* Experience with visualization tools and techniques (e.g., Periscope, Business Objects, D3, ggplot, Tableau, SAS Visual Analytics, PowerBI). Experience with big data technologies (e.g., Hadoop, HIVE, HDFS, HBase, MapReduce, Spark, Kafka, Sqoop)
**Clearance Requirements**
* Must be a U.S. citizen with the ability to obtain DHS Customs and Border Protection (CBP) suitability.
**Physical Requirements**
* The person in this position needs to occasionally move about inside the office to access file cabinets, office machinery, or to communicate with co\-workers, management, and customers, which may involve delivering presentations.</t>
        </is>
      </c>
    </row>
    <row r="67">
      <c r="A67" t="inlineStr">
        <is>
          <t>li-4364747756</t>
        </is>
      </c>
      <c r="B67" t="inlineStr">
        <is>
          <t>Data Scientist</t>
        </is>
      </c>
      <c r="C67" t="inlineStr">
        <is>
          <t>MANTECH</t>
        </is>
      </c>
      <c r="D67" t="inlineStr">
        <is>
          <t>linkedin</t>
        </is>
      </c>
      <c r="E67">
        <f>HYPERLINK("https://www.linkedin.com/jobs/view/4364747756", "https://www.linkedin.com/jobs/view/4364747756")</f>
        <v/>
      </c>
      <c r="F67" t="inlineStr"/>
      <c r="G67" t="inlineStr">
        <is>
          <t>Ashburn, VA</t>
        </is>
      </c>
      <c r="H67" t="inlineStr"/>
      <c r="I67" t="inlineStr">
        <is>
          <t>**MANTECH** 
 seeks a motivated, career\- and customer\-oriented
 **Data Scientist** 
 to join our innovative team in
 **Ashburn, VA** 
 . This is a hybrid position with 2 days onsite and 3 days remote.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solutions help CBP ensure the movement of people, capital, and products are legal, safe, and secure.
**Responsibilities Include But Are Not Limited To**
* Perform hands\-on analysis and modeling involving the creation of intervention hypotheses and experiments, assessment of data needs and available sources, determination of optimal analytical approaches, performance of exploratory data analysis, and feature generation (e.g., identification, derivation, aggregation).
* Demonstrate proficiency in extracting, cleaning, and transforming CBP transactional and mission data associated within an identified problem space to build predictive models as well as develop appropriate supporting documentation.
* Leverage knowledge of a variety of statistical and machine learning techniques and methods to define and develop programming algorithms; train, evaluate, and deploy predictive analytics models that directly inform mission decisions.
* Execute projects including those intended to identify patterns and/or anomalies in large datasets; perform automated text/data classification and categorization as well as entity recognition, resolution and extraction; and named entity matching.
**Minimum Qualifications**
* HS Diploma/GED and 6 or more years of experience or AS/AA and 4 or more years or BS/BA and 2 or more years or MS/MA/MBA or PhD/Doctorate
* Experience in developing machine learning models and applying advanced analytics solutions to solve complex business problems
* Experience with programming languages including: R, Python, Scala, Java.
* Experience with SQL programming
* Experience constructing and executing queries to extract data in support of EDA and model development
* Experience with unsupervised and supervised machine learning techniques and methods
* Experience performing data mining, analysis, and training set construction
**Preferred Qualifications**
* Proficiency with statistical software packages including: SAS, SPSS Modeler, R, WEKA, or equivalent
* Proficiency with Unsupervised Machine Learning methods including Cluster Analysis (e.g., K\-means, K\-nearest Neighbor, Hierarchical, Deep Belief Networks, Principal Component Analysis), Segmentation, etc.
* Proficiency with Supervised Machine Learning methods including Decision Trees, Support Vector Machines, Logistic Regression, Random/Rotation Forests, Categorization/Classification, Neural Nets, Bayesian Networks, etc.
* Experience with pattern recognition and extraction, automated classification, and categorization and with entity resolution (e.g., record linking, named\-entity matching, deduplication/ disambiguation)
* Experience with visualization tools and techniques (e.g., Periscope, Business Objects, D3, ggplot, Tableau, SAS Visual Analytics, PowerBI). Experience with big data technologies (e.g., Hadoop, HIVE, HDFS, HBase, MapReduce, Spark, Kafka, Sqoop)
**Clearance Requirements**
* Must be a U.S. citizen with the ability to obtain DHS Customs and Border Protection (CBP) suitability.
**Physical Requirements**
* The person in this position needs to occasionally move about inside the office to access file cabinets, office machinery, or to communicate with co\-workers, management, and customers, which may involve delivering presentations.</t>
        </is>
      </c>
    </row>
    <row r="68">
      <c r="A68" t="inlineStr">
        <is>
          <t>li-4372561536</t>
        </is>
      </c>
      <c r="B68" t="inlineStr">
        <is>
          <t>Data Scientist @ Sunnyvale CA (Onsite Job)</t>
        </is>
      </c>
      <c r="C68" t="inlineStr">
        <is>
          <t>Jobs via Dice</t>
        </is>
      </c>
      <c r="D68" t="inlineStr">
        <is>
          <t>linkedin</t>
        </is>
      </c>
      <c r="E68">
        <f>HYPERLINK("https://www.linkedin.com/jobs/view/4372561536", "https://www.linkedin.com/jobs/view/4372561536")</f>
        <v/>
      </c>
      <c r="F68">
        <f>HYPERLINK("https://click.appcast.io/t/b6f3jNfkV3Ysw3F7SxLxkZ2Qp2T9KPebtOIibno1jVE=&amp;urlHash=sgCJ", "https://click.appcast.io/t/b6f3jNfkV3Ysw3F7SxLxkZ2Qp2T9KPebtOIibno1jVE=&amp;urlHash=sgCJ")</f>
        <v/>
      </c>
      <c r="G68" t="inlineStr">
        <is>
          <t>Sunnyvale, CA</t>
        </is>
      </c>
      <c r="H68" t="inlineStr"/>
      <c r="I68" t="inlineStr">
        <is>
          <t>Dice is the leading career destination for tech experts at every stage of their careers. Our client, ProCorp Systems Inc., is seeking the following. Apply via Dice today!
 Hello,
 Hope you are doing well
 Title: Data Scientist
 Location: Sunnyvale CA
 Duration: 12 Months
 Rate: DOE
**Job Description:**
 We are seeking a skilled senior
 **Data Scientist** 
 to join our dynamic team. In this role, you will be instrumental in analyzing large datasets, developing predictive models, and deploying machine learning solutions. The ideal candidate will leverage expertise in Python to drive data\-driven decision\-making and contribute to organizational success.
**Key Responsibilities**
* Conduct in\-depth exploratory data analysis to extract actionable insights and support strategic initiatives.
* Design, build, and validate machine learning models to address business challenges.
* Utilize Python for data processing, statistical analysis, and model development.
* Manage the end\-to\-end lifecycle of machine learning models, including deployment, monitoring, and maintenance using MLOps practices.
* Collaborate with cross\-functional teams to define project requirements and deliver robust data science solutions.
**Qualifications And Skills**
* Strong grasp of Data Science/Machine Learning concepts and methodologies with solid statistical knowledge.
* Proficiency in Python and its data science libraries (e.g., Pandas, NumPy, Scikit\-learn).
* Hands\-on experience with data analysis and statistical model development techniques.
* Experience in building Predictive Modelling, Unsupervised Modelling, Time Series Forecasting models.
* Knowledge in Bayesian Modelling will be an added advantage
* MLOps skills to deploy and maintain machine learning models.
* Strong problem\-solving skills and ability to communicate complex findings to both technical and non\-technical audiences.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2026-02-17T01:46:52Z</dcterms:created>
  <dcterms:modified xsi:type="dcterms:W3CDTF">2026-02-17T01:46:52Z</dcterms:modified>
</cp:coreProperties>
</file>