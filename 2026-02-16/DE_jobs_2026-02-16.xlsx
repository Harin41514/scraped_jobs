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in-f88dbc11ffdcb5f5</t>
        </is>
      </c>
      <c r="B2" t="inlineStr">
        <is>
          <t>Senior Data Engineer</t>
        </is>
      </c>
      <c r="C2" t="inlineStr">
        <is>
          <t>StepChange US</t>
        </is>
      </c>
      <c r="D2" t="inlineStr">
        <is>
          <t>indeed</t>
        </is>
      </c>
      <c r="E2" t="inlineStr"/>
      <c r="F2" t="inlineStr"/>
      <c r="G2" t="inlineStr">
        <is>
          <t>Houston, TX, US</t>
        </is>
      </c>
      <c r="H2" s="1" t="n">
        <v>46069</v>
      </c>
      <c r="I2" t="inlineStr">
        <is>
          <t>Senior Snowflake, AWS Data Engineer
We are seeking a Snowflake Senior Data Engineer to join a dynamic data team within the Energy sector. These roles are integral to designing, developing and maintaining scalable data pipelines and architectures that support advanced analytics, machine learning and business intelligence initiatives.
The ideal candidates will possess strong expertise in cloud platforms, big data technologies and data modeling, contributing to innovative data solutions that drive strategic decision making across the organisation.
Data Engineers will ensure that the pipelines are developed and deployed with a secure by design approach, delivering robust, thoroughly tested and maintainable solutions.
* Develop piplines using the standard patterns for data pipelines and workflows utilizing Streamsets, Kestra, dbt, Git.
* Design and Implement data storage and processing solutions employing Snowflake.
* Utilize AWS services for cloud\-based platform tooling infrastructure including but not limited to: Lambda,ECS,MSK,RDS,EC2, Secrets Manager, ALB, Cloud Watch, Event Bridge
* Utilize Terraform for AWS and Azure deployments.
* Leverage and integrate APIs for data access and manipulation.
* Write Python scripts for data common processing and automation tasks.
* Leverage Platform API’s and Web Applications to enforce Platform Security
* Development experience with Go, SQL, C\#, .net, JavaScript, shell scripts \&amp; container platforms like Docker.
* The engineer shall have experience in Authentication mechanisms including but not limited to (OAuth 2\.0, OIDC, Microsoft Entra, Key Pair Authentication, Certificate based authentication, SAML based SSO).
Additionally, there is a requirement to create and execute comprehensive test plans to ensure the pipelines functionality and performance as well as develop unit tests, integration tests and end\-to\-end tests for data pipelines and workflows. Governance requires adherence to access processes and procedures to maintain Data Privacy and Security.
Platform Maintenance is also required to monitor and manage the platform to ensure optimal performance and uptime as well as conduct regular maintenance tasks such as updates, patches and backups. Security responsibilities require best practices throughout the pipeline development and deployment process. Therefore, conduct regular security reviews and vulnerability assessments.
Deliverables
* Robust and scalable data pipelines with well\-documented code and processes.
* Comprehensive test plans and automation scripts ensuring platform reliability.
* Regular security assessments and compliance reports.
Expectations
* Deliver secure, robust, and maintainable data pipelines.
* Ensure high\-quality and thoroughly tested data solutions.
* Maintain compliance with security standards and best practices.
* Maintain compliance with the Data Lifecycle Management Process, Data Privacy standards and best practices.
Initial 6\-month contract with the opportunity to extend. Houston based.
Work Location: Hybrid remote in Houston, TX 77056
Job Type: Contract
Pay: $700\.00 \- $1,000\.00 per day
Work Location: Hybrid remote in Houston, TX 77056</t>
        </is>
      </c>
    </row>
    <row r="3">
      <c r="A3" t="inlineStr">
        <is>
          <t>in-6625d1ec8e31d031</t>
        </is>
      </c>
      <c r="B3" t="inlineStr">
        <is>
          <t>GCP Data Engineer</t>
        </is>
      </c>
      <c r="C3" t="inlineStr">
        <is>
          <t>Infosys</t>
        </is>
      </c>
      <c r="D3" t="inlineStr">
        <is>
          <t>indeed</t>
        </is>
      </c>
      <c r="E3" t="inlineStr"/>
      <c r="F3" t="inlineStr"/>
      <c r="G3" t="inlineStr">
        <is>
          <t>Jersey City, NJ, US</t>
        </is>
      </c>
      <c r="H3" s="1" t="n">
        <v>46068</v>
      </c>
      <c r="I3" t="inlineStr">
        <is>
          <t>**Infosys is seeking a GCP data engineer.**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Candidate must be located within commuting distance of **Jersey City**, **NJ** or be willing to relocate to the area. This position may require travel in the US
* Bachelor’s degree or foreign equivalent required from an accredited institution. Will also consider three years of progressive experience in the specialty in lieu of every year of education.
* Candidates authorized to work for any employer in the United States without employer\-based visa sponsorship are welcome to apply. Infosys is unable to provide immigration sponsorship for this role at this time
* At least 4 years of Information Technology experience.
* Experience working with technologies like – GCP with data engineering – Dataflow, Pub sub, Dataproc, Big Query.
* ETL development experience with strong SQL background and Python
* Strong knowledge on Python Program development to build reusable frameworks, enhance existing frameworks
* Application build experience with core GCP Services like Dataproc, GKE, Composer,
**Preferred Qualifications:*** Good knowledge on Google Big Query, using advance SQL programing techniques to build Big Query Data sets in Ingestion and Transformation layer.
* Experience in Relational Modeling, Dimensional Modeling and Modeling of Unstructured Data
* Good understanding of Agile software development frameworks
* Ability to work in teams in a diverse, multi\-stakeholder environment comprising of Business and Technology teams.
* Experience and desire to work in a global delivery environment.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*The job entails sitting as well as working at a computer for extended periods of time. Should be able to communicate by telephone, email or face to face.*</t>
        </is>
      </c>
    </row>
    <row r="4">
      <c r="A4" t="inlineStr">
        <is>
          <t>in-5c3b6dc226f89c7b</t>
        </is>
      </c>
      <c r="B4" t="inlineStr">
        <is>
          <t>Data Engineer, Denied Party Screening, AWS Compliance &amp; Security Assurance</t>
        </is>
      </c>
      <c r="C4" t="inlineStr">
        <is>
          <t>Amazon.com</t>
        </is>
      </c>
      <c r="D4" t="inlineStr">
        <is>
          <t>indeed</t>
        </is>
      </c>
      <c r="E4" t="inlineStr"/>
      <c r="F4" t="inlineStr"/>
      <c r="G4" t="inlineStr">
        <is>
          <t>Dallas, TX, US</t>
        </is>
      </c>
      <c r="H4" s="1" t="n">
        <v>46029</v>
      </c>
      <c r="I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5">
      <c r="A5" t="inlineStr">
        <is>
          <t>in-b76886d564a0a8cb</t>
        </is>
      </c>
      <c r="B5" t="inlineStr">
        <is>
          <t>Data Engineer, Denied Party Screening, AWS Compliance &amp; Security Assurance</t>
        </is>
      </c>
      <c r="C5" t="inlineStr">
        <is>
          <t>Amazon.com</t>
        </is>
      </c>
      <c r="D5" t="inlineStr">
        <is>
          <t>indeed</t>
        </is>
      </c>
      <c r="E5" t="inlineStr"/>
      <c r="F5" t="inlineStr"/>
      <c r="G5" t="inlineStr">
        <is>
          <t>Seattle, WA, US</t>
        </is>
      </c>
      <c r="H5" s="1" t="n">
        <v>46029</v>
      </c>
      <c r="I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6">
      <c r="A6" t="inlineStr">
        <is>
          <t>in-f62a48738537be62</t>
        </is>
      </c>
      <c r="B6" t="inlineStr">
        <is>
          <t>Data Engineer</t>
        </is>
      </c>
      <c r="C6" t="inlineStr">
        <is>
          <t>Amazon.com</t>
        </is>
      </c>
      <c r="D6" t="inlineStr">
        <is>
          <t>indeed</t>
        </is>
      </c>
      <c r="E6" t="inlineStr"/>
      <c r="F6" t="inlineStr"/>
      <c r="G6" t="inlineStr">
        <is>
          <t>San Francisco, CA, US</t>
        </is>
      </c>
      <c r="H6" s="1" t="n">
        <v>46001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7">
      <c r="A7" t="inlineStr">
        <is>
          <t>in-14f6628209a3b475</t>
        </is>
      </c>
      <c r="B7" t="inlineStr">
        <is>
          <t>Data Engineer</t>
        </is>
      </c>
      <c r="C7" t="inlineStr">
        <is>
          <t>Amazon.com</t>
        </is>
      </c>
      <c r="D7" t="inlineStr">
        <is>
          <t>indeed</t>
        </is>
      </c>
      <c r="E7" t="inlineStr"/>
      <c r="F7" t="inlineStr"/>
      <c r="G7" t="inlineStr">
        <is>
          <t>Seattle, WA, US</t>
        </is>
      </c>
      <c r="H7" s="1" t="n">
        <v>46001</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8">
      <c r="A8" t="inlineStr">
        <is>
          <t>in-96c2ea4b79392010</t>
        </is>
      </c>
      <c r="B8" t="inlineStr">
        <is>
          <t>Analytics Engineer</t>
        </is>
      </c>
      <c r="C8" t="inlineStr">
        <is>
          <t>21st Century Equipment, LLC</t>
        </is>
      </c>
      <c r="D8" t="inlineStr">
        <is>
          <t>indeed</t>
        </is>
      </c>
      <c r="E8" t="inlineStr"/>
      <c r="F8" t="inlineStr"/>
      <c r="G8" t="inlineStr">
        <is>
          <t>Scottsbluff, NE, US</t>
        </is>
      </c>
      <c r="H8" s="1" t="n">
        <v>46069</v>
      </c>
      <c r="I8" t="inlineStr">
        <is>
          <t>At **21st Century Equipment LLC**, we're looking for a **full\-time Analytics Engineer** who is ready for a breakthrough opportunity \- someone who thrives on creating clarity from complexity, building elegant analytics solutions, and empowering teams with trustworthy data. If you're eager for a role with real influence and long\-term career growth, **you've just found it**!
 **WHY WE'RE THE NEXT BEST CAREER MOVE:**
Since 1996, 21st Century Equipment LLC has empowered farmers with cutting\-edge agricultural equipment and innovative solutions. Our vision is to be the leading agricultural solutions provider, driven by our team's creativity and entrepreneurial spirit. We value integrity, accountability, teamwork, and believing in the long\-term future of production agriculture. Employees enjoy comprehensive benefits, opportunities for growth, and a supportive work environment that embraces change and rewards achievement. With a sincere commitment to making farming easier and empowering success, employees can contribute to a meaningful mission while enjoying a positive and rewarding work environment.
 **OUR EXCELLENT BENEFITS:**
* Competitive pay, based on experience
* Medical or HSA insurance
* Dental insurance
* Vision insurance
* Life insurance
* Paid holidays and PTO
* 401K with company match
* And many more benefits!
 **YOUR MISSION:**
As our Analytics Engineer, you'll become the architect behind the scenes \- the creator of semantic layers, trusted metrics, and automated workflows that help teams operate smarter and faster.
This **isn't** a maintenance role.
This is a **make\-things\-better**, **build\-what's\-next**, **elevate\-how\-we\-operate** kind of role. Your responsibilities include:
* **Analytics EngineeringSemantic Modeling:** Build and maintain the semantic and structural foundation of our analytics ecosystem, ensuring scalable, governed, and consistent data for enterprise reporting.
* **ReportingDashboard Development:** Create intuitive, highimpact Power BI dashboards and reporting experiences that improve usability, support selfservice analytics, and provide clear insights across departments.
* **Business Process Automation (Power Automate):** Design and manage automated workflows that streamline operations, increase reliability, and eliminate manual inefficiencies throughout the organization.
 **WHO YOU ARE:**
* Bachelor's degree in Data Analytics, Information Systems, Computer Science, or equivalent experience
* 2\+ years of experience in Business Intelligence, Analytics Engineering, or Process Automation roles
* Experience designing semantic models and working with enterprise reporting structures
* Solid understanding of data concepts including governance, quality, and reporting best practices
**Preferred Expertise:**
* Proficiency with SQL, DAX, and Power Query
* Experience with Microsoft Fabric and Power BI in an enterprise environment
* Experience using Power Automate, or similar process automation tools
* Working knowledge of Microsoft Dynamics 365 and Dataverse
* Ability to combine traditional analytics and data engineering skills with emerging AI capabilities, including machine learning concepts and generative AI tools
**Core Strengths:**
* Semantic modeling and analytics architecture
* Data visualization and storytelling
* Workflow automation and process improvement
* Cross\-functional collaboration
* Strong documentation and governance mindset
* Problem\-solving and continuous improvement
 **JOIN US AND HELP DESIGN THE FUTURE!**
If you're ready to create solutions that matter, influence how data is used across an entire organization, and step into a role that challenges and rewards you \- **this is your moment** as our Analytics Engineer!</t>
        </is>
      </c>
    </row>
    <row r="9">
      <c r="A9" t="inlineStr">
        <is>
          <t>in-fb9bbe7afa690cf5</t>
        </is>
      </c>
      <c r="B9" t="inlineStr">
        <is>
          <t>BI Data Engineer</t>
        </is>
      </c>
      <c r="C9" t="inlineStr">
        <is>
          <t>Muckleshoot Casino Resort</t>
        </is>
      </c>
      <c r="D9" t="inlineStr">
        <is>
          <t>indeed</t>
        </is>
      </c>
      <c r="E9" t="inlineStr"/>
      <c r="F9" t="inlineStr"/>
      <c r="G9" t="inlineStr">
        <is>
          <t>Auburn, WA, US</t>
        </is>
      </c>
      <c r="H9" s="1" t="n">
        <v>46069</v>
      </c>
      <c r="I9" t="inlineStr">
        <is>
          <t>#### **This role is not Remote or Hybrid.**
**WHAT'S IN IT FOR YOU**
* Competitive salary of **$131,093\.47 \- DOE** with discretionary performance **bonuses 2x a year!**
* Fully paid medical, prescription drug, dental and vision coverage for you and competitive premiums for your dependents.
* Complimentary meals and covered team member parking.
* Employer\-paid life insurance, long\-term disability and accidental death and dismemberment coverage. Flexible Spending Account options for health care expenses.
* Company\-paid gaming licenses (Class A \&amp; Class B)
* Variety of additional voluntary benefits and retirement plans
**WHAT YOU’LL DO**
* Create, develop, and perform standard and ad\-hoc queries of business data using SQL/PowerBI/Tableau
* Develop all companywide operating performance analysis support required by the departments and casino operations.
* Compile and analyze daily, monthly, quarterly and annual reports and ensure financial and operational information has been recorded accurately for reporting purposes
* Prepare recurring reports by analyzing, interpreting and summarizing financial data.
* Collaborate with business leaders to identify informational needs and analyze data sets to spot trends and patterns that can be translated into actionable insights
* Present findings in easy\-to\-understand ways to inform data driven decisions using visualization tools and group discussion.
* Develop tools and processes to monitor, validate, and analyze data for accuracy.
* Write and maintain programs to automate data collection and processing.
* Identify trends and developments in competitive environments and present findings and make recommendations to executive management.
* Communicate effectively with executive management through listening, documentation, and presentations, especially using compelling visualization tools to share analysis and make recommendations based on that interpretation of data.
* Manage the FP\&amp;A report workspaces in collaboration with departments reporting needs and ongoing requests for improved reporting and automation
* Provide advanced analytical and programming support to assess and monitor the performance of the property.
* Provide mentorship and relational database training to other interested parties within the casino, as needed
* Coordinate and support business and financial planning, including short\- and long\-term business forecasting.
* Develop and maintain databases for financial, gaming, marketing, staffing and other statistical data.
* Support the annual budget process by developing historical, current and potential future trend analysis.
* Develop appropriate financial and operating metrics for use by management in decision making.
* Ensure prompt and discreet notification to appropriate management of any observation of illegal acts or internal ethics violations.
* Assist with high\-level analysis and review with management of financial summary information, analysis of operational reports and development of database and dashboard publication procedures.
* Perform other duties as assigned.
**WHAT YOU’LL BRING**
* Bachelor’s degree in business, Computer Science, Mathematics, or similar field required.
* Master's Degree preferred
* Four (4\) years of business enterprise experience in back\-end report automation and data visualization e.g. with programs like Power BI or Tableau.
* Four (4\) years of experience in analyzing large volumes of data, extracting insights, and processing large data sets using Power BI, SQL or other scripting language required
* Advanced skills in statistics/machine learning language and relational database knowledge with fluency in Power BI, Python, SQL and other applicable programming languages.</t>
        </is>
      </c>
    </row>
    <row r="10">
      <c r="A10" t="inlineStr">
        <is>
          <t>in-51db0b7cdfaaed55</t>
        </is>
      </c>
      <c r="B10" t="inlineStr">
        <is>
          <t>Data Engineer</t>
        </is>
      </c>
      <c r="C10" t="inlineStr">
        <is>
          <t>Zia Homes</t>
        </is>
      </c>
      <c r="D10" t="inlineStr">
        <is>
          <t>indeed</t>
        </is>
      </c>
      <c r="E10" t="inlineStr"/>
      <c r="F10" t="inlineStr"/>
      <c r="G10" t="inlineStr">
        <is>
          <t>El Paso, TX, US</t>
        </is>
      </c>
      <c r="H10" s="1" t="n">
        <v>46069</v>
      </c>
      <c r="I10" t="inlineStr">
        <is>
          <t>**About Us** :We’re a fast growing home building company in El Paso TX. Our technology team is small, high\-impact, and building the systems that will power that growth. We’re not a tech company, we build homes, but we believe the builders who win the next decade will be the ones who use data better than anyone else in the industry.
**The Role:** You’ll lead our data function and build the platform that powers decision\-making across the company. As we grow, so will the team. This role is the foundation for a data organization we’re committed to investing in.
You’ll work across every department. From sales, construction, finance, and purchasing to connect the systems they use and surface insights they don’t have today.
**What You’ll Do:** 
* Develop and own the company’s data platform\- warehouse, pipelines, models, and the infrastructure that makes it all reliable.
* Connect data from ERP, accounting, CRM, and operational systems into a single source of truth.
* Design and deliver dashboards and reporting that leadership actually uses to make decisions.
* Partner with departments to understand what they need to measure, then go build it.
* Lay the data foundation that enables more AI and machine learning capabilities.
**What We’re Looking For:** 
* 3–7 years of experience in data engineering, analytics engineering, or a similar role.
* Strong SQL skills and experience with modern data tools (dbt, Dagster, Airflow, etc). Experience building data warehouses and pipelines from multiple source systems. Comfortable with Python and able to write production\-quality code.
* Experience with BI/visualization tools (Superset, Looker, Tableau, Power BI, or similar).
* Self\-directed, you take initiative and drive projects forward while collaborating with a supportive engineering team.
* You think about data in terms of business outcomes, not just technical correctness.
**Nice to Have:** 
Experience in construction, real estate, or a similarly operationally complex industry. Interest in AI/ML and how it applies to operational decision\-making
Job Type: Full\-time
Benefits:
* Dental insurance
* Health insurance
* Paid time off
* Vision insurance
Work Location: In person</t>
        </is>
      </c>
    </row>
    <row r="11">
      <c r="A11" t="inlineStr">
        <is>
          <t>in-6e6a2afce5ad90ea</t>
        </is>
      </c>
      <c r="B11" t="inlineStr">
        <is>
          <t>Data Engineer</t>
        </is>
      </c>
      <c r="C11" t="inlineStr">
        <is>
          <t>V4C.ai</t>
        </is>
      </c>
      <c r="D11" t="inlineStr">
        <is>
          <t>indeed</t>
        </is>
      </c>
      <c r="E11" t="inlineStr"/>
      <c r="F11" t="inlineStr"/>
      <c r="G11" t="inlineStr">
        <is>
          <t>Remote, US</t>
        </is>
      </c>
      <c r="H11" s="1" t="n">
        <v>46068</v>
      </c>
      <c r="I11" t="inlineStr">
        <is>
          <t>### **Position Overview**
V4C.ai is seeking a motivated Data Engineer to join our remote team in the United States. In this role, you will support the design, development, and maintenance of data solutions using Databricks, helping clients and internal teams process, transform, and analyze data effectively. You'll work on building reliable data pipelines and workflows in a collaborative environment, gaining hands\-on experience with modern data engineering tools and cloud technologies.
### **Key Responsibilities**
* ### **Collaborate with team members and stakeholders to understand data requirements and contribute to building scalable data pipelines and workflows in Databricks.**
* ### **Develop and implement ETL/ELT processes using Databricks, Python, SQL, and related tools to ingest, transform, and prepare data.**
* ### **Assist in optimizing data workflows for better performance, reliability, and cost\-efficiency within Databricks environments.**
* ### **Support the creation and maintenance of data models, tables, and integrations in cloud platforms (Azure, AWS, or similar).**
* ### **Work closely with cross\-functional teams (data analysts, scientists, and engineers) to deliver clean, accessible data for analytics and reporting.**
* ### **Monitor data pipelines, troubleshoot basic issues, and contribute to documentation and best practices.**
* ### **Stay curious about new Databricks features and data engineering trends to support ongoing improvements.**
### **Requirements**
* ### **Bachelor's degree in Computer Science, Data Science, Engineering, Information Systems, or a related field (or equivalent practical experience).**
* ### **1\-2 years of professional experience in data engineering, data processing, analytics engineering, or a closely related role (internships, co\-ops, or academic projects with relevant tools count toward this).**
* ### **Hands\-on experience and comfort building basic data pipelines or transformations.**
* ### **Proficiency in Python and SQL; experience with Scala is a plus but not required.**
* ### **Basic understanding of cloud platforms such as Azure, AWS, or GCP (ex: working with storage, compute, or data services).**
* ### **Solid analytical and problem\-solving skills with attention to detail and a focus on writing clean, maintainable code.**
* ### **Strong communication skills and ability to work collaboratively in a remote team environment.**
* ### **Eagerness to learn, take ownership of tasks, and grow within data engineering.**</t>
        </is>
      </c>
    </row>
    <row r="12">
      <c r="A12" t="inlineStr">
        <is>
          <t>in-072d45b99b796b37</t>
        </is>
      </c>
      <c r="B12" t="inlineStr">
        <is>
          <t>Data engineer</t>
        </is>
      </c>
      <c r="C12" t="inlineStr">
        <is>
          <t>Stacklogy</t>
        </is>
      </c>
      <c r="D12" t="inlineStr">
        <is>
          <t>indeed</t>
        </is>
      </c>
      <c r="E12" t="inlineStr"/>
      <c r="F12" t="inlineStr"/>
      <c r="G12" t="inlineStr">
        <is>
          <t>US</t>
        </is>
      </c>
      <c r="H12" s="1" t="n">
        <v>46068</v>
      </c>
      <c r="I1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3">
      <c r="A13" t="inlineStr">
        <is>
          <t>in-3e5b351033054762</t>
        </is>
      </c>
      <c r="B13" t="inlineStr">
        <is>
          <t>Senior Data Engineer - Databricks</t>
        </is>
      </c>
      <c r="C13" t="inlineStr">
        <is>
          <t>Sumitomo Group</t>
        </is>
      </c>
      <c r="D13" t="inlineStr">
        <is>
          <t>indeed</t>
        </is>
      </c>
      <c r="E13" t="inlineStr"/>
      <c r="F13" t="inlineStr"/>
      <c r="G13" t="inlineStr">
        <is>
          <t>Charlotte, NC, US</t>
        </is>
      </c>
      <c r="H13" s="1" t="n">
        <v>46068</v>
      </c>
      <c r="I13"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
The Databricks Developer is responsible for implementing, supporting, and enhancing the internal fraud detection platform by developing scalable data pipelines, integrating batch processing methods, and ensuring the platform aligns with the bank’s risk management, legal, and regulatory requirements for fraud detection and prevention.  
This role requires deep functional and technical expertise in databricks development, including strong development skills in PySpark and the Azure cloud ecosystem. Proven expertise in designing and managing CI/CD pipelines using tools such as Azure DevOps, GitHub, or similar.  
The developer will work closely with business units and support teams to deliver the initial application, system enhancements, perform upgrades, and provide on\-call user support. The ideal candidate holds a degree in Computer Science or a related field and has at least 5 years of professional experience in data engineering and cloud\-based development.  
Key Responsibilities:
**Role Objectives: Delivery**
-----------------------------
* Design, develop, and optimize large\-scale batch data pipelines using Databricks and PySpark on the Azure cloud platform.
* Lead technical architecture and implementation of Azure\-based solutions, supporting cloud migration and consolidation initiatives.
* Build and maintain ETL processes, ensuring seamless data integration and high data quality across diverse sources.
* Develop orchestration workflows using Azure Functions, Azure Data Factory (ADF), Logic Apps, and other Azure services.
* Proven expertise in designing and managing CI/CD pipelines using tools such as Azure DevOps, GitHub, or similar
* Implement secure and scalable solutions leveraging Blob Storage, Key Vault, Managed Identities, and Azure DevOps.
* Provide technical guidance and support for architectural decisions and platform enhancements.
* Own end\-to\-end project delivery, working closely with business stakeholders, IT teams, and third\-party vendors.
* Incorporating a variety of data processing techniques—including batch and streaming workflows—while exposing and integrating APIs and external services into Databricks pipelines to enhance platform functionality and enable seamless data exchange across systems.
* Review and contribute to core code changes, ensuring best practices and supporting production deployments.
* Experience in developing and implementing disaster recovery strategies for cloud\-based applications
**Qualifications and Skills**
-----------------------------
Required Qualifications:  
* Bachelor’s degree in Computer Science, Information Systems, or a related technical field.
* Minimum 5 years of experience in data engineering, with a focus on Databricks, PySpark, and Azure.
* Strong understanding of data integration, transformation, and migration strategies.
* Experience with CI/CD pipelines and version control using Azure DevOps or githib.
* Excellent problem\-solving skills and ability to resolve moderately complex technical challenges.
* Strong communication and collaboration skills;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4">
      <c r="A14" t="inlineStr">
        <is>
          <t>in-5094b1d3c17faa7f</t>
        </is>
      </c>
      <c r="B14" t="inlineStr">
        <is>
          <t>Senior Data Engineer - AI Platforms</t>
        </is>
      </c>
      <c r="C14" t="inlineStr">
        <is>
          <t>Quantiphi</t>
        </is>
      </c>
      <c r="D14" t="inlineStr">
        <is>
          <t>indeed</t>
        </is>
      </c>
      <c r="E14" t="inlineStr"/>
      <c r="F14" t="inlineStr"/>
      <c r="G14" t="inlineStr">
        <is>
          <t>Remote, US</t>
        </is>
      </c>
      <c r="H14" s="1" t="n">
        <v>46068</v>
      </c>
      <c r="I14" t="inlineStr">
        <is>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About Quantiphi:* Quantiphi is an award\-winning, AI\-First digital engineering and consulting company focused on delivering high\-impact Services and Solutions that help organizations solve what truly matters. We partner with enterprises to reimagine their businesses through intelligent, scalable, and transformative AI—driving measurable outcomes at the very core of their operations.
* Since our founding in 2013, Quantiphi has tackled some of the world’s most complex business challenges by combining deep industry expertise, disciplined cloud and data engineering practices, and cutting\-edge applied AI research. Our work is rooted in delivering accelerated, quantifiable business value—not just technology for technology’s sake.
* Headquartered in Boston, Quantiphi is a global organization with 4,000\+ professionals serving clients across key industry verticals, including BFSI, Healthcare \&amp; Life Sciences, CPG, MFG, TME etc. As an Elite and Premier partner to leading cloud and AI platforms such as NVIDIA, Google Cloud, AWS, and Snowflake, we build and deliver enterprise\-grade AI services and solutions that create real\-world impact.
We have been recognized with:* 17x Google Cloud Partner of the Year awards in the last 8 years.
* 3x AWS AI/ML award wins.
* 3x NVIDIA Partner of the Year titles.
* 2x Snowflake Partner of the Year awards.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Website or LinkedIn Page.
Role: Sr Data Engineer/Architect
Employment type: Full Time
Location: East Coast (USA)/ Toronto (Canada)
Description:
Lead vision for a next\-generation data layer designed specifically for Agentic AI. You will define high\-performance schemas, orchestrate complex hybrid\-database environments (Snowflake/Kinetica/NoSQL), and serve as the primary technical liaison for our customers. This is a high\-visibility role blending deep technical governance with strategic relationship development.
Core Responsibilities:* System Architecture: Design the end\-to\-end blueprint for a modern data layer that seamlessly integrates structured, unstructured, and relational (Graph) data for AI agents.
* Schema \&amp; Ontology Design: Define multi\-tenant schemas and Knowledge Graph ontologies that allow LLM agents to perform complex reasoning and cross\-domain data retrieval.
* Database Administration \&amp; Governance: Oversee the health, security, and performance optimization of our data clusters (Snowflake/Kinetica), ensuring 99\.9% availability for mission\-critical AI workflows.
* Strategic Client Fronting: Act as the "Face of Engineering" for the customer. Lead discovery workshops, manage technical expectations, and align the architectural roadmap with their business objectives.
* Performance Engineering: Establish benchmarks for data latency and retrieval accuracy, ensuring the data layer can keep pace with the real\-time demands of agentic execution.
Advanced Technical Requirements:* The Hybrid Stack: Proven expertise in architecting for Snowflake (Data Cloud) and Kinetica (Real\-time/Vector/OLAP).
* Knowledge Graph Mastery: Ability to design Property Graphs or RDF schemas that map enterprise entities into a machine\-readable "World Model."
* Advanced ETL/ELT Strategy: Deep knowledge of data orchestration patterns (Change Data Capture, Streaming, and Batch) to ensure data freshness.
* Database Internals: Strong DBA skills—partitioning strategies, indexing, vacuuming, and resource scaling in cloud\-native environments.
Good to Have (The "Agentic" Edge):* Semantic Layer Design: Experience with tools like Cube or dbt Semantic Layer to provide a consistent "Language" for AI agents to query.
* Security \&amp; Privacy: Knowledge of RBAC and Row\-Level Security (RLS) within an AI context—ensuring agents only "see" what they are authorized to access.
* Tooling for Agents: Experience designing API\-first data layers that agents can use as "Tools" (e.g., function calling).
What is in it for you:*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
*If you like wild growth and working with happy, enthusiastic over\-achievers, you'll enjoy your career with us**!*</t>
        </is>
      </c>
    </row>
    <row r="15">
      <c r="A15" t="inlineStr">
        <is>
          <t>in-1de10ba3cb21f2f4</t>
        </is>
      </c>
      <c r="B15" t="inlineStr">
        <is>
          <t>Data Engineer &amp; ETL Developer</t>
        </is>
      </c>
      <c r="C15" t="inlineStr">
        <is>
          <t>DAT Solutions</t>
        </is>
      </c>
      <c r="D15" t="inlineStr">
        <is>
          <t>indeed</t>
        </is>
      </c>
      <c r="E15" t="inlineStr"/>
      <c r="F15" t="inlineStr"/>
      <c r="G15" t="inlineStr">
        <is>
          <t>Denver, CO, US</t>
        </is>
      </c>
      <c r="H15" s="1" t="n">
        <v>46068</v>
      </c>
      <c r="I15"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03/31/2026
**The Opportunity**
DAT is looking for a **Data Engineer/ETL Developer** to join our Data Engineering team working hybrid in Denver, Colorado.
**What You'll Do**
#### **Data Pipeline Development \&amp; Engineering**
* **ELT Process Implementation:** Assist senior engineers in designing, building, testing, and maintaining cloud\-native ELT (Extract, Load, Transform) data pipelines, ensuring data is reliably loaded into **Snowflake**.
* **Transformation with dbt:** Develop and maintain data models using **dbt** (data build tool) for data cleaning, aggregation, and transformation and utilize the Snowflake data warehouse.
* **SQL Development:** Write, optimize, and review complex **SQL** queries for data manipulation, transformation, and performance tuning on Snowflake.
* **Python Scripting:** Utilize **Python** to build custom data extraction scripts, implement monitoring tools, and contribute to general automation efforts.
#### **Workflow Orchestration and Automation**
* **Airflow DAGs:** Learn to author, schedule, and monitor data workflows defined as Directed Acyclic Graphs (**DAGs**) in **Apache Airflow**.
* **Pipeline Scheduling:** Integrate and orchestrate dbt runs and other pipeline tasks within Airflow to manage dependencies and execution timing.
* **Automation:** Focus on automating repetitive tasks across the data lifecycle, reducing manual effort and improving pipeline efficiency.
#### **Data Quality, Testing, and Monitoring**
* + **Data Quality:** Implement data validation and testing frameworks using features of **dbt** (e.g., uniqueness, non\-null checks) to ensure high data quality and accuracy within Snowflake data marts.
	+ **Troubleshooting:** Monitor data pipeline health, troubleshoot failed Airflow tasks and dbt runs, and quickly resolve data flow issues.
	+ **Documentation:** Maintain clear and current technical documentation for data models, Airflow DAGs, and pipeline logic.
**K****ey Technologies We Use**
* **Data Warehouse:** Snowflake
* **Transformation:** dbt (data build tool)
* **Orchestration:** Apache Airflow
* **Programming:** Python, SQL
**The Skills and Experience You'll Bring**
* **Experience:** 3\-5 years of professional experience in a Data Engineering, Analytics Engineering, or similar technical role (including relevant internship experience).
* **Education:** Bachelor's Degree in Computer Science, Information Technology, Engineering, or a related quantitative field.
* **Technical Proficiency:**
* + **Required:** Strong proficiency in **Python** and advanced knowledge of **SQL**.
	+ Hands\-on experience with a cloud data warehouse, preferably **Snowflake**.
	+ Familiarity with data transformation concepts and tools, specifically **dbt**.
	+ Basic experience creating or running jobs/workflows using an orchestration tool like **Apache Airflow**.
* **Soft Skills:** Strong problem\-solving abilities, excellent attention to detail, and a proactive, collaborative approach to teamwork.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*\*This position is not eligible for visa sponsorship\*\**
*For Colorado\-based candidates, in compliance with the Colorado Equal Pay for Equal Work Act, the salary range for this role is $105,000\.00 \- $131,000\.00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\#LI\-RF1
\#LI\-hybrid</t>
        </is>
      </c>
    </row>
    <row r="16">
      <c r="A16" t="inlineStr">
        <is>
          <t>in-0f226e6f5d7d6e90</t>
        </is>
      </c>
      <c r="B16" t="inlineStr">
        <is>
          <t>Senior IT Data Engineers</t>
        </is>
      </c>
      <c r="C16" t="inlineStr">
        <is>
          <t>Tyson Foods Incorporated</t>
        </is>
      </c>
      <c r="D16" t="inlineStr">
        <is>
          <t>indeed</t>
        </is>
      </c>
      <c r="E16" t="inlineStr"/>
      <c r="F16" t="inlineStr"/>
      <c r="G16" t="inlineStr">
        <is>
          <t>Springdale, AR, US</t>
        </is>
      </c>
      <c r="H16" s="1" t="n">
        <v>46068</v>
      </c>
      <c r="I16" t="inlineStr">
        <is>
          <t>Job Details:
Tyson Foods, Inc. has multiple openings for Senior IT Data Engineers in Springdale, AR. Play an important role throughout the systems development lifecycle across each phase of a project. Lead the design and orchestration of complex data pipelines and ETL processes, focusing on optimizing data models. Architect scalable data solutions, including data warehousing and big data technologies, and ensure alignment with organizational goals. Implement advanced data governance frameworks and ensure robust data security measures. Optimize cloud costs by strategically using cloud resources and efficient data architectures. Lead the development of data visualization strategies, ensuring they contribute to data\-driven decision\-making at a strategic level. Design and deploy enterprise\-scale data visualization solutions, optimizing performance within tools. Oversee complex data pipeline orchestration and ensure seamless integration across systems. Interact with 3rd party vendors to incorporate new functionality and evaluate tools. Resolve complex escalations and situations, driving effective resolutions. Ensure adherence to data privacy and security practices to protect sensitive information. Communicate effectively with stakeholders to understand and address their needs through data visualization. Develop functional design specifications to provide necessary details for customized software development documents.
Job Requirements
Bachelor’s degree in Computer Science, Information Systems, Software Engineering, or a related field, and 4 years of experience in enterprise data modeling solutions.
Must have work experience in:* Data transformation tool frameworks that include SQL and Python;
* Cloud\-based Business Intelligence Enterprise Systems including SAP HANA or Google BigQuery;
* Relational database platforms SAP HANA or Google BigQuery and techniques to make them perform and scale for analytical solutions;
* Agile methodologies including continuous integration, automated testing and continuous deployment and how these practices can be pursued within the context of an analytics solution;
* Data modeling and how different modeling disciplines lend themselves to analytical solutions;
* Working within the Agile methodology and on\-shore and off\-shore models; and
* Bigdata and Data warehousing practices.
Please submit resume online through this site.
Relocation Assistance Eligible:
No
Work Shift:
1ST SHIFT (United States of America)
Certain roles at Tyson require background checks. If you are offered a position that requires a background check you will be provided additional documentation to complete once an offer has been extended.  
Hourly Applicants ONLY \-You must complete the task after submitting your application to provide additional information to be considered for employment.
Tyson is an Equal Opportunity Employer. All qualified applicants will be considered without regard to race, national origin, color, religion, age, genetics, sex, sexual orientation, gender identity, disability or veteran status.
We provide our team members and their families with paid time off; 401(k) plans; affordable health, life, dental, vision and prescription drug benefits; and more.
If you would like to learn more about your data privacy rights and how you may use that information, please read our Job Applicant Privacy Notice here.
Unsolicited Assistance: Tyson Foods and its subsidiaries do not accept unsolicited support from external recruitment vendors for open positions within the United States. Any resumes or candidate profiles submitted by recruitment vendors or headhunters to any employee or applicant tracking system at Tyson Foods or its subsidiaries, without a valid written request and search agreement approved by HR, will be considered the property of Tyson Foods. No fees will be paid if the candidate is hired due to an unsolicited referral.</t>
        </is>
      </c>
    </row>
    <row r="17">
      <c r="A17" t="inlineStr">
        <is>
          <t>in-8bbb0e14f270c941</t>
        </is>
      </c>
      <c r="B17" t="inlineStr">
        <is>
          <t>Data Engineer / Reporting Specialist (IBM ELM + Tableau)</t>
        </is>
      </c>
      <c r="C17" t="inlineStr">
        <is>
          <t>Quest Global</t>
        </is>
      </c>
      <c r="D17" t="inlineStr">
        <is>
          <t>indeed</t>
        </is>
      </c>
      <c r="E17" t="inlineStr"/>
      <c r="F17" t="inlineStr"/>
      <c r="G17" t="inlineStr">
        <is>
          <t>Melbourne, FL, US</t>
        </is>
      </c>
      <c r="H17" s="1" t="n">
        <v>46068</v>
      </c>
      <c r="I17" t="inlineStr">
        <is>
          <t>**Job Requirements**  
**Who We Are:**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As a member of the Trip Optimizer Software Development team, you will work closely with the Design and Systems Engineering teams to prototype and develop high quality software products that align with Systems and Subsystem Requirements, meeting Innovation product needs. You will report out to the Software Manager and the broader business unit to ensure we are meeting on\-time deliveries and delivering quality Software. You will be investigating root cause analysis for necessary issues and implementing defect fixes as necessary by the business.
* With deep expertise and knowledge of both IBM ELM and Tableau Desktop, you will be extracting ELM data, ingesting it into Tableau and creating dashboards and metrics.
* Potential for additional scope will be support in the IBM ELM tool as we populate data for several projects. We will need to expand our metrics for other projects.
* Perform data mining, cleansing, and validation to ensure accuracy and reliability of insights.
* Integrate data from multiple sources as needed for comprehensive reporting.
* Support creation of automated data pipelines and workflows in future project phases
* Extract, transform, and analyze data from IBM ELM tools (DOORS Next, Engineering Workflow Management, Engineering Test Management, etc.).
* Develop methods to efficiently pull and structure data for reporting and analytics.
* Work closely with engineering teams to understand ELM data architecture and traceability structures
 **What You Will Bring:**
* Bachelor’s Degree in Computer Engineering, Software Engineering, Computer Science or related field
* Proficient in software design, methods, and architecture approaches
* Knowledge of software engineering principles
* 4\-5 years experience with IBM ELM Tool Suite
* 4\-5 years experience with Tableau Desktop
* Strong, hands‑on experience with **IBM ELM** (mandatory).
* Advanced expertise in **Tableau** for dashboard creation, metric design, and analytics.
* Proficiency in **data mining**, data preparation, and handling large datasets.
* Experience with SQL, Python, or other scripting languages (preferred, for automation).
* Strong analytical, problem‑solving, and communication skills.
Ability to work independently and collaborate with cross‑functional teams  
* 
**Pay Range:** $45\-$70 per hour
*Compensation decisions are made based on factors including experience, skills, education, and other job\-related factors, in accordance with our internal pay structure.*
**Work Requirements:**
This position is classified as **Remote** within the United States.
**Travel requirements:** Due to the nature of the work, 5% of travel is required.</t>
        </is>
      </c>
    </row>
    <row r="18">
      <c r="A18" t="inlineStr">
        <is>
          <t>in-1a82dfd7d94270da</t>
        </is>
      </c>
      <c r="B18" t="inlineStr">
        <is>
          <t>Data Engineer, Subscriptions</t>
        </is>
      </c>
      <c r="C18" t="inlineStr">
        <is>
          <t>Spotify</t>
        </is>
      </c>
      <c r="D18" t="inlineStr">
        <is>
          <t>indeed</t>
        </is>
      </c>
      <c r="E18" t="inlineStr"/>
      <c r="F18" t="inlineStr"/>
      <c r="G18" t="inlineStr">
        <is>
          <t>New York, NY, US</t>
        </is>
      </c>
      <c r="H18" s="1" t="n">
        <v>46068</v>
      </c>
      <c r="I18" t="inlineStr">
        <is>
          <t>Engineering
Data
Permanent
New York
As an Engineer in the Subscriptions mission, you’ll help build and operate the systems that power Spotify’s paid media measurement, attribution, and audience targeting. You’ll work on production systems that process marketing data at scale, enabling teams to understand performance, optimize spend, and reach the right audiences.  
You’ll join a multi\-functional squad, a multi\-functional team at the intersection of engineering, marketing, product, and analytics, focused on finding future listeners and driving sustainable growth across Spotify’s Free and Premium offerings. In this role, you’ll contribute to global\-scale data pipelines and integrations that support high\-impact campaigns like Wrapped and help marketing teams make smarter decisions about where and how to invest. This is a hands\-on role for someone excited to work on real production systems and see their work directly shape how Spotify grows.
What You'll Do
* Build and operate data pipelines that power paid media attribution, audience targeting, and campaign measurement across global marketing platforms.
* Build and operate batch and real\-time data pipelines on Google Cloud Platform that process billions of marketing and user events daily at global scale.
* Partner with marketing, analytics, and product teams to instrument data collection, translate requirements, and ensure data quality while operating within legal and regulatory constraints.
* Contribute to integrations with external marketing platforms, supporting reliable audience delivery and suppression workflows.
* Monitor and improve production systems, strengthening reliability, observability, and operational readiness.
* Work within a cross\-functional, agile squad to build and own data systems end to end, partnering with marketing, analytics, and insights teams to create solutions aligned with business priorities.
* Collaborate with fellow engineers to design, build, and operate data systems, while contributing to shared standards, tooling, and continuous improvements in how the team works.
Who You Are
* You have solid experience building and maintaining production data pipelines and systems
* You’re familiar with development and deployment within cloud environments (ideally GCP)
* You’re fluent in SQL and at least one programming language (Python, Java, or Scala), with experience using cloud data warehouses like BigQuery, Snowflake, or Redshift
* You understand batch and streaming data processing, ETL/ELT patterns, and data modeling fundamentals
* You care deeply about data quality, system reliability, and building systems downstream users can trust
* You value strong engineering practices, including testing, monitoring, and maintainable code
* You’re comfortable incorporating GenAI tools like Claude into your development workflow
* You’re comfortable working in an agile, product\-oriented environment and collaborating across engineering, product, analytics, and marketing
* You’re pragmatic, hands\-on, and able to balance delivery speed with long\-term quality
* You thrive in ambiguous and fast\-changing environments, and know how to make progress even when requirements are evolving
* You have experience with marketing technology ecosystems (attribution platforms, CDPs, ad platforms) is a bonus.
Where You'll Be
* This role is based in New York.
* We offer you the flexibility to work where you work best! There will be some in person meetings, but still allows for flexibility to work from home.
Learn about life at Spotify
The United States base range for this position is $151,942 \- $189,927, plus equity. The benefits available for this position include health insurance, six month paid parental leave, 401(k) retirement plan, monthly meal allowance, 23 paid days off,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19">
      <c r="A19" t="inlineStr">
        <is>
          <t>in-ced80587941a805c</t>
        </is>
      </c>
      <c r="B19" t="inlineStr">
        <is>
          <t>Operations Graduate Program 2026: Digital Transformation Data Engineer</t>
        </is>
      </c>
      <c r="C19" t="inlineStr">
        <is>
          <t>Volvo Group</t>
        </is>
      </c>
      <c r="D19" t="inlineStr">
        <is>
          <t>indeed</t>
        </is>
      </c>
      <c r="E19" t="inlineStr"/>
      <c r="F19" t="inlineStr"/>
      <c r="G19" t="inlineStr">
        <is>
          <t>Macungie, PA, US</t>
        </is>
      </c>
      <c r="H19" s="1" t="n">
        <v>46062</v>
      </c>
      <c r="I19"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**About Us**
------------
A new era is here. Big data, automation, and additive manufacturing will change the way we look at manufacturing completely. If you are up for the challenge of developing the next generation of production plants and want to be a part of the innovative world of Volvo Group, this is the graduate program for you!
The Operations Graduate Program (OGP) is a 15\-month program offering intense and exciting opportunities where you are provided a holistic view of our operational and logistics activities. You will be working with the manufacturing technologies of tomorrow, building the products of the future – electric, connected, and automated. In parallel, you will grow as a person, through individual and team development sessions.
You will experience several local and international on the job\-rotations and work on business\-critical projects developing your competencies for tomorrow. You will take a deep dive into some specific areas of our business such as manufacturing, health and safety, quality, and continuous improvements, while also learning about the end\-to\-end supply chain, aftermarket parts, and our remanufacturing operations In addition, you will gather with other program participants to take part in trainings and events designed to help you grow into your future career at the Volvo Group.
OGP starts in August 2026, and this position will be located in Macungie, PA.
 **This program does not offer current or future sponsorship. Individuals with temporary visas or who require sponsorship now or in the future are not eligible.**
**What You Will Do**
--------------------
As a Digital Transformation Data Engineer, you will be developing the Manufacturing Technologies of the future in relation to Volvo Group ambitions in emerging technology.
You will support the Manufacturing Engineering Technology development team to develop their roadmap and technology transformation. In that perspective, you will prepare the implementation of the Product and Process changes with the operational teams in the plants, and you will interact with Volvo Group Design departments.
You will participate in our journey to achieve excellence by developing the Mack Production System in the Engineering environment.
You are expected to think out of the box to bring moon shot ideas to benefit to bring business value through innovation and technology.
As a member of our team, you’ll transform data into actionable insights, support digital innovation, and help drive impactful business outcomes.
**Who are you?**
----------------
* You are part of the next generation of engineers who want to make a real difference to society.
* You have a curious mind, are willing to learn and you thrive on teamwork.
* You want to be part of shaping the future of production and are excited about working with innovative technology while contributing to the development of tomorrow’s products.
Requirements:
* B.S. or M.S. degree in Data Science, Computer Science, or related Engineering Program
* Graduate(d) between May 2024 and May 2026
* Maximum of two years’ working experience, prior to or after graduation
* Fluent in English and have an international mind\-set
* Strong verbal and written communication skills
**What’s in it for you?**
-------------------------
* Competitive medical, dental and vision insurance
* An opportunity to work with the latest technology
* An exciting and global working environment with experienced colleagues
* Opportunity to gain international experience through a short\-term assignment
* A variety of workshops and seminars designed to help you grow into your future career at Volvo Group
* Possibility to shape your own career with endless career opportunities
Compensation \&amp; Benefits:
* Generous paid caregiver and parental leave policies
* Family building benefits, including fertility support and adoption assistance
* Competitive matching retirement savings plans
* A working environment where your safety, health and wellbeing come first
* Programs that make today’s challenging reality of combining work and personal life easier
You can find more information about this program on the following link: https://www.volvogroup.com/en/careers/students\-and\-graduates/operations\-graduate\-program.html
At the Volvo Group, we strive for a clear, transparent, and straightforward compensation approach, motivating you to contribute to the company’s growth. For this position, the base pay is set at $72,600\.00 \- $89,700\.00 annually, and where applicable, bonus eligible. The range for this role, as well as final salary offered, is determined by several factors including, but not limited to, geographic location, work\-related knowledge, certifications, skills, education, and experience. In addition to these factors, we believe in the importance of pay equity and consider internal equity of our current team members as part of any final offer.
In addition to a solid package of compensation and benefits, plus you will enjoy:  
* Competitive medical, dental and vision insurance.
* Generous paid time off.
* Competitive matching retirement savings plans.
* Working environment where your safety, health and wellbeing come first.
* Focus on professional and personal development through Volvo Group University.
* Programs that make today’s challenging reality of combining work and personal life easier.
All qualified applicants will receive consideration for employment without regard to race, color, religion, sex, sexual orientation, national origin, disability, or status as a protected veteran.
We value your data privacy and therefore do not accept applications via mail.
 **Who we are and what we believe in**  
We are committed to shaping the future landscape of efficient, safe, and sustainable transport solutions. Fulfilling our mission creates countless career opportunities for talents across the group’s leading brands and entities.
Applying to this job offers you the opportunity to join **Volvo Group**. Every day, you will be working with some of the sharpest and most creative brains in our field to be able to leave our society in better shape for the next generation. We are passionate about what we do, and we thrive on teamwork. We are almost 100,000 people united around the world by a culture of care, inclusiveness, and empowerment.
 **Trucks Technology \&amp; Industrial Division** hire team players who are ready to create real customer impact. Our decentralized teams work close to our customers, with speed and autonomy, to build what they truly need.  
Join us to collaborate on innovative, sustainable technologies that redefine how we design, build, and deliver value. Bring your curiosity, your expertise, and your collaborative energy, and together, we’ll turn bold ideas into tangible solutions for our customers and contribute to a more sustainable tomorrow.</t>
        </is>
      </c>
    </row>
    <row r="20">
      <c r="A20" t="inlineStr">
        <is>
          <t>in-fd1de9e0d4b4a90f</t>
        </is>
      </c>
      <c r="B20" t="inlineStr">
        <is>
          <t>Data Engineer, Denied Party Screening, AWS Compliance &amp; Security Assurance</t>
        </is>
      </c>
      <c r="C20" t="inlineStr">
        <is>
          <t>Amazon.com</t>
        </is>
      </c>
      <c r="D20" t="inlineStr">
        <is>
          <t>indeed</t>
        </is>
      </c>
      <c r="E20" t="inlineStr"/>
      <c r="F20" t="inlineStr"/>
      <c r="G20" t="inlineStr">
        <is>
          <t>Dallas, TX, US</t>
        </is>
      </c>
      <c r="H20" s="1" t="n">
        <v>46029</v>
      </c>
      <c r="I2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1">
      <c r="A21" t="inlineStr">
        <is>
          <t>in-ff8da7e454d1ec7c</t>
        </is>
      </c>
      <c r="B21" t="inlineStr">
        <is>
          <t>Data Engineer, Denied Party Screening, AWS Compliance &amp; Security Assurance</t>
        </is>
      </c>
      <c r="C21" t="inlineStr">
        <is>
          <t>Amazon.com</t>
        </is>
      </c>
      <c r="D21" t="inlineStr">
        <is>
          <t>indeed</t>
        </is>
      </c>
      <c r="E21" t="inlineStr"/>
      <c r="F21" t="inlineStr"/>
      <c r="G21" t="inlineStr">
        <is>
          <t>Seattle, WA, US</t>
        </is>
      </c>
      <c r="H21" s="1" t="n">
        <v>46029</v>
      </c>
      <c r="I2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2">
      <c r="A22" t="inlineStr">
        <is>
          <t>in-3dd9bff65f6930cc</t>
        </is>
      </c>
      <c r="B22" t="inlineStr">
        <is>
          <t>Data Engineer</t>
        </is>
      </c>
      <c r="C22" t="inlineStr">
        <is>
          <t>Amazon.com</t>
        </is>
      </c>
      <c r="D22" t="inlineStr">
        <is>
          <t>indeed</t>
        </is>
      </c>
      <c r="E22" t="inlineStr"/>
      <c r="F22" t="inlineStr"/>
      <c r="G22" t="inlineStr">
        <is>
          <t>San Francisco, CA, US</t>
        </is>
      </c>
      <c r="H22" s="1" t="n">
        <v>46001</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3">
      <c r="A23" t="inlineStr">
        <is>
          <t>in-e42b11a23aee1e68</t>
        </is>
      </c>
      <c r="B23" t="inlineStr">
        <is>
          <t>Data Engineer</t>
        </is>
      </c>
      <c r="C23" t="inlineStr">
        <is>
          <t>Amazon.com</t>
        </is>
      </c>
      <c r="D23" t="inlineStr">
        <is>
          <t>indeed</t>
        </is>
      </c>
      <c r="E23" t="inlineStr"/>
      <c r="F23" t="inlineStr"/>
      <c r="G23" t="inlineStr">
        <is>
          <t>Seattle, WA, US</t>
        </is>
      </c>
      <c r="H23" s="1" t="n">
        <v>46001</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4">
      <c r="A24" t="inlineStr">
        <is>
          <t>in-d177b6fd88de04f5</t>
        </is>
      </c>
      <c r="B24" t="inlineStr">
        <is>
          <t>Senior Software Engineer (data engineering)</t>
        </is>
      </c>
      <c r="C24" t="inlineStr">
        <is>
          <t>Optum</t>
        </is>
      </c>
      <c r="D24" t="inlineStr">
        <is>
          <t>indeed</t>
        </is>
      </c>
      <c r="E24" t="inlineStr"/>
      <c r="F24" t="inlineStr"/>
      <c r="G24" t="inlineStr">
        <is>
          <t>Eden Prairie, MN, US</t>
        </is>
      </c>
      <c r="H24" s="1" t="n">
        <v>46068</v>
      </c>
      <c r="I24"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If you reside in the states of **Minnesota and District of Columbia**, you will enjoy the flexibility of a hybrid\-remote role as you take on some tough challenges.
**Primary Responsibilities:**
* Design and implement scalable ETL/ELT pipelines to ingest structured and unstructured data from various sources (e.g., APIs, logs, databases, user interactions)
* Ensure data quality, consistency, and availability for bot training and real\-time decision\-making
* Bot Data Integration:
	+ Collaborate with bot developers to integrate data sources into conversational AI platforms (e.g., Amazon Lex, Dialogflow, Azure Bot Framework)
	+ Enable bots to access contextual and personalized data during interactions
* SRE/IT Support:
	+ Monitor and maintain voice bot systems (e.g., Amazon Lex, Google Dialogflow, Azure Bot Service, Genesys,)
	+ Troubleshoot issues related to bot performance, voice recognition, call routing, and backend integrations
* Monitoring \&amp; Optimization:
	+ Implement data logging and monitoring systems to track bot performance, user engagement, and data drift
	+ Optimize data flows for latency, throughput, and cost efficiency
* Collaboration \&amp; Governance:
	+ Work closely with AI/ML, DevOps, and compliance teams to ensure secure and compliant data handling
	+ Maintain documentation and data lineage for transparency and auditability
*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 8\+ years of experience in data engineering, preferably in AI environment
* 5\+ years of experience in Python, SQL, and data pipeline tools (e.g., Apache Airflow, Spark or Kafka)
* 5\+ years of experience with cloud platforms (AWS, GCP or Azure) and data warehousing solutions
**Preferred Qualifications:**
* Master's degree
* Familiarity with NLP concepts and conversational AI technologies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\#YELLOW</t>
        </is>
      </c>
    </row>
    <row r="25">
      <c r="A25" t="inlineStr">
        <is>
          <t>in-1c94972b0ddefdba</t>
        </is>
      </c>
      <c r="B25" t="inlineStr">
        <is>
          <t>Data Engineer II</t>
        </is>
      </c>
      <c r="C25" t="inlineStr">
        <is>
          <t>MAPFRE Insurance</t>
        </is>
      </c>
      <c r="D25" t="inlineStr">
        <is>
          <t>indeed</t>
        </is>
      </c>
      <c r="E25">
        <f>HYPERLINK("https://www.indeed.com/viewjob?jk=1c94972b0ddefdba", "https://www.indeed.com/viewjob?jk=1c94972b0ddefdba")</f>
        <v/>
      </c>
      <c r="F25">
        <f>HYPERLINK("https://jobs.mapfre.com/job/Webster-Data-Engineer-II-MA-01570/1364759233/", "https://jobs.mapfre.com/job/Webster-Data-Engineer-II-MA-01570/1364759233/")</f>
        <v/>
      </c>
      <c r="G25" t="inlineStr">
        <is>
          <t>Webster, MA, US</t>
        </is>
      </c>
      <c r="H25" s="2" t="n">
        <v>46068</v>
      </c>
      <c r="I25" t="inlineStr">
        <is>
          <t>**Summary:**
The Data Engineer III is responsible for building and maintaining the infrastructure required for optimal data extraction, transformation, and loading (ETL) from a wide variety of data sources. This role involves developing and optimizing data pipelines, ensuring data flow and availability for data analytics and business intelligence activities. The Data Engineer collaborates with data scientists and analysts to understand data needs and deliver efficient solutions that support complex analytics and reporting. Key responsibilities include designing and implementing scalable data architectures, managing data integration, and ensuring data quality and reliability. Proficiency in programming languages, database systems, big data technologies, and cloud platforms is essential for this role, as is a strong understanding of data modeling, ETL processes, and data warehousing.
**Responsibilities:**
* Design, develop, implement, and maintain highly scalable and secure data pipelines for complex data processing needs.
* Lead and mentor a team of data engineers, fostering a collaborative and high\-performing environment.
* Champion technical innovation, identifying and implementing new technologies and solutions to improve data architecture and efficiency.
* Develop and maintain data architecture best practices, ensuring data quality, security, and scalability.
* Collaborate with Data Product Managers, analysts, business analysts, product managers, and senior leadership to understand business needs and translate them into technical solutions.
* Communicate complex technical concepts clearly and concisely to both technical and non\-technical audiences.
* Develop and maintain technical documentation and code standards.
* Lead the evaluation, selection, and implementation of new data technologies and tools.
* Continuously monitor system performance, identify bottlenecks, and implement improvements to optimize data pipelines.
* Manage and reduce technical debt through strategic recommendations and code refactoring.
**Experience and Qualifications:**
* Bachelor’s Degree in Computer Science Required.
* 5\-7 years of professional experience in relevant programming languages required.
* Receives general guidance and direction from senior data engineers or data architects. Acts as a technical lead for junior engineers.
* Makes independent decisions on technical tasks and approaches. Owns the design and implementation of data solutions. Escalates strategic decisions to senior leadership.
* May interact with internal stakeholders (data analysts, business analysts, product managers) to provide technical guidance and lead solution discussions.
**Why Mapfre?**
---------------
As a global insurance leader with a strong local presence, we offer more than a job — we provide a purpose\-driven career where your growth, well\-being, and impact truly matter.  
**Purpose \&amp; Culture:** Join a company built on trust, collaboration, and inclusion. Our values guide everything we do, creating a workplace where people feel respected and empowered.  
**Comprehensive Benefits:** Enjoy competitive health coverage, retirement plans, paid time off, flexible work options, and lifestyle perks like employee discounts.  
**Career Growth:** Advance your skills through tuition reimbursement, leadership programs, and internal mobility opportunities. Your development is our priority.  
**Social Responsibility:** Contribute to meaningful initiatives through Fundación Mapfre, supporting communities and sustainability worldwide.  
Pay Philosophy: The typical starting salary range for this role is determined by several factors including skills, experience, education, certifications, and location. Some roles at Mapfre are eligible for commission and/or bonus earnings, in addition to salary, calculated based upon factors set forth in the compensation plan for the role.  
**Salary Range**
----------------
$100,000 \- $160,000
*If you require an accommodation for a disability so that you may participate in the selection process, you are encouraged to contact the Mapfre Insurance Talent Acquisition team at* *talentacquisition@mapfreusa.com.*  
*We are proud to be an equal opportunity employer.*</t>
        </is>
      </c>
    </row>
    <row r="26">
      <c r="A26" t="inlineStr">
        <is>
          <t>in-a1c33e9a1620ffc0</t>
        </is>
      </c>
      <c r="B26" t="inlineStr">
        <is>
          <t>Mid-level GIS Data Engineer</t>
        </is>
      </c>
      <c r="C26" t="inlineStr">
        <is>
          <t>CQC Aeronautics</t>
        </is>
      </c>
      <c r="D26" t="inlineStr">
        <is>
          <t>indeed</t>
        </is>
      </c>
      <c r="E26">
        <f>HYPERLINK("https://www.indeed.com/viewjob?jk=a1c33e9a1620ffc0", "https://www.indeed.com/viewjob?jk=a1c33e9a1620ffc0")</f>
        <v/>
      </c>
      <c r="F26">
        <f>HYPERLINK("http://www.indeed.com/job/mid-level-gis-data-engineer-a1c33e9a1620ffc0", "http://www.indeed.com/job/mid-level-gis-data-engineer-a1c33e9a1620ffc0")</f>
        <v/>
      </c>
      <c r="G26" t="inlineStr">
        <is>
          <t>Remote, US</t>
        </is>
      </c>
      <c r="H26" s="2" t="n">
        <v>46069</v>
      </c>
      <c r="I26" t="inlineStr">
        <is>
          <t>**About Us**
CQC Aeronautics, Inc. empowers aircraft operators, airports, vendors, and regulatory bodies with cutting edge flight operations engineering solutions that identify risk, enhance safety and solve complex aviation challenges.
**Job Brief:**
We are looking for a GIS Engineer to assist with designing and building scalable, cloud\-native PostgreSQL/PostGIS database infrastructure. Your job will be to create and maintain robust GIS data stores for large aviation datasets used to serve cutting\-edge aviation software. The Company will rely on your expertise to create secure, efficient and innovative solutions. You will work as a key member of a small, experienced development team to rapidly architect and create the foundational infrastructure for our company and serve the needs of early adopters as our portfolio grows. The aviation industry produces and maintains massive amounts of varied geospatial data and our solutions require this data to be collected, maintained, and served efficiently and reliably. As an early hire, your input and expertise will be key to the success of our applications and our company.
The role is highly collaborative, requiring daily interaction with other experienced developers, data analysts, and aviation experts. The GIS Engineer will be expected to analyze conceptual design descriptions and API requirements to develop data models and source data requirements to fulfill the needs of the platform. The Engineer will examine existing data sources and develop data pipelines designed to be efficient and robust.
As an early\-stage team member, the GIS Engineer will be expected to bring their own insights and experience to bear in creating a stable and scalable database and ETL architecture. This includes the recommendation of new technologies, database optimizations, and architectural patterns for use within the software stack and providing cost justification, guidance documents, or other training to existing team members when necessary.
**Responsibilities:**
* Engineer and implement scalable, high\-performance aeronautical data stores utilizing PostgreSQL with the PostGIS extension.
* Design and maintain ETL processes for ingesting and maintaining a wide variety of aeronautical and geospatial data.
* Collaborate with front\- and back\-end engineers, data scientists, and domain experts to develop well\-structured and intuitive geospatial databases and warehouses.
* Ensure performance, security, and scalability best practices are followed.
* Participate with a growing team of engineers and developers within your areas of expertise and collaborate with other senior developers to progress the growth and capability of a cross\-functional team.
* Stay current with emerging database and GIS technologies, cloud infrastructure tools, and geospatial standards that could enhance system efficiency.
**Requirements:**
* Bachelor's degree in Computer Science, Information Technology, or related field; advanced degree preferred.
* Expertise (3\+ years) working with Postgres and PostGIS database platforms.
* Strong experience with ETL processes and temporal data management including FME Form and FME Flow.
* Willingness to work on a small, collaborative and motivated team of developers and subject matter experts, sharing your knowledge, skills and ideas in a constructive team effort.
* Experience managing complex data flows.
* Strong analytical and problem\-solving abilities, with a demonstrated enthusiasm for learning new tools and technologies.
* Experience working in Agile or Scrum environments.
**Nice to have:**
* Solid understanding of modern SQL development and relational database best practices
* Knowledge of aviation data standards (AIXM, Airport Data Information Portal) and/or experience with aviation\-related data sets.
* Experience working with processing of streaming datasets, especially FAA services and/or flight data
* Experience with FME Form and FME Flow, FME Flow administration or other GIS back\-end frameworks and OGC\-compliant applications.
* Willing to learn aviation concepts, engineering, and best practices.
**Why Join Us?**
* **Competitive salary \&amp; benefits** (healthcare, remote work, flexible hours).
* **Equity potential** in a high\-growth start\-up.
* **Opportunity to work on cutting\-edge aviation software** with a passionate team where your decisions and expertise will shape the growth and capabilities of the company.
* **Professional development** through mentorship, training, and conference opportunities.
Job Type: Full\-time
Pay: $90,000\.00 \- $105,000\.00 per year
Benefits:
* Dental insurance
* Flexible schedule
* Health insurance
* Life insurance
* Paid time off
* Vision insurance
Experience:
* GIS data management: 4 years (Required)
Work Location: Remote</t>
        </is>
      </c>
    </row>
    <row r="27">
      <c r="A27" t="inlineStr">
        <is>
          <t>in-e225d1c0b77ee1ec</t>
        </is>
      </c>
      <c r="B27" t="inlineStr">
        <is>
          <t>Data Engineer</t>
        </is>
      </c>
      <c r="C27" t="inlineStr">
        <is>
          <t>CompoSecure</t>
        </is>
      </c>
      <c r="D27" t="inlineStr">
        <is>
          <t>indeed</t>
        </is>
      </c>
      <c r="E27">
        <f>HYPERLINK("https://www.indeed.com/viewjob?jk=e225d1c0b77ee1ec", "https://www.indeed.com/viewjob?jk=e225d1c0b77ee1ec")</f>
        <v/>
      </c>
      <c r="F27">
        <f>HYPERLINK("https://composecure.isolvedhire.com/jobs/1706848-9133.html", "https://composecure.isolvedhire.com/jobs/1706848-9133.html")</f>
        <v/>
      </c>
      <c r="G27" t="inlineStr">
        <is>
          <t>Somerset, NJ, US</t>
        </is>
      </c>
      <c r="H27" s="2" t="n">
        <v>46069</v>
      </c>
      <c r="I27" t="inlineStr">
        <is>
          <t>**About CompoSecure**
Founded in 2000, CompoSecure is a technology partner to market leaders, fintechs and consumers, enabling trust for millions of people around the globe. The company combines elegance, simplicity, and security to deliver exceptional experiences and peace of mind in the physical and digital world. CompoSecure's innovative payment card technology and metal cards with Arculus security and authentication capabilities deliver unique, premium branded experiences, enable people to access and use their financial and digital assets, and ensure trust at the point of a transaction. For more information, please visit **www.CompoSecure.com** and **www.GetArculus.com**.
 **Position Overview:**
The Data Engineer is responsible for designing, building, and maintaining robust data pipelines and solutions to support business analytics and reporting. This role focuses on leveraging Microsoft Azure, Microsoft Fabric, PySpark, SQL, APIs, and ETL processes to ensure efficient, secure, and high\-quality data delivery for enterprise analytics platforms such as Power BI. The Data Engineer will work fully on site, collaborating closely with cross\-functional teams to drive data efficiency and innovation.
**Key Responsibilities:**
**Data EngineeringPipeline Development**
* Design, develop, and maintain data pipelines using Azure Data Factory, Azure Synapse, and Microsoft Fabric Dataflows.
* Implement and maintain Medallion architecture in Fabric and Azure environments.
* Build ingestion and transformation flows that efficiently convert raw Parquet files into Delta tables to support curated, incremental, and governed datasets optimized for Power bi.
* Implement efficient data lakehouse patterns within Microsoft Fabric.
 **Data ModelingOptimization**
* Design and maintain star schemas, dimensional models, and semantic layers for Power Bi.
* Collaborate with Power Bi developers to ensure models are performant and aligned to needs.
* Tune queries, optimize partitioning, and manage performance across Fabric and Synapse environments.
 **Cloud Data ArchitectureGovernance**
* Ensure solutions follow Azure best practices for scalability, cost efficiency, and security.
* Implement data governance, lineage, and cataloging via Microsoft Purview and Fabric capabilities.
* Partner with IT security and compliance teams to enforce data access controls.
 **Routine IT Functions**
* Handles all Help Desk tickets related to reporting.
* Performs general software and hardware installations as required.
**Other Important Responsibilities:**
* Handles related email and telephone correspondence in a timely and professional manner.
* Responds to inquiries for the purpose of resolving problems, providing information and/or referring to appropriate personnel.
* Will be required to perform other job functions, as assigned.
**Qualifications:**
* Minimum 5 years of relevant experience.
* Strong expertise in data languages (Python, SQL, DAX, M, R, etc.) and handling large data sets using PySpark.
* Strong expertise in Azure Data Factory, Azure Synapse Analytics, Databricks (nice\-to\-have), and Microsoft Fabric.
* Hands\-on experience implementing Medallion architecture in a lakehouse environment.
* Expertise in transforming Parquet datasets into Delta tables for reliable, incremental processing.
* Experience building ETL/ELT pipelines and working with both structured and unstructured data.
* Familiarity with CI/CD for data pipelines a plus.
* Experience with Power BI integration and data modeling.
* Excellent analytical and problem\-solving skills.
* Excellent record keeping and auditing skills.
* Excellent communication skills, both oral and written.
* Strong attention to detail and ability to self\-check work.
* Excellent time management skills.
* Task oriented excellent organizational skills, ability to prioritize workload.
* Enthusiastic attitude, cooperative team player, adaptable to new or changing circumstances, professional demeanor, sensitive to client needs, self\-motivated, creative and innovative.
**Physical requirements and work environment:**
* Must be able to work beyond 40 hour week during upgrades or new functionality rollout if necessary.
* Must be able to work flex schedule. Weekends and late hours or staggered shifts.
* Must have valid driver's license and personal vehicle.
* Must be able to lift 50 lbs.
* Must be able to sustain office work for 8\+ hours per day including the following:
	+ Sitting in an office chair
	+ Typing
	+ Reaching for the telephone
	+ Standing at office equipment
	+ Hearing for phone use
	+ Sight for computer use
* Office environment is of moderate noise level.
At CompoSecure, we believe in supporting our employees with a comprehensive benefits package that promotes health, financial well\-being, and work\-life balance. Our full\-time team members enjoy access to:
* Medical, DentalVision Coverage
* Flexible Spending Accounts (FSA)
* Company\-Paid Life and Disability Insurance
* 401(k) with Company Match
* Paid Time OffPaid Holidays
* Annual Bonus Opportunities
* Employee Assistance Program (EAP)
* Career Advancement Opportunities
Benefits eligibility and details will be shared during the hiring process. We're excited to support you in building a rewarding career with us.
 **Please note:** CompoSecure does not accept unsolicited resumes from staffing agencies or third\-party recruiters. Any unsolicited resumes sent to CompoSecure, including to our employees, will become the property of CompoSecure and may be used without any obligation to pay referral or placement fees. Any agency or recruiter seeking to work with CompoSecure's Talent Acquisition Team should contact our team directly by sending an email to recruiting@composecure.com.
CompoSecure is an Equal Opportunity Employer. All qualified applicants will receive consideration for employment without regard to race, color, religion, sex, or national origin. We are also an equal opportunity employer of individuals with disabilities and protected veterans.</t>
        </is>
      </c>
    </row>
    <row r="28">
      <c r="A28" t="inlineStr">
        <is>
          <t>in-4237232d380da8d4</t>
        </is>
      </c>
      <c r="B28" t="inlineStr">
        <is>
          <t>VP of Data Engineering</t>
        </is>
      </c>
      <c r="C28" t="inlineStr">
        <is>
          <t>Strategic Legal Practices</t>
        </is>
      </c>
      <c r="D28" t="inlineStr">
        <is>
          <t>indeed</t>
        </is>
      </c>
      <c r="E28">
        <f>HYPERLINK("https://www.indeed.com/viewjob?jk=4237232d380da8d4", "https://www.indeed.com/viewjob?jk=4237232d380da8d4")</f>
        <v/>
      </c>
      <c r="F28">
        <f>HYPERLINK("https://apply.workable.com/j/93B4DA8A18", "https://apply.workable.com/j/93B4DA8A18")</f>
        <v/>
      </c>
      <c r="G28" t="inlineStr">
        <is>
          <t>Los Angeles, CA, US</t>
        </is>
      </c>
      <c r="H28" s="2" t="n">
        <v>46068</v>
      </c>
      <c r="I28" t="inlineStr">
        <is>
          <t>### **About Strategic Legal Practices**
Based in Los Angeles, Strategic Legal Practices is one of the largest litigation firms within California, representing clients in a range of consumer protection and civil litigation matters. Our Firm measures our success by how well our clients do. We are armed with a group of experienced attorneys, led by one of the most successful Lemon Law and Consumer Fraud litigators in California. The best predictor of performance is our record of achievement. We are proud to have successfully helped thousands of clients in their pursuit against car manufacturers. Our success rate is unmatched by any other Firm.
### **Position Summary**
The Vice President of Data is responsible for building and leading the firm’s data strategy, analytics, and reporting infrastructure to support legal operations, firm leadership, and business growth. This role owns enterprise data systems, reporting, and insights — translating complex data into actionable intelligence for attorneys, leadership, and operational teams.
### **Essential Duties \&amp; Responsibilities**
### **1\. Data Strategy \&amp; Governance**
* Develop and execute a firm\-wide data strategy aligned with business goals, growth plans, and operational efficiency.
* Serve as the senior leader responsible for data architecture, analytics, and reporting across all departments.
* Establish data priorities that support litigation outcomes, client performance, financial forecasting, and resource allocation.
* Advise executive leadership using data\-driven insights to inform strategic decisions.
### **2\. Engineering Leadership \&amp; Execution**
* Lead and scale the Firm’s data infrastructure, analytics platforms, and software systems.
* Oversee the development of data pipelines, reporting tools, and analytics solutions that drive efficiency and insight.
* Ensure systems are reliable, scalable, and aligned with long\-term technology strategy.
* Drive delivery of high\-quality solutions on time and within scope.
### **3\. Technology Roadmap \&amp; Innovation**
* Develop and maintain a forward\-looking technology roadmap in collaboration with cross\-functional leaders.
* Identify and implement modern data and cloud architectures (e.g., analytics platforms, automation tools, AI\-driven solutions).
* Evaluate and deploy emerging technologies to improve performance, reduce costs, and enhance scalability.
* Lead initiatives related to AI agents, analytics automation, and workflow optimization.
### **4\. Team Development \&amp; Organizational Design**
* Recruit, mentor, and retain a team of data engineers, analytics professionals, and software specialists.
* Design organizational structures that support scalability, operational efficiency, and continuous improvement.
* Foster a culture of accountability, technical excellence, and collaboration.
* Conduct performance evaluations and support professional development.
### **5\. Cross\-Functional Collaboration**
* Partner with business leaders across legal operations, finance, HR, and technology to align data initiatives with firm priorities.
* Translate complex technical concepts into actionable insights for non\-technical stakeholders.
* Support data\-driven decision\-making across departments.
### **6\. Operational Excellence \&amp; Metrics**
* Monitor and optimize engineering KPIs, infrastructure performance, and data reliability.
* Improve platform efficiency, reduce redundancy, and manage operational costs.
* Ensure analytics and reporting solutions meet business needs and support strategic decision\-making.
### **7\. AI \&amp; Automation Enablement**
* Lead the implementation of AI\-driven intelligence and automation to improve productivity and reduce operational burden.
* Identify opportunities where data and automation can enhance Firm workflows and outcomes.
* Measure and report the impact of AI and automation initiatives.
### **8\. Data Governance \&amp; Quality**
* Establish firm\-wide standards for data accuracy, consistency, and ownership.
* Define data governance processes (naming conventions, access controls, validation rules).
* Ensure data is secure and appropriately accessible across teams.
* Partner with Legal, IT, and Compliance teams on privacy and security requirements (without owning legal compliance).
**Requirements**
### **Qualifications**
**Required**
* Bachelor’s degree in Computer Science, Engineering, Data Science, or a related field.
* Extensive experience in data engineering, analytics platforms, and enterprise data systems.
* Proven leadership experience managing technical teams and complex initiatives.
* Strong understanding of data governance, security, and compliance.
* Ability to operate at an executive level while remaining hands\-on when needed.
**Preferred**
* Advanced degree in a related field.
* Experience in professional services, legal, or regulated environments.
* Experience implementing AI, automation, or advanced analytics solutions.
Compensation: $180,000 \- $220,000 per year
This role is on site in Century City/Los Angeles
**Benefits**
We’re committed to supporting the well\-being and success of our team through a robust and thoughtfully designed benefits package, including:
* **401(k) with Employer Match** – Plan for your future with confidence and company support.
* **Health, Dental, and Vision Insurance** – Comprehensive coverage to keep you and your family healthy.
* **Short\-Term, Long\-Term Disability \&amp; Life Insurance** – Financial protection for life’s unexpected events.
* **Paid Parking** – Convenient and covered, so you can focus on your day.
* **Generous Paid Time Off** – Ample time to rest, recharge, and take care of personal matters.
* **Employee Referral Program** – Earn rewards for introducing talented individuals to our team.
* **Employee Assistance Program (EAP)** – Confidential resources for personal and professional support.
* **Employee Discount Program** – Access to exclusive savings on a variety of products and services.</t>
        </is>
      </c>
    </row>
    <row r="29">
      <c r="A29" t="inlineStr">
        <is>
          <t>in-f354d277f7636f28</t>
        </is>
      </c>
      <c r="B29" t="inlineStr">
        <is>
          <t>Director, Data Engineering</t>
        </is>
      </c>
      <c r="C29" t="inlineStr">
        <is>
          <t>Caterpillar</t>
        </is>
      </c>
      <c r="D29" t="inlineStr">
        <is>
          <t>indeed</t>
        </is>
      </c>
      <c r="E29">
        <f>HYPERLINK("https://www.indeed.com/viewjob?jk=f354d277f7636f28", "https://www.indeed.com/viewjob?jk=f354d277f7636f28")</f>
        <v/>
      </c>
      <c r="F29">
        <f>HYPERLINK("https://careers.caterpillar.com/en/jobs/r0000350652/director-data-engineering/", "https://careers.caterpillar.com/en/jobs/r0000350652/director-data-engineering/")</f>
        <v/>
      </c>
      <c r="G29" t="inlineStr">
        <is>
          <t>Mossville, IL, US</t>
        </is>
      </c>
      <c r="H29" s="2" t="n">
        <v>46068</v>
      </c>
      <c r="I29"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**Role Summary**
The Director of Data Engineering is a senior technology leader responsible for designing, building, and scaling the enterprise data engineering ecosystem that powers Cat Technology platforms. This role will lead the extension of the Data Platform to support the physical AI platform for machine and jobsite autonomy, ensuring high‑quality, well\-architected, and reliable data products that enable analytics, insights, and downstream applications.
The Director will set the vision for data design and architecture, oversee data acquisition and ingestion strategies, and lead the development of robust data engineering pipelines for transformation, quality, storage, and access. This role partners closely with business stakeholders, analytics, product, and various platform engineering teams to ensure data solutions are scalable, secure, and aligned to enterprise priorities.
**What you will do:**
* Define and own the data engineering strategy in support of Cat Technology platforms, including the data and AI platform.
* Lead, mentor, and develop data engineers, architects, and technical leads to build high‑performing teams
* Establish standards, best practices, and governance for data engineering, architecture, and lifecycle management
* Design and oversee scalable, secure, and resilient data architectures across cloud and hybrid environments
* Own data acquisition and ingestion strategies, including batch, streaming, and near‑real‑time pipelines
* Oversee development of reliable, cost‑effective data pipelines with strong data quality, monitoring, and observability
* Partner with product, analytics, platform, and business stakeholders to translate requirements into scalable data solutions
**What you will have:**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Engineering:** Knowledge of software engineering; ability to deliver new or enhanced fee\-based software products.
* **Software Reliability Management:** Knowledge of software reliability management; ability to develop and use principles, methodologies and metrics that increase software product performance and reliability.
* **Agile Development:** Knowledge of agile methodologies and the agile development lifecycle; ability to utilize formal agile methodologies, disciplines, practices and techniques for the delivery of new and enhanced applications.
**Top candidates will have:**
* 10\+ years of experience in data engineering, data architecture, or related roles, with at least 5 years in a people‑leading or senior leadership capacity.
* Strategic thinker with the ability to balance long‑term vision and near‑term delivery.
* Strong people leader who develops talent and builds high‑performing teams.
* Strong experience designing and operating large‑scale data platforms and pipelines.
* Deep understanding of data modeling, data warehousing, and modern data architectures.
* Proven experience leading complex, cross‑functional initiatives in an enterprise environment.
* Experience supporting multi‑platform or product‑based data ecosystems.
* Hands‑on experience with cloud‑based data platforms, modern ETL/ELT frameworks, and data observability tools.
* Familiarity with data governance, privacy, and security best practices.
* Strong business acumen with the ability to align technical solutions to organizational outcomes.
**Additional Details:**
* This position requires the candidate to be based in either Chicago, IL ; Mossville, IL or Dallas, TX
* Domestic relocation assistance is available for this position.
* Visa sponsorship is NOT available with this position.
\#LI
**Summary Pay Range:**
$189,080\.00 \- $283,630\.00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16, 2026 \- February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0">
      <c r="A30" t="inlineStr">
        <is>
          <t>in-e8a482a0bd645268</t>
        </is>
      </c>
      <c r="B30" t="inlineStr">
        <is>
          <t>Data Engineer I</t>
        </is>
      </c>
      <c r="C30" t="inlineStr">
        <is>
          <t>ConstructConnect</t>
        </is>
      </c>
      <c r="D30" t="inlineStr">
        <is>
          <t>indeed</t>
        </is>
      </c>
      <c r="E30">
        <f>HYPERLINK("https://www.indeed.com/viewjob?jk=e8a482a0bd645268", "https://www.indeed.com/viewjob?jk=e8a482a0bd645268")</f>
        <v/>
      </c>
      <c r="F30">
        <f>HYPERLINK("https://careers-constructconnect.icims.com/jobs/2049/job?utm_source=indeed_integration&amp;iis=Job%20Board&amp;iisn=Indeed&amp;indeed-apply-token=73a2d2b2a8d6d5c0a62696875eaebd669103652d3f0c2cd5445d3e66b1592b0f", "https://careers-constructconnect.icims.com/jobs/2049/job?utm_source=indeed_integration&amp;iis=Job%20Board&amp;iisn=Indeed&amp;indeed-apply-token=73a2d2b2a8d6d5c0a62696875eaebd669103652d3f0c2cd5445d3e66b1592b0f")</f>
        <v/>
      </c>
      <c r="G30" t="inlineStr">
        <is>
          <t>Atlanta, GA, US</t>
        </is>
      </c>
      <c r="H30" s="2" t="n">
        <v>46068</v>
      </c>
      <c r="I30" t="inlineStr">
        <is>
          <t>Overview:
This position sits within our Product Development division, which develops, tests, and improves our software solutions in an innovative and collaborative environment.  
ConstructConnect has built up multiple sources of data over the course of many years and acquisitions and is looking for a full\-time Data Engineer. Our Data Engineers work to build bridges and pathways between data sources. Our goal of one source of truth is accomplished with a myriad of tools as we build out the company’s data lake and data warehouse. This role has the unique opportunity to consume and manage the nation’s largest collection of construction data.  
The ideal candidate for this role is excited about data in all its forms, desires to build a source of data truth, and is looking forward to leveraging Google Cloud’s vast array of data technologies. **The Opportunity**  
The Data Engineer enhances our data pipelines using a combination of technologies and standard engineering practices. They are responsible for working with the software engineering, marketing, product, data science, and customer service teams to ensure our data is delivered in a timely and scalable fashion.
Responsibilities:
**What You’ll Be Doing*** Assembling large, complex sets of data that meet business requirements
* Modernizing and innovating data delivery pipelines using cloud technologies
* Ensure data is properly curated and transformed for analysis and consumption
* Collaborate with data scientists and architects
* Learn and apply AI technologies: Gain familiarity with AI tools and frameworks to assist in GTM Systems tasks
* This job description in no way implies that the duties listed here are the only ones that team members can be required to perform
Qualifications:
**What You Bring to the Team*** Bachelor’s Degree or equivalent experience in Computer Sciences, Database Development, or a related discipline
* 1 – 3 years professional experience managing Data Lakes and Data Warehouses
* Creative problem\-solver who is passionate about digging into complex problems and devising new approaches to reach results
* Strong communication skills and experience distilling and presenting complex quantitative analysis into action\-oriented recommendations
* Understanding of programming languages such as Python, JavaScript, C\#, or other language
* Understanding of SQL Queries, Stored Procedures, Views, and Triggers
* Understanding of the concepts of ETL or ELT (Extract, Transform, Load) processes
* Familiarity with cloud\-based data technologies
Experience with the following will help you ramp up more quickly, but is not required:
* dbt (Data Build Tool) for building and maintaining data models and transformations
* Strong, production\-quality SQL for analytics and data engineering workloads
* Git\-based workflows (ideally GitLab) for version control, code review, and collaboration
 **Physical Demands and Work Environment*** The physical activities of this position include frequent sitting, telephone communication, working on a computer for extended periods of time. Visual acuity is required to perform activities close to the eyes.
* Team members are expected to maintain a dedicated and ergonomically appropriate remote workspace.
* Team members who live within commuting distance of our office location in Peachtree Corners (Metro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31">
      <c r="A31" t="inlineStr">
        <is>
          <t>in-bca206151f1655a0</t>
        </is>
      </c>
      <c r="B31" t="inlineStr">
        <is>
          <t>Principal Data Engineer</t>
        </is>
      </c>
      <c r="C31" t="inlineStr">
        <is>
          <t>General Dynamics Bath Iron Works</t>
        </is>
      </c>
      <c r="D31" t="inlineStr">
        <is>
          <t>indeed</t>
        </is>
      </c>
      <c r="E31">
        <f>HYPERLINK("https://www.indeed.com/viewjob?jk=bca206151f1655a0", "https://www.indeed.com/viewjob?jk=bca206151f1655a0")</f>
        <v/>
      </c>
      <c r="F31">
        <f>HYPERLINK("https://careers-gdbiw.icims.com/jobs/5059/principal-data-engineer/job", "https://careers-gdbiw.icims.com/jobs/5059/principal-data-engineer/job")</f>
        <v/>
      </c>
      <c r="G31" t="inlineStr">
        <is>
          <t>Bath, ME, US</t>
        </is>
      </c>
      <c r="H31" s="2" t="n">
        <v>46068</v>
      </c>
      <c r="I31" t="inlineStr">
        <is>
          <t>**Job Description**
-------------------
We are seeking a skilled Data Engineer to join the Data Services team at Bath Iron Works. This role will help transform our data architecture and drive data\-driven decision making across the company. In this role you will play an important part in the build\-out of our data warehouse and associated data marts. You will also work with business stakeholders throughout the development process to ensure that the created data products align with the business need.  
The ideal candidate will have hands\-on experience in relational databases like SQL Server and Oracle, strong Python skills for data processing and automation, and a foundation in SDLC best practices. You will play a key role in designing, building, and maintaining scalable and reliable data pipelines that support business intelligence and analytics.  
Responsibilities include, but are not limited to:* Design, develop, and maintain robust ETL/ELT pipelines using SSIS, Python, and SQL.
	+ Extract data from various structured sources including SQL Server and Oracle.
	+ Cleanse, transform, and load data into target systems (e.g. data lakes or warehouses).
* Write optimized SQL queries, stored procedures, and functions in SQL Server and Oracle.
* Perform data modeling, indexing, partitioning, and performance tuning.
* Ensure high data quality, consistency, and integrity through validation routines and monitoring.
* Follow best practices for data security, compliance, and documentation.
* Collaborate with data analysts, architects, software engineers, and business stakeholders to understand data requirements.
* Participate in code reviews, project planning, and technical discussions.
**Required/Preferred Education/Training**
-----------------------------------------
* Bachelor’s degree in Computer Science, Information Systems, Engineering, or a related field.
* 3–6 years of professional experience as a Data Engineer, Database Developer, or similar role.
**Required/Preferred Experience**
---------------------------------
**Required Experience*** Strong hands\-on experience with SQL Server and Oracle.
* Proficiency in T\-SQL and PL/SQL.
* Solid programming experience with Python
* Experience writing scripts for data manipulation, automation, and orchestration.
* Familiarity with ETL tools or frameworks (e.g., Azure Data Factory, SSIS, or custom Python pipelines).
* Familiarity with version control tools like Git.
**Preferred Experience*** Working knowledge of Azure data services, especially Azure Data Factory, Azure Storage, and Azure SQL.
* Basic understanding of Azure networking, security, and resource management.
* Understanding of CI/CD pipelines.</t>
        </is>
      </c>
    </row>
    <row r="32">
      <c r="A32" t="inlineStr">
        <is>
          <t>in-d362beee7ff98d35</t>
        </is>
      </c>
      <c r="B32" t="inlineStr">
        <is>
          <t>Senior Data Engineer</t>
        </is>
      </c>
      <c r="C32" t="inlineStr">
        <is>
          <t>Nextech Systems</t>
        </is>
      </c>
      <c r="D32" t="inlineStr">
        <is>
          <t>indeed</t>
        </is>
      </c>
      <c r="E32">
        <f>HYPERLINK("https://www.indeed.com/viewjob?jk=d362beee7ff98d35", "https://www.indeed.com/viewjob?jk=d362beee7ff98d35")</f>
        <v/>
      </c>
      <c r="F32">
        <f>HYPERLINK("https://jobs.lever.co/nextech/f791e063-08a6-498d-86df-c50c12e0a5f8", "https://jobs.lever.co/nextech/f791e063-08a6-498d-86df-c50c12e0a5f8")</f>
        <v/>
      </c>
      <c r="G32" t="inlineStr">
        <is>
          <t>Remote, US</t>
        </is>
      </c>
      <c r="H32" s="2" t="n">
        <v>46068</v>
      </c>
      <c r="I32" t="inlineStr">
        <is>
          <t>**Why join Nextech?**  
We are a leader in specialty healthcare technology solutions.  
We’re committed to hiring and retaining talent, which is why we invest in our employees through competitive pay, a generous bonus structure, great healthcare, a comprehensive wellness program, and many other benefits.  
If you are a software engineer, finance or accounting professional, customer support specialist, or a business development expert with a passion for healthcare technology (just to name a few), we want to hear from you.  
We are an equal opportunity employer with a commitment to diversity. All individuals, regardless of personal characteristics are encouraged to apply. If you are a candidate in need of assistance or an accommodation in the application process, please contact talent@nextech.com .  
**About the Role**  
We’re looking for a Senior Data Engineer to help with optimization, support and deployment of our cloud\-based data systems that power mission\-critical healthcare applications. You’ll play a key role in building secure, scalable, and compliant database solutions using Azure SQL Server, and other cloud\-native technologies. Additionally, you will work in supporting the evolution of our analytics lakehouse and all of its data sources. Our platform supports real\-time clinical workflows, patient data analytics, and regulatory reporting—so precision, performance, and privacy are paramount.  
This is a hybrid role, where having a solid background in administration or operations of data platforms as well as exploring data lakehouse tools and strategy are preferred.  
All activities must be in compliance with Equal Employment Opportunity laws, HIPAA, ERISA and other regulations, as appropriate.
### **Essential Skills:**
* + Design, deploy, maintain and support cloud based SQL Server environments across VM’s, Azure SQL and Azure SQL Managed Instance platforms
	+ Troubleshoot performance issues using standard tools and monitoring platforms, improving client outcomes within our product data platforms
	+ Ensures high\-quality outcomes by refining processes, validating infrastructure changes, and mentoring others on standards.
	+ Works with product development to adhere to best practices during SDLC
	+ Takes ownership of support issues, working with other engineering teams on data platform product solutions
	+ Anticipates customer needs and designs solutions that add long\-term value
	+ Partners with stakeholders to refine requirements and improve outcomes
	+ Advocates for customer\-centric practices within engineering teams
	+ Mentors junior engineers on processes/procedure using best practices to improve the work environment
	+ Reviews Data Protection and Compliance technologies ensuring they meet industry standard and best practices
	+ Ensures high\-quality outcomes by refining processes, validating infrastructure changes, and mentoring others on standards
	+ Ability to leverage log exhaust to create robust real time monitoring and alerting for platforms and processes
	+ Proactively adjusts to shifting priorities and business needs
	+ Responds quickly and effectively to complex incidents or outages
	+ Guides others in managing change and uncertainty in technical environments
### **Minimum Requirements:**
* + 5\-7\+ years of experience with SQL Server and Azure SQL in production environments, ideally within healthcare or regulated industries
	+ Deep understanding of cloud database architecture, PaaS vs IaaS, and hybrid cloud models
	+ Expert command of T\-SQL, PowerShell, as well as Python or C\# for automation and scripting
	+ Experience with infrastructure\-as\-code tools like Terraform, Bicep, or ARM templates
	+ Familiarity with FHIR, HL7, or other healthcare data standards is a plus
	+ Proven ability to work cross\-functionally with product, compliance, and clinical teams
	+ Excellent communication and documentation skills
### **Preferred Qualifications:**
* + Experience with Azure Fabric, Databricks or other big data platforms for large\-scale healthcare analytics
	+ Exposure to Python for data engineering, automation, or ML pipeline integration
	+ Basic understanding of streaming data architectures (e.g., Azure Event Hubs, Kafka) and real\-time analytics
	+ Familiarity with Delta Lake, Parquet, or Lakehouse architectures
	+ Understanding of data mesh principles and distributed data ownership models
	+ **Microsoft Certified:** Azure Database Administrator Associate or equivalent
### **Working Environment/Physical Demands:**
* + **100% Remote**
	+ Activities require a significant amount of work in front of a computer monitor
	+ Long\-distance or air travel as needed – not to exceed 10% travel
**Total Rewards**  
Generous **annual bonus** opportunity
**401(k)** with **Employer Match****Flexible Time Off:** take time off when you need it without worrying about available hours
11 paid holidays
Volunteer Time Off
**Insurance:** Choice of **Medical, Dental, and Vision plans**Health Savings Account with employer match
Flexible Spending Account
100% Company\-Paid Parental leave (After 6 months with the company)
100% Company\-Paid Life Insurance and Short/Long Term Disability Insurance
**Nextech Luminary Peer** Recognition Program
Wellness Program including discounts on medical premiums
Employee Assistance Program with free counseling sessions available
Corporate Discounts on Retail, Travel, and Entertainment
Pet Insurance options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in-0a818decb4738403</t>
        </is>
      </c>
      <c r="B33" t="inlineStr">
        <is>
          <t>Principal Data Engineer</t>
        </is>
      </c>
      <c r="C33" t="inlineStr">
        <is>
          <t>Vera Bradley</t>
        </is>
      </c>
      <c r="D33" t="inlineStr">
        <is>
          <t>indeed</t>
        </is>
      </c>
      <c r="E33">
        <f>HYPERLINK("https://www.indeed.com/viewjob?jk=0a818decb4738403", "https://www.indeed.com/viewjob?jk=0a818decb4738403")</f>
        <v/>
      </c>
      <c r="F33">
        <f>HYPERLINK("https://verabradley.wd5.myworkdayjobs.com/en-US/vbcareers/job/Corporate-Headquarters---Roanoke-IN/Principal-Data-Engineer_R020143", "https://verabradley.wd5.myworkdayjobs.com/en-US/vbcareers/job/Corporate-Headquarters---Roanoke-IN/Principal-Data-Engineer_R020143")</f>
        <v/>
      </c>
      <c r="G33" t="inlineStr">
        <is>
          <t>Roanoke, IN, US</t>
        </is>
      </c>
      <c r="H33" s="2" t="n">
        <v>46068</v>
      </c>
      <c r="I33" t="inlineStr">
        <is>
          <t>At Vera Bradley, a Principal Data Engineer works as a highly collaborative senior technical professional to design and build our data infrastructure, as well as consulting with colleagues and partners on how best to apply and gain insights from our data. This role contributes to profitable growth by supporting both sales increases and cost savings, achieved with tools and processes maintained and/or built by the data team.
Responsibilities* Design, build, and maintain the infrastructure that enables the collection, storage, processing, and analysis of large volumes of data, including data pipelines and data architecture on the Azure platform using SQL Server and other technologies
* Develop data integration solutions to bring together disparate data sources, coherently
* Deploy data quality and data governance processes to ensure data accuracy, consistency, and compliance in the context of the retail industry
* Support retail data and analytics product discovery, consulting to align technical approaches that support desired process and features
* Support efforts to develop insights from data to drive business growth and success, across teams
* Stay current with best practices in data engineering, data architecture, and Azure cloud computing
* Establish and instruct on architectural, development and documentation standards, and best practices
* Mentor team members and share knowledge
Skills \&amp; Experience* Bachelor's or Master's degree in Computer Science, Information Technology, or a related field
* 8\+ years of experience in Azure and SQL Server data engineering and architecture
* Exceptional knowledge of SQL Server database administration, data modeling, and data warehousing
* Deep experience on the Azure platform, including Azure Data Factory, Azure Databricks, etc.
* Retail industry experience, especially with data pipelines, architecture, governance, quality, and security
* Strong analytical and problem\-solving skills
* Ability to design, build, and maintain scalable and reliable data pipelines and architecture
* Strong communication and collaboration skills
* Experience using agile software development practices
* Detail\-oriented with the ability to prioritize short\- and long\-term projects at the same time
We are proud of the competitive and comprehensive compensation and benefit package provided to our associates and their families. Our compensation package is designed to meet our associates today and help them plan for the future.
Health Benefits
VRA offers a variety of medical, dental and vision programs to meet your family’s health care needs.* Medical plan options including both a HDHP/HSA plan and a PPO plan
* Dental
* Vision
* Flexible spending accounts
Survivor Benefits
Life insurance provides peace of mind for your family should the unexpected happen.* Employer provided 2X your salary in life insurance
* Accidental Death and Disability insurance
* Voluntary life insurance for you, your spouse and your children
Income Protection
If you are unable to work due to illness or injury VRA provides several programs to protect your income at no cost to you.* Short\-term disability
* Long\-term disability
* Paid family medical leave
Retirement Plan
The VRA 401k plan helps you accumulate savings for retirement* 401k with generous company match, immediate vesting (age and service requirement)
* Strong line up of professionally managed funds
* Safe\-harbor plan design
Paid Time Off
Enjoy generous time off programs.* Earn up to 3 weeks of paid time off in your first year of employment with opportunity to earn more
* 9 paid holidays a year
* Paid bereavement leave
Give Back Opportunities
VRA offers the opportunity to serve your community.* Voluntary Time Off
Holistic Wellness* Access to a variety of financial, physical, and mental wellness experts
* Employee Assistance Program with access to work/life wellness support including no cost unlimited telephonic counseling services
* Opportunities for leadership development, skill development and career advancement
Product Discount* Generous employee discount on Vera Bradley products
Ancillary Benefits and Programs* Bonus opportunity, identity protection, legal services, pet insurance, cell phone discount, employee referral bonus, annual birthday gift, DailyPay, corporate fitness facility and individual policies through Aflac
Equal Opportunity Employer/Vets/Disabled
Vera Bradley is an Equal Opportunity Employer and Affirmative Action Employer.
Vera Bradley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For more information, please click the following links:
Vera Bradley's Equal Employment and Affirmative Action Policy
Know Your Rights: Workplace Discrimination is Illegal (in English)
Know Your Rights: Workplace Discrimination is Illegal (in Spanish)
Pay Transparency (in English)
Pay Transparency (in Spanish)
E\-Verify Participation Poster
Right to Work Poster (English)
Right to Work Poster (Spanish)
California Privacy Notice
If you need a reasonable accommodation for any part of the employment application process, please send an e\-mail to applicationassistance@VeraBradley.com. Please include the accommodation you are requesting and your contact information. Reasonable accommodations are considered on a case\-by\-case basis. Please note that only inquiries concerning a request for reasonable accommodation and other EEO/Affirmative Action issues will be responded to from this e\-mail address.
Our intention is to fill this opening within 30 days of the original posting date and applications will be accepted on an on\-going basis until the position is filled.
Base Pay Range:
$104,300\.00 \- $156,500\.00*Vera Bradley’s compensation ranges are based on market data and comply with all local, state and federal regulations. Individual pay within the listed range depends on work location, skills, experience, and relevant education. The posted salary reflects base pay only and excludes bonuses, equity, or other incentives, if applicable.*</t>
        </is>
      </c>
    </row>
    <row r="34">
      <c r="A34" t="inlineStr">
        <is>
          <t>in-d34e4318a9df2740</t>
        </is>
      </c>
      <c r="B34" t="inlineStr">
        <is>
          <t>Data Engineer, Databricks</t>
        </is>
      </c>
      <c r="C34" t="inlineStr">
        <is>
          <t>Emerson Howell Nagel &amp; Associates</t>
        </is>
      </c>
      <c r="D34" t="inlineStr">
        <is>
          <t>indeed</t>
        </is>
      </c>
      <c r="E34">
        <f>HYPERLINK("https://www.indeed.com/viewjob?jk=d34e4318a9df2740", "https://www.indeed.com/viewjob?jk=d34e4318a9df2740")</f>
        <v/>
      </c>
      <c r="F34">
        <f>HYPERLINK("https://ehnagel.com/career-opportunities.html", "https://ehnagel.com/career-opportunities.html")</f>
        <v/>
      </c>
      <c r="G34" t="inlineStr">
        <is>
          <t>NJ, US</t>
        </is>
      </c>
      <c r="H34" s="2" t="n">
        <v>46068</v>
      </c>
      <c r="I34" t="inlineStr">
        <is>
          <t>**"It's always best to know what your options are. Don't forget to manage career risk too!"**
---------------------------------------------------------------------------------------------
As a seasoned professional, you understand the importance of keeping your options open, hedging your bets, and thoroughly understanding the market. So even if you are not currently considering a change, establishing a relationship with an experienced executive recruiter can be invaluable.  
If you've begun to explore other options, then you also know that submitting your resume to the job boards and job banks of large corporations can be fruitless. In\-house recruiters often don't have the background to understand the requirements of highly technical positions or positions requiring very specific knowledge.  
We focus exclusively on risk, data analytics and FinTech, so we do understand the requirements. With us, your resume won't languish in a database, waiting to be discovered. And we understand the importance of confidentiality. We will never submit your resume for a position without your permission.
**Data Engineer, Databricks**  
**Northern NJ (onsite 2 days/week)**  
**Ref\#839**  
A ratings company is seeking a Data Engineer with Databricks experience to design, build, and optimize scalable data solutions. The ideal candidate will have 4\+ years of experience working as a Data Engineer, ETL Engineer, Data/ETL Architect or similar, with a Databricks certification.  
Responsibilities  
* Assist with leading the team's transition to the Databricks platform; use newer features of Delta Live Tables, Workflows etc.
* Design and develop data pipelines that extract data from Oracle, load it into the data lake, transform it into the desired format, and load it into the Databricks data lakehouse
* Optimize data pipelines and data processing workflows for performance, scalability, and efficiency
* Implement data quality checks and validations within data pipelines
* Help create and maintain documentation for data mappings, definitions, architecture and flows
* Build proof\-of\-concepts to determine viability of possible new processes and technologies
* Deploy and manage code in non\-production and production environments
* Investigate and troubleshoot data\-related issues and fix or provide solutions to fix defects
* Identify and resolve performance bottlenecks; optimize and tune databases and queries
Qualifications  
* Bachelor's in quantitative field with current/active Databricks Data Engineer/Analyst certification
* 4\+ years working as a Data Engineer, ETL Engineer, Data/ETL Architect or similar, using Python
* 3\+ years with Databricks (data structures, data storage and change data capture, prior production implementations of data pipelines, optimizations, and best practices)
* 3\+ years in Kimball dimensional modeling (star\-schema comprising facts, type1 and type2 dimensions, aggregates, etc.) with solid understanding of ELT/ETL
* 3\+ years writing SQL and PL/SQL code
* 2\+ years with Airflow
* 3\+ years working with relational databases (Oracle preferred)
* 2\+ years working with NoSQL databases: MongoDB, Cosmos DB, DocumentDB or similar
* 2\+ years of cloud experience (Azure preferred)
* Experience with CI/CD using git/Azure DevOps
* Experience with storage formats including Parquet/Arrow/Avro
* Prefer any work experience with ETL / ELT tools (Spark, Kafka, Azure Data Factory (ADF), other languages (R, Java, Scala), databases (Redis, Elasticsearch)
Compensation commensurate with experience, targeting $120\-135K base. Great benefits, including flexible and hybrid work arrangements, Paid Time Off/Paid company holidays, Medical plan options/prescription drug plan, Dental plan/vision plan options, Flexible spending and health savings accounts, 401(k) retirement savings plan with a Roth savings option and company matching contributions, and educational assistance program.  
Must be authorized to work in the U.S. (citizen or permanent resident, no visas or OPT).  
*Third party candidates will not be considered for this position. Applicants are considered for positions without regard to race, religion, gender, native origin, age, disability, or any other category protected by applicable federal, state, or local laws.*</t>
        </is>
      </c>
    </row>
    <row r="35">
      <c r="A35" t="inlineStr">
        <is>
          <t>in-6c1696b97b1dfe54</t>
        </is>
      </c>
      <c r="B35" t="inlineStr">
        <is>
          <t>Senior Principal Consultant, Data Engineer</t>
        </is>
      </c>
      <c r="C35" t="inlineStr">
        <is>
          <t>Genpact</t>
        </is>
      </c>
      <c r="D35" t="inlineStr">
        <is>
          <t>indeed</t>
        </is>
      </c>
      <c r="E35">
        <f>HYPERLINK("https://www.indeed.com/viewjob?jk=6c1696b97b1dfe54", "https://www.indeed.com/viewjob?jk=6c1696b97b1dfe54")</f>
        <v/>
      </c>
      <c r="F35">
        <f>HYPERLINK("https://genpact.taleo.net/careersection/sgy_external_career_section/jobdetail.ftl?job=ITO099048&amp;tz=GMT-06%3A00&amp;tzname=America%2FChicago", "https://genpact.taleo.net/careersection/sgy_external_career_section/jobdetail.ftl?job=ITO099048&amp;tz=GMT-06%3A00&amp;tzname=America%2FChicago")</f>
        <v/>
      </c>
      <c r="G35" t="inlineStr">
        <is>
          <t>New York, NY, US</t>
        </is>
      </c>
      <c r="H35" s="2" t="n">
        <v>46068</v>
      </c>
      <c r="I35"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Senior Principal Consultant, Data Engineer  
In this role, We are looking for a Software Developer to join our team with the growing requirement of Data \&amp; Analytics. The hire will be responsible for collaborating with business users and delivering analytics projects. Also, they will be building and optimizing our data storage and pipeline architecture to provide a strong base for our data platform. Furthermore, they will work on a variety of projects around Analytics, Digital Marketing Integration, Campaign Management, Lead Generation, Data Integration, and Visualization. The ideal candidate is an experienced software developer who enjoys optimizing data and analytics systems and building them from the ground up. They must be self\-directed and comfortable supporting the needs of multiple systems and projects. Candidates will be expected to be very hands\-on and pick up domain knowledge. We focus on solving the problem and not getting tied down by technological choices \- it is extremely important that candidates are open to learning \&amp; working with technologies that are new for them. We support what we build – the candidate will be responsible for post\-production support on a rotation basis.
Responsibilities* Collaborating with technology and business users to define key business metrics and develop analytical dashboards to provide actionable insights to Clients.
* Build and optimize data pipelines to consume data from various sources, transform \&amp; model it, and then distribute it to multiple consumers.
* Work with multiple data sources (including structured and unstructured) to create an optimized data cube for consumption by analytical dashboards and/or downstream systems.
* Identify, design, and implement improvements / automations for optimizing data processing, storage, and availability, while maintaining scalability, etc.
* Build and support analytics tools that utilize the data pipeline to provide actionable insights into data trends and other key business metrics.
* Develop and support analytics \&amp; machine learning projects.
* Support migration of the data platform from on\-premises to cloud infrastructure.
* Work with various stakeholders including Technology and Client teams to assist with data \&amp; analytics related projects and issues.
Qualifications we seek in you!  
Minimum Qualifications  
* BE/B Tech/MCA
* Excellent written and verbal communication skills
* Experience in Software Development role, who has attained a bachelor’s or master’s degree in computer science, information technology/systems or another relevant technical field.
* Advanced working knowledge and experience with data modelling, data warehousing concepts, database design principles, query authoring (SQL) and performance optimization.
* A successful history of manipulating, processing, and extracting value from large, disconnected datasets.
* Hands\-on programming experience with Python, Java, or C\#.
* Working knowledge of a visualization/reporting tool.
* Excellent problem\-solving and analytical skills with attention to details.
* Strong project management and organizational skills.
* Experience supporting and working with cross\-functional teams in a dynamic environment.
* Excellent communication and collaboration skills.
Preferred Qualifications/ Skills* Experience with Relational database systems like Sybase, SQL Server, Postgres, etc.
* Experience with object\-oriented or function scripting languages: Python (NumPy, Pandas), Java, C\+\+, or Scala, etc.
* Working knowledge of visualization tools like Tableau, QlikView, Power BI etc.
* Experience with Cloud technologies like Snowflake, Microsoft Azure, Databricks, etc. is a plus.
* Experience with data\-science tools / workbench like Dataiku, Jupiter, Rapid Miner, etc. is a plus.
* Experience with Big Data tools / technologies: Hadoop, Pig, Hive, Hue, PySpark etc. is a plus.
* Experience with ETL tools like Azure Data Factory, Informatica, etc. is a plus.
* Experience with machine learning / artificial intelligence techniques like regression, classification, clustering, time series, text mining, large language model, etc. is a plus.
Why join Genpact?  
* Lead AI\-first transformation – Build and scale AI solutions that redefine industries
* Make an impact – Drive change for global enterprises and solve business challenges that matter
* Accelerate your career—Gain hands\-on experience, world\-class training, mentorship, and AI certifications to advance your skills
* Grow with the best – Learn from top engineers, data scientists, and AI experts in a dynamic, fast\-moving workplace
* Committed to ethical AI – Work in an environment where governance, transparency, and security are at the core of everything we build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The approximate annual base compensation range for this position is $80,000 to $100,000\. The actual offer, reflecting the total compensation package plus benefits, will be determined by a number of factors which include but are not limited to the applicant’s experience, knowledge, skills, and abilities; geographic location; and internal equity.  
Work\-from\-Anywhere Roles – “Los Angeles California\-based candidates are not eligible for this role”  
Location\-based Roles (e.g., Richardson roles – metro area can be adjusted by role location) – “Los Angeles, California based candidates are not eligible for this role. \&lt;Dallas Metro\&gt; area candidates are eligible for this role only.”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JobSenior Principal Consultant
Primary LocationUSA\-New York
ScheduleFull\-time
Education LevelBachelor's / Graduation / Equivalent
Job PostingFeb 16, 2026, 4:15:37 PM
Unposting DateOngoing
Master Skills ListConsulting
Job CategoryFull Time</t>
        </is>
      </c>
    </row>
    <row r="36">
      <c r="A36" t="inlineStr">
        <is>
          <t>in-c1ed0baf2c1f313b</t>
        </is>
      </c>
      <c r="B36" t="inlineStr">
        <is>
          <t>Data Engineer</t>
        </is>
      </c>
      <c r="C36" t="inlineStr">
        <is>
          <t>Barry Wehmiller Companies Inc</t>
        </is>
      </c>
      <c r="D36" t="inlineStr">
        <is>
          <t>indeed</t>
        </is>
      </c>
      <c r="E36">
        <f>HYPERLINK("https://www.indeed.com/viewjob?jk=c1ed0baf2c1f313b", "https://www.indeed.com/viewjob?jk=c1ed0baf2c1f313b")</f>
        <v/>
      </c>
      <c r="F36">
        <f>HYPERLINK("https://barrywehmiller.wd1.myworkdayjobs.com/en-US/BWCareers/job/St-Louis-MO/Data-Engineer_R020827-1", "https://barrywehmiller.wd1.myworkdayjobs.com/en-US/BWCareers/job/St-Louis-MO/Data-Engineer_R020827-1")</f>
        <v/>
      </c>
      <c r="G36" t="inlineStr">
        <is>
          <t>St. Louis, MO, US</t>
        </is>
      </c>
      <c r="H36" s="2" t="n">
        <v>46068</v>
      </c>
      <c r="I36" t="inlineStr">
        <is>
          <t>**About Us:**
BW Design Group is a fully integrated architecture, engineering, construction, system integration, and consulting firm committed to helping our clients realize their most critical goals from Strategy to Commercialization. As the only firm born from a manufacturing technology company to become an independent and fully integrated firm, we combine deep domain expertise in the manufacturing environment with an approach that is built to serve the dynamic needs of our clients. Rooted in our distinct culture of Truly Human Leadership, we cultivate the leaders who will define tomorrow and partner with our clients in the food \&amp; beverage, life sciences, industrial, and advanced technology industries to build the future of manufacturing and technology.  
Barry\-Wehmiller is a diversified global supplier of engineering consulting and manufacturing technology for the packaging, corrugating, sheeting and paper\-converting industries. By blending people\-centric leadership with disciplined operational strategies and purpose\-driven growth, Barry\-Wehmiller has become a $3 billion organization with nearly 12,000 team members united by a common belief: to use the power of business to build a better world.  
**Job Description:**
**Who** **You’ll** **Work With**
You will join one of our 45 offices in the US, be part of a committed team of over 1500 professionals, and work in teams and directly with our clients doing work that is shaping the world around us. You will be welcomed into a rapidly growing business and team and empowered to make an impact. You will be valued, cared for, and challenged on your path to becoming a world\-class professional consultant and surrounded by leaders who are committed to creating an environment that enables you to realize your own success and fulfillment.  
When you join Design Group as a Data Engineer, you are joining a team that will challenge you and position you for growth. In this role, you will work with a team of industry experts to help the world’s leading companies solve their most difficult problems. You will partner with seasoned leaders, technical specialists, and subject matter experts to deliver the highest quality solutions to our clients with consistency and accuracy.  
**What** **You’ll** **Do**
* Design, develop, and maintain cloud data infrastructure leveraging technologies like Azure SQL Database, Azure Data Lakes, and Azure Synapse Analytics , and DuckDB to enable advanced analytics (AWS experience is acceptable)
* Build scalable cloud data solutions and pipelines for big data sources and large datasets using services like Azure Synapse Spark Pools, Azure Data Pipelines, Azure Data Lakes, Spark Notebooks , and DBT
* Create optimized data models, efficient ETL/ELT logic, transformations, and metadata to structure and relate data for business insights.
* Automate and schedule regular data integrations from transactional systems, on\-prem data warehouses, enterprise databases and SaaS applications into high performance cloud data platforms.
* Implement data quality checks, validation processes, error handling, partitioning, security, and resilience capabilities into data solutions based on requirements.
* Support migration initiatives to move on\-premises data and BI systems into cloud data lakehouses , data lakes and other cloud analytics services.
**What** **You’ll** **Bring**
* 0\-2 years’ experience as a data engineer, ETL developer, or similar role (internships experience included).
* Experience with cloud data technologies (Azure preferred) such as Azure Synapse Analytics and Spark Pools.
* Strong expertise with SQL and Python. Exposure to DAX and M preferred.
* Familiarity with PowerBI or Tableau is a plus.
* Experience utilizing structured and unstructured data.
* Knowledge of data modeling, warehousing principles, ETL/ELT, and metadata standards.
* Understanding of CI/CD pipelines and DevOps processes is a plus.
* Ability to relate data opportunities to business needs.
* Strong communication , collaboration, curiosity, and perseverance skills.
* Analytical mindset with problem solving and troubleshooting skills.
* Bachelor’s degree in Computer Science , Analytics, Information Systems or similar field required .
Our culture and commitment to our people is what sets us apart. We foster an environment of mutual respect, integrity, and unconditional interest in the individual and collective success of our professionals. Our model and entrepreneurial mindset offer a rewarding, challenging, and highly flexible path. As a Data Engineer, you will build a meaningful and fulfilling career with the support of professional development resources and mentorships including our First Year Experience program, Individual Development Plans, and Career Path resources and tools. You will be surrounded by exceptional talent who will support your development as both a world\-class professional and a highly effective leader.  
Additional Job Description
* Builds infrastructures that collect and process data according to company needs
* Scales and builds out infrastructure to extract meaningful data
* Designs, develops and implements statistical models to carry out various aspects of classification and information extraction from data
* Leverages existing data infrastructure to fulfill all data\-related requests; maintain data models
* Analyze data to spot anomalies, trends and correlate similar data sets.
* Troubleshoots and identifies possible solutions
* Other duties as assigned
*At Barry\-Wehmiller we recognize that people come with a wealth of experience and talent beyond just the technical requirements of a job. If your experience is close to what you see listed here, please still consider applying. We know that our differences often can bring about innovation, excellence and meaningful work—therefore, people from all backgrounds are encouraged to apply to our positions. Please let us know if you require reasonable accommodations during the interview process.*
Barry\-Wehmiller is an equal opportunity employer. M/F/D/V This organization uses E\-Verify.  
Applicants may be subject to pre\-employment screening which may include drug screening, reference checks, employment verifications, background screening and/or skills assessments.  
**Company:**
Design Group</t>
        </is>
      </c>
    </row>
    <row r="37">
      <c r="A37" t="inlineStr">
        <is>
          <t>in-4d3c7b24e276419e</t>
        </is>
      </c>
      <c r="B37" t="inlineStr">
        <is>
          <t>Sr. Analytics Engineer</t>
        </is>
      </c>
      <c r="C37" t="inlineStr">
        <is>
          <t>Pennant Group</t>
        </is>
      </c>
      <c r="D37" t="inlineStr">
        <is>
          <t>indeed</t>
        </is>
      </c>
      <c r="E37">
        <f>HYPERLINK("https://www.indeed.com/viewjob?jk=4d3c7b24e276419e", "https://www.indeed.com/viewjob?jk=4d3c7b24e276419e")</f>
        <v/>
      </c>
      <c r="F37">
        <f>HYPERLINK("https://pennant.wd1.myworkdayjobs.com/PennantServicesCareerSite/job/Salt-Lake-City-Utah/Data-Architect_JR55609", "https://pennant.wd1.myworkdayjobs.com/PennantServicesCareerSite/job/Salt-Lake-City-Utah/Data-Architect_JR55609")</f>
        <v/>
      </c>
      <c r="G37" t="inlineStr">
        <is>
          <t>Salt Lake City, UT, US</t>
        </is>
      </c>
      <c r="H37" s="2" t="n">
        <v>46068</v>
      </c>
      <c r="I37" t="inlineStr">
        <is>
          <t>**About the Role**
We are seeking a talented Sr. Analytics Engineer to join our team. This role will be instrumental in transforming raw data into actionable insights that drive operational efficiency and enhance employee, patient and resident experiences within the senior living, home health, hospice, and home care industries.
**Key Responsibilities**
------------------------
**Data Engineering**
* Build and maintain efficient ETL pipelines across EHRs, HRIS, financial systems, and other sources.
* Optimize data models for performance and scale.
* Ensure data quality through validation and cleansing processes.
**Data Analysis \&amp; Modeling**
* Partner with cross‑functional teams to translate business needs into data solutions.
* Design scalable Star Schemas aligned with business requirements.
**Data Visualization**
* Develop interactive Tableau dashboards and reports for KPIs like turnover, labor costs, and satisfaction scores.
* Tailor visualizations for executives, HR, operations, and clinical teams.
**Collaboration \&amp; Communication**
* Work closely with teams to deliver data solutions that meet their needs.
* Communicate technical concepts clearly to technical and non‑technical stakeholders.
* Document pipelines, models, and dashboards for maintainability.
* Mentor junior engineers and share best practices.
### **Required Skills \&amp; Qualifications**
* **Experience:** 3\+ years in Data Analytics Engineering, Data Architecture, or similar roles.
* **Education:** Bachelor’s or Master’s in Information Systems, Computer Science, IT, or related fields.
* **Technical Skills:**
	+ Strong SQL for extraction, transformation, and analysis.
	+ Solid understanding of data warehousing, data lakes, ODS, and Kimball methodologies.
	+ Experience with modern data stack tools (e.g., dbt, Snowflake) as user and admin.
* **Other Skills:** Strong analytical problem‑solving, excellent communication, and effective collaboration.
**About Pennant \&amp; Our Culture**
--------------------------------
As part of **The Pennant Group**, our work is rooted in the CAPLICO core values — **Customer Second, Accountability, Passion for Learning, Love One Another, Intelligent Risk‑Taking, Celebration, and Ownership**. These values guide how we support our partners and build a culture of empathy, growth, and purpose. \[pennantgroup.com]
**Additional Information**
We are committed to providing a competitive Total Rewards Package that meets our employees’ needs. From a choice of medical, dental, and vision plans to retirement savings opportunities through a 401(k) plan with company match and various other benefits,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Depends on experience.
**Type:** Full Time
**Location:** Salt Lake City, Utah.
The employer for this position is stated in the job posting. The Pennant Group, Inc. is a holding company of independent operating subsidiaries that provide healthcare services through home health and hospice agencies and senior living communities located throughout the US. Each of these businesses is operated by a separate, independent operating subsidiary that has its own management, employees and assets. More information about The Pennant Group, Inc. is available at http://www.pennantgroup.com.</t>
        </is>
      </c>
    </row>
    <row r="38">
      <c r="A38" t="inlineStr">
        <is>
          <t>in-cdbc1a84d3ba67fa</t>
        </is>
      </c>
      <c r="B38" t="inlineStr">
        <is>
          <t>Data Engineer</t>
        </is>
      </c>
      <c r="C38" t="inlineStr">
        <is>
          <t>Save A Lot</t>
        </is>
      </c>
      <c r="D38" t="inlineStr">
        <is>
          <t>indeed</t>
        </is>
      </c>
      <c r="E38">
        <f>HYPERLINK("https://www.indeed.com/viewjob?jk=cdbc1a84d3ba67fa", "https://www.indeed.com/viewjob?jk=cdbc1a84d3ba67fa")</f>
        <v/>
      </c>
      <c r="F38">
        <f>HYPERLINK("https://jobs.dayforcehcm.com/en-US/savealot/CANDIDATEPORTAL/jobs/6222", "https://jobs.dayforcehcm.com/en-US/savealot/CANDIDATEPORTAL/jobs/6222")</f>
        <v/>
      </c>
      <c r="G38" t="inlineStr">
        <is>
          <t>Saint Ann, MO, US</t>
        </is>
      </c>
      <c r="H38" s="2" t="n">
        <v>46068</v>
      </c>
      <c r="I38" t="inlineStr">
        <is>
          <t>**Department:** ​Information Technology​ FLSA Status: ​Exempt​
**Category:** ​5 (IC)​
Purpose
The Data Engineer is responsible for developing data pipelines for the Data Platforms and Data Insights teams. This includes various pipelines to and from databases, applications, and API’s to ingest data into Save A Lot’s Databricks Enterprise Data Warehouse, any downstream applications, as well as any data quality or metadata solutions. In addition, the Data Engineer will be responsible for data profiling, creating ETL (extract, transformation, and load) scripts within the data warehouse, designing data models using Entity Relationship modeling tools, and loading data into various data platforms using batch, stream, and bulk utilities. The Data Engineer will also be responsible for scheduling jobs and workflows as well as versioning and documenting their designs and data flows. The Data Engineer will use agile, iterative, and waterfall methodologies and will provide the highest level of support.
Responsibilities
* Develop ETL (Extract, Transform, and Load) jobs within Databricks
* Follow templates and engineering patterns to reduce the time\-to\-deploy new data assets or changes to an existing data model or analytics solution
* Leverage programming languages like SQL and Python to build and maintain pipelines
* Assist in optimizing and tuning existing pipelines
* Partner with key business teams to understand their data needs and assist them in building the appropriate data solutions to meet their business needs
* Partner with the security and risk teams to build appropriate security and compliance into the data platforms
* Partner with the enterprise technology function to ensure effective and efficient operation of all data environments
* Foster continuous process improvement within the data \&amp; insights organization and functions
* Cultivate strong relationships with all stakeholders of the data \&amp; insights team
About You
* Enjoys learning and excels in environments that require problem solving unknowns
* A curious attitude and willingness to explore out\-of\-the box ideas
* Strong organizational skills
* Detail oriented
* Experience working within deadlines
* Excellent communication skills, both written and verbal, with ability to communicate effectively at all levels of the organization
* Experience working with Databricks preferred
* 1\-3 years of IT experience
* 1\-3 years of experience with Python
* 1\-3 years of experience with SQL
* 1\-3 years of experience delivering projects in a complex enterprise environment
* 1\-3 years developing and delivering data engineering solutions in data warehousing
* 1\-3 years developing with Multi\-Parallel Processing databases like Databricks, Teradata, Azure SQL DW, Big Query, or Snowflake
* Bachelor's degree in computer science, engineering or related field of study
Physical Requirements
* Ability to travel up to \~10% of the time, which may include weekends and evenings, as needed
* Most work is performed in a temperature\-controlled environment
* Incumbent may sit for long periods of time at a desk or computer terminal
* Incumbent may use calculators, keyboards, telephone and other office equipment in the course of a normal workday
* Stooping, bending, twisting and reaching may be required in completion of job duties
Our Values
Ability to demonstrate, understand and apply our workplace values.
Simplicity (operate) – the drive to identify root cause and innovate to remove complexity to deliver the best outcome
Heart (emotion) – the passion that drives you to get up every day and work hard to strive for excellence
Performance Excellence (mindset) – clearly defining high expectations, driving ownership of key roles and responsibilities, executing with integrity and emphasis while creating a culture of accountability
Respect (philosophy) – taking pride in being inclusive and treating everyone who comes through the doors with respect
Benefits
* 401K company match up to 4%
* Paid Time Off
* Medical Insurance options including FSA \&amp; HSA
* Vision Insurance
* Dental insurance
* Employee Assistance Programs
* Team Member Referral Program
* Tuition Reimbursement
* Wellbeing Program
* Career development opportunities
The above statements are intended to describe the general nature of the work performed by the employees assigned to this job. All employees must comply with Company policy and applicable laws. The responsibilities, duties and skills required of personnel so classified may vary within each department and /or location.</t>
        </is>
      </c>
    </row>
    <row r="39">
      <c r="A39" t="inlineStr">
        <is>
          <t>in-b8c0b3cfca3aafa6</t>
        </is>
      </c>
      <c r="B39" t="inlineStr">
        <is>
          <t>Analytics Engineer</t>
        </is>
      </c>
      <c r="C39" t="inlineStr">
        <is>
          <t>One Park Financial</t>
        </is>
      </c>
      <c r="D39" t="inlineStr">
        <is>
          <t>indeed</t>
        </is>
      </c>
      <c r="E39">
        <f>HYPERLINK("https://www.indeed.com/viewjob?jk=b8c0b3cfca3aafa6", "https://www.indeed.com/viewjob?jk=b8c0b3cfca3aafa6")</f>
        <v/>
      </c>
      <c r="F39">
        <f>HYPERLINK("https://apply.workable.com/j/497E15DA48", "https://apply.workable.com/j/497E15DA48")</f>
        <v/>
      </c>
      <c r="G39" t="inlineStr">
        <is>
          <t>Miami, FL, US</t>
        </is>
      </c>
      <c r="H39" s="2" t="n">
        <v>46068</v>
      </c>
      <c r="I39" t="inlineStr">
        <is>
          <t>One Park Financial (OPF) is a fast\-growing FinTech (Financial Technology) company headquartered in Coconut Grove, Florida. OPF connects small businesses with flexible financing and funding options to help entrepreneurs acquire the working capital they need to grow.  
We are seeking an Analytics Engineer to help elevate our analytics platform by applying best practices in dbt modeling, metrics design, and analytics engineering. This role partners closely with analytics and business stakeholders to transform raw SQL and data sources into well\-structured, tested, and scalable data models that power reporting and decision\-making.  
This position sits at the intersection of analytics and engineering, with a strong focus on data modeling, metric definitions, semantic consistency, and maintainable analytics code.
### **Duties and Responsibilities**
* Design, build, and maintain dbt models following analytics engineering best practices.
* Convert ad\-hoc SQL and legacy queries into clean, scalable fact and dimension models.
* Define and maintain standardized business metrics and semantic models in dbt.
* Implement data tests, documentation, and quality validation processes.
* Optimize SQL queries for performance in AWS Athena.
* Collaborate with analysts and business stakeholders to align on metric definitions and reporting logic.
* Use Git/GitHub for version control, peer reviews, and collaborative development.
* Support downstream analytics and Power BI reporting use cases.
**Requirements**
* 3\+ years of experience in Analytics Engineering, Data Analytics, or Data Engineering.
* Strong hands\-on experience with dbt (Core or Cloud).
* Advanced SQL skills with experience optimizing queries in AWS Athena.
* Experience modeling structured data using fact/dimension frameworks.
* Experience working with Amazon S3 and modern data lake environments.
* Familiarity with Git\-based workflows and code reviews.
* Strong communication skills with the ability to align technical and business stakeholders.
### **Nice to have**
* Experience with dimensional modeling (Kimball methodology).
* Experience designing or managing semantic/metrics layers.
* Familiarity with data lake or lakehouse architectures.
* Exposure to AWS Glue.
* Experience supporting Power BI reporting environments.
### **Work Schedule**
Monday–Friday, standard business hours  
On\-site position based in Miami, Florida
**Benefits**
* Competitive salary
* 401(k) with company match
* Health insurance
* Dental \&amp; vision insurance
* Life insurance
* Paid time off
* Office snacks
* Monthly events
* Collaborative and growth\-oriented work environment</t>
        </is>
      </c>
    </row>
    <row r="40">
      <c r="A40" t="inlineStr">
        <is>
          <t>in-59735d4a38ecab16</t>
        </is>
      </c>
      <c r="B40" t="inlineStr">
        <is>
          <t>Analytics Engineer</t>
        </is>
      </c>
      <c r="C40" t="inlineStr">
        <is>
          <t>One Park Financial</t>
        </is>
      </c>
      <c r="D40" t="inlineStr">
        <is>
          <t>indeed</t>
        </is>
      </c>
      <c r="E40">
        <f>HYPERLINK("https://www.indeed.com/viewjob?jk=59735d4a38ecab16", "https://www.indeed.com/viewjob?jk=59735d4a38ecab16")</f>
        <v/>
      </c>
      <c r="F40">
        <f>HYPERLINK("https://apply.workable.com/j/EA16310544", "https://apply.workable.com/j/EA16310544")</f>
        <v/>
      </c>
      <c r="G40" t="inlineStr">
        <is>
          <t>Dallas, TX, US</t>
        </is>
      </c>
      <c r="H40" s="2" t="n">
        <v>46068</v>
      </c>
      <c r="I40" t="inlineStr">
        <is>
          <t>One Park Financial (OPF) is a fast\-growing FinTech (Financial Technology) company headquartered in Coconut Grove, Florida. OPF connects small businesses with flexible financing and funding options to help entrepreneurs acquire the working capital they need to grow.  
We are seeking an Analytics Engineer to help elevate our analytics platform by applying best practices in dbt modeling, metrics design, and analytics engineering. This role partners closely with analytics and business stakeholders to transform raw SQL and data sources into well\-structured, tested, and scalable data models that power reporting and decision\-making.  
This position sits at the intersection of analytics and engineering, with a strong focus on data modeling, metric definitions, semantic consistency, and maintainable analytics code.
### **Duties and Responsibilities**
* Design, build, and maintain dbt models following analytics engineering best practices.
* Convert ad\-hoc SQL and legacy queries into clean, scalable fact and dimension models.
* Define and maintain standardized business metrics and semantic models in dbt.
* Implement data tests, documentation, and quality validation processes.
* Optimize SQL queries for performance in AWS Athena.
* Collaborate with analysts and business stakeholders to align on metric definitions and reporting logic.
* Use Git/GitHub for version control, peer reviews, and collaborative development.
* Support downstream analytics and Power BI reporting use cases.
**Requirements**
* 3\+ years of experience in Analytics Engineering, Data Analytics, or Data Engineering.
* Strong hands\-on experience with dbt (Core or Cloud).
* Advanced SQL skills with experience optimizing queries in AWS Athena.
* Experience modeling structured data using fact/dimension frameworks.
* Experience working with Amazon S3 and modern data lake environments.
* Familiarity with Git\-based workflows and code reviews.
* Strong communication skills with the ability to align technical and business stakeholders.
### **Nice to have**
* Experience with dimensional modeling (Kimball methodology).
* Experience designing or managing semantic/metrics layers.
* Familiarity with data lake or lakehouse architectures.
* Exposure to AWS Glue.
* Experience supporting Power BI reporting environments.
### **Work Schedule**
Monday–Friday, standard business hours  
On\-site position based in Miami, Florida
**Benefits**
* Competitive salary
* 401(k) with company match
* Health insurance
* Dental \&amp; vision insurance
* Life insurance
* Paid time off
* Office snacks
* Monthly events
* Collaborative and growth\-oriented work environment</t>
        </is>
      </c>
    </row>
    <row r="41">
      <c r="A41" t="inlineStr">
        <is>
          <t>in-8a4758bac49be614</t>
        </is>
      </c>
      <c r="B41" t="inlineStr">
        <is>
          <t>Senior Data Engineer</t>
        </is>
      </c>
      <c r="C41" t="inlineStr">
        <is>
          <t>ConocoPhillips</t>
        </is>
      </c>
      <c r="D41" t="inlineStr">
        <is>
          <t>indeed</t>
        </is>
      </c>
      <c r="E41">
        <f>HYPERLINK("https://www.indeed.com/viewjob?jk=8a4758bac49be614", "https://www.indeed.com/viewjob?jk=8a4758bac49be614")</f>
        <v/>
      </c>
      <c r="F41">
        <f>HYPERLINK("https://conocophillips.wd1.myworkdayjobs.com/en-US/External/job/Houston-TX/Senior-Data-Engineer_REQ-005589", "https://conocophillips.wd1.myworkdayjobs.com/en-US/External/job/Houston-TX/Senior-Data-Engineer_REQ-005589")</f>
        <v/>
      </c>
      <c r="G41" t="inlineStr">
        <is>
          <t>Houston, TX, US</t>
        </is>
      </c>
      <c r="H41" s="2" t="n">
        <v>46068</v>
      </c>
      <c r="I41" t="inlineStr">
        <is>
          <t>Welcome to ConocoPhillips, where innovation and excellence create a platform for opportunity and growth. Come realize your full potential here.
**Who We Are**
We are one of the world’s largest independent exploration and production companies, based on proved reserves and production of liquids and natural gas. With operations and activities in 13 countries, we explore for, develop, and produce crude oil and natural gas globally. We are challenged with an important job to safely find and deliver energy to the world. Our employees are critical to our success, and with them we power civilization.
We’re grounded by our SPIRIT Values – safety, people, integrity, responsibility, innovation, and teamwork. These values position us to deliver strong performance in a dynamic business – but not at all costs. We believe it’s not just what we do – it’s how we do it – that sets us apart.
**Fostering an Inclusive Work Environment**
To deliver superior performance, we create an environment that respects the contributions and differences of every individual. Wherever possible, we use these differences to drive competitive business advantage, personal growth and, ultimately, create business success.
**Job Summary**
We are seeking a highly skilled and experienced IT Senior Data Engineer to join our team. Reporting to the IT Director Data Engineering and Analytics, this position is responsible for designing, building, and maintaining scalable data pipelines into our enterprise cloud data warehouse that enable analytics, reporting, and advanced data solutions across the organization.
The role is part of a cross functional team that includes other data and analytics engineers and will work closely with the data architecture team which is responsible for establishing enterprise data standards and implementing new data management technologies and patterns.
This position also works closely with IT operations, database administrators, infrastructure teams, analytics leaders, and business stakeholders to ensure system availability, performance, and timely resolution of data issues.
**Position Overview**
**Apply By:**
Mar 1, 2026
**Sponsorship:**
ConocoPhillips’ sponsorship for employment authorization in the U.S. is NOT available for this position.
**EEO:**
In the US, ConocoPhillips is an Equal Opportunity/Affirmative Action Employer. All qualified applicants will receive consideration for employment without regard to race, color, religion, sex, sexual orientation, national origin, age, disability, veteran status, gender identity or expression, genetic information, or any other legally protected status.</t>
        </is>
      </c>
    </row>
    <row r="42">
      <c r="A42" t="inlineStr">
        <is>
          <t>in-c10c33657ba8a6ea</t>
        </is>
      </c>
      <c r="B42" t="inlineStr">
        <is>
          <t>Robotics Data Engineer</t>
        </is>
      </c>
      <c r="C42" t="inlineStr">
        <is>
          <t>Tata Consultancy Services (TCS)</t>
        </is>
      </c>
      <c r="D42" t="inlineStr">
        <is>
          <t>indeed</t>
        </is>
      </c>
      <c r="E42">
        <f>HYPERLINK("https://www.indeed.com/viewjob?jk=c10c33657ba8a6ea", "https://www.indeed.com/viewjob?jk=c10c33657ba8a6ea")</f>
        <v/>
      </c>
      <c r="F42">
        <f>HYPERLINK("https://ibegin.tcsapps.com/candidate/jobs/shared-job/Mzk2OTc4Sg==", "https://ibegin.tcsapps.com/candidate/jobs/shared-job/Mzk2OTc4Sg==")</f>
        <v/>
      </c>
      <c r="G42" t="inlineStr">
        <is>
          <t>Warren, MI, US</t>
        </is>
      </c>
      <c r="H42" s="2" t="n">
        <v>46068</v>
      </c>
      <c r="I42" t="inlineStr">
        <is>
          <t>Must Have Technical/Functional Skills
* 3\+ years of experience in data engineering, machine learning systems, robotics, or related fields.
* Master’s degree in engineering, Computer Science, Data Science, or equivalent practical experience.
* Proven experience building production\-grade data pipelines for ML/AI systems.
* Strong hands\-on experience with Python\-based data tooling.
* Experience working with large, complex, multimodal datasets.
* Systems thinking mindset with strong cross\-functional collaboration skills.
* Direct experience supporting robotics perception, grasping, or manipulation AI.
* Familiarity with robotics simulation platforms such as Isaac Sim and synthetic data generation.
* Experience with data labeling tools and annotation workflows at scale.
* Hands\-on knowledge of TensorFlow and/or PyTorch from a data systems perspective.
* Experience with Microsoft data ecosystems (e.g., Power BI, Azure data services).
* Exposure to self\-supervised or weakly supervised learning techniques.
Roles \&amp; Responsibilities
* Design and implement scalable data pipelines for large\-scale robotic datasets (vision, depth, tactile, force/torque).
* Build infrastructure to support high\-throughput data capture from real robots and simulation environments.
* Develop and deploy semi\-supervised / self\-supervised data labeling workflows to reduce manual annotation cost.
* Enable simulation\-to\-real (Sim2Real) data workflows, including domain randomization and synthetic data generation.
* Own data versioning, metadata, and dataset governance to support model training, evaluation, and regression testing.
* Partner closely with Robotics Perception, Grasping AI, and Simulation teams to define data requirements and KPIs.
* Establish data quality metrics that directly correlate with perception and grasping performance
Base Salary Range : $100,000 to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\#LI\-SV2
\#LI\-KUMARAN
**Location**
Warren, MI
**Job Function**
TECHNOLOGY
**Role**
Engineer
**Job Id**
396978
**Desired Skills**
Robotics
**Salary Range**
$100,000\-$130,000 a year
Desired Candidate Profile
**Qualifications** : BACHELOR OF COMPUTER SCIENCE</t>
        </is>
      </c>
    </row>
    <row r="43">
      <c r="A43" t="inlineStr">
        <is>
          <t>in-65d71cfea6335834</t>
        </is>
      </c>
      <c r="B43" t="inlineStr">
        <is>
          <t>Manager, Data Engineering</t>
        </is>
      </c>
      <c r="C43" t="inlineStr">
        <is>
          <t>Dandy</t>
        </is>
      </c>
      <c r="D43" t="inlineStr">
        <is>
          <t>indeed</t>
        </is>
      </c>
      <c r="E43">
        <f>HYPERLINK("https://www.indeed.com/viewjob?jk=65d71cfea6335834", "https://www.indeed.com/viewjob?jk=65d71cfea6335834")</f>
        <v/>
      </c>
      <c r="F43">
        <f>HYPERLINK("https://jobs.ashbyhq.com/dandy/42454d6b-d6ee-44ad-87d2-b3a0607c695c?utm_source=RQq82E3v32", "https://jobs.ashbyhq.com/dandy/42454d6b-d6ee-44ad-87d2-b3a0607c695c?utm_source=RQq82E3v32")</f>
        <v/>
      </c>
      <c r="G43" t="inlineStr">
        <is>
          <t>US</t>
        </is>
      </c>
      <c r="H43" s="2" t="n">
        <v>46068</v>
      </c>
      <c r="I43"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**Lead the Architecture of Dandy’s Business Logic and Data Products**
---------------------------------------------------------------------
At Dandy, we are revolutionizing the dental industry, and data is the engine of our growth. We are looking for a Manager of Data Engineering to build and lead a high\-performing team focused on the "T" in ELT\- modeling, transformation, and data product ownership.
This is a strategic leadership role that pivots away from platform infrastructure (managed by a separate team) to focus entirely on Data Modeling, Semantic Architecture, and Technical Rigor. You will lead the team that bridges the gap between raw software application data and the insights that drive our business.
You will be the guardian of our Single Source of Truth, ensuring that our Analysts and Data Scientists are empowered with fast, reliable, and performance\-optimized data products.
**The Mission**
---------------
* Own the Data Products: You aren't just moving data; you are building durable, high\-performance data assets that the business relies on.
* Empower the Consumers: Your team is the force multiplier for Data Science and Analytics. You remove the friction of data cleaning and query optimization so they can focus on insights.
* Enforce Technical Rigor: You ensure that our data models are not just accurate, but performant, scalable, and built with software engineering best practices.
**What You’ll Do**
------------------
* Build \&amp; Lead the Data Engineering Team: Define the vision for a team that sits at the intersection of engineering and analytics. You will hire, mentor, and define career paths for engineers who specialize in high\-complexity modeling and transformation.
* Architect the Semantic Layer: Move beyond simple replication. You will design domain\-driven data models that crystallize business concepts into a trusted, centralized semantic layer.
* Drive Technical Rigor \&amp; Performance: You will own the health of our data warehouse. This means optimizing SQL query performance, designing efficient table structures, and ensuring our pipelines are cost\-effective and lightning\-fast.
* Proactive "Upstream" Engineering: Stop fixing broken data downstream. You will partner with Software Engineering teams *before* code is shipped to implement Data Contracts and ensure long\-term data success is baked into the application design.
* Accelerate Data Velocity: Your team will build the "paved road" for data access. You will create modular, reusable data components that allow Analysts and Data Scientists to answer new questions in hours, not weeks.
* Treat Data as a Product: Implement rigorous SLAs (Service Level Agreements) for data availability and quality. You will ensure that the data products we build are monitored, tested, and reliable.
**What We’re Looking For**
--------------------------
* Modeling \&amp; Architecture Expertise: You have deep experience in dimensional modeling (Kimball), data mart design, and complex SQL logic. You know how to translate messy real\-world processes into clean, query\-efficient structures.
* Leadership Experience: 3\+ years managing Data Engineers or Analytics Engineers. You know how to balance the technical growth of your team with the delivery of business value.
* Technical Excellence (SQL \&amp; dbt): You are an expert in the modern data stack (dbt, Snowflake/BigQuery, Airflow/Dagster). You understand how to write code that is not only correct but highly performant at scale.
* Collaborative Stakeholder Management: You can translate technical constraints to business stakeholders and advocate for data needs with software engineering leaders. You are comfortable negotiating data contracts and preventing technical debt.
* Focus on Reliability: You are obsessed with testing. You implement robust CI/CD pipelines for data, ensuring that no bad code breaks the build and no bad data reaches the CEO’s dashboard.
* Strategic Vision: You can see the big picture. You are building a data foundation that will support Dandy not just today, but through our next phase of hyper\-growth.
**Why Dandy?**
--------------
* Competitive Compensation: Salary, benefits, and performance\-based incentives.
* Remote\-first Culture: Work from anywhere within 3 hours of NYC time zone
* Leadership Opportunity: Play a pivotal role in shaping the future of our centralized data engineering function.
* Innovative Company: Help build the infrastructure that powers the revolution of the dental industry.
**Req ID:** J\-392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$199,680 \- $249,600</t>
        </is>
      </c>
    </row>
    <row r="44">
      <c r="A44" t="inlineStr">
        <is>
          <t>in-4626a84ec701af9b</t>
        </is>
      </c>
      <c r="B44" t="inlineStr">
        <is>
          <t>Staff Software Engineer, Merchant Activity and Data Engineering</t>
        </is>
      </c>
      <c r="C44" t="inlineStr">
        <is>
          <t>Google</t>
        </is>
      </c>
      <c r="D44" t="inlineStr">
        <is>
          <t>indeed</t>
        </is>
      </c>
      <c r="E44">
        <f>HYPERLINK("https://www.indeed.com/viewjob?jk=4626a84ec701af9b", "https://www.indeed.com/viewjob?jk=4626a84ec701af9b")</f>
        <v/>
      </c>
      <c r="F44">
        <f>HYPERLINK("https://careers.google.com/jobs/results/93061940963615430-staff-software-engineer/", "https://careers.google.com/jobs/results/93061940963615430-staff-software-engineer/")</f>
        <v/>
      </c>
      <c r="G44" t="inlineStr">
        <is>
          <t>Mountain View, CA, US</t>
        </is>
      </c>
      <c r="H44" s="2" t="n">
        <v>46068</v>
      </c>
      <c r="I44" t="inlineStr">
        <is>
          <t>### **Minimum qualifications:**
* Bachelor's degree or equivalent practical experience.
* 8 years of experience programming in C\+\+, Java, Python, Kotlin or Go.
* 5 years of experience testing, and launching software products.
* 3 years of experience with software design and architecture.
* Experience with data processing or data analytics.
### **Preferred qualifications:**
* Experience in common programming languages, such as Python, C\+\+, Go, and SQL.
* Experience in fostering collaboration and building cross\-functional synergy without relying on formal reporting structures.
* Experience in executive\-level communication, delivering concise and impactful updates to executive leadership, including VPs and Directors.
* Experience performing comprehensive, self\-directed research as an individual contributor within fast\-paced, complex environments.
* Excellent leadership skills with the ability to resolve conflicts of interest autonomously to achieve meaningful results.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the industry undergoes a disruptive shift driven by Agentic surfaces and new AI technologies, Google Shopping stands at a pivotal moment. Our Shopping data platforms manage billions of product offers from merchants across the world (including Ads, Discovery, Search, YouTube, Gmail, Shopping tab, and Maps) and represent a major business generation stream for the company. While this surface complexity is a significant engaging asset in the Agentic Shopping era, it also creates substantial analytics and engineering hurdles.
Our team is responsible for the centralized platform used to define, implement, and distribute the organization's primary data products for all Shopping use cases. As Google teams and external merchants navigate the global AI revolution, providing fast and precise data sourcing is essential for strategy development and accurate headroom analysis.
People shop on Google more than a billion times a day \- and the Commerce team is responsible for building the experiences that serve these users. The mission for Google Commerce is to be an essential part of the shopping journey for consumers \- from inspiration to to a simple and secure checkout experience \- and the best place for retailers/merchants to connect with consumers. We support and partner with the commerce ecosystem, from large retailers to small local merchants, to give them the tools, technology and scale to thrive in today’s digital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cross\-stack design initiatives and provide direct coding contributions to enhance the technical stack.
* Provide overarching leadership on data measurement, analytics, and experimentation through direct full\-stack knowledge of Google Shopping systems and direct engagement in the organization’s high priority launches.
* Act as a link between strategic executive goals and the practical implementation of data initiatives, coordinating with specialized data engineers and software engineers within feature teams.
* Participate in the coordination of Data Teams across Mountain View, London, and Zurich sites.
* Guide and coach junior colleagues in software engineering, data engineering, and data scientist roles.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5">
      <c r="A45" t="inlineStr">
        <is>
          <t>in-a52fc9f68682dcb2</t>
        </is>
      </c>
      <c r="B45" t="inlineStr">
        <is>
          <t>Senior Business Intelligence Data Engineer</t>
        </is>
      </c>
      <c r="C45" t="inlineStr">
        <is>
          <t>General Motors (GM)</t>
        </is>
      </c>
      <c r="D45" t="inlineStr">
        <is>
          <t>indeed</t>
        </is>
      </c>
      <c r="E45">
        <f>HYPERLINK("https://www.indeed.com/viewjob?jk=a52fc9f68682dcb2", "https://www.indeed.com/viewjob?jk=a52fc9f68682dcb2")</f>
        <v/>
      </c>
      <c r="F45">
        <f>HYPERLINK("https://generalmotors.wd5.myworkdayjobs.com/en-US/Careers_GM/job/Warren-Michigan-United-States-of-America/Senior-Business-Intelligence-Data-Engineer_JR-202602547", "https://generalmotors.wd5.myworkdayjobs.com/en-US/Careers_GM/job/Warren-Michigan-United-States-of-America/Senior-Business-Intelligence-Data-Engineer_JR-202602547")</f>
        <v/>
      </c>
      <c r="G45" t="inlineStr">
        <is>
          <t>Warren, MI, US</t>
        </is>
      </c>
      <c r="H45" s="2" t="n">
        <v>46068</v>
      </c>
      <c r="I45" t="inlineStr">
        <is>
          <t>**Job Description**
**The Role**
The Sr. Business Intelligence Data Engineer will own the full life cycle of understanding the business requirements data and designing the migration of our data from several systems to a cutting\-edge Databricks environment, architecting, implementing, and optimizing ETL/ELT processes to ensure robust, secure, and analytics\-ready data flows for our business operations.
A successful Sr. Business Intelligence Data Engineer demonstrates customer focus, a drive for results, and ease with ambiguous data requests and definitions; influences change, naturally accepts ownership for project deliverables, explores opportunities to add value to job responsibilities, and continues to develop critical skills and technical expertise. Projects will span across all time horizons, from early in Vehicle development process through end of production and often require integration of data across multiple functions, including Engineering, Program Management, Planning, Forecasting, Sales, and Manufacturing.
**What You’ll Do**
* Collaborate with stakeholders, including data analysts, data scientists, architects, and business teams, to ensure data solutions meet organizational requirements and compliance standards.
* Design, develop, and maintain data pipelines to transfer data from various databases to Databricks, leveraging both batch and real\-time methodologies as appropriate.
* Lead the overall ETL/ELT architecture, including extraction, transformation, and data loading strategies, ensuring scalability, performance, and data integrity. Optimize and tune ETL/ELT processes for large\-scale and real\-time data movement, ensuring resource efficiency. Ensure data security, quality, and compliance across the whole process.
* Model, integrate, and optimize data structures in the Databricks platform, taking into account data lakes, data warehousing needs, and analytics workloads.
* Automate and monitor data workflows for reliability, transparency, and fault tolerance throughout the migration and beyond. Document data flows, transformation logic, and technical specifications for all data integration processes, enabling maintainability and smooth knowledge transfer.
**Your Skills \&amp; Abilities (Required Qualifications)**
* Bachelor’s Degree in Computer Science, Data Analytics, Engineering, Operations Management or related field
* 5\+ years of experience in data engineering or related roles, with demonstrated expertise in database migrations and ETL/ELT process design.
* Deep hands\-on experience with databases Oracle, SQL Server, MySQL, Teradata, Snowflake
* In\-depth knowledge of Databricks (including PySpark, Databricks SQL, and Lakehouse architectures).
* Expertise in ETL/ELT tools and frameworks (e.g., Informatica, Talend, Databricks Workflows, or custom pipelines).
* Proven ability to design and implement scalable, efficient data pipelines and to optimize complex transformations in modern cloud environments.
* Demonstrated experience in data modeling and integration for analytics and BI use cases.
* Excellent communication and documentation skills for cross\-functional collaboration and process transparency.
**What Will Give You a Competitive Edge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 Experience designing and implementing robust data ingestion frameworks for heterogeneous data sources (structured/unstructured files, external suppliers, supplier chain systems)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46">
      <c r="A46" t="inlineStr">
        <is>
          <t>in-e0680ce558f3bc2c</t>
        </is>
      </c>
      <c r="B46" t="inlineStr">
        <is>
          <t>Data Engineering Manager, Prime Video</t>
        </is>
      </c>
      <c r="C46" t="inlineStr">
        <is>
          <t>Amazon.com</t>
        </is>
      </c>
      <c r="D46" t="inlineStr">
        <is>
          <t>indeed</t>
        </is>
      </c>
      <c r="E46">
        <f>HYPERLINK("https://www.indeed.com/viewjob?jk=e0680ce558f3bc2c", "https://www.indeed.com/viewjob?jk=e0680ce558f3bc2c")</f>
        <v/>
      </c>
      <c r="F46">
        <f>HYPERLINK("https://www.amazon.jobs/jobs/3181697/data-engineering-manager-prime-video?cmpid=DA_INAD200785B", "https://www.amazon.jobs/jobs/3181697/data-engineering-manager-prime-video?cmpid=DA_INAD200785B")</f>
        <v/>
      </c>
      <c r="G46" t="inlineStr">
        <is>
          <t>Seattle, WA, US</t>
        </is>
      </c>
      <c r="H46" s="2" t="n">
        <v>46063</v>
      </c>
      <c r="I46" t="inlineStr">
        <is>
          <t>**DESCRIPTION**
---------------
Interested in influencing what customers around the world see when they turn on Prime Video? The Prime Video Personalization and Discovery team matches customers with the right content at the right time, at all touch points throughout the content discovery journey. We are looking for an experienced Data Engineering Manager to develop data infrastructure and pipelines that power experiments and product analytics for personalization and discovery experiences. You'll work with a team of high\-caliber data engineers to ensure analysts and product managers always have the data to measure and understand the impact of Prime Video's streaming experience on millions of customers across the world.  
You will own critical data infrastructure supporting personalization analytics, experimentation, and reporting. You'll operate in an environment where problems may be ambiguous and strategies undefined, requiring you to use technical expertise and sound judgment to define the right approach, establish metrics, and design long\-term strategy.  
Key job responsibilities  
* Lead and mentor a team of data engineers responsible for building and scaling critical data products that power Prime Video personalization and discovery decisions
* Design and operate scalable data infrastructure supporting petabyte\-scale data processing, including data lakes, ETL/ELT pipelines, and low latency analytics capabilities to support over multiple director\-level teams
* Maintain data pipelines for personalization analytics reporting and data science, supporting insights into recommendation performance, customer behavior, and feature impact and metric development
* Establish and enforce best practices for data engineering, including code reviews, testing strategies, CI/CD automation, monitoring, documentation, Airflow orchestration patterns, and AI capabilities
* Define and communicate technical vision and long\-term strategy for the data engineering team, navigating ambiguity and establishing clarity for teams
* Lead roadmap creation in partnership with stakeholders, balancing business priorities, team capacity, and technical debt
* Implement data governance, quality standards, and security practices aligned with compliance and regulatory requirements
About the team  
The Personalization and Discovery Analytics (PANDA) Data Engineering team builds the infrastructure that enables experimentation and analytics at scale—processing petabytes of customer interaction data daily to power A/B testing and analytics. We collaborate closely with product teams, data scientists, and economists to ensure data infrastructure supports both immediate business needs and long\-term strategic initiatives. The team operates with high technical standards, strong ownership mentality, and a commitment to customer obsession. We prioritize simplicity, operational excellence, and data\-driven decision\-making across the organization.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you!**BASIC QUALIFICATIONS**
------------------------
* 5\+ years of data engineering experience
* Experience with data modeling, warehousing and building ETL pipelines
* Experience with SQL
* Experience managing a data or BI team
* Experience leading and influencing the data or BI strategy of your team or organization
* Experience in at least one modern scripting or programming language, such as Python, Java, Scala, or NodeJS
* Experience hiring, developing and promoting engineering talent
**PREFERRED QUALIFICATIONS**
----------------------------
* Experience with big data technologies such as: Hadoop, Hive, Spark, EMR
* Experience with AWS Tools and Technologies (Redshift, S3, EC2\)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\- 170,000\.00 \- 230,000\.00 USD annually</t>
        </is>
      </c>
    </row>
    <row r="47">
      <c r="A47" t="inlineStr">
        <is>
          <t>in-91583e711eacc544</t>
        </is>
      </c>
      <c r="B47" t="inlineStr">
        <is>
          <t>Data Engineer, Denied Party Screening, AWS Compliance &amp; Security Assurance</t>
        </is>
      </c>
      <c r="C47" t="inlineStr">
        <is>
          <t>Amazon.com</t>
        </is>
      </c>
      <c r="D47" t="inlineStr">
        <is>
          <t>indeed</t>
        </is>
      </c>
      <c r="E47">
        <f>HYPERLINK("https://www.indeed.com/viewjob?jk=91583e711eacc544", "https://www.indeed.com/viewjob?jk=91583e711eacc544")</f>
        <v/>
      </c>
      <c r="F47">
        <f>HYPERLINK("https://www.amazon.jobs/jobs/3160403/data-engineer-denied-party-screening-aws-compliance--security-assurance?cmpid=DA_INAD200785B", "https://www.amazon.jobs/jobs/3160403/data-engineer-denied-party-screening-aws-compliance--security-assurance?cmpid=DA_INAD200785B")</f>
        <v/>
      </c>
      <c r="G47" t="inlineStr">
        <is>
          <t>Seattle, WA, US</t>
        </is>
      </c>
      <c r="H47" s="2" t="n">
        <v>46029</v>
      </c>
      <c r="I4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8">
      <c r="A48" t="inlineStr">
        <is>
          <t>in-b1fa56b829650a44</t>
        </is>
      </c>
      <c r="B48" t="inlineStr">
        <is>
          <t>Data Engineer, Denied Party Screening, AWS Compliance &amp; Security Assurance</t>
        </is>
      </c>
      <c r="C48" t="inlineStr">
        <is>
          <t>Amazon.com</t>
        </is>
      </c>
      <c r="D48" t="inlineStr">
        <is>
          <t>indeed</t>
        </is>
      </c>
      <c r="E48">
        <f>HYPERLINK("https://www.indeed.com/viewjob?jk=b1fa56b829650a44", "https://www.indeed.com/viewjob?jk=b1fa56b829650a44")</f>
        <v/>
      </c>
      <c r="F48">
        <f>HYPERLINK("https://www.amazon.jobs/jobs/3160403/data-engineer-denied-party-screening-aws-compliance--security-assurance?cmpid=DA_INAD200785B", "https://www.amazon.jobs/jobs/3160403/data-engineer-denied-party-screening-aws-compliance--security-assurance?cmpid=DA_INAD200785B")</f>
        <v/>
      </c>
      <c r="G48" t="inlineStr">
        <is>
          <t>Dallas, TX, US</t>
        </is>
      </c>
      <c r="H48" s="2" t="n">
        <v>46029</v>
      </c>
      <c r="I4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9">
      <c r="A49" t="inlineStr">
        <is>
          <t>in-2fd5f789657941bc</t>
        </is>
      </c>
      <c r="B49" t="inlineStr">
        <is>
          <t>Data Engineer</t>
        </is>
      </c>
      <c r="C49" t="inlineStr">
        <is>
          <t>Amazon.com</t>
        </is>
      </c>
      <c r="D49" t="inlineStr">
        <is>
          <t>indeed</t>
        </is>
      </c>
      <c r="E49">
        <f>HYPERLINK("https://www.indeed.com/viewjob?jk=2fd5f789657941bc", "https://www.indeed.com/viewjob?jk=2fd5f789657941bc")</f>
        <v/>
      </c>
      <c r="F49">
        <f>HYPERLINK("https://www.amazon.jobs/jobs/3141339/data-engineer?cmpid=DA_INAD200785B", "https://www.amazon.jobs/jobs/3141339/data-engineer?cmpid=DA_INAD200785B")</f>
        <v/>
      </c>
      <c r="G49" t="inlineStr">
        <is>
          <t>Seattle, WA, US</t>
        </is>
      </c>
      <c r="H49" s="2" t="n">
        <v>46001</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50">
      <c r="A50" t="inlineStr">
        <is>
          <t>in-2de66c4b1831f53b</t>
        </is>
      </c>
      <c r="B50" t="inlineStr">
        <is>
          <t>Data Engineer</t>
        </is>
      </c>
      <c r="C50" t="inlineStr">
        <is>
          <t>Amazon.com</t>
        </is>
      </c>
      <c r="D50" t="inlineStr">
        <is>
          <t>indeed</t>
        </is>
      </c>
      <c r="E50">
        <f>HYPERLINK("https://www.indeed.com/viewjob?jk=2de66c4b1831f53b", "https://www.indeed.com/viewjob?jk=2de66c4b1831f53b")</f>
        <v/>
      </c>
      <c r="F50">
        <f>HYPERLINK("https://www.amazon.jobs/jobs/3141339/data-engineer?cmpid=DA_INAD200785B", "https://www.amazon.jobs/jobs/3141339/data-engineer?cmpid=DA_INAD200785B")</f>
        <v/>
      </c>
      <c r="G50" t="inlineStr">
        <is>
          <t>San Francisco, CA, US</t>
        </is>
      </c>
      <c r="H50" s="2" t="n">
        <v>46001</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li-4361634362</t>
        </is>
      </c>
      <c r="B2" t="inlineStr">
        <is>
          <t>Senior Data Engineer</t>
        </is>
      </c>
      <c r="C2" t="inlineStr">
        <is>
          <t>Toyota Research Institute</t>
        </is>
      </c>
      <c r="D2" t="inlineStr">
        <is>
          <t>linkedin</t>
        </is>
      </c>
      <c r="E2" t="inlineStr"/>
      <c r="F2" t="inlineStr"/>
      <c r="G2" t="inlineStr">
        <is>
          <t>Los Altos, CA</t>
        </is>
      </c>
      <c r="H2" t="inlineStr"/>
      <c r="I2"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The Automated Driving Advanced Development division at TRI will focus on enabling innovation and transformation at Toyota by building a bridge between TRI research and Toyota products, services, and needs. We achieve this through partnership, collaboration, and shared commitment. This new division is leading a new cross\-organizational project between TRI and Woven by Toyota to conduct research and develop a fully end\-to\-end learned driving stack. This cross\-org collaborative project is harmonious with TRI’s robotics divisions' efforts in Diffusion Policy and Large Behavior Models.
 We are looking for a Senior Data Engineer to design and build the foundational data infrastructure and tools that power our autonomy research and development workflows. This includes large\-scale ingestion pipelines, structured feature stores, labeling infrastructure, scene search and data discovery tools, and performance diagnostics for machine learning and simulation workflows.
**Responsibilities** 
* Design and implement scalable, production\-grade pipelines for data ingestion, transformation, storage, and retrieval from vehicle fleets and simulation environments.
* Build internal tools and services for data labeling, curation, indexing, and cataloging across large and diverse datasets.
* Collaborate with ML researchers, autonomy engineers, and data scientists to design schemas and APIs that power model training, evaluation, and debugging.
* Develop and maintain feature stores, metadata systems, and versioning infrastructure for structured and unstructured data.
* Support the generation and integration of synthetic datasets with real\-world logs to enable hybrid training and simulation workflows.
* Optimize pipelines for cost, latency, and traceability, ensuring reproducibility and consistency across environments.
* Partner with simulation and cloud platform teams to automate workflows for closed\-loop testing, scenario mining, and performance analytics.
**Qualifications** 
* Bachelor’s or Master’s degree in Computer Science, Data Engineering, or a related field.
* 8\+ years of experience building data\-intensive software systems, ideally in robotics, autonomous driving, or large\-scale ML environments.
* Proficient in Python, SQL, and familiar with C\+\+.
* Experience designing ETL pipelines using modern frameworks (e.g., Apache Spark, Flyte, Union).
* Strong knowledge of cloud\-native architectures, including AWS services (e.g., S3, or equivalents (Google Cloud platform)
* Familiarity with sensor data types (camera, lidar, radar, GPS/IMU) and common data serialization formats (e.g., protobuf. ROS2bag, MCAP).
* Deep understanding of data quality, observability, and lineage in high\-volume systems.
* Track record of building reliable and performant infrastructure that supports both ad\-hoc exploration and repeatable production workflows.
**Bonus Qualifications** 
* Experience in AD/ADAS, robotics, or autonomous systems — especially handling perception or planning datasets.
* Familiarity with ML pipeline orchestration frameworks (e.g. Kubeflow, SageMaker, etc).
* Experience working with temporal or spatial data, including geospatial indexing and time\-series alignment.
* Exposure to synthetic data generation, simulation logging, or scenario replay pipelines.
* Strong software engineering fundamentals, CI/CD, testing, code review, and service deployment best practices.
* Experience collaborating with cross\-functional, distributed teams across research and production orgs.
**Please include links to any relevant open\-source contributions or technical project write\-ups with your application.** 
*The pay range for this position at commencement of employment is expected to be between $180,000 and $270,000/year for California\-based roles. Base pay offered will depend on multiple individualized factors, including, but not limited to, business or organizational needs, market location, job\-related knowledge, skills, and experience. TRI offers a generous benefits package including medical, dental, and vision insurance, and paid time off benefits (including holiday pay and sick time).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
      <c r="A3" t="inlineStr">
        <is>
          <t>li-4372359673</t>
        </is>
      </c>
      <c r="B3" t="inlineStr">
        <is>
          <t>Azure Data Engineer</t>
        </is>
      </c>
      <c r="C3" t="inlineStr">
        <is>
          <t>Tata Consultancy Services</t>
        </is>
      </c>
      <c r="D3" t="inlineStr">
        <is>
          <t>linkedin</t>
        </is>
      </c>
      <c r="E3" t="inlineStr"/>
      <c r="F3" t="inlineStr"/>
      <c r="G3" t="inlineStr">
        <is>
          <t>Bellevue, WA</t>
        </is>
      </c>
      <c r="H3" t="inlineStr"/>
      <c r="I3" t="inlineStr">
        <is>
          <t>**Job Description**
**Must Have Technical/Functional Skills:**
* Synapse; Fabric; SQL Server; Python; Azure Storage; ADF; Power Bi
**Roles \&amp; Responsibilities**
* Unified Analytics Platform
* Data Loading \&amp; Architecture
* Data Preparation \&amp; Enrichment
* Security \&amp; Compliance
* Performance \&amp; Optimization
* Collaboration \&amp; Stakeholder Engagement
* Data Integration \&amp; Orchestration
* Data Transformation \&amp; Modeling
* Performance Optimization
* Security \&amp; Governance
* Reliability \&amp; Monitoring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$64,000\-$104,000 a year</t>
        </is>
      </c>
    </row>
    <row r="4">
      <c r="A4" t="inlineStr">
        <is>
          <t>li-4373506353</t>
        </is>
      </c>
      <c r="B4" t="inlineStr">
        <is>
          <t>Lead Data Engineer Remote</t>
        </is>
      </c>
      <c r="C4" t="inlineStr">
        <is>
          <t>Jobgether</t>
        </is>
      </c>
      <c r="D4" t="inlineStr">
        <is>
          <t>linkedin</t>
        </is>
      </c>
      <c r="E4" t="inlineStr"/>
      <c r="F4" t="inlineStr"/>
      <c r="G4" t="inlineStr">
        <is>
          <t>Alabama, United States</t>
        </is>
      </c>
      <c r="H4" t="inlineStr"/>
      <c r="I4" t="inlineStr">
        <is>
          <t>This position is posted by Jobgether on behalf of a partner company. We are currently looking for a Senior Data Engineer \- REMOTE. In this role, you will play a crucial part in supporting the Continuous Controls Monitoring (CCM) team through effective data management and quality oversight. Your expertise will ensure compliance\-related data is accurate, secure, and aligned with internal policies. You will leverage enterprise big data platforms to enhance compliance reporting and audits. The opportunity to innovate and contribute to cutting\-edge solutions is at the core of this role, allowing you to make a meaningful impact on data governance and compliance initiatives.
**Accountabilities**
* Support management of compliance\-related data assets, ensuring accuracy and consistency.
* Perform basic data access, validation, and analysis using Snowflake and Databricks.
* Assist in enforcing data governance and compliance\-related policies.
* Conduct data validation and quality checks to identify compliance issues.
* Prepare data for compliance audits and internal assessments.
* Maintain comprehensive data documentation.
* Support ingestion and validation of data from various sources.
* Utilize SQL to query and validate compliance\-related datasets.
* Collaborate with various teams to enhance compliance reporting.
* Escalate data quality or compliance risks and recommend actions.
* Keep updated on developments in data governance and compliance regulations.
**Requirements**
* 3\-5\+ years of experience in cybersecurity and data management.
* Working knowledge of Data Governance and Compliance Support.
* Proficient in Snowflake, Databricks, SQL, and API Data Integration.
* Excellent communication skills for technical and non\-technical stakeholders.
* Big 4 or audit background preferred.
* Executive\-level presentation abilities.
* Experience leading global and distributed teams.
* Demonstrated people leadership experience.
* High level of autonomy with the ability to lead initiatives.
* Ability to perform under high\-pressure environments.
* Strong attention to detail and decision\-making skills.
**Benefits**
* Opportunities for professional development and growth.
* Flexible remote work arrangements.
* Comprehensive health and wellness benefits.
* Collaborative and inclusive team culture.
* Access to modern data tools and platforms.
* Support for continued education and certifications.
* Competitive compensation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li-4372349793</t>
        </is>
      </c>
      <c r="B5" t="inlineStr">
        <is>
          <t>Azure Databricks Data Engineer</t>
        </is>
      </c>
      <c r="C5" t="inlineStr">
        <is>
          <t>Tata Consultancy Services</t>
        </is>
      </c>
      <c r="D5" t="inlineStr">
        <is>
          <t>linkedin</t>
        </is>
      </c>
      <c r="E5" t="inlineStr"/>
      <c r="F5" t="inlineStr"/>
      <c r="G5" t="inlineStr">
        <is>
          <t>Bellevue, WA</t>
        </is>
      </c>
      <c r="H5" t="inlineStr"/>
      <c r="I5"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$120,000 \- $140,000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6">
      <c r="A6" t="inlineStr">
        <is>
          <t>li-4372359674</t>
        </is>
      </c>
      <c r="B6" t="inlineStr">
        <is>
          <t>Qlik Data Engineer</t>
        </is>
      </c>
      <c r="C6" t="inlineStr">
        <is>
          <t>Tata Consultancy Services</t>
        </is>
      </c>
      <c r="D6" t="inlineStr">
        <is>
          <t>linkedin</t>
        </is>
      </c>
      <c r="E6" t="inlineStr"/>
      <c r="F6" t="inlineStr"/>
      <c r="G6" t="inlineStr">
        <is>
          <t>Raleigh, NC</t>
        </is>
      </c>
      <c r="H6" t="inlineStr"/>
      <c r="I6" t="inlineStr">
        <is>
          <t>**Job Description**
 Qlik Data Engineer/Developer
 Qlik Replicate Automation for Data Ingestion role for a professional with 3\-7 years of experience generally focuses on the design, development, and maintenance of robust, automated data pipelines using Qlik's suite of tools (Qlik Replicate, Qlik Compose, Qlik Sense, and Qlik Automate). This role requires a strong mix of data engineering skills, Qlik platform expertise, and collaboration with business stakeholders.
 Roles and Responsibilities
* Design and Implementation:
* Design, develop, and maintain efficient and scalable data integration and ETL/ELT (Extract, Transform,
* Load/Extract, Load, Transform) pipelines for both batch and real\-time data processing.
* Utilize Qlik data integration tools (e.g., Qlik Replicate, Qlik Compose) to ingest data from various sources (SQL databases, APIs, cloud platforms, flat files) into target data warehouses or data lakes.
* Implement data models (in snowflake schema) using the Qlik associative data model to ensure efficient data storage and retrieval.
* Automation and Optimization:
* Automate data ingestion processes, application reloads, and administrative tasks using Qlik Automate or scripting
* (e.g., Python) to improve efficiency and reduce manual intervention.
* Monitor and optimize data integration processes and Qlik applications for performance, identifying and resolving bottlenecks in data loading and query execution.
* Implement data quality frameworks, including validation, monitoring, and alerting systems to ensure data accuracy and consistency.
* Collaboration and Support:
* Collaborate closely with data engineers, analysts, data scientists, and business stakeholders to gather and understand data requirements and deliver solutions that enable actionable insights.
* Troubleshoot and resolve data integration issues, providing ongoing support for Qlik solutions.
* Document data pipelines, schemas, and business logic for knowledge sharing and efficient onboarding.
* Governance and Compliance:
* Implement data security measures, including encryption, access controls, and audit logging, to ensure
* compliance with relevant data governance policies.
* Manage the data lifecycle, including archival, retention, and deletion policies.
**Required Qualifications And Skills**
* Experience: 3\-7 years of proven experience working directly with Qlik platforms (Qlik Sense, QlikView, Qlik Data Integration suite) as
 a developer or data integrator.
* Strong proficiency in SQL and experience with relational and non\-relational databases.
* Solid understanding of data warehousing concepts, ETL processes, and data modeling techniques.
* Familiarity with cloud platform (AWS) and Data Platform(Snowflake) and related data services.
* Experience with other programming/scripting languages (e.g., Python) for advanced automation is a plus.
 Salary Range\- $100,000\-$110,000 a year
**Qualifications:** 
 BACHELOR OF COMPUTER SCIENCE</t>
        </is>
      </c>
    </row>
    <row r="7">
      <c r="A7" t="inlineStr">
        <is>
          <t>li-4372357685</t>
        </is>
      </c>
      <c r="B7" t="inlineStr">
        <is>
          <t>Senior Data Engineer</t>
        </is>
      </c>
      <c r="C7" t="inlineStr">
        <is>
          <t>Tata Consultancy Services</t>
        </is>
      </c>
      <c r="D7" t="inlineStr">
        <is>
          <t>linkedin</t>
        </is>
      </c>
      <c r="E7" t="inlineStr"/>
      <c r="F7" t="inlineStr"/>
      <c r="G7" t="inlineStr">
        <is>
          <t>Verona, WI</t>
        </is>
      </c>
      <c r="H7" t="inlineStr"/>
      <c r="I7" t="inlineStr">
        <is>
          <t>**Job Description**
**Must Have Technical/Functional Skills:**
* Strong expertise in data modeling techniques (conceptual, logical, physical).
* Proficiency in SQL and NoSQL databases (e.g., MySQL, PostgreSQL, MongoDB, Cassandra).
* In\-depth knowledge of data warehousing concepts and tools (e.g., Redshift, Snowflake, Google BigQuery)
* Experience with big data platforms (e.g., Hadoop, Spark, Kafka).
* Familiarity with cloud\-based data platforms and services (e.g., AWS, Azure, Google Cloud).
* Expertise in ETL tools and processes (e.g., Apache NiFi, Talend, Informatica).
* Proficiency in data integration tools and technologies
* Familiarity with data visualization and reporting tools (e.g., Tableau, Power BI) is a plus.
* Deep understanding of data governance frameworks and best practices.
* Knowledge of security protocols, data privacy regulations (e.g., GDPR, CCPA), and how they apply to data architecture
**Roles \&amp; Responsibilities**
* Working on client projects as Data Architect and successfully designing and implementing data architecture solutions
 Salary Range: $100,000\-$150,000 a year</t>
        </is>
      </c>
    </row>
    <row r="8">
      <c r="A8" t="inlineStr">
        <is>
          <t>li-4372353763</t>
        </is>
      </c>
      <c r="B8" t="inlineStr">
        <is>
          <t>Lead Data Engineer</t>
        </is>
      </c>
      <c r="C8" t="inlineStr">
        <is>
          <t>Tata Consultancy Services</t>
        </is>
      </c>
      <c r="D8" t="inlineStr">
        <is>
          <t>linkedin</t>
        </is>
      </c>
      <c r="E8" t="inlineStr"/>
      <c r="F8" t="inlineStr"/>
      <c r="G8" t="inlineStr">
        <is>
          <t>Raleigh, NC</t>
        </is>
      </c>
      <c r="H8" t="inlineStr"/>
      <c r="I8" t="inlineStr">
        <is>
          <t>**Job Description**
 Lead Data Engineer \- Snowflake, DBT and Qlik
* Design, develop, and maintain robust and scalable data transformation pipelines using dbt on the Snowflake platform.
* DBT Macro Development to Create and utilize Jinja\-based DBT macros to promote code reusability, modularity, and dynamic SQL generation within DBT projects.
* Data Transformation \&amp; Orchestration to Implement and manage data transformation pipelines using DBT, integrating with various data sources and ensuring efficient data flow.
* Utilize advanced dbt concepts, including macros, materializations (e.g., incremental, view, table), snapshots, and configurations to build efficient data models.
* Write highly optimized and complex SQL queries for data manipulation, cleaning, aggregation, and transformation within dbt models.
* Implement and enforce best practices for dbt project structure, version control (Git), documentation, and testing.
* Collaborate with data analysts, engineers, and business stakeholders to understand data requirements and translate them into effective data models (e.g., star schema, snowflake schema).
* Design and implement logical and physical data models within dbt to support analytical and reporting needs.
* Leverage Snowflake features and functionalities for performance optimization, including virtual warehouses, clustering, caching, and query optimization.
* Manage and optimize data ingestion and integration processes from various sources into Snowflake.
* Ensure data quality, integrity, and lineage throughout the data transformation process.
* Implement and maintain DBT tests to ensure data quality, integrity, and adherence to business rules.
* Implement and maintain data governance policies and procedures within the dbt environment.
* Develop and execute automated tests for dbt models to ensure data accuracy and reliability.
**Required Skills**
* Proven hands\-on experience with dbt in a production environment, including extensive use of macros and advanced modeling techniques.
* Expert\-level proficiency in SQL for data querying, manipulation, and transformation.
* Strong experience with Snowflake, including performance tuning and optimization.
* Solid understanding of data warehousing concepts and ETL/ELT processes.
* Experience with version control systems, particularly Git.
* Familiarity with data modeling principles (star schema, snowflake schema).
 Salary Range\- $100,000\-$110,000 a year
**Qualifications:** 
 BACHELOR OF COMPUTER SCIENCE</t>
        </is>
      </c>
    </row>
    <row r="9">
      <c r="A9" t="inlineStr">
        <is>
          <t>li-4372359672</t>
        </is>
      </c>
      <c r="B9" t="inlineStr">
        <is>
          <t>Lead Data Engineer</t>
        </is>
      </c>
      <c r="C9" t="inlineStr">
        <is>
          <t>Tata Consultancy Services</t>
        </is>
      </c>
      <c r="D9" t="inlineStr">
        <is>
          <t>linkedin</t>
        </is>
      </c>
      <c r="E9" t="inlineStr"/>
      <c r="F9" t="inlineStr"/>
      <c r="G9" t="inlineStr">
        <is>
          <t>Philadelphia, PA</t>
        </is>
      </c>
      <c r="H9" t="inlineStr"/>
      <c r="I9" t="inlineStr">
        <is>
          <t>**Job Description**
**Must Have Technical/Functional Skills**
* 3\+ years relevant experience in designing and deploying big data applications and ETL jobs using PySpark APIs/SparkSQL.
* Strong experience with AWS services across multiple domains:
* Collection: Kinesis, DMS
* Storage: S3, RDS, Redshift, DynamoDB
* Analytics \&amp; ML: Glue, EMR, Athena, SageMaker, Bedrock
* Compute: EC2, Lambda, ECS
* Security: IAM, KMS, SSE
* Proficiency in SQL and relational databases (Oracle, SQL Server, Teradata); expert\-level query tuning.
* Hands\-on experience with Python development, REST APIs (AWS API Gateway, Node.js), and CI/CD pipelines using GitHub.
* Familiarity with file formats (JSON, Parquet, Avro) and Linux/Unix shell scripting.
* Exposure to Docker/Kubernetes, Delta Lake APIs, and data quality frameworks.
* AWS certification (Developer Associate or higher) preferred.
**Roles \&amp; Responsibilities**
* Architect and maintain data pipelines using AWS native services (Glue, Kinesis, Lambda, S3, Redshift).
* Design and optimize data models on AWS Cloud leveraging Redshift, RDS, and S3\.
* Implement ETL/ELT workflows and PySpark jobs for data ingestion, transformation, and storage.
* Operationalize self\-service data preparation tools (e.g., Trifacta) on AWS.
* Conduct performance engineering for large\-scale data lakes in production environments.
* Participate in design workshops, provide trade\-offs and recommendations for solution architecture.
* Mentor engineers on coding best practices, problem\-solving, and AWS service utilization.
* Define code review processes, deployment strategies, and ensure compliance with security standards.
* Collaborate with System Architect and Scrum Master to manage dependencies, risks, and blockers. Support test strategy, defect resolution, and root cause analysis during warranty periods.
* Maintain documentation in Confluence and ensure team alignment on standards and practices.
**Generic Managerial Skills, If Any**
**Leadership \&amp; Collaboration**
* Proven ability to mobilize and motivate teams, set technical direction, and resolve conflicts.
* Experience working in Agile environments, managing dependencies, and delivering under ambiguity.
* Strong communication skills for stakeholder engagement and cross\-functional collaboration.
**Preferred Skills**
* Experience with BI tools (QuickSight, Tableau).
* Knowledge of data governance, security, and compliance standards.
* Familiarity with performance testing and observability tools for data pipelines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$100,000 \- $120,000 a year
**Qualifications:** 
 BACHELOR OF COMPUTER SCIENCE</t>
        </is>
      </c>
    </row>
    <row r="10">
      <c r="A10" t="inlineStr">
        <is>
          <t>li-4371723667</t>
        </is>
      </c>
      <c r="B10" t="inlineStr">
        <is>
          <t>Sr. Biometrics Data Engineer</t>
        </is>
      </c>
      <c r="C10" t="inlineStr">
        <is>
          <t>Syneos Health</t>
        </is>
      </c>
      <c r="D10" t="inlineStr">
        <is>
          <t>linkedin</t>
        </is>
      </c>
      <c r="E10" t="inlineStr"/>
      <c r="F10" t="inlineStr"/>
      <c r="G10" t="inlineStr"/>
      <c r="H10" t="inlineStr"/>
      <c r="I10"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1">
      <c r="A11" t="inlineStr">
        <is>
          <t>li-4371710768</t>
        </is>
      </c>
      <c r="B11" t="inlineStr">
        <is>
          <t>Sr. Biometrics Data Engineer</t>
        </is>
      </c>
      <c r="C11" t="inlineStr">
        <is>
          <t>Syneos Health</t>
        </is>
      </c>
      <c r="D11" t="inlineStr">
        <is>
          <t>linkedin</t>
        </is>
      </c>
      <c r="E11" t="inlineStr"/>
      <c r="F11" t="inlineStr"/>
      <c r="G11" t="inlineStr"/>
      <c r="H11" t="inlineStr"/>
      <c r="I11"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12">
      <c r="A12" t="inlineStr">
        <is>
          <t>li-4373509262</t>
        </is>
      </c>
      <c r="B12" t="inlineStr">
        <is>
          <t>Lead Cyber Data Engineer Remote</t>
        </is>
      </c>
      <c r="C12" t="inlineStr">
        <is>
          <t>Jobgether</t>
        </is>
      </c>
      <c r="D12" t="inlineStr">
        <is>
          <t>linkedin</t>
        </is>
      </c>
      <c r="E12" t="inlineStr"/>
      <c r="F12" t="inlineStr"/>
      <c r="G12" t="inlineStr">
        <is>
          <t>Illinois, United States</t>
        </is>
      </c>
      <c r="H12" t="inlineStr"/>
      <c r="I12" t="inlineStr">
        <is>
          <t>This position is posted by Jobgether on behalf of a partner company. We are currently looking for a Senior Data Engineer \- REMOTE. In this role, you will play a crucial part in supporting the Continuous Controls Monitoring (CCM) team through effective data management and quality oversight. Your expertise will ensure compliance\-related data is accurate, secure, and aligned with internal policies. You will leverage enterprise big data platforms to enhance compliance reporting and audits. The opportunity to innovate and contribute to cutting\-edge solutions is at the core of this role, allowing you to make a meaningful impact on data governance and compliance initiatives.
**Accountabilities**
* Support management of compliance\-related data assets, ensuring accuracy and consistency.
* Perform basic data access, validation, and analysis using Snowflake and Databricks.
* Assist in enforcing data governance and compliance\-related policies.
* Conduct data validation and quality checks to identify compliance issues.
* Prepare data for compliance audits and internal assessments.
* Maintain comprehensive data documentation.
* Support ingestion and validation of data from various sources.
* Utilize SQL to query and validate compliance\-related datasets.
* Collaborate with various teams to enhance compliance reporting.
* Escalate data quality or compliance risks and recommend actions.
* Keep updated on developments in data governance and compliance regulations.
**Requirements**
* 3\-5\+ years of experience in cybersecurity and data management.
* Working knowledge of Data Governance and Compliance Support.
* Proficient in Snowflake, Databricks, SQL, and API Data Integration.
* Excellent communication skills for technical and non\-technical stakeholders.
* Big 4 or audit background preferred.
* Executive\-level presentation abilities.
* Experience leading global and distributed teams.
* Demonstrated people leadership experience.
* High level of autonomy with the ability to lead initiatives.
* Ability to perform under high\-pressure environments.
* Strong attention to detail and decision\-making skills.
**Benefits**
* Opportunities for professional development and growth.
* Flexible remote work arrangements.
* Comprehensive health and wellness benefits.
* Collaborative and inclusive team culture.
* Access to modern data tools and platforms.
* Support for continued education and certifications.
* Competitive compensation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
      <c r="A13" t="inlineStr">
        <is>
          <t>li-4344278702</t>
        </is>
      </c>
      <c r="B13" t="inlineStr">
        <is>
          <t>Senior Data Engineer – Enterprise Data Frameworks (Java Spark Focus)</t>
        </is>
      </c>
      <c r="C13" t="inlineStr">
        <is>
          <t>Citizens</t>
        </is>
      </c>
      <c r="D13" t="inlineStr">
        <is>
          <t>linkedin</t>
        </is>
      </c>
      <c r="E13" t="inlineStr"/>
      <c r="F13" t="inlineStr"/>
      <c r="G13" t="inlineStr">
        <is>
          <t>Phoenix, AZ</t>
        </is>
      </c>
      <c r="H13" t="inlineStr"/>
      <c r="I13" t="inlineStr">
        <is>
          <t>**Description**
**Senior Data Engineer – Enterprise Data Frameworks**
**Overview**
 The Enterprise Data Frameworks team is seeking a Senior Data Engineer with deep expertise in building scalable, high\-performance data processing systems using Java, Apache Spark, and modern data engineering tools. This role is ideal for someone passionate about designing resilient data frameworks, optimizing distributed data pipelines, and enabling enterprise\-grade data onboarding and automation.
 As a Senior Data Engineer, you will lead the development of core components within our data frameworks, integrating Spark\-based processing with backend services and APIs. You will collaborate with architects, data engineers, and business stakeholders to deliver secure, compliant, and high\-performing solutions.
**Primary Responsibilities**
* Design and implement distributed data processing pipelines using Apache Spark (Java) for large\-scale data ingestion, transformation, and analytics
* Develop and maintain Java\-based microservices and APIs to support data workflows and framework orchestration
* Collaborate with UI engineers to integrate backend services with frontend applications for seamless user experiences
* Translate business and technical requirements into scalable data engineering solutions
* Optimize Spark jobs for performance, reliability, and cost\-efficiency across cloud and on\-prem environments
* Lead code reviews, mentor junior engineers, and contribute to architectural decisions
* Ensure compliance with data governance, security, and change management standards
* Participate in Agile ceremonies and drive continuous improvement in engineering practices
**Required Skills And Experience**
* 7\+ years of experience in data engineering with strong proficiency in Java and Apache Spark
* Proven experience building and optimizing Spark jobs for batch and streaming data
* Solid understanding of data lake architectures, Iceberg/Parquet, and metadata\-driven frameworks
* Experience with Spring Boot, RESTful APIs, and microservices architecture
* Familiarity with CI/CD pipelines, Git, and containerization (Docker/Kubernetes)
* Exposure to cloud platforms such as AWS (S3, EMR, Lambda, API Gateway) is a plus
* Experience working with data\-centric applications and collaborating with frontend and platform teams
* Good to have: Experience with Generative AI tools or frameworks for developer assistance, metadata analysis, or automation
**Education and Certifications**
* Bachelor’s or Master’s degree in Computer Science, Engineering, or a related technical field
**Work Schedule**
* Hours per Week: 40
* Location: Hybrid, 4 days on site from a Citizens corporate office, 1 day remote
* Schedule: Monday through Friday
**Pay Transparency**
 The salary range for this position is $120,000\-160,000 per year, plus an opportunity to earn an annual discretionary bonus. Actual pay is based on various factors including but not limited to the work location, and relevant skills and experience.
 We offer competitive pay, comprehensive medical, dental and vision coverage, retirement benefits, maternity/paternity leave, flexible work arrangements, education reimbursement, wellness programs and more. Note, Citizens’ paid time off policy exceeds the mandatory, paid sick or paid time\-away policy of very local and state jurisdiction in the United States. For an overview of our benefits, visit https://jobs.citizensbank.com/benefits.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t>
        </is>
      </c>
    </row>
    <row r="14">
      <c r="A14" t="inlineStr">
        <is>
          <t>li-4364775397</t>
        </is>
      </c>
      <c r="B14" t="inlineStr">
        <is>
          <t>Data Engineer</t>
        </is>
      </c>
      <c r="C14" t="inlineStr">
        <is>
          <t>Outdoorsy</t>
        </is>
      </c>
      <c r="D14" t="inlineStr">
        <is>
          <t>linkedin</t>
        </is>
      </c>
      <c r="E14" t="inlineStr"/>
      <c r="F14" t="inlineStr"/>
      <c r="G14" t="inlineStr">
        <is>
          <t>Austin, TX</t>
        </is>
      </c>
      <c r="H14" t="inlineStr"/>
      <c r="I14"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the largest outdoor travel and hospitality marketplace; the
 **Destination Network** 
 , a growing collection of campgrounds and glamping retreats set in some of the country's most iconic landscapes; and
 **Roamly,**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**About the Role:**
 The Outdoorsy Group is seeking an experienced Data Engineer to drive two business critical functions: the synthesis of data sources to develop a Customer 360 view across our suite of products, and achieving AI readiness by creating real\-time data flows that connect to AI agents. To date, our data has been siloed across different products and tools, each with their own identifiers and structures. The ideal candidate will be able to show a track record of success building scalable data pipelines that solve Identity Resolution challenges, as well as experience building infrastructure for LLM\-based applications. If you're self\-driven and looking to make an impact in a fast\-paced environment, then we'd love to have you!
**Requirements**
**Key Responsibilities \&amp; Deliverables**
* Enhance Identity Resolution such that there is a source\-of\-truth Customer 360 view that links users across our RV marketplace, internal insurance products, and 3rd\-party insurance partners.
* Develop fuzzy matching algorithms to triangulate single users across data that lacks common IDs
* Build and maintain scalable ELT/ETL pipelines (using tools like dbt, Airflow, FiveTran) that sync siloed SQL databases, external CRM data, and 3rd\-party insurance and claims data into a unified warehouse (Redshift/BigQuery)
* Architect real\-time data flows to feed an AI agent, achieving AI Readiness. Through Knowledge Graphs, Vector Databases, and Retrieval\-Automated Generation, ensure agents can access e.g. latest policy status, upsell propensity scores, and customer history in near real\-time
* Own all aspects of data governance between our operational systems and the AI agent to ensure privacy, security and high\-fidelity responses
**Who You Are (Candidate Profile)**
* Industry Expert: 3\+ years data engineering experience building production\-grade data warehouses and pipelines. Travel, marketplace, or insurance experience is a bonus, but not essential
* Technically Proficient: Advanced expertise in SQL and Python, with the ability to write complex transformations and fuzzy matching algorithms, and handle messy 3rd\-party data formats
* Identity Resolution Experience: Direct experience with ‘Customer 360' or ‘Golden Rule' projects that establish source\-of\-truth customer profiles across disparate products and data sources
* Real\-Time LLM Context: Experience with streaming technologies (Kafka, Pub/Sub) or building infrastructure for LLM\-based applications (Knowledge Graphs, Vector Databases, RAG)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Academic Background: Degree in a technical quantitative field like computer science, data science, and engineering, or equivalent practical experience
* Candidates in Austin, Texas will be prioritized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15">
      <c r="A15" t="inlineStr">
        <is>
          <t>li-4373820014</t>
        </is>
      </c>
      <c r="B15" t="inlineStr">
        <is>
          <t>Data Engineer</t>
        </is>
      </c>
      <c r="C15" t="inlineStr">
        <is>
          <t>v4c.ai</t>
        </is>
      </c>
      <c r="D15" t="inlineStr">
        <is>
          <t>linkedin</t>
        </is>
      </c>
      <c r="E15" t="inlineStr"/>
      <c r="F15" t="inlineStr"/>
      <c r="G15" t="inlineStr"/>
      <c r="H15" t="inlineStr"/>
      <c r="I15" t="inlineStr">
        <is>
          <t>**Position Overview**
 V4C.ai is seeking a motivated Data Engineer to join our remote team in the United States. In this role, you will support the design, development, and maintenance of data solutions using Databricks, helping clients and internal teams process, transform, and analyze data effectively. You'll work on building reliable data pipelines and workflows in a collaborative environment, gaining hands\-on experience with modern data engineering tools and cloud technologies.
**Key Responsibilities**
* Collaborate with team members and stakeholders to understand data requirements and contribute to building scalable data pipelines and workflows in Databricks
* Develop and implement ETL/ELT processes using Databricks, Python, SQL, and related tools to ingest, transform, and prepare data
* Assist in optimizing data workflows for better performance, reliability, and cost\-efficiency within Databricks environments
* Support the creation and maintenance of data models, tables, and integrations in cloud platforms (Azure, AWS, or similar)
* Work closely with cross\-functional teams (data analysts, scientists, and engineers) to deliver clean, accessible data for analytics and reporting
* Monitor data pipelines, troubleshoot basic issues, and contribute to documentation and best practices
* Stay curious about new Databricks features and data engineering trends to support ongoing improvements
**Requirements**
* Bachelor's degree in Computer Science, Data Science, Engineering, Information Systems, or a related field (or equivalent practical experience)
* 1\-2 years of professional experience in data engineering, data processing, analytics engineering, or a closely related role (internships, co\-ops, or academic projects with relevant tools count toward this)
* Hands\-on experience and comfort building basic data pipelines or transformations
* Proficiency in Python and SQL; experience with Scala is a plus but not required
* Basic understanding of cloud platforms such as Azure, AWS, or GCP (ex: working with storage, compute, or data services)
* Solid analytical and problem\-solving skills with attention to detail and a focus on writing clean, maintainable code
* Strong communication skills and ability to work collaboratively in a remote team environment
* Eagerness to learn, take ownership of tasks, and grow within data engineering</t>
        </is>
      </c>
    </row>
    <row r="16">
      <c r="A16" t="inlineStr">
        <is>
          <t>li-4371926129</t>
        </is>
      </c>
      <c r="B16" t="inlineStr">
        <is>
          <t>Data Engineer</t>
        </is>
      </c>
      <c r="C16" t="inlineStr">
        <is>
          <t>The Wildlife Trusts</t>
        </is>
      </c>
      <c r="D16" t="inlineStr">
        <is>
          <t>linkedin</t>
        </is>
      </c>
      <c r="E16" t="inlineStr"/>
      <c r="F16" t="inlineStr"/>
      <c r="G16" t="inlineStr">
        <is>
          <t>Lewes, DE</t>
        </is>
      </c>
      <c r="H16" t="inlineStr"/>
      <c r="I16" t="inlineStr">
        <is>
          <t>As Data Engineer, you will play a crucial role in supporting the work of The Wildlife Trusts by maintaining and enhancing our data pipelines and infrastructure. You will be responsible for ensuring the effectiveness, efficiency, and scalability of the federation wide data service system, a data lakehouse, providing key insights and solutions to support decision\-making across the organisation and federation, responding to the needs of Wildlife Trusts and the delivery of our 2030 Strategy.
 Working collaboratively with various teams, you will develop data management solutions, new use cases, forecast data volumes, and ensure cost\-effective service maintenance. You will be integral in enabling us to leverage data for operational and strategic success and in supporting an excellent community of practice within the federation of Wildlife Trusts.</t>
        </is>
      </c>
    </row>
    <row r="17">
      <c r="A17" t="inlineStr">
        <is>
          <t>li-4373816382</t>
        </is>
      </c>
      <c r="B17" t="inlineStr">
        <is>
          <t>Data Engineer - Subscriptions</t>
        </is>
      </c>
      <c r="C17" t="inlineStr">
        <is>
          <t>Spotify</t>
        </is>
      </c>
      <c r="D17" t="inlineStr">
        <is>
          <t>linkedin</t>
        </is>
      </c>
      <c r="E17" t="inlineStr"/>
      <c r="F17" t="inlineStr"/>
      <c r="G17" t="inlineStr">
        <is>
          <t>New York, NY</t>
        </is>
      </c>
      <c r="H17" t="inlineStr"/>
      <c r="I17" t="inlineStr">
        <is>
          <t>As an Engineer in the Subscriptions mission, you’ll help build and operate the systems that power Spotify’s paid media measurement, attribution, and audience targeting. You’ll work on production systems that process marketing data at scale, enabling teams to understand performance, optimize spend, and reach the right audiences.
 You’ll join a multi\-functional squad, a multi\-functional team at the intersection of engineering, marketing, product, and analytics, focused on finding future listeners and driving sustainable growth across Spotify’s Free and Premium offerings. In this role, you’ll contribute to global\-scale data pipelines and integrations that support high\-impact campaigns like Wrapped and help marketing teams make smarter decisions about where and how to invest. This is a hands\-on role for someone excited to work on real production systems and see their work directly shape how Spotify grows.
 What You'll Do
* Build and operate data pipelines that power paid media attribution, audience targeting, and campaign measurement across global marketing platforms.
* Build and operate batch and real\-time data pipelines on Google Cloud Platform that process billions of marketing and user events daily at global scale.
* Partner with marketing, analytics, and product teams to instrument data collection, translate requirements, and ensure data quality while operating within legal and regulatory constraints.
* Contribute to integrations with external marketing platforms, supporting reliable audience delivery and suppression workflows.
* Monitor and improve production systems, strengthening reliability, observability, and operational readiness.
* Work within a cross\-functional, agile squad to build and own data systems end to end, partnering with marketing, analytics, and insights teams to create solutions aligned with business priorities.
* Collaborate with fellow engineers to design, build, and operate data systems, while contributing to shared standards, tooling, and continuous improvements in how the team works.
 Who You Are
* You have solid experience building and maintaining production data pipelines and systems
* You’re familiar with development and deployment within cloud environments (ideally GCP)
* You’re fluent in SQL and at least one programming language (Python, Java, or Scala), with experience using cloud data warehouses like BigQuery, Snowflake, or Redshift
* You understand batch and streaming data processing, ETL/ELT patterns, and data modeling fundamentals
* You care deeply about data quality, system reliability, and building systems downstream users can trust
* You value strong engineering practices, including testing, monitoring, and maintainable code
* You’re comfortable incorporating GenAI tools like Claude into your development workflow
* You’re comfortable working in an agile, product\-oriented environment and collaborating across engineering, product, analytics, and marketing
* You’re pragmatic, hands\-on, and able to balance delivery speed with long\-term quality
* You thrive in ambiguous and fast\-changing environments, and know how to make progress even when requirements are evolving
* You have experience with marketing technology ecosystems (attribution platforms, CDPs, ad platforms) is a bonus.
 Where You'll Be
* This role is based in New York.
* We offer you the flexibility to work where you work best! There will be some in person meetings, but still allows for flexibility to work from home.
 The United States base range for this position is $151,942 \- $189,927, plus equity. The benefits available for this position include health insurance, six month paid parental leave, 401(k) retirement plan, monthly meal allowance, 23 paid days off,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8">
      <c r="A18" t="inlineStr">
        <is>
          <t>li-4373818512</t>
        </is>
      </c>
      <c r="B18" t="inlineStr">
        <is>
          <t>Data Engineer</t>
        </is>
      </c>
      <c r="C18" t="inlineStr">
        <is>
          <t>hackajob</t>
        </is>
      </c>
      <c r="D18" t="inlineStr">
        <is>
          <t>linkedin</t>
        </is>
      </c>
      <c r="E18" t="inlineStr"/>
      <c r="F18" t="inlineStr"/>
      <c r="G18" t="inlineStr">
        <is>
          <t>Phoenix, AZ</t>
        </is>
      </c>
      <c r="H18" t="inlineStr"/>
      <c r="I18" t="inlineStr">
        <is>
          <t>hackajob has partnered with American Express to support the growth of its Global Risk \&amp; Compliance Technology teams, connecting experienced Data Engineers with high impact roles building and scaling enterprise\-grade data platforms.
**Role: Data Engineer** 
**Location: Phoenix, AZ (Hybrid )** 
**Salary: $89,250 – $150,250 per annum** 
**Role Overview** 
 We are looking for a Data Engineer to join the Global Risk \&amp; Compliance Technology team at American Express. In this role, you will design, build, and optimize scalable data pipelines and data models that power risk and compliance analytics across the enterprise.
**Key Responsibilities** 
* Design and develop scalable ETL/ELT data pipelines
* Build and maintain data models to support risk and compliance reporting
* Develop and optimize SQL queries for large\-scale datasets
* Work with GCP technologies to implement cloud\-based data solutions
**You’ll Bring** 
* 2–6\+ years of experience in data engineering
* Strong expertise in Google Cloud Platform (GCP)
* Proficiency in Python for data processing and pipeline development
* Advanced SQL skills with experience handling large datasets
* Hands\-on experience building ETL/ELT workflows
 Why Apply?
 At American Express, you’ll work on enterprise\-scale data platforms that support critical risk and compliance functions. This is an opportunity to deepen your cloud data engineering expertise, collaborate with high performing teams, and contribute to data driven decision making at scale.</t>
        </is>
      </c>
    </row>
    <row r="19">
      <c r="A19" t="inlineStr">
        <is>
          <t>li-4372551134</t>
        </is>
      </c>
      <c r="B19" t="inlineStr">
        <is>
          <t>Senior Data Engineer</t>
        </is>
      </c>
      <c r="C19" t="inlineStr">
        <is>
          <t>ConocoPhillips</t>
        </is>
      </c>
      <c r="D19" t="inlineStr">
        <is>
          <t>linkedin</t>
        </is>
      </c>
      <c r="E19" t="inlineStr"/>
      <c r="F19" t="inlineStr"/>
      <c r="G19" t="inlineStr">
        <is>
          <t>Houston, TX</t>
        </is>
      </c>
      <c r="H19" t="inlineStr"/>
      <c r="I19" t="inlineStr">
        <is>
          <t>* World’s largest independent upstream oil and gas business
* SPIRIT values \- Safety People Integrity Responsibility Innovation Teamwork
* Operations in 13 countries
 Welcome to ConocoPhillips, where innovation and excellence create a platform for opportunity and growth. Come realize your full potential here.
**Who We Are**
 We are one of the world’s largest independent exploration and production companies, based on proved reserves and production of liquids and natural gas. With operations and activities in 13 countries, we explore for, develop, and produce crude oil and natural gas globally. We are challenged with an important job to safely find and deliver energy to the world. Our employees are critical to our success, and with them we power civilization.
 We’re grounded by our SPIRIT Values – safety, people, integrity, responsibility, innovation, and teamwork. These values position us to deliver strong performance in a dynamic business – but not at all costs. We believe it’s not just what we do – it’s how we do it – that sets us apart.
**Fostering an Inclusive Work Environment**
 To deliver superior performance, we create an environment that respects the contributions and differences of every individual. Wherever possible, we use these differences to drive competitive business advantage, personal growth and, ultimately, create business success.
**Job Summary**
 We are seeking a highly skilled and experienced IT Senior Data Engineer to join our team. Reporting to the IT Director Data Engineering and Analytics, this position is responsible for designing, building, and maintaining scalable data pipelines into our enterprise cloud data warehouse that enable analytics, reporting, and advanced data solutions across the organization.
 The role is part of a cross functional team that includes other data and analytics engineers and will work closely with the data architecture team which is responsible for establishing enterprise data standards and implementing new data management technologies and patterns.
 This position also works closely with IT operations, database administrators, infrastructure teams, analytics leaders, and business stakeholders to ensure system availability, performance, and timely resolution of data issues.
**Position Overview**
**Apply By:**
 Mar 1, 2026
**Sponsorship:**
 ConocoPhillips’ sponsorship for employment authorization in the U.S. is NOT available for this position.
**EEO:**
 In the US, ConocoPhillips is an Equal Opportunity/Affirmative Action Employer. All qualified applicants will receive consideration for employment without regard to race, color, religion, sex, sexual orientation, national origin, age, disability, veteran status, gender identity or expression, genetic information, or any other legally protected status.</t>
        </is>
      </c>
    </row>
    <row r="20">
      <c r="A20" t="inlineStr">
        <is>
          <t>li-4372525554</t>
        </is>
      </c>
      <c r="B20" t="inlineStr">
        <is>
          <t>Data Engineer</t>
        </is>
      </c>
      <c r="C20" t="inlineStr">
        <is>
          <t>AARATECH</t>
        </is>
      </c>
      <c r="D20" t="inlineStr">
        <is>
          <t>linkedin</t>
        </is>
      </c>
      <c r="E20" t="inlineStr"/>
      <c r="F20" t="inlineStr"/>
      <c r="G20" t="inlineStr"/>
      <c r="H20" t="inlineStr"/>
      <c r="I20"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21">
      <c r="A21" t="inlineStr">
        <is>
          <t>li-4372537898</t>
        </is>
      </c>
      <c r="B21" t="inlineStr">
        <is>
          <t>Data Engineer</t>
        </is>
      </c>
      <c r="C21" t="inlineStr">
        <is>
          <t>Beacon Hill</t>
        </is>
      </c>
      <c r="D21" t="inlineStr">
        <is>
          <t>linkedin</t>
        </is>
      </c>
      <c r="E21" t="inlineStr"/>
      <c r="F21" t="inlineStr"/>
      <c r="G21" t="inlineStr">
        <is>
          <t>Greenwood Village, CO</t>
        </is>
      </c>
      <c r="H21" t="inlineStr"/>
      <c r="I21" t="inlineStr">
        <is>
          <t>Job Description:
 The ideal candidate is passionate about design and data. You enjoy weaving together data to build a data narrative that drives action. You're innovative, you have a passion for data analysis, and words like PARTITION BY or UNION ALL do not scare you. On this team, you'll be responsible for ETL design, development, implementation, support, and data analysis with exposures to various technology stacks and opportunities to hone your design chops.
**What you'll be responsible for:** 
* Designing and developing HIVE code
* Designing and developing automated solutions
* Performance monitoring and tuning of existing automated jobs
* Troubleshooting failures
* Ad hoc analyses
* Query data to answer business questions and to support investigations
* Engage with subject matter experts to develop metrics and key performance indicators
**What you need to succeed:** 
* Outstanding ability to communicate clearly and concisely
* Thorough, take detailed notes and capture correct information
* Strong ETL development background
* BASH experience
* Understanding of YARN and HDFS
* Experience with SQL for analysis and data investigation
* AWS cloud experience a plus, but not required (Cloudwatch, Lambda, EMR, Athena)
* Excellent analytical skills, curious about data
* Ability to think creatively to identify solutions
* Driven, hungry for opportunities
* Ability to manage multiple projects and deadlines
* Desire to learn and continue growing your technical skillset
**Requirements**
 Top 3 Requirements:
* Strong SQL skills
* Python
* Data transformation skills within SQL and Python (how to get metrics out of a data set)
* ETL experience
 Plusses:
* AWS
* Big data tools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22">
      <c r="A22" t="inlineStr">
        <is>
          <t>li-3970352584</t>
        </is>
      </c>
      <c r="B22" t="inlineStr">
        <is>
          <t>Data Engineer</t>
        </is>
      </c>
      <c r="C22" t="inlineStr">
        <is>
          <t>Figma</t>
        </is>
      </c>
      <c r="D22" t="inlineStr">
        <is>
          <t>linkedin</t>
        </is>
      </c>
      <c r="E22" t="inlineStr"/>
      <c r="F22" t="inlineStr"/>
      <c r="G22" t="inlineStr">
        <is>
          <t>New York, NY</t>
        </is>
      </c>
      <c r="H22" t="inlineStr"/>
      <c r="I2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loves solving problems. You’ll have a good sense for when it makes sense to build fast, scrappy solutions to unblock a key stakeholder vs. when to push back or bring in an outside service. The ideal candidate will be a great communicator who can help coordinate across multiple internal and external teams and takes pride in building end\-to\-end projects.
 This is a full time role that can be held from one of our US hubs or remotely in the United States.
**What you'll do at Figma** 
**:**
* Own, build, and maintain scalable data pipelines that connect various cloud data sources.
* Develop a deep understanding of Figma’s core data models and optimize data pipelines for scale.
*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 Establish best practices for the development of specialized data sets for analytics and modeling.
 We'd love to hear from you if you have:
* 4\+ years in a relevant field.
* Fluency with both SQL and Python.
* Familiarity with Snowflake, dbt, Dagster, and ETL/reverse ETL tools.
* Excellent judgment and creative problem solving skills.
* A self\-starting mindset along with strong communication and collaboration skills.
 While not required, it’s an added plus if you also have:
* Knowledge in data modeling methodologies to design and build robust data architectures for insightful analytics.
* Experience with business systems such as Salesforce,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$164,000—$338,000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23">
      <c r="A23" t="inlineStr">
        <is>
          <t>li-4371919956</t>
        </is>
      </c>
      <c r="B23" t="inlineStr">
        <is>
          <t>Data Engineer I</t>
        </is>
      </c>
      <c r="C23" t="inlineStr">
        <is>
          <t>ConstructConnect</t>
        </is>
      </c>
      <c r="D23" t="inlineStr">
        <is>
          <t>linkedin</t>
        </is>
      </c>
      <c r="E23" t="inlineStr"/>
      <c r="F23" t="inlineStr"/>
      <c r="G23" t="inlineStr">
        <is>
          <t>Atlanta, GA</t>
        </is>
      </c>
      <c r="H23" t="inlineStr"/>
      <c r="I23" t="inlineStr">
        <is>
          <t>**Overview**
 This position sits within our Product Development division, which develops, tests, and improves our software solutions in an innovative and collaborative environment.
 ConstructConnect has built up multiple sources of data over the course of many years and acquisitions and is looking for a full\-time Data Engineer. Our Data Engineers work to build bridges and pathways between data sources. Our goal of one source of truth is accomplished with a myriad of tools as we build out the company’s data lake and data warehouse. This role has the unique opportunity to consume and manage the nation’s largest collection of construction data.
 The ideal candidate for this role is excited about data in all its forms, desires to build a source of data truth, and is looking forward to leveraging Google Cloud’s vast array of data technologies.
**The Opportunity**
 The Data Engineer enhances our data pipelines using a combination of technologies and standard engineering practices. They are responsible for working with the software engineering, marketing, product, data science, and customer service teams to ensure our data is delivered in a timely and scalable fashion.
**Responsibilities**
**What You’ll Be Doing**
* Assembling large, complex sets of data that meet business requirements
* Modernizing and innovating data delivery pipelines using cloud technologies
* Ensure data is properly curated and transformed for analysis and consumption
* Collaborate with data scientists and architects
* Learn and apply AI technologies: Gain familiarity with AI tools and frameworks to assist in GTM Systems tasks
* This job description in no way implies that the duties listed here are the only ones that team members can be required to perform
**Qualifications**
**What You Bring to the Team**
* Bachelor’s Degree or equivalent experience in Computer Sciences, Database Development, or a related discipline
* 1 – 3 years professional experience managing Data Lakes and Data Warehouses
* Creative problem\-solver who is passionate about digging into complex problems and devising new approaches to reach results
* Strong communication skills and experience distilling and presenting complex quantitative analysis into action\-oriented recommendations
* Understanding of programming languages such as Python, JavaScript, C\#, or other language
* Understanding of SQL Queries, Stored Procedures, Views, and Triggers
* Understanding of the concepts of ETL or ELT (Extract, Transform, Load) processes
* Familiarity with cloud\-based data technologies
 Experience with the following will help you ramp up more quickly, but is not required:
* dbt (Data Build Tool) for building and maintaining data models and transformations
* Strong, production\-quality SQL for analytics and data engineering workloads
* Git\-based workflows (ideally GitLab) for version control, code review, and collaboration
**Physical Demands and Work Environment**
* The physical activities of this position include frequent sitting, telephone communication, working on a computer for extended periods of time. Visual acuity is required to perform activities close to the eyes.
* Team members are expected to maintain a dedicated and ergonomically appropriate remote workspace.
* Team members who live within commuting distance of our office location in Peachtree Corners (Metro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24">
      <c r="A24" t="inlineStr">
        <is>
          <t>li-3970356046</t>
        </is>
      </c>
      <c r="B24" t="inlineStr">
        <is>
          <t>Data Engineer</t>
        </is>
      </c>
      <c r="C24" t="inlineStr">
        <is>
          <t>Figma</t>
        </is>
      </c>
      <c r="D24" t="inlineStr">
        <is>
          <t>linkedin</t>
        </is>
      </c>
      <c r="E24" t="inlineStr"/>
      <c r="F24" t="inlineStr"/>
      <c r="G24" t="inlineStr"/>
      <c r="H24" t="inlineStr"/>
      <c r="I2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loves solving problems. You’ll have a good sense for when it makes sense to build fast, scrappy solutions to unblock a key stakeholder vs. when to push back or bring in an outside service. The ideal candidate will be a great communicator who can help coordinate across multiple internal and external teams and takes pride in building end\-to\-end projects.
 This is a full time role that can be held from one of our US hubs or remotely in the United States.
**What you'll do at Figma** 
**:**
* Own, build, and maintain scalable data pipelines that connect various cloud data sources.
* Develop a deep understanding of Figma’s core data models and optimize data pipelines for scale.
*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 Establish best practices for the development of specialized data sets for analytics and modeling.
 We'd love to hear from you if you have:
* 4\+ years in a relevant field.
* Fluency with both SQL and Python.
* Familiarity with Snowflake, dbt, Dagster, and ETL/reverse ETL tools.
* Excellent judgment and creative problem solving skills.
* A self\-starting mindset along with strong communication and collaboration skills.
 While not required, it’s an added plus if you also have:
* Knowledge in data modeling methodologies to design and build robust data architectures for insightful analytics.
* Experience with business systems such as Salesforce,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$164,000—$338,000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25">
      <c r="A25" t="inlineStr">
        <is>
          <t>li-4372531460</t>
        </is>
      </c>
      <c r="B25" t="inlineStr">
        <is>
          <t>Data Engineer</t>
        </is>
      </c>
      <c r="C25" t="inlineStr">
        <is>
          <t>AARATECH</t>
        </is>
      </c>
      <c r="D25" t="inlineStr">
        <is>
          <t>linkedin</t>
        </is>
      </c>
      <c r="E25" t="inlineStr"/>
      <c r="F25" t="inlineStr"/>
      <c r="G25" t="inlineStr"/>
      <c r="H25" t="inlineStr"/>
      <c r="I25"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26">
      <c r="A26" t="inlineStr">
        <is>
          <t>li-4372518595</t>
        </is>
      </c>
      <c r="B26" t="inlineStr">
        <is>
          <t>Data Engineer</t>
        </is>
      </c>
      <c r="C26" t="inlineStr">
        <is>
          <t>AARATECH</t>
        </is>
      </c>
      <c r="D26" t="inlineStr">
        <is>
          <t>linkedin</t>
        </is>
      </c>
      <c r="E26" t="inlineStr"/>
      <c r="F26" t="inlineStr"/>
      <c r="G26" t="inlineStr"/>
      <c r="H26" t="inlineStr"/>
      <c r="I26"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7">
      <c r="A27" t="inlineStr">
        <is>
          <t>li-4373593829</t>
        </is>
      </c>
      <c r="B27" t="inlineStr">
        <is>
          <t>Data Engineer</t>
        </is>
      </c>
      <c r="C27" t="inlineStr">
        <is>
          <t>Apolis</t>
        </is>
      </c>
      <c r="D27" t="inlineStr">
        <is>
          <t>linkedin</t>
        </is>
      </c>
      <c r="E27" t="inlineStr"/>
      <c r="F27" t="inlineStr"/>
      <c r="G27" t="inlineStr">
        <is>
          <t>Santa Monica, CA</t>
        </is>
      </c>
      <c r="H27" t="inlineStr"/>
      <c r="I27" t="inlineStr">
        <is>
          <t>**Job Title: Data Engineer
 Location: Santa Monica, CA ( 100% onsite position)
 Tax Term (W2, C2C): Any
 Job Type (Permanent/Contract) :**
**Duration: 12 months
 \*\*\*  Onsite interview is a MUST**
 :
 Responsibilities:
 · Design and develop scalable ETL/ELT pipelines to ingest and transform data from various sources.
 · Build and maintain data models and transformations using DBT in Snowflake.
 · Work closely with analysts and business users to deliver Power BI dashboards and datasets .
 · Integrate and automate data extraction from external APIs using Python , loading clean data into Snowflake.
 · Collaborate with cross\-functional teams to understand business requirements and translate them into technical solutions.
 · Optimize and monitor data workflows in ADF, AWS Glue , or similar tools.
 · Work with relational databases and ensure data integrity, quality, and performance.
 · Maintain documentation and follow best practices for data engineering workflows.
 · Support data migration or integration efforts with SAP BW systems (a plus, not mandatory).
 Required Skills:
 · Strong experience with Snowflake (data modeling, performance tuning, warehousing concepts).
 · Proficiency in DBT (Data Build Tool) for transformation pipelines.
 · Hands\-on experience with Power BI (data modeling, DAX, visualization best practices) or other tools like SAC/Tableau.
 · Solid knowledge of Python , especially for API integrations and data processing.
 · Experience with cloud\-based data pipeline tools , such as Azure Data Factory (ADF) and/or AWS Glue .
 · Good understanding of relational databases , SQL, and data modeling concepts.
 · Strong problem\-solving skills and ability to work independently or in a team.
 · Excellent communication and documentation skills.
 Nice to Have:
 · Exposure to SAP BW data sources or integration with Snowflake.
 · Experience with DevOps tools for data (CI/CD, version control in data workflows).
 · Familiarity with orchestration tools like Airflow or Azure Data Factory triggers.</t>
        </is>
      </c>
    </row>
    <row r="28">
      <c r="A28" t="inlineStr">
        <is>
          <t>li-4373577986</t>
        </is>
      </c>
      <c r="B28" t="inlineStr">
        <is>
          <t>Data Engineer</t>
        </is>
      </c>
      <c r="C28" t="inlineStr">
        <is>
          <t>NexGen Tech Solutions</t>
        </is>
      </c>
      <c r="D28" t="inlineStr">
        <is>
          <t>linkedin</t>
        </is>
      </c>
      <c r="E28" t="inlineStr"/>
      <c r="F28" t="inlineStr"/>
      <c r="G28" t="inlineStr">
        <is>
          <t>Atlanta, GA</t>
        </is>
      </c>
      <c r="H28" t="inlineStr"/>
      <c r="I28" t="inlineStr">
        <is>
          <t>**Position:** 
 Azure Data Engineer
**Location:** 
 Charlotte/Atlanta/Concord (Hybrid)
**Experience** 
 : 5\-10\+ Years
**Job Type:** 
 Full Time/ C2C
**Must Have:** 
 Microsoft Azure, Snowflake, Salesforce background, Python, messaging/queues, ETL, large scale data transformation \&amp; data processing.
**Responsibilities:** 
 As a Data Engineer, you will play a pivotal role in designing and managing company's modern data infrastructure. You will help shape and execute the data strategy that enables trusted, scalable, and high\-performing solutions across the organization. Your work will directly support company's mission to deliver data\-driven wealth management services through innovation, governance, and collaboration.
**Key Responsibilities** 
* Define, document, and manage enterprise data strategy, including schema design, SLAs, data contracts, security, and compliance.
* Promote best practices in data architecture and engineering, particularly within the wealth management and financial services sectors.
* Lead and grow a high\-impact data engineering team, focusing on platform performance, CI/CD, and operational excellence.
* Own the roadmap for continuous improvements, including Azure/Microsoft Fabric modernization, compliance, and cost optimization initiatives.
* Ensure platform reliability through automated testing for performance, security, and scalability.
* Collaborate with analytics, business, and technology teams to align on architecture, governance, and delivery timelines.
* Manage and optimize ingestion, transformation, and curation of large\-scale structured and unstructured data.
* Develop reusable data components and pipelines for enterprise reporting, BI, and advanced analytics.
* Implement DataOps practices, including metadata management, monitoring, alerting, and data quality frameworks.
* Advocate for scalable modeling approaches such as semantic layer design and Data Vault 2\.0 methodology.
**Required Skills \&amp; Expertise** 
* Strong leadership, communication, and collaboration skills across cross\-functional teams.
* Proven experience with Microsoft Azure data tools: Azure Synapse, Data Lake, Data Factory, and Microsoft Fabric.
* Successful track record delivering data engineering solutions in the wealth management or financial services industries.
* Deep understanding of modern architectural frameworks: Lakehouse, Data Mesh, Data Fabric, and ELT/ETL orchestration.
* Ability to deliver data products supporting Finance, Product, Sales, and Marketing domains.
* Hands\-on expertise in data modeling, data cataloging, lineage tracking, and data governance.
* Skilled in CI/CD, Agile development practices, and working in enterprise\-scale cloud environments.
* Experience with Data Vault 2\.0 modeling preferred.
* Familiarity with domain\-specific platforms like Salesforce and Yardi is a plus.
**Preferred Qualifications** 
* Strong architectural knowledge of Microsoft Fabric and the Azure\-native analytics ecosystem.
* Microsoft Azure Certification or equivalent cloud credentials.
* Exposure to AI/ML frameworks and their application to business problems is a plus.
* Strong presentation skills to communicate data\-driven insights to stakeholders at all levels.
**Education \&amp; Experience** 
* 12\+ years of IT experience, with a focus on data engineering, systems design, or data architecture.
* 5\+ years in a data architect or lead data engineering role with progressive responsibilities.
* Bachelor’s degree in Computer Science, Information Systems, or a related field (Master’s preferred).</t>
        </is>
      </c>
    </row>
    <row r="29">
      <c r="A29" t="inlineStr">
        <is>
          <t>li-4373843267</t>
        </is>
      </c>
      <c r="B29" t="inlineStr">
        <is>
          <t>Data Engineer</t>
        </is>
      </c>
      <c r="C29" t="inlineStr">
        <is>
          <t>Diversified Services Network, Inc.</t>
        </is>
      </c>
      <c r="D29" t="inlineStr">
        <is>
          <t>linkedin</t>
        </is>
      </c>
      <c r="E29" t="inlineStr"/>
      <c r="F29" t="inlineStr"/>
      <c r="G29" t="inlineStr">
        <is>
          <t>Dallas, TX</t>
        </is>
      </c>
      <c r="H29" t="inlineStr"/>
      <c r="I29" t="inlineStr">
        <is>
          <t>Diversified Services Network, Inc. (DSN) is seeking a full\-time
 **Data Engineer** 
 to join our team in
 **Chicago, IL or Dallas, TX or Peoria, IL!** 
 We offer full benefits, PTO, 401k, and more! If you're looking to grow your technical career within an extremely reputable, stable Fortune 500 company \- let's talk!
**JOB RESPONSIBILITIES:**
* Direct developers and analysts to make changes to existing pipelines, databases and data processes, including providing direction in coding logical data objects.
* Execute investigations and provide analysis to help drive insights in design.
* Develop standards and guidelines to
**Requirements**
**EDUCATION \&amp; EXPERIENCE REQUIRED:**
* Bachelor's degree in computer programming OR a relevant field required.
* 10\+ years' experience required.
**REQUIRED SKILLS:**
* Expert knowledge of logical data modeling and physical data modeling.
* Expert knowledge of computer software, such as SQL, Snowflake, etc.
**SOFT SKILLS REQUIRED:**
* Verbal and written communication skills, problem solving skills, customer service and interpersonal skills.
* Expert ability to work independently and manage one's time.
* Expert leadership and mentoring skills necessary to provide support and constructive performance feedback
**Benefits**
**BENEFITS:**
* 401(k)
* Dental insurance
* Vision Insurance
* Disability insurance
* Employee assistance program
* Health insurance
* Health savings account
* Life insurance
* Paid time off
* Paid Holidays
 Please follow the link to our website for a list of job openings in Engineering, IT, Project Management, and more! https://www.dsnworldwide.com</t>
        </is>
      </c>
    </row>
    <row r="30">
      <c r="A30" t="inlineStr">
        <is>
          <t>li-4372568076</t>
        </is>
      </c>
      <c r="B30" t="inlineStr">
        <is>
          <t>Data Engineer</t>
        </is>
      </c>
      <c r="C30" t="inlineStr">
        <is>
          <t>Inceed</t>
        </is>
      </c>
      <c r="D30" t="inlineStr">
        <is>
          <t>linkedin</t>
        </is>
      </c>
      <c r="E30" t="inlineStr"/>
      <c r="F30" t="inlineStr"/>
      <c r="G30" t="inlineStr">
        <is>
          <t>Tulsa, OK</t>
        </is>
      </c>
      <c r="H30" t="inlineStr"/>
      <c r="I30" t="inlineStr">
        <is>
          <t>**Position:**
 Data Engineer
**Compensation:**
 $100,000 \- $133,000 annually, depending on experience
**Location:**
 Tulsa, Oklahoma
 Inceed has partnered with a great company to help find a skilled
 **Data Engineer** 
 to join their team!
 This is an exciting opportunity for a Data Engineer to dive into programming, testing, and maintaining data pipelines and business intelligence models. The company offers a dynamic environment where you can connect to diverse data sources, develop automated processes, and ensure data quality. Be part of a team that values expertise and innovation, and contribute to creating a single source of truth for the organization.
**Key Responsibilities \&amp; Duties:**
* Develop and debug data pipelines based on SDLC process
* Connect to diverse data sources for analysis
* Automate data extraction, cleansing, and transformation
* Consolidate data sources into a single source of truth
* Monitor data quality and create alerts
* Model and publish data sets for reporting
* Act as a Product Technical Owner occasionally
* Resolve technical issues with excellent customer service
* Document customer issues and resolutions
* Provide 24x7 technical support
**Required Qualifications \&amp; Experience:**
* Proficiency in ETL, T\-SQL, and BI Modeling Tools
* Experience with programming languages like C\#
* Ability to adhere to development standards and best practices
* Strong problem\-solving and reasoning skills
* Excellent communication skills
**Nice to Have Skills \&amp; Experience:**
* Experience with data profiling and MDM tools
* Knowledge of SSAS and Power BI
* Understanding of technical user story acceptance
* Ability to manage technical debt
* Experience in coordinating coding efforts across teams
**Perks \&amp; Benefits:**
* This opportunity includes a comprehensive and competitive benefits package—details will be shared during later stages of the hiring process.
 If you are interested in learning more about the
 **Data Engineer** 
 opportunity, please submit your resume for consideration. Our client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\#INDTUL</t>
        </is>
      </c>
    </row>
    <row r="31">
      <c r="A31" t="inlineStr">
        <is>
          <t>li-4364717053</t>
        </is>
      </c>
      <c r="B31" t="inlineStr">
        <is>
          <t>Sr. Data Engineer I (6290)</t>
        </is>
      </c>
      <c r="C31" t="inlineStr">
        <is>
          <t>MetroStar</t>
        </is>
      </c>
      <c r="D31" t="inlineStr">
        <is>
          <t>linkedin</t>
        </is>
      </c>
      <c r="E31" t="inlineStr"/>
      <c r="F31" t="inlineStr"/>
      <c r="G31" t="inlineStr">
        <is>
          <t>Aurora, CO</t>
        </is>
      </c>
      <c r="H31" t="inlineStr"/>
      <c r="I31"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32">
      <c r="A32" t="inlineStr">
        <is>
          <t>li-4373841303</t>
        </is>
      </c>
      <c r="B32" t="inlineStr">
        <is>
          <t>Data Engineer</t>
        </is>
      </c>
      <c r="C32" t="inlineStr">
        <is>
          <t>Diversified Services Network, Inc.</t>
        </is>
      </c>
      <c r="D32" t="inlineStr">
        <is>
          <t>linkedin</t>
        </is>
      </c>
      <c r="E32" t="inlineStr"/>
      <c r="F32" t="inlineStr"/>
      <c r="G32" t="inlineStr">
        <is>
          <t>Chicago, IL</t>
        </is>
      </c>
      <c r="H32" t="inlineStr"/>
      <c r="I32" t="inlineStr">
        <is>
          <t>Diversified Services Network, Inc. (DSN) is seeking a full\-time
 **Data Engineer** 
 to join our team in
 **Chicago, IL or Dallas, TX or Peoria, IL!** 
 We offer full benefits, PTO, 401k, and more! If you're looking to grow your technical career within an extremely reputable, stable Fortune 500 company \- let's talk!
**JOB RESPONSIBILITIES:**
* Direct developers and analysts to make changes to existing pipelines, databases and data processes, including providing direction in coding logical data objects.
* Execute investigations and provide analysis to help drive insights in design.
* Develop standards and guidelines to
**Requirements**
**EDUCATION \&amp; EXPERIENCE REQUIRED:**
* Bachelor's degree in computer programming OR a relevant field required.
* 10\+ years' experience required.
**REQUIRED SKILLS:**
* Expert knowledge of logical data modeling and physical data modeling.
* Expert knowledge of computer software, such as SQL, Snowflake, etc.
**SOFT SKILLS REQUIRED:**
* Verbal and written communication skills, problem solving skills, customer service and interpersonal skills.
* Expert ability to work independently and manage one's time.
* Expert leadership and mentoring skills necessary to provide support and constructive performance feedback
**Benefits**
**BENEFITS:**
* 401(k)
* Dental insurance
* Vision Insurance
* Disability insurance
* Employee assistance program
* Health insurance
* Health savings account
* Life insurance
* Paid time off
* Paid Holidays
 Please follow the link to our website for a list of job openings in Engineering, IT, Project Management, and more! https://www.dsnworldwide.com</t>
        </is>
      </c>
    </row>
    <row r="33">
      <c r="A33" t="inlineStr">
        <is>
          <t>li-4364765780</t>
        </is>
      </c>
      <c r="B33" t="inlineStr">
        <is>
          <t>Sr. Data Engineer II (6135)</t>
        </is>
      </c>
      <c r="C33" t="inlineStr">
        <is>
          <t>MetroStar</t>
        </is>
      </c>
      <c r="D33" t="inlineStr">
        <is>
          <t>linkedin</t>
        </is>
      </c>
      <c r="E33" t="inlineStr"/>
      <c r="F33" t="inlineStr"/>
      <c r="G33" t="inlineStr">
        <is>
          <t>St Louis, MO</t>
        </is>
      </c>
      <c r="H33" t="inlineStr"/>
      <c r="I33" t="inlineStr">
        <is>
          <t>As
 **Sr. Data Engineer II** 
 ,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7 years experience
* Bachelor's Degree in Computer Science, Information Technology Management or Engineering, or other comparable degree or experience
* Active TS/SCI \+ CI Poly
* 5\+ years of experience in Data/ML engineering
* Strong Experience with ETL, data labeling, and data preparation
* 5\+ years experience with one or more of the following technologies: Cloudera, DataBricks, Snowflake, NiFi, Python, SQL, Kafka
* Strong experience designing, developing, and deploying data solutions in classified AWS cloud environments up to IL6\+
* Strong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SALARY RANGE: $152,000 \- $221,000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34">
      <c r="A34" t="inlineStr">
        <is>
          <t>li-4174168450</t>
        </is>
      </c>
      <c r="B34" t="inlineStr">
        <is>
          <t>Senior Data Engineer</t>
        </is>
      </c>
      <c r="C34" t="inlineStr">
        <is>
          <t>D.A. Davidson Companies</t>
        </is>
      </c>
      <c r="D34" t="inlineStr">
        <is>
          <t>linkedin</t>
        </is>
      </c>
      <c r="E34" t="inlineStr"/>
      <c r="F34" t="inlineStr"/>
      <c r="G34" t="inlineStr">
        <is>
          <t>Seattle, WA</t>
        </is>
      </c>
      <c r="H34" t="inlineStr"/>
      <c r="I34" t="inlineStr">
        <is>
          <t>D.A. Davidson Companies is an independent, employee\-owned company with a rich history spanning more than 80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
 Senior Data Engineer is responsible for expanding and optimizing our data and data pipeline architecture, as well as monitoring, troubleshooting and performance tuning data flows used in the collection, integration, and provisioning of data. This role requires experience building data pipelines and optimizing entire data systems as well as greenfield opportunities. This role works alongside other software development teams, database architects, data analysts and end users on complex data initiatives, and ensures our data delivery architecture is consistent with best practices. A Senior Data Engineer oversees the development of junior team members through mentorship, training, guidance, and direct management. A Senior Data Engineer contributes to data architecture and technology roadmaps to support strategic growth and team development. Preferred location Western states, Midwest, or Hybrid.
**Company Overview:**
 D.A. Davidson Companies is an independent, employee\-owned company with a rich history spanning more than 80 years. We are dedicated to conducting our business in accordance with the highest standards of integrity and ethics, while delivering outstanding service to our clients and coworkers. We support a friendly, open and adaptive culture, and encourage candid communication and productive collaboration across throughout the firm. Just as we work to improve our clients and employees’ well\-being, we also work to strengthen local communities—and giving back is one of our core values.
**Qualifications:**
* 7 or more years of Data Engineering experience in an oversight capacity
* Extensive domain\-specific experience in the Financial Services industry
* Experience with Microsoft cloud\-based technologies in a hybrid architecture
* Advanced working TSQL knowledge and experience working with relational databases, query authoring, stored procedure development, end\-to\-end data pipeline development
* Experience performing operational analysis on internal and external data and processes to uncover failure points and identify opportunities for improvement
* Strong analytic skills related to working with complex, multi\-layered data pipelines and dependent datasets
* Holistic awareness of processes supporting data preparation, metadata, dependencies, lineages, compliance and workload management
* Understanding of data modeling concepts like:
* Conceptual data modeling
* Logical data modeling
* Relational data modeling
* Dimensional and multi\-dimensional data modeling
* Understanding of meta\-model and metadata management requirements
* Specific skills include:
* Extensive experience with SQL\-based syntax
* Extensive experience designing and implementing data structures and interfaces for applications and business processes
* Experience with relational database platforms: preferably MS SQLServer
* Experience with data pipeline tools such as: SSIS
* Experience using orchestration tools such as: ActiveBatch
* Experience with web services and API integrations
* Experience with scripting languages such as: Python and Powershell
* Experience with Agile, DevOps and DataOps methods and technologies: Source Code Control, Versioning, Test Automation, Continuous Integration, Automated Deployment, Recoverability, Telemetry, etc
* Familiarity with data visualization technologies such as: Tableau, PowerBI
**Job Responsibilities:**
* Design, implement and maintain a robust, efficient and compliant data pipeline architecture
* Oversee and review the work of other engineers through peer reviews, code reviews and process reviews
* Identify, design, and implement internal process improvements: automating manual processes, optimizing data delivery, re\-designing infrastructure for greater scalability, etc
* Research and analyze new technologies, methodologies and architectures for viability
* Build and maintain a service\-based architecture for the publication of consumable data and information objects
* Work with data architects and data analysts to enhance and evolve the data environment
* Work with Business and IT stakeholders to assist with data\-related technical issues and support their data and information requirements
* Define and develop frameworks, guidelines, best practices and examples to ensure data structures and integration processes are accurate, compliant and secure
* Facilitate the development and implementation of data quality standards, data protection standards and adoption requirements across the enterprise
* Define indicators of performance and quality metrics and ensure compliance with data related policies, standards, roles and responsibilities, and adoption requirements
**What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pay range for this role is $110,000 – 150,000\. The compensation offered will be determined on a case\-by\-case basis considering a variety of factors including, but not limited to, the skills, relevant work experience, and geographic location of each specific candidate. Additional incentive compensation may be earned based on performance.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Please answer all questions carefully: incomplete or inaccurate answers may impact your potential employment. By clicking Submit Application, you declare that all statements in this application are truthful to the best of your knowledge. California applicants please see D.A. Davidson's California Resident Privacy Policy.</t>
        </is>
      </c>
    </row>
    <row r="35">
      <c r="A35" t="inlineStr">
        <is>
          <t>li-4174166138</t>
        </is>
      </c>
      <c r="B35" t="inlineStr">
        <is>
          <t>Senior Data Engineer</t>
        </is>
      </c>
      <c r="C35" t="inlineStr">
        <is>
          <t>D.A. Davidson Companies</t>
        </is>
      </c>
      <c r="D35" t="inlineStr">
        <is>
          <t>linkedin</t>
        </is>
      </c>
      <c r="E35" t="inlineStr"/>
      <c r="F35" t="inlineStr"/>
      <c r="G35" t="inlineStr">
        <is>
          <t>Irvine, CA</t>
        </is>
      </c>
      <c r="H35" t="inlineStr"/>
      <c r="I35" t="inlineStr">
        <is>
          <t>D.A. Davidson Companies is an independent, employee\-owned company with a rich history spanning more than 80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
 Senior Data Engineer is responsible for expanding and optimizing our data and data pipeline architecture, as well as monitoring, troubleshooting and performance tuning data flows used in the collection, integration, and provisioning of data. This role requires experience building data pipelines and optimizing entire data systems as well as greenfield opportunities. This role works alongside other software development teams, database architects, data analysts and end users on complex data initiatives, and ensures our data delivery architecture is consistent with best practices. A Senior Data Engineer oversees the development of junior team members through mentorship, training, guidance, and direct management. A Senior Data Engineer contributes to data architecture and technology roadmaps to support strategic growth and team development. Preferred location Western states, Midwest, or Hybrid.
**Company Overview:**
 D.A. Davidson Companies is an independent, employee\-owned company with a rich history spanning more than 80 years. We are dedicated to conducting our business in accordance with the highest standards of integrity and ethics, while delivering outstanding service to our clients and coworkers. We support a friendly, open and adaptive culture, and encourage candid communication and productive collaboration across throughout the firm. Just as we work to improve our clients and employees’ well\-being, we also work to strengthen local communities—and giving back is one of our core values.
**Qualifications:**
* 7 or more years of Data Engineering experience in an oversight capacity
* Extensive domain\-specific experience in the Financial Services industry
* Experience with Microsoft cloud\-based technologies in a hybrid architecture
* Advanced working TSQL knowledge and experience working with relational databases, query authoring, stored procedure development, end\-to\-end data pipeline development
* Experience performing operational analysis on internal and external data and processes to uncover failure points and identify opportunities for improvement
* Strong analytic skills related to working with complex, multi\-layered data pipelines and dependent datasets
* Holistic awareness of processes supporting data preparation, metadata, dependencies, lineages, compliance and workload management
* Understanding of data modeling concepts like:
* Conceptual data modeling
* Logical data modeling
* Relational data modeling
* Dimensional and multi\-dimensional data modeling
* Understanding of meta\-model and metadata management requirements
* Specific skills include:
* Extensive experience with SQL\-based syntax
* Extensive experience designing and implementing data structures and interfaces for applications and business processes
* Experience with relational database platforms: preferably MS SQLServer
* Experience with data pipeline tools such as: SSIS
* Experience using orchestration tools such as: ActiveBatch
* Experience with web services and API integrations
* Experience with scripting languages such as: Python and Powershell
* Experience with Agile, DevOps and DataOps methods and technologies: Source Code Control, Versioning, Test Automation, Continuous Integration, Automated Deployment, Recoverability, Telemetry, etc
* Familiarity with data visualization technologies such as: Tableau, PowerBI
**Job Responsibilities:**
* Design, implement and maintain a robust, efficient and compliant data pipeline architecture
* Oversee and review the work of other engineers through peer reviews, code reviews and process reviews
* Identify, design, and implement internal process improvements: automating manual processes, optimizing data delivery, re\-designing infrastructure for greater scalability, etc
* Research and analyze new technologies, methodologies and architectures for viability
* Build and maintain a service\-based architecture for the publication of consumable data and information objects
* Work with data architects and data analysts to enhance and evolve the data environment
* Work with Business and IT stakeholders to assist with data\-related technical issues and support their data and information requirements
* Define and develop frameworks, guidelines, best practices and examples to ensure data structures and integration processes are accurate, compliant and secure
* Facilitate the development and implementation of data quality standards, data protection standards and adoption requirements across the enterprise
* Define indicators of performance and quality metrics and ensure compliance with data related policies, standards, roles and responsibilities, and adoption requirements
**What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pay range for this role is $110,000 – 150,000\. The compensation offered will be determined on a case\-by\-case basis considering a variety of factors including, but not limited to, the skills, relevant work experience, and geographic location of each specific candidate. Additional incentive compensation may be earned based on performance.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Please answer all questions carefully: incomplete or inaccurate answers may impact your potential employment. By clicking Submit Application, you declare that all statements in this application are truthful to the best of your knowledge. California applicants please see D.A. Davidson's California Resident Privacy Policy.</t>
        </is>
      </c>
    </row>
    <row r="36">
      <c r="A36" t="inlineStr">
        <is>
          <t>li-4372534736</t>
        </is>
      </c>
      <c r="B36" t="inlineStr">
        <is>
          <t>Sr. Data Engineer</t>
        </is>
      </c>
      <c r="C36" t="inlineStr">
        <is>
          <t>Swoon</t>
        </is>
      </c>
      <c r="D36" t="inlineStr">
        <is>
          <t>linkedin</t>
        </is>
      </c>
      <c r="E36" t="inlineStr"/>
      <c r="F36" t="inlineStr"/>
      <c r="G36" t="inlineStr">
        <is>
          <t>Scottsdale, AZ</t>
        </is>
      </c>
      <c r="H36" t="inlineStr"/>
      <c r="I36" t="inlineStr">
        <is>
          <t>**Swoon is actively hiring a Sr. Data Engineer to join the team!** 
**What your day\-to\-day will look like?** 
* **Architect and implement scalable data pipelines** 
 across AWS and GCP using dbt\-core and Apache Airflow, supporting ingestion, transformation, and analytics workflows in a production environment.
* **Lead the modernization of legacy ETL systems** 
 into modular, event\-driven, CI/CD\-enabled analytics engineering pipelines that are testable, traceable, and performance\-optimized.
* **Serve as a technical lead and subject matter expert** 
 , driving data modeling standards, performance tuning, cloud architecture decisions, and best practices across the data engineering team.
* **Own end\-to\-end delivery of major data initiatives** 
 , from design through deployment, ensuring stability, maintainability, and measurable impact on business outcomes.
* **Implement data quality, governance, and monitoring frameworks** 
 to ensure integrity, security, and reliability across Redshift, S3, BigQuery, and GCS environments.
* **Collaborate cross\-functionally with stakeholders and leadership** 
 , translating complex technical concepts into actionable insights while mentoring engineers and shaping the team’s long\-term data strategy.
**What’s Required / Technical Skills** 
* **Education \&amp; Experience:** 
 Bachelor’s degree and 7\+ years of progressive experience in data engineering or related field, including at least 2 years of leadership or managerial experience (or equivalent combination of education and experience).
* **Advanced Data Engineering Expertise:** 
 8\+ years designing, building, and optimizing complex ETL/ELT pipelines in production environments, with deep hands\-on experience in dbt\-core and Apache Airflow.
* **Cloud \&amp; Database Proficiency:** 
 Strong expertise in AWS and/or GCP, including Redshift, S3, BigQuery, and GCS; advanced SQL skills; extensive experience with large\-scale relational databases, data lakes, and cloud warehouse architectures.
* **Programming \&amp; Architecture Skills:** 
 Proficiency in Python (preferred), Scala, or Java; strong knowledge of data modeling, schema design, performance tuning, and modern cloud\-native architecture patterns; experience with Docker, Kubernetes, and CI/CD pipelines.
* **Data Governance \&amp; Quality Leadership:** 
 Proven experience implementing data quality frameworks, governance standards, monitoring/alerting systems, and ensuring security, compliance, and reliability of enterprise data platforms.
* **Leadership \&amp; Communication Strength:** 
 Demonstrated ability to lead major data initiatives end\-to\-end, mentor engineers, define technical standards, influence stakeholders, and translate complex technical concepts into business\-aligned solutions within agile environments.
**What else you should know?** 
**Job Title:** 
 Sr. Data Engineer
**Full\-Time Direct Hire role** 
**Location – Scottsdale, AZ** 
**Hybrid role –** 
 3 days a week on\-site
**Hourly Rate \-** 
 $100,000 \- $110,000
**Work Authorization** 
 \-US Citizen or Permanent Resident Only
**What’s Next?** 
 Apply Now!</t>
        </is>
      </c>
    </row>
    <row r="37">
      <c r="A37" t="inlineStr">
        <is>
          <t>li-4373808361</t>
        </is>
      </c>
      <c r="B37" t="inlineStr">
        <is>
          <t>Data Engineer II</t>
        </is>
      </c>
      <c r="C37" t="inlineStr">
        <is>
          <t>Wiraa</t>
        </is>
      </c>
      <c r="D37" t="inlineStr">
        <is>
          <t>linkedin</t>
        </is>
      </c>
      <c r="E37" t="inlineStr"/>
      <c r="F37" t="inlineStr"/>
      <c r="G37" t="inlineStr"/>
      <c r="H37" t="inlineStr"/>
      <c r="I37" t="inlineStr">
        <is>
          <t>**About The Company**
 Becton, Dickinson, and Company (BD) is one of the largest global medical technology companies dedicated to advancing the world of health. With a mission to develop innovative solutions that transform healthcare, BD designs, manufactures, and markets a broad range of medical devices, instruments, and reagents. The company’s extensive portfolio supports healthcare providers, laboratories, and patients worldwide, enabling better health outcomes through cutting\-edge technology and a commitment to quality. BD’s global presence and focus on innovation make it a leader in the medical technology industry, continually striving to improve the quality of healthcare delivery and patient safety.
**About The Role**
 We are seeking a highly skilled Data Engineer to join our dynamic team. In this role, you will be responsible for designing, building, and implementing scalable data pipelines that support our data\-driven initiatives. You will optimize data delivery processes and maintain modern data warehouse architectures leveraging script\-based tools such as Python and Matlab. Your expertise will enable the organization to efficiently integrate, standardize, and process large datasets from diverse sources, ensuring data quality and accessibility for analytics and decision\-making. This position offers an exciting opportunity to work with innovative cloud technologies and contribute to the development of transformative healthcare solutions. The ideal candidate will have a strong background in signal processing, data pipeline architecture, and cloud\-based data management, with a passion for leveraging data to improve healthcare outcomes.
**Qualifications**
* 4\+ years of experience in building data transformation processes, data structures, dependencies, and workload management
* Advanced proficiency in MATLAB
* Advanced proficiency in Python
* Experience in signal processing techniques and applications
* Strong SQL skills and experience working with relational databases
* Working knowledge of at least one of the following databases: Redshift, Synapse, Snowflake, Postgres
* Excellent analytical skills for working with structured and unstructured datasets
* Experience with data integration from multiple sources and cloud platforms
**Preferred Qualifications**
* Knowledge of ETL tools such as Informatica, Matillion, Pentaho, or SSIS
* Experience with data pipeline and workflow management tools
* Understanding of clinical data or medical device products
* Experience working with cloud platforms like AWS, Azure, or GCP
* Experience in building and optimizing big data pipelines, architectures, and datasets
* Familiarity with real\-time data processing and streaming technologies
**Responsibilities**
* Develop and maintain standardized code using Python and Matlab for integrating large datasets from various sources into cloud platforms
* Automate and optimize data standardization processes to improve efficiency and accuracy
* Design and implement audit processes for data ingestion to ensure data integrity and compliance
* Build, deploy, and maintain modern data pipelines and data streams utilizing scripting tools and cloud services
* Create and manage data warehouse solutions leveraging cloud platforms such as AWS, Azure, or GCP
* Collaborate with cross\-functional teams to gather requirements and translate them into scalable data solutions
* Monitor and troubleshoot data pipelines to ensure continuous data flow and performance
* Implement best practices for data security, privacy, and compliance
**Benefits**
* Competitive salary package within the range of $80,600 to $133,000 USD annually
* Comprehensive health, dental, and vision insurance plans
* Retirement savings plans with company matching
* Paid time off and holiday leave
* Opportunities for professional development and continuous learning
* Work in a collaborative and innovative environment with cutting\-edge technology
* Flexible work arrangements where applicable
* Employee wellness programs and support services
 Equal Opportunity
 Becton, Dickinson, and Company is an Equal Opportunity Employer. We evaluate applicants without regard to race, color, religion, age, sex, creed, national origin, ancestry, citizenship status, marital or domestic status, sexual orientation, gender identity or expression, genetics, disability, military status, or any other legally protected characteristic. We are committed to fostering an inclusive environment where all employees can thrive and contribute to our mission of advancing health worldwide.</t>
        </is>
      </c>
    </row>
    <row r="38">
      <c r="A38" t="inlineStr">
        <is>
          <t>li-4373808197</t>
        </is>
      </c>
      <c r="B38" t="inlineStr">
        <is>
          <t>Data Engineer &amp; ETL Developer</t>
        </is>
      </c>
      <c r="C38" t="inlineStr">
        <is>
          <t>DAT Freight &amp; Analytics</t>
        </is>
      </c>
      <c r="D38" t="inlineStr">
        <is>
          <t>linkedin</t>
        </is>
      </c>
      <c r="E38" t="inlineStr"/>
      <c r="F38" t="inlineStr"/>
      <c r="G38" t="inlineStr">
        <is>
          <t>Denver, CO</t>
        </is>
      </c>
      <c r="H38" t="inlineStr"/>
      <c r="I38"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03/31/2026
**The Opportunity**
 DAT is looking for a
 **Data Engineer/ETL Developer** 
 to join our Data Engineering team working hybrid in Denver, Colorado.
**What You’ll Do**
 Data Pipeline Development \&amp; Engineering
* ELT Process Implementation: Assist senior engineers in designing, building, testing, and maintaining cloud\-native ELT (Extract, Load, Transform) data pipelines, ensuring data is reliably loaded into Snowflake.
* Transformation with dbt: Develop and maintain data models using dbt (data build tool) for data cleaning, aggregation, and transformation and utilize the Snowflake data warehouse.
* SQL Development: Write, optimize, and review complex SQL queries for data manipulation, transformation, and performance tuning on Snowflake.
* Python Scripting: Utilize Python to build custom data extraction scripts, implement monitoring tools, and contribute to general automation efforts.
**Workflow Orchestration and Automation**
* Airflow DAGs: Learn to author, schedule, and monitor data workflows defined as Directed Acyclic Graphs (DAGs) in Apache Airflow.
* Pipeline Scheduling: Integrate and orchestrate dbt runs and other pipeline tasks within Airflow to manage dependencies and execution timing.
* Automation: Focus on automating repetitive tasks across the data lifecycle, reducing manual effort and improving pipeline efficiency.
 Data Quality, Testing, and Monitoring
* 
+ Data Quality: Implement data validation and testing frameworks using features of dbt (e.g., uniqueness, non\-null checks) to ensure high data quality and accuracy within Snowflake data marts.
+ Troubleshooting: Monitor data pipeline health, troubleshoot failed Airflow tasks and dbt runs, and quickly resolve data flow issues.
+ Documentation: Maintain clear and current technical documentation for data models, Airflow DAGs, and pipeline logic.
**Key Technologies We Use**
* Data Warehouse: Snowflake
* Transformation: dbt (data build tool)
* Orchestration: Apache Airflow
* Programming: Python, SQL
**The Skills And Experience You’ll Bring**
* Experience: 3\-5 years of professional experience in a Data Engineering, Analytics Engineering, or similar technical role (including relevant internship experience).
* Education: Bachelor's Degree in Computer Science, Information Technology, Engineering, or a related quantitative field.
* Technical Proficiency:
+ Required: Strong proficiency in Python and advanced knowledge of SQL.
+ Hands\-on experience with a cloud data warehouse, preferably Snowflake.
+ Familiarity with data transformation concepts and tools, specifically dbt.
+ Basic experience creating or running jobs/workflows using an orchestration tool like Apache Airflow.
* Soft Skills: Strong problem\-solving abilities, excellent attention to detail, and a proactive, collaborative approach to teamwork.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 This position is not eligible for visa sponsorship\*\*
*For Colorado\-based candidates, in compliance with the Colorado Equal Pay for Equal Work Act, the salary range for this role is $105,000\.00 \- $131,000\.00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39">
      <c r="A39" t="inlineStr">
        <is>
          <t>li-4373838384</t>
        </is>
      </c>
      <c r="B39" t="inlineStr">
        <is>
          <t>Data Engineer</t>
        </is>
      </c>
      <c r="C39" t="inlineStr">
        <is>
          <t>CGS Federal (Contact Government Services)</t>
        </is>
      </c>
      <c r="D39" t="inlineStr">
        <is>
          <t>linkedin</t>
        </is>
      </c>
      <c r="E39" t="inlineStr"/>
      <c r="F39" t="inlineStr"/>
      <c r="G39" t="inlineStr">
        <is>
          <t>Michigan, United States</t>
        </is>
      </c>
      <c r="H39" t="inlineStr"/>
      <c r="I39" t="inlineStr">
        <is>
          <t>Data Engineer Employment Type: Full\-Time, Mid\-levelDepartment: Business Intelligence CGS is seeking a passionate and driven Data Engineer to support a rapidly growing Data Analytics and Business Intelligence platform focused on providing solutions that empower our federal customers with the tools and capabilities needed to turn data into actionable insights. The ideal candidate is a critical thinker and perpetual learner; excited to gain exposure and build skillsets across a range of technologies while solving some of our clients’ toughest challenges.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success:\-Complete development efforts across data pipeline to store, manage, store, and provision to data consumers.\-Being an active and collaborating member of an Agile/Scrum team and following all Agile/Scrum best practices.\-Write code to ensure the performance and reliability of data extraction and processing.\-Support continuous process automation for data ingest.\-Achieve technical excellence by advocating for and adhering to lean\-agile engineering principles and practices such as API\-first design, simple design, continuous integration, version control, and automated testing.\-Work with program management and engineers to implement and document complex and evolving requirements.\-Help cultivate an environment that promotes customer service excellence, innovation, collaboration, and teamwork.\-Collaborate with others as part of a cross\-functional team that includes user experience researchers and designers, product managers, engineers, and other functional specialists.
 Qualifications:\-Must be a US Citizen.\-Must be able to obtain a Public Trust Clearance.\-7\+ years of IT experience including experience in design, management, and solutioning of large, complex data sets and models.\-Experience with developing data pipelines from many sources from structured and unstructured data sets in a variety of formats.\-Proficiency in developing ETL processes, and performing test and validation steps.\-Proficiency to manipulate data (Python, R, SQL, SAS).\-Strong knowledge of big data analysis and storage tools and technologies.\-Strong understanding of the agile principles and ability to apply them.\-Strong understanding of the CI/CD pipelines and ability to apply them.\-Experience with relational database, such as, PostgreSQL.\-Work comfortably in version control systems, such as, Git Repositories.
 Ideally, you will also have:\-Experience creating and consuming APIs.\-Experience with DHS and knowledge of DHS standards a plus.\-Candidates will be given special consideration for extensive experience with Python.\-Ability to develop visualizations utilizing Tableau or PowerBI.\-Experience in developing Shell scripts on Linux.\-Demonstrated experience translating business and technical requirements into comprehensive data strategies and analytic solutions.\-Demonstrated ability to communicate across all levels of the organization and communicate technical terms to non\-technical audiences.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package:\-Health, Dental, and Vision\-Life Insurance\-401k\-Flexible Spending Account (Health, Dependent Care, and Commuter)\-Paid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Board:https://cgsfederal.com/join\-our\-team/
 For more information about CGS please visit: https://www.cgsfederal.com or contact:Email: \[email protected]
 \#CJ$112,597\.33 \- $152,810\.66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0">
      <c r="A40" t="inlineStr">
        <is>
          <t>li-4361922064</t>
        </is>
      </c>
      <c r="B40" t="inlineStr">
        <is>
          <t>Data Engineer</t>
        </is>
      </c>
      <c r="C40" t="inlineStr">
        <is>
          <t>The Planet Group</t>
        </is>
      </c>
      <c r="D40" t="inlineStr">
        <is>
          <t>linkedin</t>
        </is>
      </c>
      <c r="E40" t="inlineStr"/>
      <c r="F40" t="inlineStr"/>
      <c r="G40" t="inlineStr"/>
      <c r="H40" t="inlineStr"/>
      <c r="I40" t="inlineStr">
        <is>
          <t>Direct Hire/Perm/Fulltime
 Location \- Remote \- EST hours \- 8\-5 PM EST
 Comp \- 100\-110K
 GC and USC only for this role
 Data Engineer
 We’re hiring a skilled
 **Data Engineer** 
 to help design, build, and optimize modern data platforms and pipelines supporting analytics, reporting, and business operations. This role is ideal for someone who enjoys owning solutions end\-to\-end and working with large, complex datasets in a cloud\-first environment.
 Must\-Have Qualifications
* 5 years of overall data engineering experience
* Strong SQL development skills
* 3\+ year of hands\-on experience in Microsoft Azure
* Solid experience with Snowflake and/or enterprise data warehouses
* Proven end\-to\-end data engineering experience (ingestion → transformation → delivery)
* Experience building pipelines using Azure Data Factory and Data Lake technologies
* Experience integrating data from APIs (EDI a strong plus)
* Azure DevOps experience required
* Comfortable working with large\-scale datasets and production pipelines
 Nice to Have
* Power BI or downstream analytics/BI exposure
* Experience in high\-volume or complex data environments
 \#TECH</t>
        </is>
      </c>
    </row>
    <row r="41">
      <c r="A41" t="inlineStr">
        <is>
          <t>li-4373811999</t>
        </is>
      </c>
      <c r="B41" t="inlineStr">
        <is>
          <t>Senior Data Engineer</t>
        </is>
      </c>
      <c r="C41" t="inlineStr">
        <is>
          <t>PraxisPro</t>
        </is>
      </c>
      <c r="D41" t="inlineStr">
        <is>
          <t>linkedin</t>
        </is>
      </c>
      <c r="E41" t="inlineStr"/>
      <c r="F41" t="inlineStr"/>
      <c r="G41" t="inlineStr"/>
      <c r="H41" t="inlineStr"/>
      <c r="I41" t="inlineStr">
        <is>
          <t>**Who We Are** 
 PraxisPro, a data intelligence company, is on a mission to heal the fractured state of Life Sciences commercial data by surfacing undocumented and previously inaccessible datasets to drive novel commercial intelligence and improve patient outcomes. PraxisPro has begun surfacing undocumented and previously inaccessible data with the industry’s first purpose\-built Learning Experience Platform (LXP).
 By serving as the commercial intelligence backbone across commercial, medical, and compliance functions, our industry\-specific AI models for therapeutic areas and disease states form the foundation for a new standard of commercial intelligence, one that enables disciplined execution at scale while allowing Life Sciences organizations to focus on what matters most: advancing patient outcomes.
**The Role** 
 We’re looking for a Senior Data Engineer (5–7 years) who is fluent in both streaming and batch paradigms on AWS or GCP. You’ll design and operate data platforms that power analytics, personalization, and recommendation use cases—partnering closely with ML engineers to move models from notebooks to production.
**What You’ll Do** 
* Design \&amp; build pipelines: Low\-latency streaming and reliable batch ETL/ELT for multi\-tenant datasets across AWS or GCP.
* Own data quality: Implement contracts, validation, observability, lineage, backfills, and SLAs/SLOs.
* Operationalize ML: Productionize features, embeddings, and model I/O for personalization/recommendation (feature stores, real\-time inference paths, batch retraining).
* Model the warehouse/lake: Create well\-governed schemas (e.g., medallion/lakehouse patterns) to support BI and experimentation.
* Harden \&amp; scale: Optimize cost/perf, implement autoscaling, partitioning, compaction, and tiered storage; champion reliability and incident response.
* Security \&amp; compliance: Build with least\-privilege IAM, encryption, PII handling, and auditability aligned to SOC 2 and healthcare data expectations.
* Collaborate: Partner with product, ML, and app teams; contribute to data platform roadmap and coding standards.
**Required Qualifications** 
* 5–7 years building and running production streaming \+ batch data pipelines.
* Cloud: Expertise in AWS (Kinesis/MSK, Glue/EMR, Lambda, S3, Redshift)
 *or* 
 GCP (Pub/Sub, Dataflow/Dataproc, GCS, BigQuery).
* Polyglot engineering: Strong hands\-on in Python plus one or more of Scala/Java/Go/TypeScript.
* Distributed processing: Solid with Spark/Flink/Beam and related performance tuning (checkpointing, state, watermarking).
* Orchestration \&amp; ELT: Airflow/Dagster and dbt or equivalent; CI/CD for data (tests, contracts).
* ML\-adjacent experience: Shipping data features for personalization/recs (e.g., candidate generation, ranking features, user/item embeddings, offline/online consistency).
* Data foundations: Schema design, partitioning, CDC, late/duplicate data handling, idempotency, backfills.
* Reliability: Monitoring/alerting, on\-call familiarity, cost/perf optimization.
* Communication: Clear written/spoken communication across engineering and product stakeholders.
**Nice to Have** 
* Feature stores (e.g., Feast), vector DBs (Qdrant, Pinecone, FAISS), or realtime retrieval for recs.
* Event bus \&amp; contract tooling (Kafka \+ Protobuf/Avro, schema registry).
* Data governance/lineage (OpenLineage, DataHub, Collibra or similar).
* MLOps/model serving (Vertex AI, SageMaker, Ray Serve, Triton, custom microservices).
* Infra\-as\-code (Terraform/CDK), containers (Docker/Kubernetes/ECS/GKE).
* Experience with regulated data (HIPAA\-adjacent), multi\-tenant SaaS, and privacy\-preserving analytics.
* Experimentation/platform work for ranking systems (A/B testing, counterfactual logging).
**Our Current Stack (illustrative)** 
* AWS: S3, Kinesis/MSK, Glue/EMR, Lambda, Redshift; GCP: GCS, Pub/Sub, Dataflow/Dataproc, BigQuery
* Processing: Spark, Flink, Beam; Transform: db
* Orchestration: Airflow or Dagster; Contracts/Obs: Great Expectations/Deequ, OpenLineage
* Serving: REST/gRPC services, Model inference endpoints; Storage: Postgres, Redis, vector stores (e.g., Qdrant)
**Work Style \&amp; Hours** 
* Remote\-first U.S. team; preference for Pacific Time overlap (West Coast strongly preferred).
* Collaboration via docs, async updates, and crisp incident/ops playbooks.
 Location: Hybrid\-\-San Francisco Bay Area, New York Metropolitan Area
 Company: PraxisPro
 Employment Type: Full\-Time
 Salary: $190,000 \- $250,000</t>
        </is>
      </c>
    </row>
    <row r="42">
      <c r="A42" t="inlineStr">
        <is>
          <t>li-4322260488</t>
        </is>
      </c>
      <c r="B42" t="inlineStr">
        <is>
          <t>Analytics Data Engineer</t>
        </is>
      </c>
      <c r="C42" t="inlineStr">
        <is>
          <t>Anthropic</t>
        </is>
      </c>
      <c r="D42" t="inlineStr">
        <is>
          <t>linkedin</t>
        </is>
      </c>
      <c r="E42" t="inlineStr"/>
      <c r="F42" t="inlineStr"/>
      <c r="G42" t="inlineStr">
        <is>
          <t>Seattle, WA</t>
        </is>
      </c>
      <c r="H42" t="inlineStr"/>
      <c r="I4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Analytics Engineer, you will be an early member of the Data Science \&amp; Analytics team building the foundation to scale analytics across our organization. You will collaborate with key stakeholders in Engineering, Product, GTM and other areas to build scalable solutions to transform data into key metrics reporting and insights. You will be responsible for ensuring teams have access to reliable, accurate metrics that can scale with our company’s growth. You will also lead your own projects to enable self\-serve insights to help teams make data\-driven decisions.
**Responsibilities**
* Understand the data needs of stakeholder teams in terms of key data models and reporting, and translate that into technical requirements
* Define, build and manage key data pipelines in dbt that transform raw logs into canonical datasets
* Establish high data integrity standards and SLAs to ensure timely, accurate delivery of data
* Develop insightful and reliable dashboards to track performance of core metrics that will deliver insights to the whole company
* Build foundational data products, dashboards and tools to enable self\-serve analytics to scale across the company
* Influence the future roadmap of Product and GTM teams from a data systems perspective
* Become an expert in our organization’s data models and the company's data architecture
**You Might Be a Good Fit If You Have**
* 5\+ years of experience as an Analytics Data Engineer or similar Data Science \&amp; Analytics roles, preferably partnering with GTM and Product leads to build and report on key company\-wide metrics.
* A passion for the company's mission of building helpful, honest, and harmless AI.
* Expertise in building multi\-step ETL jobs, building robust data models through tooling like dbt; proficiency with workflow management platforms like Airflow and version control management tools through GitHub.
* Expertise in SQL and Python to transform data into accurate, clean data models.
* Experience building data reporting and dashboarding in visualization tools like Hex to serve multiple cross\-functional teams.
* A bias for action and urgency, not letting perfect be the enemy of the effective.
* A “full\-stack mindset”, not hesitating to do what it takes to solve a problem end\-to\-end, even if it requires going outside the original job description.
* Experience building an Analytics Data Engineering (or similar) function at start\-ups.
* A strong disposition to thrive in ambiguity, taking initiative to create clarity and forward progress.
 The annual compensation range for this role is listed below.
 For sales roles, the range provided is the role’s On Target Earnings ("OTE") range, meaning that the range includes both the sales commissions/sales bonuses target and annual base salary for the role.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43">
      <c r="A43" t="inlineStr">
        <is>
          <t>li-4333279999</t>
        </is>
      </c>
      <c r="B43" t="inlineStr">
        <is>
          <t>Senior Data Engineer</t>
        </is>
      </c>
      <c r="C43" t="inlineStr">
        <is>
          <t>ICE</t>
        </is>
      </c>
      <c r="D43" t="inlineStr">
        <is>
          <t>linkedin</t>
        </is>
      </c>
      <c r="E43" t="inlineStr"/>
      <c r="F43" t="inlineStr"/>
      <c r="G43" t="inlineStr">
        <is>
          <t>Atlanta, GA</t>
        </is>
      </c>
      <c r="H43" t="inlineStr"/>
      <c r="I43" t="inlineStr">
        <is>
          <t>**Overview**
**Job Purpose**
 At Intercontinental Exchange (ICE), we engineer technology, exchanges and clearing houses that connect companies around the world to global capital and derivative markets. With a leading\-edge approach to developing technology platforms, we have built market infrastructure in all major trading centers, offering customers the ability to manage risk and make informed decisions globally. By leveraging our core strengths in technology, we continue to identify new ways to serve our customers and transform global markets.
 ICE Mortgage Technology is seeking a Senior Data Engineer who will be responsible for design and optimize SQL queries, develop stored procedures, and participate in the migration and modernization of legacy applications to support IMT (ICE Mortgage Technology) Products. The candidate should have a strong background in SQL and Scripting.
**Responsibilities**
* Provides Snowflake\-based data warehouse design and development for projects involving new data integration, migration, and enhancement of existing pipelines.
* Designs and develops data transformation logic using SQL, Snowflake stored procedures, and Python\-based scripts for ETL/ELT workloads.
* Builds and maintains robust data pipelines to support reporting, analytics, and application data needs.
* Creates and maintains Snowflake objects like tables, views, streams, tasks, file formats, and external stages.
* Participates in project meetings with data engineers, analysts, business users, and product owners to understand and implement technical requirements.
* Writes technical design documentation based on business requirements and data architecture principles.
* Develops and/or reviews unit testing protocols for SQL scripts, procedures, and data pipelines using automation frameworks.
* Completes documentation and procedures for pipeline deployment, operational handover, and monitoring.
* May mentor or guide junior developers and data engineers.
* Stays current with Snowflake features, best practices, and industry trends in cloud data platforms.
* Performs additional related duties as assigned.
**Knowledge And Experience**
* Bachelor’s degree in computer science, Engineering, or related field (or equivalent experience).
* 8\+ years of professional experience in data engineering or database development.
* Strong Hands\-on experience:
+ Writing complex SQL queries and stored procedures
+ Database stored procedures, functions, views, and schema design
+ Using Streams, Tasks, Time Travel, and Cloning
* Proficiency in database performance tuning and performance optimization — clustering, warehouse sizing, caching, etc.
* Experience configuring external stages to integrate with cloud storage (AWS S3, Azure Blob, etc.).
* Experience writing Python/Shell scripts for data processing (where needed).
* Knowledge on Snowflake and Tidal is an added advantage
* Proficiency in using Git and working within Agile/Scrum SDLC environments.
* Familiarity working in a Software Development Life Cycle (SDLC) leveraging Agile principles.
* Excellent analytical, decision\-making, and problem\-solving skills.
* Ability to multitask in a fast\-paced environment with a focus on timeliness, documentation, and communication with peers and business users.
* Strong verbal and written communication skills to engage both technical and non\-technical audiences at various organizational levels.
 Intercontinental Exchange, Inc. is an Equal Opportunity Employer. All qualified applicants will receive consideration for employment without regard to legally protected characteristics.</t>
        </is>
      </c>
    </row>
    <row r="44">
      <c r="A44" t="inlineStr">
        <is>
          <t>li-4372516756</t>
        </is>
      </c>
      <c r="B44" t="inlineStr">
        <is>
          <t>Lead Data Engineer (Palantir)</t>
        </is>
      </c>
      <c r="C44" t="inlineStr">
        <is>
          <t>Voto Consulting LLC</t>
        </is>
      </c>
      <c r="D44" t="inlineStr">
        <is>
          <t>linkedin</t>
        </is>
      </c>
      <c r="E44" t="inlineStr"/>
      <c r="F44" t="inlineStr"/>
      <c r="G44" t="inlineStr">
        <is>
          <t>Jersey City, NJ</t>
        </is>
      </c>
      <c r="H44" t="inlineStr"/>
      <c r="I44" t="inlineStr">
        <is>
          <t>**Title:** 
 "
 **Lead
 "** 
 Data Engineer (Palantir)
**Duration :\-** 
 FTE (Full Time)
**Location:** 
 Jersey City, New Jersey
**Interview** 
 :\- 02 Rounds, Virtual with Video required for both.
**Target Start Date / Urgency to Fill Role :\-** 
 As early as possible
 **.** 
**Must Have** 
 :
* Palantir/Typescript or Insurance
* **Snowflake, SQL, Python, Spark, AWS\- Glue, Big Data Concepts**
**Responsibilities** 
* Lead the design, development, and implementation of data solutions using
 **AWS \&amp; Snowflake** 
 .
* Collaborate with cross\-functional teams to understand business requirements and translate them into technical solutions.
* Develop and maintain data pipelines, ensuring data quality, integrity, and security.
* Optimize data storage and retrieval processes to support
 **data warehousing** 
 and analytics.
* Provide technical leadership and mentorship to junior data engineers.
* Ensure compliance with industry standards and best practices in data engineering.
* Utilize knowledge of
 **insurance** 
 , particularly
 **claims \&amp; loss** 
 , to enhance data solutions.
**Must have** 
* 10 \- 12 years of relevant experience in
 **Data Engineering** 
 and
 **Delivery** 
 .
* 09\+ years of relevant work experience in
 **Big Data Concepts** 
 .
* Should have worked on
 **Cloud Implementations** 
 .
* **Expertise** 
 with
 **SQL** 
 ,
 **Python** 
 and
 **PySpark** 
 .
* Good understanding of
 **Data Ingestion** 
 and
 **Data Processing Frameworks** 
 .
* Expertise in
 **Snowflake** 
 ,
 **SQL** 
 ,
 **AWS** 
 (glue, EMR, S3, Aurora, RDS, AWS architecture).
* Good aptitude, strong problem\-solving abilities, analytical skills, and ability to take ownership as appropriate.
* Should be able to do
 **coding** 
 ,
 **debugging** 
 ,
 **performance tuning** 
 , and
 **deploying** 
 the apps to the
 **Production Environment** 
 .
* Experience working in
 **Agile Methodology** 
 .
* Proven expertise or certification in
 **Palantir Foundry** 
 /
 **Typescript** 
 is highly preferred.
**Good to have** 
* Have experience in
 **DevOps** 
 tools (Jenkins, GIT etc.) and practices, continuous integration, and delivery (CI/CD) pipelines.
* Worked on
 **cloud implementations** 
 ,
 **data migration** 
 ,
 **Data Vault 2\.0** 
 , etc.
**Requirements** 
* Bachelor’s or Master’s degree in Computer Science, Information Technology, or a related field.
* Proven experience as a
 **Data Engineer** 
 , with a focus on
 **AWS \&amp; Snowflake** 
 .
* Strong understanding of
 **data warehousing** 
 concepts and best practices.
* Excellent communication skills, with the ability to convey complex technical concepts to non\-technical stakeholders.
* Experience in the
 **insurance** 
 industry, preferably with knowledge of
 **claims \&amp; loss processes** 
 .
* Proficiency in
 **SQL** 
 ,
 **Python** 
 , and other relevant programming languages.
* Strong problem\-solving skills and attention to detail.
* Ability to work independently and as part of a team in a fast\-paced environment.
* Experience with
 **data modelling** 
 and
 **ETL** 
 processes.
* Familiarity with
 **data governance** 
 and
 **data security** 
 practices.
* **Certification** 
 in
 **AWS** 
 or
 **Snowflake** 
 is a plus.</t>
        </is>
      </c>
    </row>
    <row r="45">
      <c r="A45" t="inlineStr">
        <is>
          <t>li-4373599591</t>
        </is>
      </c>
      <c r="B45" t="inlineStr">
        <is>
          <t>Network Data Engineer</t>
        </is>
      </c>
      <c r="C45" t="inlineStr">
        <is>
          <t>NuStar Technologies</t>
        </is>
      </c>
      <c r="D45" t="inlineStr">
        <is>
          <t>linkedin</t>
        </is>
      </c>
      <c r="E45" t="inlineStr"/>
      <c r="F45" t="inlineStr"/>
      <c r="G45" t="inlineStr">
        <is>
          <t>Raleigh, NC</t>
        </is>
      </c>
      <c r="H45" t="inlineStr"/>
      <c r="I45" t="inlineStr">
        <is>
          <t>Strong knowledge and Hands\-on experience on below technologies.
 Cisco ISE,
 Forescout – NAC,
 Infoblox\- DNS DHCP IPAM
 Cisco ACI,
 IBM NS1,
 NTP \- Microchip (time),
 Ixia \- platform
 Gluware \- Network tool
 Ansible \- automation platform,
 F5 LTM , GTM , BIGIQ
 Must have Below knowledge
* Cisco ISE \-\-\-\-
 Clear understanding of Cisco ISE Architecture (Pan, PSN, MNT, etc.).
 Cisco ISE configuration and troubleshooting hands on experience.
 Cisco ISE policy configuration used for Wireless, Wired, VPN, and Network
* Forescout’s \-\-\-\-
 Configures, and manages Forescout's network configuration and troubleshooting hands on experience
* Infoblox \-\-\-\-
 manages, maintains, and optimizes an organization's core network services (DNS, DHCP, IPAM), troubleshooting hands on experience.
* F5 (LTM \-GTM, BIGiQ \-\-\-\-
 Hands on experience configuration and troubleshooting on F5 architecture on LTM, GTM, BIGiQ.
* Cisco ACI \-\-\-\-
 Design and deploy Cisco ACI fabrics (Leaf–Spine architecture). Configuration troubleshooting hands on experience
 Configure Tenants, VRFs, Bridge Domains, EPGs, Contracts, and Filters
 Implement Multi Pod, Multi Site, and Remote Leaf architectures
**Knowledge/experience About High Availability And Disaster Recovery Setups**
* IBM NS1 \-\-\-\-
 Hands\-on experience with the IBM NS1 Connect platform or comparable DNS automation and network performance solutions is often required.
* NTP\- Microchip (time) \-\-\-\-
 Familiarity with Microchip NTP equipment
 Microchip NTP monitoring and troubleshooting tools.
* Ixia \-\-\-\-
 Understanding Ixia platform for network testing and topology testing
 Using Ixia platform network troubleshooting for L2/L3 design
* Gluware \-\-\-\-
 Gluware configuration and troubleshooting
 Gluware configuration using automation
* Ansible automation platform \-\-\-\-
 Ansible automation scripting language configuration management and troubleshooting.
 Salary Range\- $100,000\-$110,000 a year</t>
        </is>
      </c>
    </row>
    <row r="46">
      <c r="A46" t="inlineStr">
        <is>
          <t>li-4369980625</t>
        </is>
      </c>
      <c r="B46" t="inlineStr">
        <is>
          <t>Senior Data Engineer</t>
        </is>
      </c>
      <c r="C46" t="inlineStr">
        <is>
          <t>talisman</t>
        </is>
      </c>
      <c r="D46" t="inlineStr">
        <is>
          <t>linkedin</t>
        </is>
      </c>
      <c r="E46" t="inlineStr"/>
      <c r="F46" t="inlineStr"/>
      <c r="G46" t="inlineStr">
        <is>
          <t>Houston, TX</t>
        </is>
      </c>
      <c r="H46" t="inlineStr"/>
      <c r="I46" t="inlineStr">
        <is>
          <t>Senior Data Engineer – Energy \&amp; Financial Markets
 We’re looking for a Senior Data Engineer to design, build, and scale data pipelines supporting trading, analytics, and market\-facing teams.
 Senior Data Engineer responsibilities;
* Build and maintain scalable ETL pipelines using Python and AWS
* Design and optimize data models and workflows in Snowflake
* Partner with quant, trading, and analytics teams on data architecture
* Own data reliability, performance, and quality across market datasets
* Contribute to data platform architecture and cloud best practices
 Senior Data Engineer requirements;
* 5\+ years’ experience in Data Engineering
* Strong Python, AWS (S3, Lambda, Glue, etc.), and ETL experience
* Hands\-on Snowflake development and performance tuning
* Experience designing data architectures in cloud environments
* Knowledge of financial or energy markets (trading, pricing, risk, market data)
* Houston\-based or open to relocation
 Nice to Have
* Experience supporting trading desks or quants
* Exposure to real\-time or high\-frequency market data</t>
        </is>
      </c>
    </row>
    <row r="47">
      <c r="A47" t="inlineStr">
        <is>
          <t>li-4373815802</t>
        </is>
      </c>
      <c r="B47" t="inlineStr">
        <is>
          <t>Data Engineer - Snowflake (Hybrid)</t>
        </is>
      </c>
      <c r="C47" t="inlineStr">
        <is>
          <t>Collins Aerospace</t>
        </is>
      </c>
      <c r="D47" t="inlineStr">
        <is>
          <t>linkedin</t>
        </is>
      </c>
      <c r="E47" t="inlineStr"/>
      <c r="F47" t="inlineStr"/>
      <c r="G47" t="inlineStr">
        <is>
          <t>Windsor Locks, CT</t>
        </is>
      </c>
      <c r="H47" t="inlineStr"/>
      <c r="I47" t="inlineStr">
        <is>
          <t>**Date Posted:**
 2026\-01\-27
**Country:**
 United States of America
**Location:**
 US\-NC\-CHARLOTTE\-2730 \~ 2730 W Tyvola Rd \~ TYVOLA
**Position Role Type:**
 Hybrid
**U.S. Citizen, U.S. Person, or Immigration Status Requirements:**
 U.S. citizenship is required, as only U.S. citizens are authorized to access information under this program/contract.
**Security Clearance Type:**
 None/Not Required
**Security Clearance Status:**
 Not Required
 We are seeking a skilled and highly motivated Data Engineer to join our Data \&amp; Analytics team in Collins Aerospace. In this role, you will be responsible for designing, developing, and maintaining robust data pipelines and infrastructure using latest technologies. You will work closely with cross\-functional teams to support and contribute to the evolution of our data platform and capabilities.
* This is a hybrid position at one of Collins’ major facilities\*\*
**What YOU will do:**
* Data Engineering: Design, develop, and maintain data pipelines and ETL processes to support data analytics and reporting needs.
* Snowflake: Utilize Snowflake to manage data warehousing, including data modeling, schema design, and optimization.
* Matillion: Implement ETL processes using Matillion to integrate, transform, and load data from various sources into Snowflake.
* SQL: Write complex SQL queries for data retrieval, analysis, and reporting. Optimize queries for performance and efficiency.
* Data Quality: Ensure data quality and integrity by developing and implementing data validation and cleansing procedures.
* Collaboration: Work closely with data engineers, analysts, and business teams to understand data requirements and deliver solutions.
* Troubleshooting and Debugging: Investigate and resolve data issues, performance bottlenecks, and other technical challenges.
* Documentation: Create and maintain documentation for data processes, workflows, and architecture.
**Qualifications YOU Must Have:**
* Typically requires a University Degree and minimum 5 years prior relevant experience or an Advanced Degree in a related field and minimum 3 years of experience.
* Must be authorized to work in the U.S. without sponsorship now or in the future. RTX will not offer sponsorship for this position (U.S. Citizen or Green Card Holder)
* About 3\+ years of experience in data engineering role, with proficiency in designing, implementing, and optimizing data pipelines and ETL processes.
* Experience: Proven experience as a Data Engineer with a background in Snowflake, Matillion, Alteryx, and Tableau or relevant ETL and RDBMS technologies.
* SQL Proficiency: Strong SQL skills, including experience with complex queries, joins, and aggregations.
* Data Visualization: Experience developing dashboards and visualizations using Tableau.
* ETL Expertise: Strong understanding of ETL processes and best practices, with hands\-on experience using Matillion or relevant tools.
* Problem\-Solving: Strong analytical and problem\-solving skills, with the ability to troubleshoot and resolve data\-related issues.
* Communication: Excellent written and verbal communication skills, with the ability to work effectively with cross\-functional teams.
* Time Management: Strong organizational and time\-management skills, with the ability to prioritize tasks and meet deadlines.
* Adaptability: Comfortable working in a fast\-paced, dynamic environment with changing priorities.
* Experience in agile methodologies and experience as a Data Engineer in a cross\-functional agile team.
**What We Offer:**
 Some of our competitive benefits packages include: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**WE ARE REDEFINING AEROSPACE.**
* Please consider the following role type definitions as you apply for this role.
 Hybrid: Employees who are working in Hybrid roles will work regularly both onsite and offsite. Ratio of time working onsite will be determined in partnership with your leader.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8">
      <c r="A48" t="inlineStr">
        <is>
          <t>li-4373823369</t>
        </is>
      </c>
      <c r="B48" t="inlineStr">
        <is>
          <t>Data Engineer - Snowflake (Hybrid)</t>
        </is>
      </c>
      <c r="C48" t="inlineStr">
        <is>
          <t>Collins Aerospace</t>
        </is>
      </c>
      <c r="D48" t="inlineStr">
        <is>
          <t>linkedin</t>
        </is>
      </c>
      <c r="E48" t="inlineStr"/>
      <c r="F48" t="inlineStr"/>
      <c r="G48" t="inlineStr">
        <is>
          <t>Cedar Rapids, IA</t>
        </is>
      </c>
      <c r="H48" t="inlineStr"/>
      <c r="I48" t="inlineStr">
        <is>
          <t>**Date Posted:**
 2026\-01\-27
**Country:**
 United States of America
**Location:**
 US\-NC\-CHARLOTTE\-2730 \~ 2730 W Tyvola Rd \~ TYVOLA
**Position Role Type:**
 Hybrid
**U.S. Citizen, U.S. Person, or Immigration Status Requirements:**
 U.S. citizenship is required, as only U.S. citizens are authorized to access information under this program/contract.
**Security Clearance Type:**
 None/Not Required
**Security Clearance Status:**
 Not Required
 We are seeking a skilled and highly motivated Data Engineer to join our Data \&amp; Analytics team in Collins Aerospace. In this role, you will be responsible for designing, developing, and maintaining robust data pipelines and infrastructure using latest technologies. You will work closely with cross\-functional teams to support and contribute to the evolution of our data platform and capabilities.
* This is a hybrid position at one of Collins’ major facilities\*\*
**What YOU will do:**
* Data Engineering: Design, develop, and maintain data pipelines and ETL processes to support data analytics and reporting needs.
* Snowflake: Utilize Snowflake to manage data warehousing, including data modeling, schema design, and optimization.
* Matillion: Implement ETL processes using Matillion to integrate, transform, and load data from various sources into Snowflake.
* SQL: Write complex SQL queries for data retrieval, analysis, and reporting. Optimize queries for performance and efficiency.
* Data Quality: Ensure data quality and integrity by developing and implementing data validation and cleansing procedures.
* Collaboration: Work closely with data engineers, analysts, and business teams to understand data requirements and deliver solutions.
* Troubleshooting and Debugging: Investigate and resolve data issues, performance bottlenecks, and other technical challenges.
* Documentation: Create and maintain documentation for data processes, workflows, and architecture.
**Qualifications YOU Must Have:**
* Typically requires a University Degree and minimum 5 years prior relevant experience or an Advanced Degree in a related field and minimum 3 years of experience.
* Must be authorized to work in the U.S. without sponsorship now or in the future. RTX will not offer sponsorship for this position (U.S. Citizen or Green Card Holder)
* About 3\+ years of experience in data engineering role, with proficiency in designing, implementing, and optimizing data pipelines and ETL processes.
* Experience: Proven experience as a Data Engineer with a background in Snowflake, Matillion, Alteryx, and Tableau or relevant ETL and RDBMS technologies.
* SQL Proficiency: Strong SQL skills, including experience with complex queries, joins, and aggregations.
* Data Visualization: Experience developing dashboards and visualizations using Tableau.
* ETL Expertise: Strong understanding of ETL processes and best practices, with hands\-on experience using Matillion or relevant tools.
* Problem\-Solving: Strong analytical and problem\-solving skills, with the ability to troubleshoot and resolve data\-related issues.
* Communication: Excellent written and verbal communication skills, with the ability to work effectively with cross\-functional teams.
* Time Management: Strong organizational and time\-management skills, with the ability to prioritize tasks and meet deadlines.
* Adaptability: Comfortable working in a fast\-paced, dynamic environment with changing priorities.
* Experience in agile methodologies and experience as a Data Engineer in a cross\-functional agile team.
**What We Offer:**
 Some of our competitive benefits packages include: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**WE ARE REDEFINING AEROSPACE.**
* Please consider the following role type definitions as you apply for this role.
 Hybrid: Employees who are working in Hybrid roles will work regularly both onsite and offsite. Ratio of time working onsite will be determined in partnership with your leader.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9">
      <c r="A49" t="inlineStr">
        <is>
          <t>li-4373814891</t>
        </is>
      </c>
      <c r="B49" t="inlineStr">
        <is>
          <t>Senior Data Engineer</t>
        </is>
      </c>
      <c r="C49" t="inlineStr">
        <is>
          <t>Raytheon</t>
        </is>
      </c>
      <c r="D49" t="inlineStr">
        <is>
          <t>linkedin</t>
        </is>
      </c>
      <c r="E49" t="inlineStr"/>
      <c r="F49" t="inlineStr"/>
      <c r="G49" t="inlineStr">
        <is>
          <t>Tucson, AZ</t>
        </is>
      </c>
      <c r="H49" t="inlineStr"/>
      <c r="I49" t="inlineStr">
        <is>
          <t>**Date Posted:**
 2026\-02\-05
**Country:**
 United States of America
**Location:**
 US\-MA\-TEWKSBURY\-TB3 \~ 50 Apple Hill Dr \~ CONCORD BLDG, Tewksbury Tb3 300 Concord
**Position Role Type:**
 Hybrid
**U.S. Citizen, U.S. Person, or Immigration Status Requirements:**
 U.S. citizenship is required, as only U.S. citizens are authorized to access information under this program/contract.
**Security Clearance Type:**
 None/Not Required
**Security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Engineering Execution is seeking a highly motivated and technically proficient Senior Data Engineer to join our advanced data organization. This mid\-career position is central to the development and optimization of robust, scalable, and secure data pipelines, as well as the establishment of enterprise\-grade data systems that enable high\-impact analytics and data\-driven decision\-making across the organization. We are seeking an individual with exceptional technical skills, a strong command of cloud\-native ecosystems, and a proven ability to work effectively within a highly controlled, compliance\-driven governance environment.
 The ideal candidate will thrive in a collaborative, multidisciplinary setting, building synergies with cross\-functional technical teams to achieve aligned objectives. This position requires a consummate professional who demonstrates intellectual rigor, meticulous attention to detail, and a commitment to engineering excellence.
 This role is required to be and remain onsite (Tucson, AZ, Tewksbury, MA or Richardson, TX) with a hybrid component after initial onboarding. Ratio of time working onsite will be determined in partnership with your leader.
**What You Will Do**
* Design, Develop, and Optimize Data Pipelines: Architect, develop, and operationalize end\-to\-end data pipelines that support comprehensive measurement collection, transformation, and analysis using Matillion ETL within hybrid cloud environments.
* Data Warehousing in Snowflake: Manage and optimize data warehousing operations in Snowflake, including the development and maintenance of tables, canonical views, user\-defined functions, stored procedures, and tasks to ensure a robust and scalable data ecosystem.
* Collaborative Data Integration and Transformation: Collaborate with cross\-functional teams, including Power BI developers, Power Automate architects, and Artificial Intelligence engineers, to ensure the seamless integration and transformation of data from systems of record into authoritative sources of truth (ASoTs).
* Data Quality, Security, and Scalability: Partner with stakeholders to implement best practices for data quality assurance, governance, and security, ensuring compliance with organizational standards and scalability to meet future analytic demands.
* Troubleshooting and Issue Resolution: Diagnose and resolve complex data\-related issues within data pipelines, data flows, and dashboards to ensure operational continuity and reliability in a mission\-critical environment.
* Formal Governance Adherence: Operate adeptly within a rigorously controlled governance environment, adhering to formalized approval gates, change management processes, and compliance mandates to maintain enterprise\-grade data integrity and security.
* Emerging Technology Evaluation: Continuously evaluate and incorporate advancements in cloud technologies, data engineering tools, and best practices, with a focus on AWS and Azure ecosystems, to enhance data operations and drive innovation.
* Synergy Building Across Technical Teams: Foster effective communication and collaboration across multidisciplinary teams to align objectives, streamline data workflows, and enable actionable insights through shared technical solutions.
* Documentation and Observability: Ensure comprehensive documentation, version control, and observability of all data engineering workflows, pipelines, and processes in alignment with DevOps principles.
* Develop Interactive Dashboards: Utilize Power BI and SharpCloud to create innovative data visualizations to support engineering operations and strategic initiatives.
**Qualifications You Must Have**
* Typically requires a degree in Computer Science, Data Science, Systems Engineering, or a related STEM discipline and a minimum of five years of prior relevant experience.
* Experience in SQL and Python for complex data transformations, orchestration scripting, and automation tasks.
* Experience in data analytics, dashboard development, and data visualization tools (e.g., Tableau, Power BI, SharpCloud).
* U.S. citizenship is required as only U.S. citizens are authorized to access information under this program/contract.
**Qualifications We Prefer**
* Master’s degree in Engineering, Data Science, or a related field.
* Demonstrated expertise in designing, developing, and maintaining data pipelines using Matillion ETL or comparable enterprise\-grade ETL tools.
* Proven experience managing and optimizing data warehousing environments in Snowflake, including advanced knowledge of schemas and dimensional modeling techniques
* Certifications in RTX CORE Professional, SharpCloud, SAFe, AWS, Azure, or Matillion.
* Experience using SAFe Agile framework and JIRA.
* Working knowledge of data analytics and reporting tools to enable insights and actionable decision making.
* Familiarity with big data technologies (e.g., Matillion, PowerBI, SharpCloud) and cloud platforms (e.g., Xeta, Snowflake).
* Experience with Microsoft Power Platform tools, including Power Apps and Power Automate, with the ability to leverage data connectors to integrate and automate workflows across different systems.
* Excellent facilitation and strategic thinking skills, initiative / self\-starter: able to execute within strategic vision with motivation and resiliency.
* Detail oriented with the ability to appropriately balance priorities, deadlines, and deliverables.
* Ability to operate effectively within a compliance\-driven, tightly controlled governance environment, ensuring adherence to formalized approval gates and security protocols.
* Exceptional interpersonal and collaboration skills, with the ability to build synergies across technical and non\-technical teams
* Experience leading cross\-functional initiatives, aligning technical solutions with strategic business objectives.
* Solid understanding of statistical analysis and machine learning techniques.
* Ability to work independently and collaboratively in a fast\-paced, dynamic environment.
**What We Offer**
*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Hybrid: Employees who are working in Hybrid roles will work regularly both onsite and offsite. Ratio of time working onsite will be determined in partnership with your leader.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50">
      <c r="A50" t="inlineStr">
        <is>
          <t>li-4372565040</t>
        </is>
      </c>
      <c r="B50" t="inlineStr">
        <is>
          <t>Data Engineer</t>
        </is>
      </c>
      <c r="C50" t="inlineStr">
        <is>
          <t>Zachary Piper Solutions</t>
        </is>
      </c>
      <c r="D50" t="inlineStr">
        <is>
          <t>linkedin</t>
        </is>
      </c>
      <c r="E50" t="inlineStr"/>
      <c r="F50" t="inlineStr"/>
      <c r="G50" t="inlineStr">
        <is>
          <t>McLean, VA</t>
        </is>
      </c>
      <c r="H50" t="inlineStr"/>
      <c r="I50" t="inlineStr">
        <is>
          <t>**Zachary Piper Solutions** 
 is currently seeking Data Engineers on our Professional Services team in McLean, VA.
 Are you a skilled Data Engineer seeking an opportunity to make a real impact? Look no further! Zachary Piper Solutions is actively seeking engineers for our McLean, VA office.
**Location:** 
 McLean, VA
**The impact you will have:**
* Deliver a wide range of high‑value technical projects, including designing and building reference architectures, developing how‑to guides, and operationalizing customer use cases.
* Partner with Engagement Managers to scope professional services work based on customer needs and desired outcomes.
* Guide strategic customers through transformational big data initiatives and third‑party migrations, including end‑to‑end design, build, and deployment of advanced data and AI applications.
* Provide architectural guidance and hands‑on implementation support to ensure successful evaluation and adoption of Zachary Piper Solutions.
* Serve as an escalation point for complex operational issues during customer engagements.
* Collaborate closely with Zachary Piper Solutions technical teams, Project Managers, Architects, and customer stakeholders to ensure all technical components are delivered effectively.
* Work with Engineering and Customer Support to share product feedback, resolve engagement‑specific issues, and improve the overall customer experience.
**What we look for:**
* U.S. citizenship
* Experienced in Apache Spark (Must have)
* 6\+ years of experience in data engineering, data platforms, or analytics
* Proficiency in Python or Scala
* Working knowledge of at least two major cloud ecosystems (AWS, Azure, GCP) and deep expertise in one
* Strong experience with distributed computing using Apache Spark™ and familiarity with Spark runtime internals
* Understanding of CI/CD practices for production deployments
* Working knowledge of MLOps concepts and workflows
* Experience designing and deploying scalable, performant end‑to‑end data architectures
* Proven ability to deliver technical projects, manage scope, and meet timelines
* Strong documentation, communication, and whiteboarding skills
* Experience working directly with customers and navigating conflict or ambiguity
* Ability to build new technical skills that support Zachary Piper Solutions solution deployment and integration
* Bachelor’s degree in Computer Science, Information Systems, Engineering, or equivalent professional experience
**Compensation:**
* Salary Range: $120,000 \- $225,000 based on experience
* Comprehensive Benefits: Medical, dental, vision, PTO, 401k, Holiday
**Keywords:**
 Apache Spark, Apache, AI/ML, AI, AWS, Azure, GCP, CI/CD, Machine Learning, Python, Scala</t>
        </is>
      </c>
    </row>
    <row r="51">
      <c r="A51" t="inlineStr">
        <is>
          <t>li-4302862312</t>
        </is>
      </c>
      <c r="B51" t="inlineStr">
        <is>
          <t>Staff Data Engineer, Compliance Engineering &amp; Technology</t>
        </is>
      </c>
      <c r="C51" t="inlineStr">
        <is>
          <t>Block</t>
        </is>
      </c>
      <c r="D51" t="inlineStr">
        <is>
          <t>linkedin</t>
        </is>
      </c>
      <c r="E51" t="inlineStr"/>
      <c r="F51" t="inlineStr"/>
      <c r="G51" t="inlineStr"/>
      <c r="H51" t="inlineStr"/>
      <c r="I51"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Compliance Engineering \&amp; Technology (CET)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You will report to the CET \- Screening Engineering Manager, but work predominately alongside the CET \- Data Engineering team. As a Data Engineer you will handle everything from data architecture and modeling to data pipeline tooling and dashboarding. You will enable other compliance teams to make impactful business decisions by laying the foundation of our large and unique datasets that span across multiple products. As a staff engineer, you will be helping bring the organization into a new level of consistency, helping create and evangelize best practices and standards for the wider organization.
**You Will**
* Stay up to date on the latest data engineering best practices, decide which are most applicable for our use cases, and guide and teach the data engineering team the relevant tools.
* Create scalable patterns and solutions that help our team design, develop, and manage scalable ETL pipelines to unblock new product launches.
* Lead the creation and optimization of existing data models and schemas on top of Block data including but not limited to eventing, customer level, and process level data.
* Build monitoring to assess the health of the team’s infrastructure as well as data quality and lineage.
* Participate in the data engineering team’s on\-call rotation: monitor daily execution, diagnose and log issues, and fix business critical pipelines to ensure SLAs are met with internal stakeholders
* Work with non\-technical partners and product teams to understand their needs, translate business requirements into applicable data requirements, and come up with automated end\-to\-end solutions.
* Standardize business and product metric definitions in curated and optimized datasets, and develop data dictionaries and other related documentation.
* Teach and encourage software engineer teams to self\-serve by building tools that make it simpler and faster for them to do so.
**You Have**
* A minimum of 12 years of related experience with a Bachelor’s degree; or 10 years and a Master’s degree; or equivalent experience.
* High proficiency in SQL
* Working experience with Python
* Databrick experience
* Experience designing medium\-to\-large data engineering solutions and responsible for the entire lifecycle of projects including scoping, design, development, testing, deployment, and documentation
* Experience with ETL scheduling technologies with dependency checking, such as Airflow or Prefect, as well as schema design and dimensional data modeling
* Experience with setting up data quality and data lineage monitoring
* Experience with financial crimes compliance systems, technologies, and processes is a big plus
* Experience driving decisions for AI initiatives / agent building is a big plus
**Technologies We Use and Teach**
* Snowflake
* Terraform
* Dbt
* Github
* Airflow
* Prefect
* Tableau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$239,600—$359,400 USD
**Zone B**
 $239,600—$359,400 USD
**Zone C**
 $239,600—$359,400 USD
**Zone D**
 $239,600—$359,400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52">
      <c r="A52" t="inlineStr">
        <is>
          <t>li-4372544731</t>
        </is>
      </c>
      <c r="B52" t="inlineStr">
        <is>
          <t>Sr. Snowflake Data Engineer</t>
        </is>
      </c>
      <c r="C52" t="inlineStr">
        <is>
          <t>Jobs via Dice</t>
        </is>
      </c>
      <c r="D52" t="inlineStr">
        <is>
          <t>linkedin</t>
        </is>
      </c>
      <c r="E52" t="inlineStr"/>
      <c r="F52" t="inlineStr"/>
      <c r="G52" t="inlineStr"/>
      <c r="H52" t="inlineStr"/>
      <c r="I52" t="inlineStr">
        <is>
          <t>Dice is the leading career destination for tech experts at every stage of their careers. Our client, Naztec International Group LLC, is seeking the following. Apply via Dice today!
**Hello,**
**Hope you are doing well... !!!**
**If you are interesting for the below role, kindly share your resume at** 
**.**
**Position ::** 
**Sr. Snowflake Data Engineer**
**Location ::** 
**partial remote**
**Type of position :: Long\-term contract**
**JD:**
* 5\+ years of data engineering experience, including significant delivery on Snowflake in production.
* Strong Python skills (clean, testable code; packaging; logging/metrics; performance\-aware data processing).
* Strong SQL and data modeling fundamentals (dimensional and/or domain\-oriented modeling).
* Hands\-on experience with dbt Core (models, macros, tests, docs, deployments, CI practices).
* Hands\-on experience with OpenFlow (building/running flows, operational support, troubleshooting).
* Proven experience designing and operating ETL/ELT pipelines (incremental loads, CDC concepts, error handling, and backfills).
* Experience working in cloud environments (AWS/Azure/Google Cloud Platform) and production operations (monitoring, on\-call/incident response, SLAs).
**Nice to Have**
* Experience supporting BI workloads (semantic\-friendly marts, performance considerations, consumption patterns).
* Experience supporting ML workflows (feature\-ready datasets, reproducible training data, lineage and governance).
* Familiarity with Snowflake governance features (masking/row access policies, secure views) and multi\-account deployment patterns.
* CI/CD and automation (Git workflows, build pipelines, infra\-as\-code such as Terraform).
 Experience with common ingestion/orchestration tools (Airflow, Dagster, Prefect, etc.) or ELT tools (Fivetran/Matillion/Informatica)</t>
        </is>
      </c>
    </row>
    <row r="53">
      <c r="A53" t="inlineStr">
        <is>
          <t>li-4372559474</t>
        </is>
      </c>
      <c r="B53" t="inlineStr">
        <is>
          <t>Google Cloud Platform Data Engineer</t>
        </is>
      </c>
      <c r="C53" t="inlineStr">
        <is>
          <t>Jobs via Dice</t>
        </is>
      </c>
      <c r="D53" t="inlineStr">
        <is>
          <t>linkedin</t>
        </is>
      </c>
      <c r="E53" t="inlineStr"/>
      <c r="F53" t="inlineStr"/>
      <c r="G53" t="inlineStr"/>
      <c r="H53" t="inlineStr"/>
      <c r="I53" t="inlineStr">
        <is>
          <t>Dice is the leading career destination for tech experts at every stage of their careers. Our client, Eagle Eye Technologies, is seeking the following. Apply via Dice today!
**Quick Interview**
**Full\-Time Role**
 Hello,
 Hope you’re doing well.
 My name is Lahari from
 **Eagle Eye Technologies** 
 . We have a
 **Google Cloud Platform Data Engineer** 
 position at
 **Remote**
**Google Cloud Platform Data Engineer (Health Care Background Must)**
**Location: Remote (Across USA any Location)**
**Technical Skills (Must\-Have)**
* 10\+ years in data architecture, engineering, or data platform roles.
* Strong expertise in Google Cloud Platform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Experience with on\-prem to cloud migrations.
**Thank you,**
**Lahari Kallepalli**
**Senior US IT Technical Recruiter**
**Email:**
 Mobile:
**Ext. 104**
**\| website:**</t>
        </is>
      </c>
    </row>
    <row r="54">
      <c r="A54" t="inlineStr">
        <is>
          <t>li-4372554574</t>
        </is>
      </c>
      <c r="B54" t="inlineStr">
        <is>
          <t>Google Cloud Platform Data Engineer</t>
        </is>
      </c>
      <c r="C54" t="inlineStr">
        <is>
          <t>Jobs via Dice</t>
        </is>
      </c>
      <c r="D54" t="inlineStr">
        <is>
          <t>linkedin</t>
        </is>
      </c>
      <c r="E54" t="inlineStr"/>
      <c r="F54" t="inlineStr"/>
      <c r="G54" t="inlineStr">
        <is>
          <t>Benton, AR</t>
        </is>
      </c>
      <c r="H54" t="inlineStr"/>
      <c r="I54" t="inlineStr">
        <is>
          <t>Dice is the leading career destination for tech experts at every stage of their careers. Our client, Acadia Technologies, Inc., is seeking the following. Apply via Dice today!
 A Google Cloud Platform Data Engineer requires proficiency in
 Google Cloud services (, , , ),
 SQL, and Python for building scalable data pipelines.
**Essential Skills Include Designing ETL/ELT Workflows,**
 Managing data warehouses,
 Implementing security (),
 Utilizing Big Data technologies like Spark.</t>
        </is>
      </c>
    </row>
    <row r="55">
      <c r="A55" t="inlineStr">
        <is>
          <t>li-4372565114</t>
        </is>
      </c>
      <c r="B55" t="inlineStr">
        <is>
          <t>Lead Azure Data Engineer (LOCAL to FLORIDA ONLY)</t>
        </is>
      </c>
      <c r="C55" t="inlineStr">
        <is>
          <t>Jobs via Dice</t>
        </is>
      </c>
      <c r="D55" t="inlineStr">
        <is>
          <t>linkedin</t>
        </is>
      </c>
      <c r="E55" t="inlineStr"/>
      <c r="F55" t="inlineStr"/>
      <c r="G55" t="inlineStr">
        <is>
          <t>Deerfield Beach, FL</t>
        </is>
      </c>
      <c r="H55" t="inlineStr"/>
      <c r="I55" t="inlineStr">
        <is>
          <t>Dice is the leading career destination for tech experts at every stage of their careers. Our client, 3Core Systems, Inc, is seeking the following. Apply via Dice today!
**3Core Systems, Inc** 
 is an SAP and Success Factors Partner with employees located across the United States. Our organization is dedicated to customer and employee satisfaction. We provide High Quality, Cost efficient and Competitive Solutions and Resources.
 3Core Systems is looking for
 **Lead Azure Data Engineer** 
 for one of our clients in
 **Deerfield Beach, FL**
**Role:** 
 Lead Azure Data Engineer
**Location:** 
 Deerfield Beach, FL
**Duration:** 
 6 months \+
**Responsibilities:**
* Proficient in knowledge of business systems, applications, processes and data to support data solutions
* Guide and mentor Data Engineers and/or Data Analysts
* Help coordinate activities, provide leadership in large projects by:
+ Establishing standards and providing guidance to other Data Engineers and Data Analysts
+ Ensures other Data Engineers and Data Analysts are following standards
* Foster communication and collaboration between different departments, communicate vision and strategy for ETL tools, pipelines, performance implication of solutions to stakeholders and leadership
* Provide strategic input and help set direction on data preparation and data modeling practices. Stay up to date with the latest tools and capabilities.
* Subject matter expert of ETL tools, pipelines, and performance implication of solutions
* Ability to design and implement highly scalable and reliable data solutions and certify the accuracy and reliability of BU data assets in an Agile environment
* Optimize and fine\-tune data solutions for enhanced efficiency and performance
* Ability to work across and within multiple methodologies/ technologies/ business domains
**Qualifications:**
* 5\+ years of SQL in a data\-related role
* 5\+ years of Data Integration and ETL tool experience
* Azure cloud platform knowledge preferred
* Experience with Agile methodology and Azure DevOps preferred
* Experience in the automotive or captive finance industry is a plus
* Detail oriented, curious, and willing to contribute as a team player
* Excellent verbal and written communication skills
 Please send your resumes to: (sandeep) (at) (3coresystems) (dot) (com)
**Regards,**
**R** 
**ecruiting Team**
**3Core Systems Inc** 
**9101 Burnet Road, Suite 207, Austin, TX 78758**
**URL:**
 3Core Systems, Inc
 Web:</t>
        </is>
      </c>
    </row>
    <row r="56">
      <c r="A56" t="inlineStr">
        <is>
          <t>li-4372555541</t>
        </is>
      </c>
      <c r="B56" t="inlineStr">
        <is>
          <t>Senior Databricks Engineer Senior Data Engineer @ San Jose, CA 95110 _ Onsite - Only on W2</t>
        </is>
      </c>
      <c r="C56" t="inlineStr">
        <is>
          <t>Jobs via Dice</t>
        </is>
      </c>
      <c r="D56" t="inlineStr">
        <is>
          <t>linkedin</t>
        </is>
      </c>
      <c r="E56" t="inlineStr"/>
      <c r="F56" t="inlineStr"/>
      <c r="G56" t="inlineStr">
        <is>
          <t>San Jose, CA</t>
        </is>
      </c>
      <c r="H56" t="inlineStr"/>
      <c r="I56" t="inlineStr">
        <is>
          <t>Dice is the leading career destination for tech experts at every stage of their careers. Our client, BURGEON IT SERVICES LLC, is seeking the following. Apply via Dice today!
**Role: Senior Databricks Engineer Senior Data Engineer
 Location: San Jose, CA 95110 \_ Onsite
 Duration: Long Term \_ Only on W2**
**Experience Required:**
**8 12 Years (Minimum 8 years hands\-on experience in Databricks ecosystem)
 Please share the resume at**
**Must Have Skills (Top 3 Technical Skills):**
* Databricks
* Spark / PySpark
* Python Programming with SQL
**Key Technical Requirements:**
* Strong hands\-on experience in Databricks (8\+ years preferred)
* Expertise in Spark / PySpark for large\-scale data processing
* Advanced Python programming skills with strong SQL querying experience
* Experience in Data Modeling (Dimensional / Star Schema / Snowflake)
* Strong understanding of Data Quality frameworks
* Experience in building Monitoring \&amp; Alerting frameworks
* Ability to optimize Spark jobs and improve performance tuning
* Strong troubleshooting and problem\-solving skills
* Ability to work independently and lead technical implementation
**Detailed Job Responsibilities:**
* Design, develop, and optimize data pipelines using Databricks
* Develop scalable data transformation logic using PySpark
* Implement robust data models and ensure data integrity
* Build data validation, monitoring, and alerting frameworks
* Write complex SQL queries for data extraction and validation
* Perform performance tuning and troubleshooting of Spark workloads
* Collaborate with stakeholders to understand data requirements
* Ensure best practices in coding, deployment, and production support</t>
        </is>
      </c>
    </row>
    <row r="57">
      <c r="A57" t="inlineStr">
        <is>
          <t>li-4372551629</t>
        </is>
      </c>
      <c r="B57" t="inlineStr">
        <is>
          <t>Lead Data Engineer</t>
        </is>
      </c>
      <c r="C57" t="inlineStr">
        <is>
          <t>Jobs via Dice</t>
        </is>
      </c>
      <c r="D57" t="inlineStr">
        <is>
          <t>linkedin</t>
        </is>
      </c>
      <c r="E57" t="inlineStr"/>
      <c r="F57" t="inlineStr"/>
      <c r="G57" t="inlineStr">
        <is>
          <t>Lisle, IL</t>
        </is>
      </c>
      <c r="H57" t="inlineStr"/>
      <c r="I57" t="inlineStr">
        <is>
          <t>Dice is the leading career destination for tech experts at every stage of their careers. Our client, Altitude Technology Solutions Inc, is seeking the following. Apply via Dice today!
**Hello,**
**Greetings,**
**Hope you are safe \&amp; healthy.**
 My name is Kundan Mishra. I am a Technical Recruiter with Altitude Technology Solutions (ATS) INC.
 The purpose of this email is to serve as an invitation to discuss the opportunity below with our customer that I think you or your candidate would be a great fit for.
**Position** 
**: Lead Data Engineer**
**Location: Lisle, IL**
**Job Description:**
 As a Data Engineer Lead, you will play a critical role in ensuring the accuracy and reliability of our data. You will be responsible for selecting appropriate tools, performing technical data extraction, writing programs, and managing data from various sources, including PeopleSoft, BAAN, Infor LN. You will leverage cutting\-edge analytics to unlock the potential within our data, guide critical business decisions and propel sustainable growth. Your expertise will help us maintain clean and usable data, free from duplication and errors.
**Key Responsibilities**
* Lead the data conversion team through scoping, extraction, mapping, and loading of both the master data sets \&amp; transactional data sets from multiple sources into the SAP system through the project phases.
* Design, develop, and implement components to migrate data from legacy platforms to SAP ERP platforms.
* Define development and test templates and methods for extracting data from various sources, with a strong emphasis on PeopleSoft, BAAN, Infor LN systems.
* Evaluate and select appropriate tools and technologies for data extraction and cleansing.
* Write programs and scripts to automate data extraction, cleansing, transform and load processes.
* Identify and resolve data duplication issues. Perform data cleansing to ensure the accuracy and quality of data. Participate in governance for preventive measures due to duplication at source.
* Create and maintain data mapping documents to map source data attributes to Business partner (customer/supplier) attributes.
* Monitor Data quality issues and refine data quality rules and checks as needed.
* Collaborate with cross\-functional teams, technology, and architecture groups to understand data requirements and implement data\-centric solutions.
* Document processes, methodologies, and best practices for data extraction and cleansing.
* Monitor data quality and continuously improve data management processes.
**Minimum Requirements**
* 6\+ years of overall technology experience that includes at least 4\+ years of hands\-on software development, data engineering, and systems architecture.
* Experience deploying modern data solutions leveraging components like Azure functions, Azure Data Factory or AWS Glue
* Experience with data migration platforms like Syniti or data stage
* Experience with at least one of the data quality products, like Informatica data quality, Talend DQ, or Atacama.
* Experience with implementing SAP ERP solution (at least one or two implementations), hands\-on experience with SAP Hana
**Preferred Qualifications (What experience you’d like to see candidates have)**
* Proven experience in data extraction, data cleansing, and data management.
* Strong Proficiency in Python, Spark, PySpark, PLSQL, Pandas or similar.
* Hands\-on experience in Syniti, Azure Data Factory, Synapse, ADLS and/or AWS Glue and other AWS data services
* Design, develop, optimize, and maintain data pipelines in Azure/AWS Cloud Platforms
* Exhibit a thorough understanding of data quality, master data management concepts and ETL/ELT operations.
* Solid experience developing and maintaining data quality dashboards.
* Solid experience maintaining data quality issue tracker and following up with data stewards/or data owners to fix critical issues.
* Strong data analysis background, including the planning and hands on execution of data cleansing and complex data conversions.
* Ability to develop reports and analyze, parse and manipulate data using SQL and tools such as Excel, Access and SQL Loader
* Strong problem\-solving skills and attention to detail.
* Ability to work independently and as part of a team.
* Excellent communication and documentation skills.
* Experience with data visualization tools and techniques. Familiarity with data warehousing processes.
* Knowledge of data governance and data quality best practices.
**Thanks \&amp; Regards**
**Kundan Mishra**
 Sr. Technical Recruiter</t>
        </is>
      </c>
    </row>
    <row r="58">
      <c r="A58" t="inlineStr">
        <is>
          <t>li-4372543757</t>
        </is>
      </c>
      <c r="B58" t="inlineStr">
        <is>
          <t>Lead Power BI (Analytics Engineer – Operations)</t>
        </is>
      </c>
      <c r="C58" t="inlineStr">
        <is>
          <t>Jobs via Dice</t>
        </is>
      </c>
      <c r="D58" t="inlineStr">
        <is>
          <t>linkedin</t>
        </is>
      </c>
      <c r="E58" t="inlineStr"/>
      <c r="F58" t="inlineStr"/>
      <c r="G58" t="inlineStr"/>
      <c r="H58" t="inlineStr"/>
      <c r="I58" t="inlineStr">
        <is>
          <t>Dice is the leading career destination for tech experts at every stage of their careers. Our client, Source Infotech, is seeking the following. Apply via Dice today!
 Lead Power BI (Analytics Engineer – Operations)
 Location: Remote (MST hours required)
 Employment Type: (Contract)
**Overview**
 We are seeking a Lead BI \&amp; Analytics Engineer to own end\-to\-end Operations analytics,
 with primary responsibility for Power BI dashboards, metric integrity, and analytics reliability.
 A key part of this role is inheriting, stabilizing, and improving existing Power BI
 dashboards. You will step into an environment with live, business\-critical analytics already in
 use—some well\-built, some not—and take full ownership of making them accurate, consistent,
 performant, and trusted.
 This role carries full lifecycle accountability: from understanding ambiguous operational
 questions, through validating inherited logic, to deploying production\-ready analytics and
 supporting them over time.
 This is not a greenfield\-only or report\-builder role. It requires judgment, technical leadership,
 and comfort operating in a messy, real\-world Operations environment.
 Core Responsibilities
 End\-to\-End Analytics Ownership
* Own analytics delivery end\-to\-end for Operations reporting, including:
 ○ Requirements discovery and clarification
 ○ Inheriting and validating existing dashboards and metrics
 ○ Data sourcing, modeling, and DAX logic
 ○ Data validation against source systems
 ○ Dashboard design, usability, and performance
 ○ Deployment, access control, and ongoing operational support
* Act as the single point of accountability for analytics correctness, consistency, and
 trust.
 Dashboard Inheritance, Stabilization \&amp; Evolution
* Inherit existing Power BI dashboards and:
 ○ Audit metric definitions, calculations, and assumptions
 ○ Identify and resolve data quality, logic, and trust issues
 ○ Improve performance, structure, and maintainability
 ○ Standardize metrics across dashboards and reporting cycles
* Refactor, simplify, or rebuild dashboards where necessary to meet production standards.
* Balance stabilizing legacy analytics with delivering new dashboards as Operations
 needs evolve.
 Power BI \&amp; Analytics Leadership
* Lead the design, build, maintenance, and evolution of Operations dashboards using
 Power BI.
* Define and enforce standards for:
 ○ KPI definitions and calculation logic
 ○ Data model structure and grain
 ○ Visualization and usability
* Ensure dashboards are production\-grade and support real operational decision\-making.
 Data Modeling, Validation \&amp; Trust
* Own Power BI data models end\-to\-end, ensuring:
 ○ Correct relationships and grain
 ○ Clear semantic layers
 ○ Performance at scale
* Validate dashboard outputs using SQL and structured reconciliation against backend
 sources.
* Partner with upstream data teams to request, shape, and consume analytics\-ready
 datasets.
 Environment, Deployment \&amp; Governance
* Own Power BI environments end\-to\-end:
 ○ Workspace strategy
 ○ Dev / Test / Prod separation
 ○ Deployment pipelines or equivalent promotion practices
* Define and maintain row\-level security (RLS) and access control patterns.
* Establish governance practices that ensure accuracy and consistency without slowing
 delivery.
 Stakeholder Partnership \&amp; Direction
* Serve as the primary analytics partner for Operations leadership.
* Translate ambiguous operational questions into clear, actionable analytics solutions.
* Manage competing priorities between stabilizing inherited dashboards and delivering
 new analytics.
* Set expectations, push back when needed, and communicate clearly around tradeoffs
 and timelines.
 Lead\-Level Influence
* Provide technical guidance and review for other BI or analytics contributors when
 applicable.
* Set standards and best practices for Operations analytics.
* Raise overall analytics maturity through documentation, coaching, and example\-setting.
**Required Qualifications**
* 8\+ years of experience in BI, analytics engineering, or data visualization roles.
* Proven experience owning end\-to\-end analytics delivery, including inheriting and
 improving existing dashboards.
* Deep hands\-on expertise with:
 ○ Power BI report development
 ○ Data modeling
 ○ DAX
 ○ Workspace and environment management
* Strong SQL skills with demonstrated experience validating BI outputs against source
 systems.
* Track record of stabilizing and improving legacy or inherited analytics in production
 environments.
* Comfortable working with imperfect, multi\-source operational data.
* Strong stakeholder communication skills and confidence operating autonomously.
* Availability during Mountain Standard Time (MST) working hours.
**Preferred Qualifications**
* Experience acting as a functional or technical lead for analytics.
* Exposure to Sigma Computing (not required).
* Familiarity with Azure\-based data platforms (ADLS, Databricks, Synapse) as an
 analytics consumer.
* Experience with Power BI deployment pipelines, CI/CD concepts, or Azure DevOps.
* Background supporting Operations, Finance, or executive reporting in complex
 environments.
 Why This Role
 This role exists to take ownership of what already exists and make it better.
 Operations relies on live dashboards today. Some need refinement, some need correction, and
 some need to be rethought entirely. This role owns that reality—by inheriting dashboards,
 restoring trust, and evolving analytics to support how Operations actually runs.
 You don’t just build new dashboards.
 You own inherited ones end\-to\-end.</t>
        </is>
      </c>
    </row>
    <row r="59">
      <c r="A59" t="inlineStr">
        <is>
          <t>li-4372565095</t>
        </is>
      </c>
      <c r="B59" t="inlineStr">
        <is>
          <t>Cloud Big Data Engineer (Senior/Specialist)</t>
        </is>
      </c>
      <c r="C59" t="inlineStr">
        <is>
          <t>Jobs via Dice</t>
        </is>
      </c>
      <c r="D59" t="inlineStr">
        <is>
          <t>linkedin</t>
        </is>
      </c>
      <c r="E59" t="inlineStr"/>
      <c r="F59" t="inlineStr"/>
      <c r="G59" t="inlineStr">
        <is>
          <t>Toronto, OH</t>
        </is>
      </c>
      <c r="H59" t="inlineStr"/>
      <c r="I59" t="inlineStr">
        <is>
          <t>Dice is the leading career destination for tech experts at every stage of their careers. Our client, VDart, Inc., is seeking the following. Apply via Dice today!
**Job Title: Cloud Big Data Engineer (Senior/Specialist)
 Location: Toronto, ON, Canada**
**Duration: 12 Months**
**Job Overview**
 Scale enterprise data with Spark/Scala on AWS or Azure.
 Design and optimize large\-scale data pipelines using Spark (Core, Streaming, SQL) and cloud\-native services. Transform raw data into analytics\-ready datasets for data scientists and business stakeholders.
**Pipeline Architecture**
* Build scalable ingestion/processing pipelines with Spark \+ Scala.
* Optimize Hadoop ecosystems and cloud storage/compute (S3/EMR or ADF/Databricks).
**Software Engineering**
* Write production\-grade Java/Scala code for data services.
* Implement SQL/NoSQL data models and warehousing solutions.
**Cloud Mastery**
* Architect high\-availability, cost\-efficient solutions on AWS or Azure.
* Performance tuning for petabyte\-scale data processing.
**Technical Requirements**
* Expert Spark (Core, Streaming, SQL) \+ Scala proficiency.
* Strong Java \+ Hadoop ecosystem experience.
* Hands\-on AWS (S3, EMR) OR Azure (Data Factory, Databricks).
* SQL/NoSQL \+ data warehousing expertise.
***Keywords***
*: Cloud Big Data Engineer, Senior Data Engineer, Spark, Scala, Spark Streaming, Spark SQL, Java, Hadoop, AWS S3, AWS EMR, Azure Data Factory, Azure Databricks, data pipeline, ETL pipeline, data ingestion, data processing, SQL, NoSQL, data warehouse, data modeling, cloud architecture, Hadoop ecosystem, distributed computing, Toronto data engineer, Spark optimization, Scala programming*
**About VDart Group**
 VDart Group is a global leader in technology, product, and talent solutions, serving Fortune 500 clients in 13 countries. With over 4,000 professionals worldwide, we deliver innovation, operational excellence, and measurable outcomes across industries. Guided by our commitment to People, Purpose, and Planet, VDart is recognized with an EcoVadis Bronze Medal and as a UN Global Compact member, reflecting our dedication to sustainable practices.</t>
        </is>
      </c>
    </row>
    <row r="60">
      <c r="A60" t="inlineStr">
        <is>
          <t>li-4373861759</t>
        </is>
      </c>
      <c r="B60" t="inlineStr">
        <is>
          <t>100% Remote - Data Engineer (Python, SQL, ADF, and Databricks) opportunity</t>
        </is>
      </c>
      <c r="C60" t="inlineStr">
        <is>
          <t>HYR Global Source Inc</t>
        </is>
      </c>
      <c r="D60" t="inlineStr">
        <is>
          <t>linkedin</t>
        </is>
      </c>
      <c r="E60">
        <f>HYPERLINK("https://www.linkedin.com/jobs/view/4373861759", "https://www.linkedin.com/jobs/view/4373861759")</f>
        <v/>
      </c>
      <c r="F60" t="inlineStr"/>
      <c r="G60" t="inlineStr">
        <is>
          <t>Austin, TX</t>
        </is>
      </c>
      <c r="H60" t="inlineStr"/>
      <c r="I60" t="inlineStr">
        <is>
          <t>**Job Title: Data Engineer**
**Location: Remote opportunity**
**Duration: 12\+ Months contract with a possible extension**
**Kindly note that visa sponsorship is not available for this position, either currently or in the future.**
**Job Title**
* We are seeking a skilled Data Engineer to join our team on a 12\+ months remote opportunity.
* The ideal candidate will have strong hands\-on experience building scalable data pipelines and working with modern cloud\-based data platforms.
* This role requires expertise in data processing, automation, and performance optimization across large\-scale data systems.
**Key Responsibilities**
* Design, develop, and maintain scalable ETL/data pipelines in cloud environments.
* Build and manage both batch and real\-time (streaming) data processing workflows.
* Develop and optimize data transformations using Python, SQL, and Apache Spark.
* Implement robust data solutions using Databricks and Azure Data Factory.
* Ensure data pipeline reliability, scalability, and performance through monitoring and optimization.
* Collaborate with cross\-functional teams, including analysts, BI developers, and DevOps engineers.
* Support reporting and analytics initiatives by enabling clean, well\-structured datasets for BI tools.
* Apply best practices in data quality, testing, version control, and CI/CD automation.
**Required Skills**
* Programming: Python, SQL
* Data Processing: Apache Spark, Databricks, Azure Data Factory
* Streaming Technologies: Kafka, Google Pub/Sub (or similar messaging systems)
* DevOps \&amp; Automation: Git, Jenkins or GitHub Actions, Azure DevOps, Terraform, Docker
* Visualization \&amp; Reporting: Power BI, Tableau, or similar BI tools
**Nice To Have**
* Experience with data lake and/or data warehouse architectures (e.g., Lakehouse concepts).
* Knowledge of data governance frameworks and data quality tools.
* Familiarity with CI/CD pipelines and automated data testing best practices.
 Follow us on LinkedIn \- https://www.linkedin.com/company/hyr\-global\-source\-inc</t>
        </is>
      </c>
    </row>
    <row r="61">
      <c r="A61" t="inlineStr">
        <is>
          <t>li-4373855563</t>
        </is>
      </c>
      <c r="B61" t="inlineStr">
        <is>
          <t>Data Engineer</t>
        </is>
      </c>
      <c r="C61" t="inlineStr">
        <is>
          <t>PETADATA</t>
        </is>
      </c>
      <c r="D61" t="inlineStr">
        <is>
          <t>linkedin</t>
        </is>
      </c>
      <c r="E61">
        <f>HYPERLINK("https://www.linkedin.com/jobs/view/4373855563", "https://www.linkedin.com/jobs/view/4373855563")</f>
        <v/>
      </c>
      <c r="F61" t="inlineStr"/>
      <c r="G61" t="inlineStr">
        <is>
          <t>Albany, NY</t>
        </is>
      </c>
      <c r="H61" t="inlineStr"/>
      <c r="I61" t="inlineStr">
        <is>
          <t>**Position: Data Engineer**
**Location: Albany, NY (Onsite/Remote)**
**Experience: 10\+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62">
      <c r="A62" t="inlineStr">
        <is>
          <t>li-4373854942</t>
        </is>
      </c>
      <c r="B62" t="inlineStr">
        <is>
          <t>Data Engineer</t>
        </is>
      </c>
      <c r="C62" t="inlineStr">
        <is>
          <t>Truckstop.com</t>
        </is>
      </c>
      <c r="D62" t="inlineStr">
        <is>
          <t>linkedin</t>
        </is>
      </c>
      <c r="E62">
        <f>HYPERLINK("https://www.linkedin.com/jobs/view/4373854942", "https://www.linkedin.com/jobs/view/4373854942")</f>
        <v/>
      </c>
      <c r="F62" t="inlineStr"/>
      <c r="G62" t="inlineStr">
        <is>
          <t>Boise, ID</t>
        </is>
      </c>
      <c r="H62" t="inlineStr"/>
      <c r="I62" t="inlineStr">
        <is>
          <t>At Truckstop, we have transformed the entire freight\-moving lifecycle with our SaaS solutions.  From freight matching to payments and everything in between, we are the trusted partner for carriers, brokers, and shippers alike. We lead this industry forward with our One Team mindset committing to principles such as assume positive intent, have each other's back, and be your authentic self.  Our drive for greatness produces high expectations, yet our regard for humans is even higher. Join a team of brilliant minds and generous hearts who care deeply about other's success.
**Data Engineer II — Truckstop.com**
 Truckstop.com is seeking a seasoned
 **Data Engineer II** 
 to help strengthen and scale our modern data platform. In this role, you'll build and optimize the pipelines, models, and infrastructure that power our analytics, product intelligence, and customer\-facing solutions. We're looking for someone who thrives in a fast\-moving environment, collaborates well across teams, and embraces AI\-driven development to move faster and smarter.
**What You'll Do**
* Design, build, and maintain scalable ELT pipelines and data models with Snowflake, dbt, and SQL.
* Develop data infrastructure and platform components using Terraform, Python, and modern orchestration tools.
* Work closely with engineering, analytics, and product teams to ensure data quality, reliability, and availability.
* Optimize ingestion, transformation, and storage patterns across Postgres and other relational systems.
* Partner with BI and analytics teams to enable self\-service reporting in Domo (or other BI tools such as Metabase, Tableau, Power BI).
* Manage and enhance data integration workflows using Airbyte and Matillion.
* Drive architectural improvements around data governance, observability, automation, and scaling.
* Leverage AI\-powered coding and workflow tools (e.g., GitHub Copilot, Cursor, CodeWhisperer, OpenAI Assistants) to accelerate delivery and improve code quality.
**What We're Looking For**
* Strong experience with Snowflake, SQL, and dbt in a production environment.
* Solid understanding of Terraform and infrastructure\-as\-code practices
* Proficiency in Python for data processing, scripting, and automation.
* Experience implementing and maintaining ELT pipelines and data integrations.
* Familiarity with Postgres or other relational databases.
* Hands\-on experience with BI or analytics tools.
* Experience with Airbyte, Matillion, or similar ETL/ELT platforms is highly valued.
* Demonstrated use of AI tools (e.g., Copilot, Cursor, Codex, Claude Code) in day\-to\-day engineering work.
* Excellent communication skills and the ability to work cross\-functionally.
* Bonus: Background in supply chain, freight, or logistics.
 At Truckstop we are dedicated to creating a workplace that is equitable, inclusive, and inspiring for every employee. In an effort to provide greater transparency, we are sharing the base salary range for this position. The position is also eligible for a yearly bonus. Final salary is based on a number of factors including market location, job\-related knowledge, education/training, certifications, key skills, experience, internal peer equity as well as business considerations.
 The anticipated base pay range for this position is :
 $100,000—$105,000 USD
 The above description covers the most significant duties performed but does not include other related occasional work that may be assigned or is completed by the employee.
 Truckstop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Truckstop participates in the E\-Verify program. Learn more about the E\-Verify program here: https://www.e\-verify.gov/
 Truckstop Privacy Policy</t>
        </is>
      </c>
    </row>
    <row r="63">
      <c r="A63" t="inlineStr">
        <is>
          <t>li-4372574496</t>
        </is>
      </c>
      <c r="B63" t="inlineStr">
        <is>
          <t>Senior Data Engineer</t>
        </is>
      </c>
      <c r="C63" t="inlineStr">
        <is>
          <t>Frontline Education</t>
        </is>
      </c>
      <c r="D63" t="inlineStr">
        <is>
          <t>linkedin</t>
        </is>
      </c>
      <c r="E63">
        <f>HYPERLINK("https://www.linkedin.com/jobs/view/4372574496", "https://www.linkedin.com/jobs/view/4372574496")</f>
        <v/>
      </c>
      <c r="F63" t="inlineStr"/>
      <c r="G63" t="inlineStr">
        <is>
          <t>Naperville, IL</t>
        </is>
      </c>
      <c r="H63" t="inlineStr"/>
      <c r="I63" t="inlineStr">
        <is>
          <t>**Location:** 
 Remote, Hybrid to Naperville, IL
**How You’ll Contribute To Our Mission**
 As a Senior Data Engineer at Frontline Education, you’ll help power smarter decision\-making for the educators and organizations we serve. You’ll play a key role in designing and evolving data systems that transform complex information into meaningful insights — helping teams act with clarity, confidence, and speed.
 Working within our data engineering team, you’ll help shape the infrastructure that supports data acquisition, transformation, and delivery across multiple analytical products. From mapping and validation to automation and scalable processing, your work will ensure that high\-quality data flows reliably across our platforms.
 In a fast\-moving, collaborative environment, you’ll partner across product, engineering, and analytics to bring data solutions from concept through deployment — always keeping performance, integrity, and long\-term impact in focus.
**How You’ll Drive Success**
* Design, build, and evolve scalable data pipelines and architectures that support both structured and unstructured data at scale.
* Develop and optimize modern ETL/ELT workflows and orchestration processes to ensure efficient, reliable data movement.
* Implement complex data transformations that enable advanced analytics, predictive modeling, and reporting.
* Strengthen data quality, governance, security, and platform reliability through thoughtful engineering practices.
* Monitor, troubleshoot, and continuously improve performance across data systems and infrastructure.
* Automate repetitive workflows to increase efficiency and reduce operational friction.
* Contribute to architectural decisions that shape cloud\-native and modern data warehouse environments.
* Collaborate closely with cross\-functional teams to integrate data\-driven capabilities into products and internal tools.
* Document processes, data definitions, and workflows to support shared understanding and long\-term scalability.
* Offer technical mentorship through peer collaboration, knowledge sharing, and code reviews.
* Leverage AI\-assisted development tools responsibly to improve code quality, accelerate delivery, and enhance innovation.
**What You Bring To Help Us Grow**
* Experience designing and supporting large\-scale data systems and pipelines in production environments.
* Strong expertise in SQL and data modeling across analytical and transactional workloads.
* Proficiency in Python for building, automating, and optimizing data workflows.
* Experience with relational and columnar databases such as MS SQL or PostgreSQL.
* Hands\-on experience with workflow orchestration and transformation tools such as Airflow or dbt.
* Experience working with modern cloud\-based data warehouse platforms such as Snowflake or Redshift.
* Familiarity with cloud ecosystems — preferably AWS — including storage, compute, and data services.
* Exposure to containerization, infrastructure\-as\-code, and CI/CD practices that support reliable deployments.
* A thoughtful approach to using AI\-powered development tools to enhance efficiency and quality.
 Equivalent combinations of education and experience are welcomed.
**What You’ll Need To Thrive**
* A systems\-oriented mindset with the ability to see how data flows across platforms and teams.
* Curiosity and a continuous learning mindset, especially as technologies and tools evolve.
* Comfort navigating complexity and solving ambiguous, large\-scale technical challenges.
* Clear communication skills that help translate technical concepts into shared understanding.
* A collaborative approach that values feedback, shared ownership, and collective success.
* A commitment to building secure, ethical, and dependable data solutions that people can trust.
**Our Mission, Our People, Our Purpose**
 At Frontline Education, we’re reimagining what’s possible by becoming an AI\-first organization, transforming how we think, work, and serve the educators who shape our schools every day. By using AI in thoughtful, practical ways, we’re creating tools that help educators save time, gain insights, and focus more on what matters most — their students.
 As part of our team, you’ll be expected and empowered to build and apply AI skillsets that grow with you, because at Frontline Education, technology amplifies what matters most: the human drive to learn, improve, and make a difference.
**How We Support Growth, Balance, And Well\-Being**
* Personalized Time Off: Take time when it’s needed most — whether that’s a family vacation, a reset day, or simply time to rest and refocus.
* Paid Sick Time: Separate, dedicated sick leave to care for yourself or loved ones.
* Volunteer Time Off: Paid time to give back and support causes that matter to you.
* Ten Paid Holidays: Enjoy meaningful moments and traditions throughout the year.
* Our Philosophy: We believe time away from work helps you bring your best self to it.
**Continuous Learning and Growth**
* World\-Class Learning Access: Explore thousands of on\-demand courses through platforms like LinkedIn Learning.
* Leadership \&amp; Technical Skill Building: Develop new capabilities and chart your own professional path.
* AI Empowerment: Use OpenAI tools to build fluency with emerging technology and harness AI as a creative partner for innovation and problem\-solving.
* Tuition Reimbursement: Invest in formal education to advance your skills and career.
* Ongoing Learning Culture: Participate in company\-led webinars on AI, inclusion, and industry trends—designed to inspire curiosity and continuous improvement.
**Health, Happiness, and Purpose**
* Wellness Initiatives: Company\-sponsored programs that support physical, mental, and emotional well\-being.
* Employee Assistance Program (EAP): Confidential support for you and your family’s needs.
* Comprehensive Benefits: Health and financial benefits that support your happiness and future.
* A Culture That Cares: At Frontline Education, we want every team member to learn, grow, and thrive—personally, professionally, and purposefully.
**Compensation \&amp; Benefits**
 The salary range for this role is $100,000 \- $115,000 per year, based on experience, skills, and internal equity. In addition to base salary, this role includes a bonus, personalized PTO, and comprehensive benefits, including health insurance, 401k, and much more!
**Inclusion, Belonging \&amp; Equal Opportunity**
 Frontline Education is an equal opportunity/affirmative action employer. We aspire to have an inclusive workplace and strongly encourage suitably qualified applicants from a wide range of backgrounds to apply and join our team.
 Our Privacy Policy: Your privacy is important to us. Click here to read our general Privacy Statement and click here to read our Applicant Privacy Statement.
**Interview Process \&amp; Data Privacy**
 As part of our interview process, Frontline uses video conferencing tools that include photo capture and may include automated transcription features. A screenshot or photo will be taken at the start of the interview for internal identification and record\-keeping purposes only, and transcription may be used to support notetaking and evaluation consistency. These materials are used solely by our recruiting and hiring teams, stored securely, and not shared outside the hiring process. Candidates may opt out of the transcription at any time by notifying their recruiter in advance. Frontline processes this information in accordance with applicable data privacy laws and only for legitimate business purposes related to recruitment and hiring.</t>
        </is>
      </c>
    </row>
    <row r="64">
      <c r="A64" t="inlineStr">
        <is>
          <t>li-4372578138</t>
        </is>
      </c>
      <c r="B64" t="inlineStr">
        <is>
          <t>Data Engineer</t>
        </is>
      </c>
      <c r="C64" t="inlineStr">
        <is>
          <t>CDW</t>
        </is>
      </c>
      <c r="D64" t="inlineStr">
        <is>
          <t>linkedin</t>
        </is>
      </c>
      <c r="E64">
        <f>HYPERLINK("https://www.linkedin.com/jobs/view/4372578138", "https://www.linkedin.com/jobs/view/4372578138")</f>
        <v/>
      </c>
      <c r="F64" t="inlineStr"/>
      <c r="G64" t="inlineStr">
        <is>
          <t>Austin, TX</t>
        </is>
      </c>
      <c r="H64" t="inlineStr"/>
      <c r="I64" t="inlineStr">
        <is>
          <t>**Data Engineer (2–4 Years Experience)** 
**Location:** 
 Austin, TX (On\-Site; rotation includes some weekends)
**Employment Type:** 
 Full\-Time, Direct Hire
 No third party candidates
 No C2C
**About the Role** 
 Our client is seeking a
 **Data Engineer** 
 with 2–4 years of experience to help modernize a mature, mission\-critical financial data environment. You will play a key role in migrating 16\+ years of SQL Server code and legacy data processes to
 **Snowflake** 
 ,
 **AWS, and modern ELT pipelines.** 
 The ideal candidate is driven, curious, and eager to bring new ideas to a seasoned team that has worked with inherited processes for many years. You will not be thrown into a fire—the environment is stable—but you must learn quickly, collaborate well, and contribute to ongoing modernization efforts.
**Key Responsibilities** 
* Assist in the migration of large\-scale on\-prem
 **SQL Server** 
 workloads to
 **Snowflake** 
 and
 **AWS\-based architectures.**
* Analyze and understand existing
 **data flows, database models, tags/flags, and legacy logic** 
 .
* Design and support modern
 **ETL/ELT ingestion pipelines** 
 .
* Work with Access and Excel macro\-driven legacy data sources (familiarity helpful but not required).
* Support weekend data processing (banking systems process daily, including weekends).
* Collaborate with a highly tenured team and introduce modern best practices.
* Work with
 **financial data** 
 , including Account Recovery Management (ARM) systems.
**Qualifications** 
* 2–4 years of professional Data Engineering experience (1–2 years considered if strong aptitude).
* **Strong SQL skills, especially with legacy SQL codebases.**
* Experience with
 **Snowflake** 
 , AWS, or similar modern cloud data stack.
* Understanding of data modeling,
 **ETL/ELT,** 
 pipelines, and ingestion architecture.
* Familiarity with financial industry data, ARM systems, or complex financial terminology is a
 **major plus** 
 .
* Willingness to work
 **one weekend per month** 
 (rotating schedule).
* Must pass extensive background checks from multiple banking institutions (no collections debt; no criminal flags).
**What our client Offers** 
* **Market\-competitive salary** 
 (range to be finalized).
* **3 weeks PTO** 
 , flexible day schedules.
* **Healthcare fully covered** 
 for individual; 50% for dependents.
* A modernizing environment rich in learning opportunities—Snowflake, AWS, SQL optimization, and financial systems.
* A stable team with low turnover and strong collaboration culture.</t>
        </is>
      </c>
    </row>
    <row r="65">
      <c r="A65" t="inlineStr">
        <is>
          <t>li-4372580289</t>
        </is>
      </c>
      <c r="B65" t="inlineStr">
        <is>
          <t>Data Engineer</t>
        </is>
      </c>
      <c r="C65" t="inlineStr">
        <is>
          <t>Allstate</t>
        </is>
      </c>
      <c r="D65" t="inlineStr">
        <is>
          <t>linkedin</t>
        </is>
      </c>
      <c r="E65">
        <f>HYPERLINK("https://www.linkedin.com/jobs/view/4372580289", "https://www.linkedin.com/jobs/view/4372580289")</f>
        <v/>
      </c>
      <c r="F65">
        <f>HYPERLINK("https://allstateinsurance.contacthr.com/151060766?utm_source=LILimitedListings&amp;source=linkedinjobpostings&amp;urlHash=uyIi", "https://allstateinsurance.contacthr.com/151060766?utm_source=LILimitedListings&amp;source=linkedinjobpostings&amp;urlHash=uyIi")</f>
        <v/>
      </c>
      <c r="G65" t="inlineStr"/>
      <c r="H65" t="inlineStr"/>
      <c r="I65"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role is responsible for the use and development of data infrastructure projects \&amp; proof of concept business solutions for users in analytics and Data Science. This person works directly with data scientists and analytic engineers on needs and tactical solutions. This role will execute new data engineering work tracks for Data Science and analytics from inception and prototyping to fully developed solutions.
 Key Responsibilities
* Builds test scripts, executes testing, works with data scientists and business to ensure end user acceptance
* Leverage “agile” data analysis with technology fluency in parallel processing/programming, software/programming languages and technologies (i.e. Oracle, SQL, Python, and Spark), paired with a high degree of analytic agility to be able to meet fluid and dynamic business needs in this space.
* Execute rapid development of new data and analytic work tracks with fast iteration over quick sprints
* Help develop and deliver the data infrastructure required to support needs of predictive modeling and analytics with minimal supervision.
* Mentor other team members in a business technical environment and promote an environment that supports innovation and process improvement.
* Participate in the development of enterprise data assets, information platforms or data spaces designed for exploring and understanding the data.
* Participate in the development of new concepts, proof of concept designs, and prototypes for business or research data solutions so that business users or predictive modelers may visually understand and explore a new feature or functionality before implementation to expose design assumptions and drive ideation.
* Work with Data Scientists and business partners on cross functional teams; developing subject matter expertise in the business as well as advanced analytics.
* Provide support on requirement development for analytic data sources, breaking down business problems into solvable components and assist with documenting requirements with minimal supervision.
**Experience**
* 2 or more years of experience (Preferred)
 Supervisory Responsibilities
* This job does not have supervisory duties.
 Education \&amp; Experience (in lieu)
* In lieu of the above education requirements, an equivalent combination of education and experience may be considered.
**Skills**
 Analytics, Communication, Computer Programming, Data Analytics, Data Engineering, Data Reporting, Product Roadmapping, Structured Query Language (SQL)
**Compensation**
 Compensation offered for this role is 75,100\.00 \- 126,325\.00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66">
      <c r="A66" t="inlineStr">
        <is>
          <t>li-4372568076</t>
        </is>
      </c>
      <c r="B66" t="inlineStr">
        <is>
          <t>Data Engineer</t>
        </is>
      </c>
      <c r="C66" t="inlineStr">
        <is>
          <t>Inceed</t>
        </is>
      </c>
      <c r="D66" t="inlineStr">
        <is>
          <t>linkedin</t>
        </is>
      </c>
      <c r="E66">
        <f>HYPERLINK("https://www.linkedin.com/jobs/view/4372568076", "https://www.linkedin.com/jobs/view/4372568076")</f>
        <v/>
      </c>
      <c r="F66" t="inlineStr"/>
      <c r="G66" t="inlineStr">
        <is>
          <t>Tulsa, OK</t>
        </is>
      </c>
      <c r="H66" t="inlineStr"/>
      <c r="I66" t="inlineStr">
        <is>
          <t>**Position:**
 Data Engineer
**Compensation:**
 $100,000 \- $133,000 annually, depending on experience
**Location:**
 Tulsa, Oklahoma
 Inceed has partnered with a great company to help find a skilled
 **Data Engineer** 
 to join their team!
 This is an exciting opportunity for a Data Engineer to dive into programming, testing, and maintaining data pipelines and business intelligence models. The company offers a dynamic environment where you can connect to diverse data sources, develop automated processes, and ensure data quality. Be part of a team that values expertise and innovation, and contribute to creating a single source of truth for the organization.
**Key Responsibilities \&amp; Duties:**
* Develop and debug data pipelines based on SDLC process
* Connect to diverse data sources for analysis
* Automate data extraction, cleansing, and transformation
* Consolidate data sources into a single source of truth
* Monitor data quality and create alerts
* Model and publish data sets for reporting
* Act as a Product Technical Owner occasionally
* Resolve technical issues with excellent customer service
* Document customer issues and resolutions
* Provide 24x7 technical support
**Required Qualifications \&amp; Experience:**
* Proficiency in ETL, T\-SQL, and BI Modeling Tools
* Experience with programming languages like C\#
* Ability to adhere to development standards and best practices
* Strong problem\-solving and reasoning skills
* Excellent communication skills
**Nice to Have Skills \&amp; Experience:**
* Experience with data profiling and MDM tools
* Knowledge of SSAS and Power BI
* Understanding of technical user story acceptance
* Ability to manage technical debt
* Experience in coordinating coding efforts across teams
**Perks \&amp; Benefits:**
* This opportunity includes a comprehensive and competitive benefits package—details will be shared during later stages of the hiring process.
 If you are interested in learning more about the
 **Data Engineer** 
 opportunity, please submit your resume for consideration. Our client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\#INDTUL</t>
        </is>
      </c>
    </row>
    <row r="67">
      <c r="A67" t="inlineStr">
        <is>
          <t>li-4373861064</t>
        </is>
      </c>
      <c r="B67" t="inlineStr">
        <is>
          <t>Senior Business Intelligence Data Engineer</t>
        </is>
      </c>
      <c r="C67" t="inlineStr">
        <is>
          <t>General Motors</t>
        </is>
      </c>
      <c r="D67" t="inlineStr">
        <is>
          <t>linkedin</t>
        </is>
      </c>
      <c r="E67">
        <f>HYPERLINK("https://www.linkedin.com/jobs/view/4373861064", "https://www.linkedin.com/jobs/view/4373861064")</f>
        <v/>
      </c>
      <c r="F67" t="inlineStr"/>
      <c r="G67" t="inlineStr">
        <is>
          <t>Warren, MI</t>
        </is>
      </c>
      <c r="H67" t="inlineStr"/>
      <c r="I67" t="inlineStr">
        <is>
          <t>**Job Description**
**The Role**
 The Sr. Business Intelligence Data Engineer will own the full life cycle of understanding the business requirements data and designing the migration of our data from several systems to a cutting\-edge Databricks environment, architecting, implementing, and optimizing ETL/ELT processes to ensure robust, secure, and analytics\-ready data flows for our business operations.
 A successful Sr. Business Intelligence Data Engineer demonstrates customer focus, a drive for results, and ease with ambiguous data requests and definitions; influences change, naturally accepts ownership for project deliverables, explores opportunities to add value to job responsibilities, and continues to develop critical skills and technical expertise. Projects will span across all time horizons, from early in Vehicle development process through end of production and often require integration of data across multiple functions, including Engineering, Program Management, Planning, Forecasting, Sales, and Manufacturing.
**What You’ll Do**
* Collaborate with stakeholders, including data analysts, data scientists, architects, and business teams, to ensure data solutions meet organizational requirements and compliance standards.
* Design, develop, and maintain data pipelines to transfer data from various databases to Databricks, leveraging both batch and real\-time methodologies as appropriate.
* Lead the overall ETL/ELT architecture, including extraction, transformation, and data loading strategies, ensuring scalability, performance, and data integrity. Optimize and tune ETL/ELT processes for large\-scale and real\-time data movement, ensuring resource efficiency. Ensure data security, quality, and compliance across the whole process.
* Model, integrate, and optimize data structures in the Databricks platform, taking into account data lakes, data warehousing needs, and analytics workloads.
* Automate and monitor data workflows for reliability, transparency, and fault tolerance throughout the migration and beyond. Document data flows, transformation logic, and technical specifications for all data integration processes, enabling maintainability and smooth knowledge transfer.
**Your Skills \&amp; Abilities (Required Qualifications)**
* Bachelor’s Degree in Computer Science, Data Analytics, Engineering, Operations Management or related field
* 5\+ years of experience in data engineering or related roles, with demonstrated expertise in database migrations and ETL/ELT process design.
* Deep hands\-on experience with databases Oracle, SQL Server, MySQL, Teradata, Snowflake
* In\-depth knowledge of Databricks (including PySpark, Databricks SQL, and Lakehouse architectures).
* Expertise in ETL/ELT tools and frameworks (e.g., Informatica, Talend, Databricks Workflows, or custom pipelines).
* Proven ability to design and implement scalable, efficient data pipelines and to optimize complex transformations in modern cloud environments.
* Demonstrated experience in data modeling and integration for analytics and BI use cases.
* Excellent communication and documentation skills for cross\-functional collaboration and process transparency.
**What Will Give You a Competitive Edge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 Experience designing and implementing robust data ingestion frameworks for heterogeneous data sources (structured/unstructured files, external suppliers, supplier chain systems)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68">
      <c r="A68" t="inlineStr">
        <is>
          <t>li-4373849856</t>
        </is>
      </c>
      <c r="B68" t="inlineStr">
        <is>
          <t>Data Engineer</t>
        </is>
      </c>
      <c r="C68" t="inlineStr">
        <is>
          <t>BCforward</t>
        </is>
      </c>
      <c r="D68" t="inlineStr">
        <is>
          <t>linkedin</t>
        </is>
      </c>
      <c r="E68">
        <f>HYPERLINK("https://www.linkedin.com/jobs/view/4373849856", "https://www.linkedin.com/jobs/view/4373849856")</f>
        <v/>
      </c>
      <c r="F68" t="inlineStr"/>
      <c r="G68" t="inlineStr">
        <is>
          <t>Seattle, WA</t>
        </is>
      </c>
      <c r="H68" t="inlineStr"/>
      <c r="I68" t="inlineStr">
        <is>
          <t>**BCForward is currently seeking a highly motivated Data / BI Engineer for an on\-site opportunity in Seattle, WA** 
**Role: Data / BI Engineer** 
**Duration: 1\+ Year** 
**Locations: Seattle, WA** 
**Anticipated Start Date:** 
 03/02/2026
**Job Type:** 
 Contract – On\-Site
 We are looking for a Data/BI Engineer with strong experience in AWS and Python to design, build, and maintain scalable data pipelines and analytics solutions.
**Key Responsibilities:** 
* Develop and maintain data pipelines using AWS services
* Work with Redshift for data warehousing and performance optimization
* Build ETL/ELT workflows using AWS Glue
* Query and analyze data using Athena
* Develop serverless solutions using AWS Lambda
* Write efficient and clean code in Python
* Support BI reporting and data analytics initiatives
* Ensure data quality, performance, and reliability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With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69">
      <c r="A69" t="inlineStr">
        <is>
          <t>li-4372595613</t>
        </is>
      </c>
      <c r="B69" t="inlineStr">
        <is>
          <t>Senior Data Engineer</t>
        </is>
      </c>
      <c r="C69" t="inlineStr">
        <is>
          <t>Suniksha Technologies LLC</t>
        </is>
      </c>
      <c r="D69" t="inlineStr">
        <is>
          <t>linkedin</t>
        </is>
      </c>
      <c r="E69">
        <f>HYPERLINK("https://www.linkedin.com/jobs/view/4372595613", "https://www.linkedin.com/jobs/view/4372595613")</f>
        <v/>
      </c>
      <c r="F69" t="inlineStr"/>
      <c r="G69" t="inlineStr">
        <is>
          <t>Dallas, TX</t>
        </is>
      </c>
      <c r="H69" t="inlineStr"/>
      <c r="I69" t="inlineStr">
        <is>
          <t>**Experience:** 
 9 \- 13 Years
**Location: Dallas, Texas,** 
 Onsite
**Interview: Need to come to office for F2F round and 3 Days work from office once selected.** 
**Job Summary**
 We are looking for a Data Engineer to design, build, and maintain scalable data pipelines and data infrastructure. The ideal candidate will ensure reliable data availability for analytics, reporting, and data science teams while maintaining high standards of data quality and performance.
**Key Responsibilities**
* Design, develop, and maintain
 **ETL/ELT data pipelines**
* Build and optimize
 **data warehouses and data lakes**
* Ingest data from multiple sources (APIs, databases, streaming platforms)
* Ensure data quality, integrity, and reliability
* Optimize query performance and data models
* Collaborate with Data Scientists, Analysts, and Business teams
* Implement data security, governance, and compliance standards
* Monitor pipelines and troubleshoot failures
* Automate data workflows and deployments
* Document data architecture and processes
**Required Skills**
* Strong programming skills in
 **Python/ PySpark / Java / Scala**
* Proficiency in
 **SQL** 
 and database design
* Experience with
 **ETL tools** 
 (Airflow, Talend, Informatica, dbt)
* Strong experience on cloud integration
 **(Azure/GCP/AWS)**
* Hands\-on experience with
 **data warehouses** 
 (Snowflake, Redshift, BigQuery)
* Knowledge of
 **Big Data technologies** 
 (Databricks, Spark, Kafka)
* Experience with
 **Linux and Git**
* Understanding of
 **data modeling** 
 , normalization, and dimensional modeling</t>
        </is>
      </c>
    </row>
    <row r="70">
      <c r="A70" t="inlineStr">
        <is>
          <t>li-4373810349</t>
        </is>
      </c>
      <c r="B70" t="inlineStr">
        <is>
          <t>Data Engineer</t>
        </is>
      </c>
      <c r="C70" t="inlineStr">
        <is>
          <t>Wiraa</t>
        </is>
      </c>
      <c r="D70" t="inlineStr">
        <is>
          <t>linkedin</t>
        </is>
      </c>
      <c r="E70">
        <f>HYPERLINK("https://www.linkedin.com/jobs/view/4373810349", "https://www.linkedin.com/jobs/view/4373810349")</f>
        <v/>
      </c>
      <c r="F70" t="inlineStr"/>
      <c r="G70" t="inlineStr"/>
      <c r="H70" t="inlineStr"/>
      <c r="I70" t="inlineStr">
        <is>
          <t>**About The Company**
 Join the Future of Commerce with Whatnot! Whatnot is the largest live shopping platform in North America and Europe dedicated to transforming the way people buy, sell, and discover their favorite items. We are redefining e\-commerce by seamlessly blending community engagement, entertainment, and shopping into a unique platform tailored for passionate users. With a remote co\-located team and hubs across the US, UK, Germany, Ireland, and Poland, we are committed to building the future of online marketplaces through innovation and collaboration. Our platform features a diverse range of categories including fashion, beauty, electronics, collectibles such as trading cards, comic books, live plants, and more, offering something for everyone. As one of the fastest\-growing marketplaces, we are driven by bold, forward\-thinking individuals who thrive on solving complex problems and creating impactful solutions. We continuously update our technology and expand our features, enabling users to turn passions into businesses and foster community connections through commerce.
**About The Role**
 We are seeking a highly skilled Data Engineer to join our dynamic team and play a critical role in powering data\-driven decision\-making across Whatnot. As a Data Engineer, you will be responsible for designing, building, and maintaining scalable data systems that support internal analytics, machine learning models, and real\-time applications. You will collaborate closely with stakeholders from product, sales, marketing, finance, and trust teams to develop reliable data architectures, resilient pipelines, and foundational data products that enable growth and innovation. Your work will directly influence strategic initiatives and operational efficiencies by ensuring high\-quality, accessible, and actionable data. This role offers an exciting opportunity to shape the data infrastructure of a rapidly expanding platform, contributing to a company that values innovation, growth, and a collaborative culture.
**Qualifications**
* 3\+ years of experience as a data or software engineer specializing in data warehouses, distributed data systems, or event\-driven architectures
* Proficiency in designing and implementing data models using dimensional, Data Vault, or ledger\-style techniques
* Deep hands\-on expertise with modern data tooling including Kafka, Debezium, dbt, Spark, Flink, Dagster, Airflow, Monte Carlo, and Great Expectations
* Experience operating cloud data warehouses such as Snowflake, BigQuery, or Redshift, including schema design, cost optimization, and workload tuning
* Proficiency in writing production\-grade code in Python and SQL, with experience integrating CI/CD and infrastructure\-as\-code workflows
* Strong ability to partner across disciplines—engineering, product, and analytics—to translate complex business requirements into scalable data solutions
* Self\-starter attitude with the ability to thrive in a fast\-paced, dynamic environment, owning both technical design and operational outcomes
**Responsibilities**
* Own end\-to\-end data architecture, including defining how critical business data is captured, modeled, and served in production environments
* Develop and operate streaming and batch data pipelines that process high\-volume events across various domains such as user activity, transactions, marketing performance, and operational telemetry
* Create and maintain canonical data models that serve as the single source of truth for analytics, machine learning, and real\-time applications
* Implement data quality systems, including lineage, monitoring, and reconciliation processes to ensure datasets are observable and anomalies are actionable
* Automate operational workflows by partnering with business systems and platform teams to eliminate manual data handoffs and reconcile data across services and external systems
* Support analytics, machine learning, and product teams by providing high\-quality, low\-latency data through semantic layers, APIs, and real\-time query systems
* Make architectural decisions around storage formats, compute patterns, SLAs, and cost management to optimize scalability and reliability
**Benefits**
* Generous holiday and time\-off policies to promote work\-life balance
* Health insurance options including Medical, Dental, and Vision coverage
* Support for remote work with home office setup allowances and monthly stipends for cell phone and internet expenses
* Care benefits including wellness allowances and annual contributions toward childcare expenses
* Lifetime benefits for family planning, including adoption and fertility expenses
* Retirement plans such as 401(k) with employer matching (up to 4%) for US employees and pension plans internationally
* Monthly allowances for app testing and usage, fostering a deep understanding of our product
* Paid parental leave of 16 weeks, with a gradual return\-to\-work program, supporting work\-life balance for new parents
 Equal Opportunity
 Whatnot is proud to be an Equal Opportunity Employer. We value diversity and are committed to creating an inclusive environment for all employees. We do not discriminate on the basis of race, religion, color, national origin, gender, sexual orientation, age, marital status, veteran status, parental status, disability, or any other protected characteristic. We believe that a diverse workforce enhances our innovation and company culture and are dedicated to supporting and respecting the skills and experiences of all team members.</t>
        </is>
      </c>
    </row>
    <row r="71">
      <c r="A71" t="inlineStr">
        <is>
          <t>li-4373838384</t>
        </is>
      </c>
      <c r="B71" t="inlineStr">
        <is>
          <t>Data Engineer</t>
        </is>
      </c>
      <c r="C71" t="inlineStr">
        <is>
          <t>CGS Federal (Contact Government Services)</t>
        </is>
      </c>
      <c r="D71" t="inlineStr">
        <is>
          <t>linkedin</t>
        </is>
      </c>
      <c r="E71">
        <f>HYPERLINK("https://www.linkedin.com/jobs/view/4373838384", "https://www.linkedin.com/jobs/view/4373838384")</f>
        <v/>
      </c>
      <c r="F71" t="inlineStr"/>
      <c r="G71" t="inlineStr">
        <is>
          <t>Michigan, United States</t>
        </is>
      </c>
      <c r="H71" t="inlineStr"/>
      <c r="I71" t="inlineStr">
        <is>
          <t>Data Engineer Employment Type: Full\-Time, Mid\-levelDepartment: Business Intelligence CGS is seeking a passionate and driven Data Engineer to support a rapidly growing Data Analytics and Business Intelligence platform focused on providing solutions that empower our federal customers with the tools and capabilities needed to turn data into actionable insights. The ideal candidate is a critical thinker and perpetual learner; excited to gain exposure and build skillsets across a range of technologies while solving some of our clients’ toughest challenges.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success:\-Complete development efforts across data pipeline to store, manage, store, and provision to data consumers.\-Being an active and collaborating member of an Agile/Scrum team and following all Agile/Scrum best practices.\-Write code to ensure the performance and reliability of data extraction and processing.\-Support continuous process automation for data ingest.\-Achieve technical excellence by advocating for and adhering to lean\-agile engineering principles and practices such as API\-first design, simple design, continuous integration, version control, and automated testing.\-Work with program management and engineers to implement and document complex and evolving requirements.\-Help cultivate an environment that promotes customer service excellence, innovation, collaboration, and teamwork.\-Collaborate with others as part of a cross\-functional team that includes user experience researchers and designers, product managers, engineers, and other functional specialists.
 Qualifications:\-Must be a US Citizen.\-Must be able to obtain a Public Trust Clearance.\-7\+ years of IT experience including experience in design, management, and solutioning of large, complex data sets and models.\-Experience with developing data pipelines from many sources from structured and unstructured data sets in a variety of formats.\-Proficiency in developing ETL processes, and performing test and validation steps.\-Proficiency to manipulate data (Python, R, SQL, SAS).\-Strong knowledge of big data analysis and storage tools and technologies.\-Strong understanding of the agile principles and ability to apply them.\-Strong understanding of the CI/CD pipelines and ability to apply them.\-Experience with relational database, such as, PostgreSQL.\-Work comfortably in version control systems, such as, Git Repositories.
 Ideally, you will also have:\-Experience creating and consuming APIs.\-Experience with DHS and knowledge of DHS standards a plus.\-Candidates will be given special consideration for extensive experience with Python.\-Ability to develop visualizations utilizing Tableau or PowerBI.\-Experience in developing Shell scripts on Linux.\-Demonstrated experience translating business and technical requirements into comprehensive data strategies and analytic solutions.\-Demonstrated ability to communicate across all levels of the organization and communicate technical terms to non\-technical audiences.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package:\-Health, Dental, and Vision\-Life Insurance\-401k\-Flexible Spending Account (Health, Dependent Care, and Commuter)\-Paid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Board:https://cgsfederal.com/join\-our\-team/
 For more information about CGS please visit: https://www.cgsfederal.com or contact:Email: \[email protected]
 \#CJ$112,597\.33 \- $152,810\.66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2">
      <c r="A72" t="inlineStr">
        <is>
          <t>li-4373841994</t>
        </is>
      </c>
      <c r="B72" t="inlineStr">
        <is>
          <t>Analytics Engineer</t>
        </is>
      </c>
      <c r="C72" t="inlineStr">
        <is>
          <t>One Park Financial</t>
        </is>
      </c>
      <c r="D72" t="inlineStr">
        <is>
          <t>linkedin</t>
        </is>
      </c>
      <c r="E72">
        <f>HYPERLINK("https://www.linkedin.com/jobs/view/4373841994", "https://www.linkedin.com/jobs/view/4373841994")</f>
        <v/>
      </c>
      <c r="F72" t="inlineStr"/>
      <c r="G72" t="inlineStr">
        <is>
          <t>Miami, FL</t>
        </is>
      </c>
      <c r="H72" t="inlineStr"/>
      <c r="I72" t="inlineStr">
        <is>
          <t>One Park Financial (OPF) is a fast\-growing FinTech (Financial Technology) company headquartered in Coconut Grove, Florida. OPF connects small businesses with flexible financing and funding options to help entrepreneurs acquire the working capital they need to grow.
 We are seeking an Analytics Engineer to help elevate our analytics platform by applying best practices in dbt modeling, metrics design, and analytics engineering. This role partners closely with analytics and business stakeholders to transform raw SQL and data sources into well\-structured, tested, and scalable data models that power reporting and decision\-making.
 This position sits at the intersection of analytics and engineering, with a strong focus on data modeling, metric definitions, semantic consistency, and maintainable analytics code.
**Duties And Responsibilities**
* Design, build, and maintain dbt models following analytics engineering best practices
* Convert ad\-hoc SQL and legacy queries into clean, scalable fact and dimension models
* Define and maintain standardized business metrics and semantic models in dbt
* Implement data tests, documentation, and quality validation processes
* Optimize SQL queries for performance in AWS Athena
* Collaborate with analysts and business stakeholders to align on metric definitions and reporting logic
* Use Git/GitHub for version control, peer reviews, and collaborative development
* Support downstream analytics and Power BI reporting use cases
**Requirements**
* 3\+ years of experience in Analytics Engineering, Data Analytics, or Data Engineering
* Strong hands\-on experience with dbt (Core or Cloud)
* Advanced SQL skills with experience optimizing queries in AWS Athena
* Experience modeling structured data using fact/dimension frameworks
* Experience working with Amazon S3 and modern data lake environments
* Familiarity with Git\-based workflows and code reviews
* Strong communication skills with the ability to align technical and business stakeholders
****Nice to have****
* Experience with dimensional modeling (Kimball methodology)
* Experience designing or managing semantic/metrics layers
* Familiarity with data lake or lakehouse architectures
* Exposure to AWS Glue
* Experience supporting Power BI reporting environments
****Work Schedule****
 Monday\-Friday, standard business hours
 On\-site position based in Miami, Florida
**Benefits**
* Competitive salary
* 401(k) with company match
* Health insurance
* Dental \&amp; vision insurance
* Life insurance
* Paid time off
* Office snacks
* Monthly events
* Collaborative and growth\-oriented work environment</t>
        </is>
      </c>
    </row>
    <row r="73">
      <c r="A73" t="inlineStr">
        <is>
          <t>li-4373824844</t>
        </is>
      </c>
      <c r="B73" t="inlineStr">
        <is>
          <t>Data Engineer</t>
        </is>
      </c>
      <c r="C73" t="inlineStr">
        <is>
          <t>Bright Vision Technologies</t>
        </is>
      </c>
      <c r="D73" t="inlineStr">
        <is>
          <t>linkedin</t>
        </is>
      </c>
      <c r="E73">
        <f>HYPERLINK("https://www.linkedin.com/jobs/view/4373824844", "https://www.linkedin.com/jobs/view/4373824844")</f>
        <v/>
      </c>
      <c r="F73" t="inlineStr"/>
      <c r="G73" t="inlineStr">
        <is>
          <t>Bridgewater, NJ</t>
        </is>
      </c>
      <c r="H73" t="inlineStr"/>
      <c r="I73" t="inlineStr">
        <is>
          <t>Bright Vision Technologies is a forward\-thinking software development company dedicated to building innovative solutions that help businesses automate and optimize their operations.
 We leverage cutting\-edge data engineering technologies to build scalable, reliable, and high\-performance data platforms. As we continue to grow, we’re looking for a skilled
 **Data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Data Engineer
**Job Location:** 
 Bridgewater, New Jersey \- 08807
**Onsite/Hybrid**
**FULL\-TIME ROLE WITH BRIGHT VISION**
**Job Description:**
**Environment:**
 Python, SQL, Data Warehousing, ETL/ELT pipelines, Apache Spark, Airflow, Kafka, Hadoop ecosystem, Snowflake / Redshift / BigQuery, Data Modeling, RESTful APIs, Cloud Platforms (AWS / Azure / GCP), Docker, Kubernetes (basic), CI/CD pipelines, Git, Linux,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**Data Engineer** 
 with the above skills and are looking for an
 **H\-1 B sponsorship** 
 this year, please send your resume immediately to
 **Venkat.r@bvteck.com**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Af6QN4bLDp</t>
        </is>
      </c>
    </row>
    <row r="74">
      <c r="A74" t="inlineStr">
        <is>
          <t>li-4373883443</t>
        </is>
      </c>
      <c r="B74" t="inlineStr">
        <is>
          <t>Data Engineer</t>
        </is>
      </c>
      <c r="C74" t="inlineStr">
        <is>
          <t>CompoSecure</t>
        </is>
      </c>
      <c r="D74" t="inlineStr">
        <is>
          <t>linkedin</t>
        </is>
      </c>
      <c r="E74">
        <f>HYPERLINK("https://www.linkedin.com/jobs/view/4373883443", "https://www.linkedin.com/jobs/view/4373883443")</f>
        <v/>
      </c>
      <c r="F74">
        <f>HYPERLINK("https://composecure.isolvedhire.com/jobs/1706848&amp;urlHash=jxzK", "https://composecure.isolvedhire.com/jobs/1706848&amp;urlHash=jxzK")</f>
        <v/>
      </c>
      <c r="G74" t="inlineStr">
        <is>
          <t>Somerset, NJ</t>
        </is>
      </c>
      <c r="H74" t="inlineStr"/>
      <c r="I74" t="inlineStr">
        <is>
          <t>**About CompoSecure**
 Founded in 2000, CompoSecure is a technology partner to market leaders, fintechs and consumers, enabling trust for millions of people around the globe. The company combines elegance, simplicity, and security to deliver exceptional experiences and peace of mind in the physical and digital world. CompoSecure's innovative payment card technology and metal cards with Arculus security and authentication capabilities deliver unique, premium branded experiences, enable people to access and use their financial and digital assets, and ensure trust at the point of a transaction. For more information, please visit
 **www.CompoSecure.com** 
 and
 **www.GetArculus.com** 
 .
**Position Overview**
 The Data Engineer is responsible for designing, building, and maintaining robust data pipelines and solutions to support business analytics and reporting. This role focuses on leveraging Microsoft Azure, Microsoft Fabric, PySpark, SQL, APIs, and ETL processes to ensure efficient, secure, and high\-quality data delivery for enterprise analytics platforms such as Power BI. The Data Engineer will work fully on site, collaborating closely with cross\-functional teams to drive data efficiency and innovation.
**Key Responsibilities**
**Data Engineering \&amp; Pipeline Development**
* Design, develop, and maintain data pipelines using Azure Data Factory, Azure Synapse, and Microsoft Fabric Dataflows.
* Implement and maintain Medallion architecture in Fabric and Azure environments.
* Build ingestion and transformation flows that efficiently convert raw Parquet files into Delta tables to support curated, incremental, and governed datasets optimized for Power bi.
* Implement efficient data lakehouse patterns within Microsoft Fabric.
**Data Modeling \&amp; Optimization**
* Design and maintain star schemas, dimensional models, and semantic layers for Power Bi.
* Collaborate with Power Bi developers to ensure models are performant and aligned to needs.
* Tune queries, optimize partitioning, and manage performance across Fabric and Synapse environments.
**Cloud Data Architecture \&amp; Governance**
* Ensure solutions follow Azure best practices for scalability, cost efficiency, and security.
* Implement data governance, lineage, and cataloging via Microsoft Purview and Fabric capabilities.
* Partner with IT security and compliance teams to enforce data access controls.
**Routine IT Functions**
* Handles all Help Desk tickets related to reporting.
* Performs general software and hardware installations as required.
**Other Important Responsibilities**
* Handles related email and telephone correspondence in a timely and professional manner.
* Responds to inquiries for the purpose of resolving problems, providing information and/or referring to appropriate personnel.
* Will be required to perform other job functions, as assigned.
**Qualifications**
* Minimum 5 years of relevant experience.
* Strong expertise in data languages (Python, SQL, DAX, M, R, etc.) and handling large data sets using PySpark.
* Strong expertise in Azure Data Factory, Azure Synapse Analytics, Databricks (nice\-to\-have), and Microsoft Fabric.
* Hands\-on experience implementing Medallion architecture in a lakehouse environment.
* Expertise in transforming Parquet datasets into Delta tables for reliable, incremental processing.
* Experience building ETL/ELT pipelines and working with both structured and unstructured data.
* Familiarity with CI/CD for data pipelines a plus.
* Experience with Power BI integration and data modeling.
* Excellent analytical and problem\-solving skills.
* Excellent record keeping and auditing skills.
* Excellent communication skills, both oral and written.
* Strong attention to detail and ability to self\-check work.
* Excellent time management skills.
* Task oriented excellent organizational skills, ability to prioritize workload.
* Enthusiastic attitude, cooperative team player, adaptable to new or changing circumstances, professional demeanor, sensitive to client needs, self\-motivated, creative and innovative.
**Physical Requirements And Work Environment** 
* Must be able to work beyond 40 hour week during upgrades or new functionality rollout if necessary.
* Must be able to work flex schedule. Weekends and late hours or staggered shifts.
* Must have valid driver's license and personal vehicle.
* Must be able to lift 50 lbs.
* Must be able to sustain office work for 8\+ hours per day including the following:
+ Sitting in an office chair
+ Typing
+ Reaching for the telephone
+ Standing at office equipment
+ Hearing for phone use
+ Sight for computer use
* Office environment is of moderate noise level.
**Benefits**
 At CompoSecure, we believe in supporting our employees with a comprehensive benefits package that promotes health, financial well\-being, and work\-life balance. Our full\-time team members enjoy access to:
* Medical, Dental \&amp; Vision Coverage
* Flexible Spending Accounts (FSA)
* Company\-Paid Life and Disability Insurance
* 401(k) with Company Match
* Paid Time Off \&amp; Paid Holidays
* Annual Bonus Opportunities
* Employee Assistance Program (EAP)
* Career Advancement Opportunities
 Benefits eligibility and details will be shared during the hiring process. We're excited to support you in building a rewarding career with us.
**Please note:** 
 CompoSecure does not accept unsolicited resumes from staffing agencies or third\-party recruiters. Any unsolicited resumes sent to CompoSecure, including to our employees, will become the property of CompoSecure and may be used without any obligation to pay referral or placement fees. Any agency or recruiter seeking to work with CompoSecure's Talent Acquisition Team should contact our team directly by sending an email to recruiting@composecure.com.
 CompoSecure is an Equal Opportunity Employer. All qualified applicants will receive consideration for employment without regard to race, color, religion, sex, or national origin. We are also an equal opportunity employer of individuals with disabilities and protected veterans.</t>
        </is>
      </c>
    </row>
    <row r="75">
      <c r="A75" t="inlineStr">
        <is>
          <t>li-4372597586</t>
        </is>
      </c>
      <c r="B75" t="inlineStr">
        <is>
          <t>Data Engineer</t>
        </is>
      </c>
      <c r="C75" t="inlineStr">
        <is>
          <t>BW Design Group</t>
        </is>
      </c>
      <c r="D75" t="inlineStr">
        <is>
          <t>linkedin</t>
        </is>
      </c>
      <c r="E75">
        <f>HYPERLINK("https://www.linkedin.com/jobs/view/4372597586", "https://www.linkedin.com/jobs/view/4372597586")</f>
        <v/>
      </c>
      <c r="F75" t="inlineStr"/>
      <c r="G75" t="inlineStr">
        <is>
          <t>St Louis, MO</t>
        </is>
      </c>
      <c r="H75" t="inlineStr"/>
      <c r="I75" t="inlineStr">
        <is>
          <t>**Who You’ll Work With**
 You will join one of our 45 offices in the US, be part of a committed team of over 1500 professionals, and work in teams and directly with our clients doing work that is shaping the world around us. You will be welcomed into a rapidly growing business and team and empowered to make an impact. You will be valued, cared for, and challenged on your path to becoming a world\-class professional consultant and surrounded by leaders who are committed to creating an environment that enables you to realize your own success and fulfillment.
 When you join Design Group as a Data Engineer, you are joining a team that will challenge you and position you for growth. In this role, you will work with a team of industry experts to help the world’s leading companies solve their most difficult problems. You will partner with seasoned leaders, technical specialists, and subject matter experts to deliver the highest quality solutions to our clients with consistency and accuracy.
**What You’ll Do**
* Design, develop, and maintain cloud data infrastructure leveraging technologies like Azure SQL Database, Azure Data Lakes, and Azure Synapse Analytics, and DuckDB to enable advanced analytics (AWS experience is acceptable)
* Build scalable cloud data solutions and pipelines for big data sources and large datasets using services like Azure Synapse Spark Pools, Azure Data Pipelines, Azure Data Lakes, Spark Notebooks, and DBT
* Create optimized data models, efficient ETL/ELT logic, transformations, and metadata to structure and relate data for business insights.
* Automate and schedule regular data integrations from transactional systems, on\-prem data warehouses, enterprise databases and SaaS applications into high performance cloud data platforms.
* Implement data quality checks, validation processes, error handling, partitioning, security, and resilience capabilities into data solutions based on requirements.
* Support migration initiatives to move on\-premises data and BI systems into cloud data lakehouses, data lakes and other cloud analytics services.
**What You’ll Bring**
* 0\-2 years’ experience as a data engineer, ETL developer, or similar role (internships experience included).
* Experience with cloud data technologies (Azure preferred) such as Azure Synapse Analytics and Spark Pools.
* Strong expertise with SQL and Python. Exposure to DAX and M preferred.
* Familiarity with PowerBI or Tableau is a plus.
* Experience utilizing structured and unstructured data.
* Knowledge of data modeling, warehousing principles, ETL/ELT, and metadata standards.
* Understanding of CI/CD pipelines and DevOps processes is a plus.
* Ability to relate data opportunities to business needs.
* Strong communication, collaboration, curiosity, and perseverance skills.
* Analytical mindset with problem solving and troubleshooting skills.
* Bachelor’s degree in Computer Science, Analytics, Information Systems or similar field required.
 Our culture and commitment to our people is what sets us apart. We foster an environment of mutual respect, integrity, and unconditional interest in the individual and collective success of our professionals. Our model and entrepreneurial mindset offer a rewarding, challenging, and highly flexible path. As a Data Engineer, you will build a meaningful and fulfilling career with the support of professional development resources and mentorships including our First Year Experience program, Individual Development Plans, and Career Path resources and tools. You will be surrounded by exceptional talent who will support your development as both a world\-class professional and a highly effective leader.
**Additional Job Description**
* Builds infrastructures that collect and process data according to company needs
* Scales and builds out infrastructure to extract meaningful data
* Designs, develops and implements statistical models to carry out various aspects of classification and information extraction from data
* Leverages existing data infrastructure to fulfill all data\-related requests; maintain data models
* Analyze data to spot anomalies, trends and correlate similar data sets.
* Troubleshoots and identifies possible solutions
* Other duties as assigned</t>
        </is>
      </c>
    </row>
    <row r="76">
      <c r="A76" t="inlineStr">
        <is>
          <t>li-4364785887</t>
        </is>
      </c>
      <c r="B76" t="inlineStr">
        <is>
          <t>Data Engineer, Data Platform - IntelliScript (Remote)</t>
        </is>
      </c>
      <c r="C76" t="inlineStr">
        <is>
          <t>Milliman</t>
        </is>
      </c>
      <c r="D76" t="inlineStr">
        <is>
          <t>linkedin</t>
        </is>
      </c>
      <c r="E76">
        <f>HYPERLINK("https://www.linkedin.com/jobs/view/4364785887", "https://www.linkedin.com/jobs/view/4364785887")</f>
        <v/>
      </c>
      <c r="F76" t="inlineStr"/>
      <c r="G76" t="inlineStr">
        <is>
          <t>Brookfield, WI</t>
        </is>
      </c>
      <c r="H76" t="inlineStr"/>
      <c r="I76"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IntelliScript’s Data has been a key part of our success and is critical to our future. In this position as a Data Engineer of IntelliScript’s Data Platform, you will be responsible for designing and implementing robust Data Platform solutions that meet our business objectives while ensuring compliance with industry\-leading data privacy standards. You will collaborate closely with cross\-functional agile teams to drive data architecture decisions, implement best practices, and contribute to the success of our projects.
**What You Will Be Doing** 
* Data Platform: Creation of a Databricks Data Warehouse(s) and Lakehouse solutions for a healthcare data focused enterprise
+ Data Governance: Configuring and maintaining unity catalog to enable enterprise data lineage and data quality
+ Data Security: Building out Data Security protocols and best practices including the management of identified and de\-identified (PHI/PII) solutions
+ External Data Products: Building data solutions for clients while upholding the best standards for reliability, quality, and performance
+ ETL: Building solutions within Delta Live Tables and automation of transformations
+ Medallion Architecture: Building out performant enterprise\-level medallion architecture(s)
+ Streaming and Batch Processing: Building fit\-for\-purpose near real\-time streaming and batch solutions
+ Large Data Management: Building out performant and efficient enterprise solutions for internal and external users for both structured and unstructured healthcare data
+ Platform Engineering: Building out Infrastructure as Code using Terraform and Asset Bundles
+ Costs: Working with the business to build cost effective and cost transparent Data solutions
* Pipeline/ETL Management: You will help architect, build, and maintain robust and scalable data pipelines, monitoring, and optimizing performance
+ Experience working with Migration tools i.e. Fivetran, AWS technologies and custom solutions
+ Identify and implement improvements to enhance data processing efficiency
+ Experience with building out effective pipeline monitoring solutions
+ Build the infrastructure required for optimal extraction, transformation, and loading of data from a wide variety of data sources using SQL, Delta Live Tables, Python, Scala, and cloud\-based ‘big data’ technologies
* Collaboration: Partner internally and externally with key stakeholders to ensure we are providing meaningful, functional, and valuable data
+ Effectively work with Data, Development, Analysts, Data Science, and Business team members to gather requirements, propose, and build solutions
+ Communicate complex technical concepts to non\-technical stakeholders and provide guidance on best practices
+ Ensure that technology execution aligns with business strategy and provides efficient, secure solutions and systems
* Processes and Tools: Identify, design, and implement internal process improvements: automating manual processes, optimizing data delivery, re\-designing infrastructure for greater scalability, etc.
+ Build analytics tools that utilize the data pipeline to provide actionable insights into operational efficiency and other key business performance metrics
+ Create data tools for clinical, analytics and data scientist team members that assist them in building and optimizing our product into an innovative industry leader
**What We Need**
* 3\+ years of relevant experience in design, development, and testing of Data Platform solutions, such as Data Warehouses, Data Lakes, and Data Products
* Experience working in Databricks and AWS
* Experience working in both relational and non\-relational databases such as SQL Server, PostgreSQL, and MongoDB
* Experience managing and standardizing clinical data from structured and unstructured sources
* Experience building and managing solutions on AWS
* Familiarity with designing and building APIs, ETL and data ingestion processes and utilization of tools to support enterprise solutions
* Experience in performance tuning, query optimization, security, monitoring, and release management
* Experience working with and managing large, disparate, identified and de\-identified data sets from multiple data sources
* Familiarity with building and deploying IAC using terraform, asset bundles and github
**What You Bring To The Table**
* Demonstrated “let’s find a way to do it” attitude – no task is too big or too small
* Effective collaboration and communication across multiple technical and non\-technical disciplines
* Comfortable working through ambiguous situations
* Able to teach \&amp; mentor others on new/emerging technologies
* Customer obsessed with a business\-centric focus
* Able to understand both strategic and tactical needs and balance appropriately
* Driven, thorough and self\-directed
* Able to lead through influence and persuasion
**Wish list**
* Bachelor's degree or master's degree in computer science, data engineering or related field
* 3\+ years of relevant experience in design, development, and testing of Data Platform solutions, such as Data Warehouses, Data Lakes, and Data Products
* Health and Life Insurance business experience
* Associate or Professional level solution architecture certification in Azure and/or AWS
* Experience in Snowflake
**Location**
 The expected application deadline for this job is June 30, 2026\. This position is open to remote work. Applicants must be willing to travel to the Milliman office in Brookfield, WI as needed and travel nationwide for meetings, conferences, and team events.
**Compensation**
 The overall salary range for this role is $93,700 \- $177,675\.
**For Candidates Residing In**
* Alaska, California, Connecticut, Illinois, Maryland, Massachusetts, New Jersey, New York City, Pennsylvania, Virginia, Washington, or the District of Columbia the salary range is $107,755 \- $177,675\.
* All other locations the salary range is $93,700 \- $154,500\.
 A combination of factors will be considered, including, but not limited to, education, relevant work experience, qualifications, skills, certifications, etc.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77">
      <c r="A77" t="inlineStr">
        <is>
          <t>li-4370869750</t>
        </is>
      </c>
      <c r="B77" t="inlineStr">
        <is>
          <t>Data Engineer</t>
        </is>
      </c>
      <c r="C77" t="inlineStr">
        <is>
          <t>Ranger Technical Resources</t>
        </is>
      </c>
      <c r="D77" t="inlineStr">
        <is>
          <t>linkedin</t>
        </is>
      </c>
      <c r="E77">
        <f>HYPERLINK("https://www.linkedin.com/jobs/view/4370869750", "https://www.linkedin.com/jobs/view/4370869750")</f>
        <v/>
      </c>
      <c r="F77" t="inlineStr"/>
      <c r="G77" t="inlineStr">
        <is>
          <t>Florida, United States</t>
        </is>
      </c>
      <c r="H77" t="inlineStr"/>
      <c r="I77" t="inlineStr">
        <is>
          <t>**Position Summary:** 
 Our partner is a global manufacturer modernizing its ERP\-driven data environment into a cloud\-native platform for trusted analytics and forecasting. They are growing their team to support the build\-out and ownership of the data foundation that enterprise analytics and forecasting depend on. The environment is Databricks and Azure, with ERP data at the core, and the challenge is turning complex, scattered systems into trusted, high\-performance data models the business can rely on. The focus is on data modeling, pipeline reliability, performance tuning, and governance, not dashboards or surface\-level reporting. Data accuracy, performance, and reliability matter because leaders depend on these systems to make operational and financial decisions.
**Experience and Education:** 
* BS in Computer Science, Information Systems, Software Engineer or equivalent technical field
* Experience building enterprise data platforms using Databricks and Azure
* Background in designing and owning data models sourced from ERP systems
* Experience working with SAP or other large\-scale ERP environments
* History of owning data pipelines end\-to\-end in production environments
* Exposure to forecasting, analytics, or ML\-enabled data use cases
* Experience working with globally distributed or offshore teams
**Skills and Strengths:** 
* Databricks
* Azure
* Data engineering
* Data modeling
* ERP data environments
* SAP
* SQL
* Python
* Lakehouse architecture
* ETL design
* Data orchestration
* Data quality frameworks
* Performance optimization
* Enterprise data governance
* Analytics enablement
* Forecasting data pipelines
* Machine learning support
* Systems tradeoff analysis
* Cross\-team collaboration
* Technical documentation
**Primary Job Responsibilities:** 
* Own the Databricks\-based data engineering layer used across the enterprise
* Design and maintain high\-quality data models sourced from ERP systems
* Ensure data pipelines are reliable, scalable, and performant
* Standardize ETL patterns, orchestration, and data quality checks
* Improve lakehouse performance and long\-term maintainability
* Partner closely with BI leadership to enable trusted analytics and forecasting
* Support ML and advanced analytics use cases through strong data foundations
* Establish and reinforce enterprise data governance practices
* Collaborate with offshore and onshore teams to ensure consistency
* Decide when work requires immediate fixes versus backlog prioritization
* Clearly explain engineering tradeoffs across cost, performance, and maintainability
* Reduce operational firefighting by improving platform stability
* Document data models, pipelines, and standards for reuse
* Act as a senior technical voice without direct people management
* Continuously improve the platform based on business and technical needs</t>
        </is>
      </c>
    </row>
    <row r="78">
      <c r="A78" t="inlineStr">
        <is>
          <t>li-4372597630</t>
        </is>
      </c>
      <c r="B78" t="inlineStr">
        <is>
          <t>Data Engineer I (59869)</t>
        </is>
      </c>
      <c r="C78" t="inlineStr">
        <is>
          <t>Core Health &amp; Fitness</t>
        </is>
      </c>
      <c r="D78" t="inlineStr">
        <is>
          <t>linkedin</t>
        </is>
      </c>
      <c r="E78">
        <f>HYPERLINK("https://www.linkedin.com/jobs/view/4372597630", "https://www.linkedin.com/jobs/view/4372597630")</f>
        <v/>
      </c>
      <c r="F78" t="inlineStr"/>
      <c r="G78" t="inlineStr">
        <is>
          <t>Vancouver, WA</t>
        </is>
      </c>
      <c r="H78" t="inlineStr"/>
      <c r="I78" t="inlineStr">
        <is>
          <t>At
 **Core Health \&amp; Fitness** 
 , our purpose is to live and share our passion for fitness. We bring innovative health and fitness solutions to the global market with brands like
 **StairMaster** 
 ,
 **Schwinn** 
 ,
 **Nautilus** 
 ,
 **Star Trac** 
 ,
 **Throwdown** 
 ,
 **Wexer** 
 , and we’re still growing. We press into the future of fitness to ensure the creation of quality products and programming that meet the needs of an ever\-evolving industry.
 At Core we are committed to building an energetic, diverse, and inclusive workspace. We value our differences and see community strength in diversity and representation. We’re always on the lookout for innovators, dreamers and doers who are passionate about fitness and wellbeing. We explore all opportunities to improve ourselves, our business partners, and our communities. If you’re looking for a fulfilling career in helping people, find the best version of themselves, you’ve come to the right place.
 We are looking for a
 **Data Engineer I** 
 to join our growing organization!
**Qualifications**
**General Position Summary**
 As a Data Engineer at Core Health \&amp; Fitness, you will play a pivotal role in designing, developing, and maintaining our data infrastructure. This position will work closely with our IT department, Business Intelligence Analysts, Systems Software Engineers, and other stakeholders to ensure the efficient collection, storage, and accessibility of data. Your expertise will enable us to make informed decisions and drive our business forward.
* This position is eligible to work from home with monthly in\-office meetings
**Essential Functions / Major Responsibilities**
* Data Pipeline Development: Design, build, and maintain scalable and robust data pipelines to ingest, process, and transform data from various sources (IoT, internal business systems, etc.).
* Data Warehousing: Develop and optimize data warehouses and data lakes to ensure efficient storage and retrieval of large datasets.
* ETL Processes: Create and manage ETL (Extract, Transform, Load) processes to ensure data is accurate, reliable, and up to date.
* Collaboration: Work closely with Business Intelligence Analysts, IT, Systems Software Engineers, and other stakeholders to understand data requirements and deliver solutions that meet their needs.
**Specific Job Requirements**
* Database Management: Administer and optimize databases, ensuring high performance, security, and availability.
* Data Quality: Implement data quality checks and validation procedures to maintain the integrity of the data.
* Automation: Automate repetitive tasks to improve efficiency and reduce manual effort.
* Documentation: Maintain comprehensive documentation of data processes, architectures, and workflows.
* Analytics \&amp; Reporting: enable data analytics and reporting by providing well\-structured, consistent data to either be analyzed within data warehouse or within an external repository system (CRM, ERP, etc.).
* API Development: Design, develop, and maintain RESTful APIs to facilitate data exchange between internal systems, external partners, and third\-party applications, ensuring secure and efficient data integration.
**Education And Experience Requirements** 
* Education: Bachelor's or master’s degree in Computer Science, Information Technology, Engineering, or a related field – or equivalent 3\+ years of experience in data engineering, data warehousing, or a related field.
* Technical Skills:
+ Proficiency in SQL and experience with relational databases (e.g., MySQL, PostgreSQL, Oracle).
+ Experience with ETL processes which aggregate IoT data from various external sources into a common data lake format.
+ Experience with big data technologies.
+ Proficiency in programming languages such as Python or Java.
+ Familiarity with ETL tools (e.g., Apache NiFi, Talend, Informatica).
+ Experience with cloud platforms (e.g., Azure, AWS) and their data services (e.g., Redshift, Databricks, BigQuery).
+ Experience with data modeling and schema design.
+ Familiarity with data visualization tools (e.g., Power BI, Tableau)
+ Experience building and managing data connections and integrations for transferring data between data lakes, cloud storage, and other software systems (e.g., CRM, ERP, loT platforms.)
**Job Specific Competencies**
* Problem\-Solving – Strong analytical and problem\-solving skills with the ability to troubleshoot complex data issues.
* Communication – Excellent communication skills with the ability to collaborate effectively with other stakeholders.
* Creativity/Innovation \- Generates new ideas, challenges the status quo, takes risks, supports change, encourages innovation, solves problems creatively.
* Initiative \- Tackles problems and takes independent action, seeks out new responsibilities, acts on opportunities, generates new ideas, practices self\-development.
* Productivity \- Manages a fair workload, volunteers for additional work, prioritizes tasks, develops good work procedures, manages time well, handles information flow.
* Quality \- Is attentive to detail and accuracy, is committed to excellence, looks for improvements continuously, monitors quality levels, finds root cause of quality problems, owns/acts on quality problems.
**Working Conditions**
 The physical and environmental demands described here are representative of those that must be met by an employee to successfully perform the essential functions of this job. Reasonable accommodations may be made to enable individuals with disabilities to perform the essential functions. Work may require:
* Bending, stooping, reaching, twisting, lifting, pushing, pulling and moving items \- The employee is occasionally required to stand, walk, sit, and reach with hands and arms; and stoop, kneel, crouch, or crawl. Requires the ability to move around and maneuver products when necessary. Occasionally lifts and carries items weighing up to 15 pounds
* Walking and Standing \- Requires moving around.
* Requires corrected vision and hearing to normal range
* Requires working under stressful conditions or working irregular hours
**Work Environment**
 Work environment characteristics described here are representative of those an employee encounters while performing essential functions of this job. Reasonable accommodations may be made to enable individuals with disabilities to perform essential functions: work performed in an office environment. Involves frequent interaction with internal and external customers.
**Position Status**
 Level: Staff
 FLSA: Non\-Exempt
 Supervises: N/A
 This job description reflects management’s assignment of essential functions. It is only a summary of the typical functions of the job, not an exhaustive or comprehensive list of all possible job responsibilities, tasks, and duties. The responsibilities, tasks, and duties of the employee might differ from those outlined in the above job description and, other duties as assigned, might be part of the role. It does not restrict the tasks that may be assigned nor is it considered a contract of employment overriding at\-will employment.
 In compliance with federal law, all persons hired will be required to verify identity and eligibility to work in the United States and to complete the required employment eligibility verification document form upon hire.
 Core Health\&amp; Fitness is an equal opportunity employer that does not discriminate on the basis of race, color, national origin, sex, disability, age, religion, sexual orientation, gender identity, gender expression, creed, disabled veteran status, marital status, or Vietnam\-era veteran status. If you are a person with a disability and you need assistance in applying for a position with Core Health \&amp; Fitness, please contact our Human Resources department at hr@corehandf.com and direct assistance will be provided.</t>
        </is>
      </c>
    </row>
    <row r="79">
      <c r="A79" t="inlineStr">
        <is>
          <t>li-4372565774</t>
        </is>
      </c>
      <c r="B79" t="inlineStr">
        <is>
          <t>Data Engineer</t>
        </is>
      </c>
      <c r="C79" t="inlineStr">
        <is>
          <t>Slalom</t>
        </is>
      </c>
      <c r="D79" t="inlineStr">
        <is>
          <t>linkedin</t>
        </is>
      </c>
      <c r="E79">
        <f>HYPERLINK("https://www.linkedin.com/jobs/view/4372565774", "https://www.linkedin.com/jobs/view/4372565774")</f>
        <v/>
      </c>
      <c r="F79" t="inlineStr"/>
      <c r="G79" t="inlineStr">
        <is>
          <t>Utah, United States</t>
        </is>
      </c>
      <c r="H79" t="inlineStr"/>
      <c r="I79"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Denver, Portland
+ Consultant: $91,000 \- $122,000
* Seattle
+ Consultant: $99,000 \- $133,000
 We will accept applicants until April 5th,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80">
      <c r="A80" t="inlineStr">
        <is>
          <t>li-4373858369</t>
        </is>
      </c>
      <c r="B80" t="inlineStr">
        <is>
          <t>Azure Data Engineer</t>
        </is>
      </c>
      <c r="C80" t="inlineStr">
        <is>
          <t>BCforward</t>
        </is>
      </c>
      <c r="D80" t="inlineStr">
        <is>
          <t>linkedin</t>
        </is>
      </c>
      <c r="E80">
        <f>HYPERLINK("https://www.linkedin.com/jobs/view/4373858369", "https://www.linkedin.com/jobs/view/4373858369")</f>
        <v/>
      </c>
      <c r="F80" t="inlineStr"/>
      <c r="G80" t="inlineStr"/>
      <c r="H80" t="inlineStr"/>
      <c r="I80" t="inlineStr">
        <is>
          <t>**BCForward is currently seeking a highly motivated Lead Data Engineer / Databricks Architect (Azure) for a Remote opportunity** 
**Role: Lead Data Engineer / Databricks Architect (Azure)** 
**Duration: 1\+ Year** 
**Locations: Remote** 
**Anticipated Start Date:** 
 03/02/2026
**Job Type:** 
 Contract \- Remote
 We are looking for a hands\-on
 **Lead Data Engineer / Databricks Architect** 
 to design, build, and optimize modern data platforms using
 **Azure Databricks** 
 . This role involves leading technical design, building scalable batch and streaming pipelines, and ensuring production\-grade reliability, governance, and performance.
**Key Skills:** 
* Design and implement scalable Lakehouse architecture (Bronze/Silver/Gold – Medallion Model)
* Build and optimize ETL/ELT pipelines using Apache Spark (PySpark/Scala) and Databricks
* Develop both batch and streaming pipelines (Structured Streaming, Delta Live Tables)
* Implement data modeling standards (Star/Snowflake, Data Vault where needed)
* Optimize performance (partitioning, compaction, Z\-ordering, tuning)
* Implement governance using Unity Catalog (RBAC, data access controls, lineage)
* Ensure production readiness: CI/CD, monitoring, alerting, SLAs
* Establish data quality checks and observability practices
* Support ML workloads with MLOps best practices (experiment tracking, model monitoring)
* Conduct design and code reviews; mentor engineers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With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81">
      <c r="A81" t="inlineStr">
        <is>
          <t>li-4373868436</t>
        </is>
      </c>
      <c r="B81" t="inlineStr">
        <is>
          <t>Mid-Level  Data Engineer</t>
        </is>
      </c>
      <c r="C81" t="inlineStr">
        <is>
          <t>Zyxware Technologies</t>
        </is>
      </c>
      <c r="D81" t="inlineStr">
        <is>
          <t>linkedin</t>
        </is>
      </c>
      <c r="E81">
        <f>HYPERLINK("https://www.linkedin.com/jobs/view/4373868436", "https://www.linkedin.com/jobs/view/4373868436")</f>
        <v/>
      </c>
      <c r="F81" t="inlineStr"/>
      <c r="G81" t="inlineStr">
        <is>
          <t>Washington, DC</t>
        </is>
      </c>
      <c r="H81" t="inlineStr"/>
      <c r="I81" t="inlineStr">
        <is>
          <t>**Title : Mid\-Level ETL/Data Engineer** 
**Location : Remote USA** 
**Type : Fulltime** 
**Position Summary** 
 OCIO is seeking a Mid\-Level Data Engineer to design, build, and manage data pipelines and systems that enable enterprise analytics and decision\-making. This role involves developing ETL workflows, writing Python scripts, and leveraging AWS and Azure cloud services while ensuring compliance with industry standards for security, scalability, and data governance. The Application Programmer will work with Snowflake, data warehousing, data marts, and visualization tools like Power BI and Tableau.
**Duties and Responsibilities :** 
* Design and implement data pipelines to support analytics and reporting.
* Develop and maintain ETL/ELT workflows using AWS Glue, Azure Data Factory, and Snowflake Tasks.
* Build and optimize data pipelines using Python, PySpark, and SQL.
* Work with solution architects to define and maintain data models for data warehouses and data marts.
* Optimize and tune workflows for performance and scalability.
* Perform data profiling, quality checks, and implement Change Data Capture (CDC) and AWS DMS.
* Collaborate with stakeholders to define data requirements and deliver solutions.
* Enable reporting and dashboards using Power BI and Tableau.
* Apply data governance, security, and compliance standards (ISO 27001, SOC 2, GDPR/CCPA).
**Required Qualifications :** 
* Bachelor’s degree in computer science, Engineering, or related field.
* 3–5 years of experience in data engineering or data management.
* Proficiency in SQL and experience with data modeling.
* Hands\-on experience with AWS and Azure cloud platforms (AWS experience preferred).
* Experience with Snowflake and Oracle for data warehousing and data marts.
* Strong problem\-solving and debugging skills.
* 1–2 years of experience with Power BI/Tableau (deployment pipelines, direct query vs dataflows)
**Desired Skills :** 
* Experience with ETL tools (AWS Glue, Azure Data Factory, Talend).
* Knowledge of data warehousing concepts, data quality analysis, and profiling.
* Exposure to CI/CD pipelines (GitHub Actions, Jenkins) and infrastructure automation (Terraform, CloudFormation).</t>
        </is>
      </c>
    </row>
    <row r="82">
      <c r="A82" t="inlineStr">
        <is>
          <t>li-4373854218</t>
        </is>
      </c>
      <c r="B82" t="inlineStr">
        <is>
          <t>Data Analytics Engineer</t>
        </is>
      </c>
      <c r="C82" t="inlineStr">
        <is>
          <t>Five Star Parks and Attractions</t>
        </is>
      </c>
      <c r="D82" t="inlineStr">
        <is>
          <t>linkedin</t>
        </is>
      </c>
      <c r="E82">
        <f>HYPERLINK("https://www.linkedin.com/jobs/view/4373854218", "https://www.linkedin.com/jobs/view/4373854218")</f>
        <v/>
      </c>
      <c r="F82" t="inlineStr"/>
      <c r="G82" t="inlineStr">
        <is>
          <t>Dallas, TX</t>
        </is>
      </c>
      <c r="H82" t="inlineStr"/>
      <c r="I82" t="inlineStr">
        <is>
          <t>We are looking for an experienced Data Analytics Engineer who can bridge the gap between business insight and technical execution. This role is ideal for someone who understands retail and Family Entertainment Center (FEC) operations and can independently source, transform, and analyze data to deliver actionable insights. This is a 1099 opportunity with an expected 10\-15 hours of work a week.
**Only individuals with experience working with data in family entertainment, food service, hospitality, retail or closely related industry will be considered.** 
 You will work closely with business leaders and operational teams to understand questions, dig into raw data across multiple systems, and produce clean, well\-structured datasets, dashboards, and analyses that support decision\-making.
 This is an end\-to\-end analytics role—from understanding the business problem to pulling the data and delivering insights.
 Key Responsibilities
 • Partner with business stakeholders to understand and clarify analytical needs, operational questions, and performance drivers
 • Independently source data from transactional systems, data warehouses, POS platforms, and other internal/external sources
 • Write and optimize complex SQL queries to extract, join, and transform data
 • Design and maintain analytics\-ready datasets that support reporting and ad\-hoc analysis
 • Develop clear, accurate dashboards, reports, and metrics used by leadership and operations teams
 • Analyze retail and FEC performance including revenue, attendance, labor, promotions, loyalty programs, and unit economics
 • Identify trends, anomalies, and opportunities within data and communicate findings in business\-friendly language
 • Ensure data quality, consistency, and metric definitions across reporting
 • Document data models, assumptions, and definitions to support transparency and reuse
 • Proactively identify gaps in data, reporting, or processes and recommend improvements
 Required Qualifications
 • 5\+ years of experience in analytics, data analysis, or business intelligence roles
 • Strong proficiency in SQL (ability to work directly with raw, messy data)
 • Experience owning analytics work end\-to\-end (not just consuming prepared datasets)
 • Hands\-on experience supporting Retail environments (POS, transactions, inventory, promotions, customer behavior)
 • Experience working with Family Entertainment Centers (FECs), food and beverage, retial or similar multi\-location, high\-volume consumer environments (e.g., arcades, attractions, hospitality, leisure)
 • Experience working with BI tools such as Power BI, Tableau, Looker, or similar
 • Strong understanding of business metrics and KPIs
 • Ability to translate business questions into data requirements and actionable insights
 • Excellent communication skills with both technical and non\-technical audiences
 Preferred Qualifications
 • Experience with data modeling (facts/dimensions, metric definitions)
 • Familiarity with ELT/analytics engineering tools (e.g., dbt, Python)
 • Experience integrating data from multiple source systems (POS, CRM, ticketing, loyalty, labor systems)
 • Experience supporting multi\-location or franchise\-style operations
 • Background working closely with operations, finance, or executive leadership teams
 What Success Looks Like
 • Business leaders trust the data and insights you deliver
 • You can answer “why” questions, not just report numbers
 • Stakeholders don’t need to go elsewhere to get data—you own it
 • Metrics are clearly defined, consistent, and actionable
 • Insights lead to better operational and financial decisions</t>
        </is>
      </c>
    </row>
    <row r="83">
      <c r="A83" t="inlineStr">
        <is>
          <t>li-4373875455</t>
        </is>
      </c>
      <c r="B83" t="inlineStr">
        <is>
          <t>Data Engineer II</t>
        </is>
      </c>
      <c r="C83" t="inlineStr">
        <is>
          <t>Mapfre</t>
        </is>
      </c>
      <c r="D83" t="inlineStr">
        <is>
          <t>linkedin</t>
        </is>
      </c>
      <c r="E83">
        <f>HYPERLINK("https://www.linkedin.com/jobs/view/4373875455", "https://www.linkedin.com/jobs/view/4373875455")</f>
        <v/>
      </c>
      <c r="F83" t="inlineStr"/>
      <c r="G83" t="inlineStr">
        <is>
          <t>Webster, MA</t>
        </is>
      </c>
      <c r="H83" t="inlineStr"/>
      <c r="I83" t="inlineStr">
        <is>
          <t>**Summary:**
 The Data Engineer III is responsible for building and maintaining the infrastructure required for optimal data extraction, transformation, and loading (ETL) from a wide variety of data sources. This role involves developing and optimizing data pipelines, ensuring data flow and availability for data analytics and business intelligence activities. The Data Engineer collaborates with data scientists and analysts to understand data needs and deliver efficient solutions that support complex analytics and reporting. Key responsibilities include designing and implementing scalable data architectures, managing data integration, and ensuring data quality and reliability. Proficiency in programming languages, database systems, big data technologies, and cloud platforms is essential for this role, as is a strong understanding of data modeling, ETL processes, and data warehousing.
**Responsibilities:**
* Design, develop, implement, and maintain highly scalable and secure data pipelines for complex data processing needs.
* Lead and mentor a team of data engineers, fostering a collaborative and high\-performing environment.
* Champion technical innovation, identifying and implementing new technologies and solutions to improve data architecture and efficiency.
* Develop and maintain data architecture best practices, ensuring data quality, security, and scalability.
* Collaborate with Data Product Managers, analysts, business analysts, product managers, and senior leadership to understand business needs and translate them into technical solutions.
* Communicate complex technical concepts clearly and concisely to both technical and non\-technical audiences.
* Develop and maintain technical documentation and code standards.
* Lead the evaluation, selection, and implementation of new data technologies and tools.
* Continuously monitor system performance, identify bottlenecks, and implement improvements to optimize data pipelines.
* Manage and reduce technical debt through strategic recommendations and code refactoring.
**Experience and Qualifications:**
* Bachelor’s Degree in Computer Science Required.
* 5\-7 years of professional experience in relevant programming languages required.
* Receives general guidance and direction from senior data engineers or data architects. Acts as a technical lead for junior engineers.
* Makes independent decisions on technical tasks and approaches. Owns the design and implementation of data solutions. Escalates strategic decisions to senior leadership.
* May interact with internal stakeholders (data analysts, business analysts, product managers) to provide technical guidance and lead solution discussions.
 Why Mapfre?
 As a global insurance leader with a strong local presence, we offer more than a job — we provide a purpose\-driven career where your growth, well\-being, and impact truly matter.
**Purpose \&amp; Culture:** 
 Join a company built on trust, collaboration, and inclusion. Our values guide everything we do, creating a workplace where people feel respected and empowered.
**Comprehensive Benefits:** 
 Enjoy competitive health coverage, retirement plans, paid time off, flexible work options, and lifestyle perks like employee discounts.
**Career Growth:** 
 Advance your skills through tuition reimbursement, leadership programs, and internal mobility opportunities. Your development is our priority.
**Social Responsibility:** 
 Contribute to meaningful initiatives through Fundación Mapfre, supporting communities and sustainability worldwide.
 Pay Philosophy: The typical starting salary range for this role is determined by several factors including skills, experience, education, certifications, and location. Some roles at Mapfre are eligible for commission and/or bonus earnings, in addition to salary, calculated based upon factors set forth in the compensation plan for the role.
 Salary Range
 $100,000 \- $160,000
*If you require an accommodation for a disability so that you may participate in the selection process, you are encouraged to contact the Mapfre Insurance Talent Acquisition team at* 
*talentacquisition@mapfreusa.com.*
*We are proud to be an equal opportunity employer.*</t>
        </is>
      </c>
    </row>
    <row r="84">
      <c r="A84" t="inlineStr">
        <is>
          <t>li-4373851059</t>
        </is>
      </c>
      <c r="B84" t="inlineStr">
        <is>
          <t>Lead Data Engineer</t>
        </is>
      </c>
      <c r="C84" t="inlineStr">
        <is>
          <t>Diversified Services Network, Inc.</t>
        </is>
      </c>
      <c r="D84" t="inlineStr">
        <is>
          <t>linkedin</t>
        </is>
      </c>
      <c r="E84">
        <f>HYPERLINK("https://www.linkedin.com/jobs/view/4373851059", "https://www.linkedin.com/jobs/view/4373851059")</f>
        <v/>
      </c>
      <c r="F84" t="inlineStr"/>
      <c r="G84" t="inlineStr">
        <is>
          <t>Peoria, IL</t>
        </is>
      </c>
      <c r="H84" t="inlineStr"/>
      <c r="I84" t="inlineStr">
        <is>
          <t>Diversified Services Network, Inc. (DSN) is seeking a full\-time
 **Lead** 
**Data Engineer** 
 to join our team in
 **Chicago, IL or Dallas, TX or Peoria, IL!** 
 We offer full benefits, PTO, 401k, and more! If you're looking to grow your technical career within an extremely reputable, stable Fortune 500 company \- let's talk!
**JOB RESPONSIBILITIES:**
* Data engineer is responsible for setting enterprise standards for databases, data integration, and the means to get to the data.
* Direct developers and analysts to make changes to existing pipelines, databases and data processes, including providing direction in coding logical data objects.
* Execute investigations and provide analysis to help drive insights in design.
* Develop standards and guidelines
**Requirements**
**EDUCATION \&amp; EXPERIENCE REQUIRED:**
* Bachelor's degree in computer programming OR a relevant field required.
* 10\+ years' experience required.
**REQUIRED SKILLS:**
* Expert knowledge of logical data modeling and physical data modeling.
* Expert knowledge of computer software, such as SQL, Snowflake, etc.
**SOFT SKILLS REQUIRED:**
* Verbal and written communication skills, problem solving skills, customer service and interpersonal skills.
* Expert ability to work independently and manage one's time.
* Expert leadership and mentoring skills necessary to provide support and constructive performance feedback
**Benefits**
* 401(k)
* Dental insurance
* Vision Insurance
* Disability insurance
* Employee assistance program
* Health insurance
* Health savings account
* Life insurance
* Paid time off
* Paid Holidays
 Please follow the link to our website for a list of job openings in Engineering, IT, Project Management, and more! https://www.dsnworldwide.com</t>
        </is>
      </c>
    </row>
    <row r="85">
      <c r="A85" t="inlineStr">
        <is>
          <t>li-4371928453</t>
        </is>
      </c>
      <c r="B85" t="inlineStr">
        <is>
          <t>Power BI Engineer</t>
        </is>
      </c>
      <c r="C85" t="inlineStr">
        <is>
          <t>The Judge Group</t>
        </is>
      </c>
      <c r="D85" t="inlineStr">
        <is>
          <t>linkedin</t>
        </is>
      </c>
      <c r="E85">
        <f>HYPERLINK("https://www.linkedin.com/jobs/view/4371928453", "https://www.linkedin.com/jobs/view/4371928453")</f>
        <v/>
      </c>
      <c r="F85" t="inlineStr"/>
      <c r="G85" t="inlineStr">
        <is>
          <t>Chicago, IL</t>
        </is>
      </c>
      <c r="H85" t="inlineStr"/>
      <c r="I85" t="inlineStr">
        <is>
          <t>**Salary: $100\-$120k** 
**Hybrid: 3 days a week on\-site (Chicago, IL or Newport Beach, IL)** 
**About the Role** 
 Our client is completing a major rebuild of their enterprise data warehouse and is seeking a Business Intelligence Engineer
 to lead the reconstruction of all Power BI workspaces, datasets, and reports. This role will also support a multi‑year roadmap of onboarding new departments into the warehouse and developing additional BI assets. You will serve as the primary business\-facing member of the data team and must be able to hit the ground running.
**Key Responsibilities** 
**Power BI \&amp; Reporting Development** 
* Rebuild Power BI workspaces, semantic models, and reports for the new data warehouse
* Design, develop, and maintain high‑quality reports, dashboards, and visualizations
* Write optimized SQL queries for complex reporting and ad‑hoc user needs
* Ensure accuracy, performance, and reliability of all BI solutions
**Stakeholder Engagement \&amp; Support** 
* Serve as the primary contact for reporting questions and support requests
* Manage a significant queue of report rebuilds and enhancements
* Conduct user training and promote self‑service analytics adoption
* Translate business requirements into technical specifications
**Data Modeling \&amp; ETL Collaboration** 
* Collaborate with Data Engineers on data models and ETL improvements
* Support performance tuning and troubleshooting across the data environment
* Contribute to documentation of BI processes, tools, and workflows
**Operations \&amp; Governance** 
* Monitor report availability and performance
* Troubleshoot BI issues with minimal downtime
* Identify automation opportunities
* Enforce data governance best practices
**Leadership \&amp; Team Contribution** 
* Mentor junior team members and share BI best practices
* Lead complex analytics projects from initiation through delivery
* Advocate for modern BI technologies and improved data usage
**Qualifications** 
* Bachelor’s degree in Information Systems, Analytics, or equivalent experience
* 5\+ years in Business Intelligence, Data Engineering, or related field
* **Expert\-level Power BI experience (required)**
* Strong SQL skills; Python experience preferred
* Deep understanding of data modeling and ETL concepts
* Experience with Git or other version control tools
* Excellent communication skills with non\-technical audiences
* **Bonus:** 
 Experience with semantic modeling, ETL pipelines, Machine Learning, or AI
**Preferred Skills (Highly Desirable)** 
* Power BI premium experience
* Machine learning/AI exposure
* Advanced data modeling/semantic layer design</t>
        </is>
      </c>
    </row>
    <row r="86">
      <c r="A86" t="inlineStr">
        <is>
          <t>li-4372574164</t>
        </is>
      </c>
      <c r="B86" t="inlineStr">
        <is>
          <t>Analytics Engineer</t>
        </is>
      </c>
      <c r="C86" t="inlineStr">
        <is>
          <t>RemoteHunter</t>
        </is>
      </c>
      <c r="D86" t="inlineStr">
        <is>
          <t>linkedin</t>
        </is>
      </c>
      <c r="E86">
        <f>HYPERLINK("https://www.linkedin.com/jobs/view/4372574164", "https://www.linkedin.com/jobs/view/4372574164")</f>
        <v/>
      </c>
      <c r="F86">
        <f>HYPERLINK("https://www.remotehunter.com/apply-with-ai/f35fe80a-a863-4845-b059-2914be940aef?utm_medium=job_posting&amp;utm_source=linkedin&amp;utm_campaign=analytics_engineer_remote&amp;utm_category=analytics_engineer&amp;utm_term=analytics_engineer&amp;urlHash=ZsRa", "https://www.remotehunter.com/apply-with-ai/f35fe80a-a863-4845-b059-2914be940aef?utm_medium=job_posting&amp;utm_source=linkedin&amp;utm_campaign=analytics_engineer_remote&amp;utm_category=analytics_engineer&amp;utm_term=analytics_engineer&amp;urlHash=ZsRa")</f>
        <v/>
      </c>
      <c r="G86" t="inlineStr"/>
      <c r="H86" t="inlineStr"/>
      <c r="I86"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7">
      <c r="A87" t="inlineStr">
        <is>
          <t>li-4360546655</t>
        </is>
      </c>
      <c r="B87" t="inlineStr">
        <is>
          <t>Senior Data Engineer</t>
        </is>
      </c>
      <c r="C87" t="inlineStr">
        <is>
          <t>The BayTech Group</t>
        </is>
      </c>
      <c r="D87" t="inlineStr">
        <is>
          <t>linkedin</t>
        </is>
      </c>
      <c r="E87">
        <f>HYPERLINK("https://www.linkedin.com/jobs/view/4360546655", "https://www.linkedin.com/jobs/view/4360546655")</f>
        <v/>
      </c>
      <c r="F87" t="inlineStr"/>
      <c r="G87" t="inlineStr">
        <is>
          <t>Washington, DC</t>
        </is>
      </c>
      <c r="H87" t="inlineStr"/>
      <c r="I87" t="inlineStr">
        <is>
          <t>We're partnering with a mission\-driven organization serving a large professional membership base. Our client is building data systems that enable informed, data\-driven decisions across our programs and member engagement.
**The Role** 
 Build and maintain reliable data pipelines, integrations, and cloud\-based solutions that transform raw data into meaningful insights. You'll collaborate across departments to ensure data quality, accessibility, and scalability.
**Key Responsibilities** 
 • Build scalable data pipelines from multiple sources
 • Implement ETL/ELT workflows for reporting and analysis
 • Develop and optimize SQL scripts, views, and stored procedures
 • Configure data warehousing solutions (Redshift, BigQuery, Snowflake)
 • Ensure data quality through validation, cleansing, and governance
 • Monitor and troubleshoot data workflows
 • Document processes and create repeatable standards
**What We're Looking For** 
 • 5\+ years in data engineering
 • Proficiency in SQL, Python
 • Experience with cloud platforms (AWS, Azure, or Google Cloud)
 • Knowledge of data warehousing (Redshift, BigQuery, Snowflake)
 • Familiar with PowerBI, Tableau, or QuickSight, but not a primary focus
 • Strong communication skills across technical and non\-technical teams
 • Bachelor's degree in Computer Science, Information Systems, or related field
**Bonus** 
 Experience in mission\-driven or membership\-based organizations
**Work Environment:** 
 This requires 3x/week onsite in Washington DC.</t>
        </is>
      </c>
    </row>
    <row r="88">
      <c r="A88" t="inlineStr">
        <is>
          <t>li-4371116441</t>
        </is>
      </c>
      <c r="B88" t="inlineStr">
        <is>
          <t>Data Engineer</t>
        </is>
      </c>
      <c r="C88" t="inlineStr">
        <is>
          <t>Randstad Digital Americas</t>
        </is>
      </c>
      <c r="D88" t="inlineStr">
        <is>
          <t>linkedin</t>
        </is>
      </c>
      <c r="E88">
        <f>HYPERLINK("https://www.linkedin.com/jobs/view/4371116441", "https://www.linkedin.com/jobs/view/4371116441")</f>
        <v/>
      </c>
      <c r="F88" t="inlineStr"/>
      <c r="G88" t="inlineStr">
        <is>
          <t>Malvern, PA</t>
        </is>
      </c>
      <c r="H88" t="inlineStr"/>
      <c r="I88" t="inlineStr">
        <is>
          <t>**Responsibilities**
 job summary:
 Writes ETL (Extract / Transform / Load) processes, designs database systems, and develops tools for real\-time and offline analytic processing.
 Troubleshoots software and processes for data consistency and integrity. Integrates data from a variety of sources for business partners to generate insight and make decisions.
 Experience building AWS cloud architecture and supporting services and technologies (Eg: ECS, Glue, S3, Glue Crawler, Redshift, Step Functions, Foundational Services like IAM, Cloud Watch, Cloud formation, Lambda, Secrets Manager, Sagemaker).
 Translates business specifications into design specifications and code. Responsible for writing programs, ad hoc queries, and reports. Ensures that all code is well structured, includes sufficient documentation, and is easy to maintain and reuse.
 Partners with internal clients to gain a basic understanding of business functions and informational needs. Gains working knowledge in tools, technologies, and applications/databases in specific business areas and company\-wide systems.
 Participates in all phases of solution development. Explains technical considerations at related meetings, including those with business clients.
 Expert building Spark data processing applications (Python, Pyspark).
 Expert with SQL development and Tableau Reporting.
 Experience with test automation and test\-driven development practices.
 Experience with CI/CD pipeline tools like Github.
 Tests code thoroughly for accuracy of intended purpose. Reviews end product with the client to ensure adequate understanding. Provides data analysis guidance as required.
 Provides tool and data support to business users and fellow team members.
**Qualifications**
 Writes ETL (Extract / Transform / Load) processes, designs database systems, and develops tools for real\-time and offline analytic processing.
 Troubleshoots software and processes for data consistency and integrity. Integrates data from a variety of sources for business partners to generate insight and make decisions.
 Experience building AWS cloud architecture and supporting services and technologies (Eg: ECS, Glue, S3, Glue Crawler, Redshift, Step Functions, Foundational Services like IAM, Cloud Watch, Cloud formation, Lambda, Secrets Manager, Sagemaker).
 Translates business specifications into design specifications and code. Responsible for writing programs, ad hoc queries, and reports. Ensures that all code is well structured, includes sufficient documentation, and is easy to maintain and reuse.
 Partners with internal clients to gain a basic understanding of business functions and informational needs. Gains working knowledge in tools, technologies, and applications/databases in specific business areas and company\-wide systems.
 Participates in all phases of solution development. Explains technical considerations at related meetings, including those with business clients.
 Expert building Spark data processing applications (Python, Pyspark).
 Expert with SQL development and Tableau Reporting.
 Experience with test automation and test\-driven development practices.
 Experience with CI/CD pipeline tools like Github.
 Tests code thoroughly for accuracy of intended purpose. Reviews end product with the client to ensure adequate understanding. Provides data analysis guidance as required.
 Provides tool and data support to business users and fellow team members.
 location: Malvern, Pennsylvania
 job type: Contract
 salary: $56\.33 \- 61\.33 per hour
 work hours: 8am to 5pm
 education: Bachelors
**Responsibilities**
**Responsibilities**
* Writes ETL (Extract / Transform / Load) processes, designs database systems, and develops tools for real\-time and offline analytic processing.
* Troubleshoots software and processes for data consistency and integrity. Integrates data from a variety of sources for business partners to generate insight and make decisions.
* Experience building AWS cloud architecture and supporting services and technologies (Eg: ECS, Glue, S3, Glue Crawler, Redshift, Step Functions, Foundational Services like IAM, Cloud Watch, Cloud formation, Lambda, Secrets Manager, Sagemaker).
* Translates business specifications into design specifications and code. Responsible for writing programs, ad hoc queries, and reports. Ensures that all code is well structured, includes sufficient documentation, and is easy to maintain and reuse.
* Partners with internal clients to gain a basic understanding of business functions and informational needs. Gains working knowledge in tools, technologies, and applications/databases in specific business areas and company\-wide systems.
* Participates in all phases of solution development. Explains technical considerations at related meetings, including those with business clients.
* Expert building Spark data processing applications (Python, Pyspark).
* Expert with SQL development and Tableau Reporting.
* Experience with test automation and test\-driven development practices.
* Experience with CI/CD pipeline tools like Github.
* Tests code thoroughly for accuracy of intended purpose. Reviews end product with the client to ensure adequate understanding. Provides data analysis guidance as required.
* Provides tool and data support to business users and fellow team members.
**Qualifications**
 Qualifications
 Writes ETL (Extract / Transform / Load) processes, designs database systems, and develops tools for real\-time and offline analytic processing.
 Troubleshoots software and processes for data consistency and integrity. Integrates data from a variety of sources for business partners to generate insight and make decisions.
 Experience building AWS cloud architecture and supporting services and technologies (Eg: ECS, Glue, S3, Glue Crawler, Redshift, Step Functions, Foundational Services like IAM, Cloud Watch, Cloud formation, Lambda, Secrets Manager, Sagemaker).
 Translates business specifications into design specifications and code. Responsible for writing programs, ad hoc queries, and reports. Ensures that all code is well structured, includes sufficient documentation, and is easy to maintain and reuse.
 Partners with internal clients to gain a basic understanding of business functions and informational needs. Gains working knowledge in tools, technologies, and applications/databases in specific business areas and company\-wide systems.
 Participates in all phases of solution development. Explains technical considerations at related meetings, including those with business clients.
 Expert building Spark data processing applications (Python, Pyspark).
 Expert with SQL development and Tableau Reporting.
 Experience with test automation and test\-driven development practices.
 Experience with CI/CD pipeline tools like Github.
 Tests code thoroughly for accuracy of intended purpose. Reviews end product with the client to ensure adequate understanding. Provides data analysis guidance as required.
 Provides tool and data support to business users and fellow team members.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row>
    <row r="89">
      <c r="A89" t="inlineStr">
        <is>
          <t>li-4372567416</t>
        </is>
      </c>
      <c r="B89" t="inlineStr">
        <is>
          <t>REMOTE DoW Mid/Senior Data Engineer (Database Engineer) - 26859</t>
        </is>
      </c>
      <c r="C89" t="inlineStr">
        <is>
          <t>RemoteHunter</t>
        </is>
      </c>
      <c r="D89" t="inlineStr">
        <is>
          <t>linkedin</t>
        </is>
      </c>
      <c r="E89">
        <f>HYPERLINK("https://www.linkedin.com/jobs/view/4372567416", "https://www.linkedin.com/jobs/view/4372567416")</f>
        <v/>
      </c>
      <c r="F89" t="inlineStr"/>
      <c r="G89" t="inlineStr"/>
      <c r="H89" t="inlineStr"/>
      <c r="I89" t="inlineStr">
        <is>
          <t>About the Opportunity:
 This role is within a business group focused on cyber and mission IT, electronic warfare, and C5ISR systems supporting national defense. The position supports Executive Order projects by enhancing a centralized data environment (CDE) that delivers auditable financial transaction data, improves transparency and accountability across the Department of the Workforce (DoW), and provides a common operating picture for senior leadership decision\-making. The role requires expertise in Python development and relational databases to translate strategic imperatives into actionable data solutions in a national security environment.
 Responsibilities:
 • Design, model, document, and govern logical and conceptual data architectures and schema evolutions for enterprise\-scale applications supporting tracking and accountability reforms
 • Analyze system requirements and develop technical, structural, and organizational specifications for auditable, transparent data flows
 • Establish and enforce data modeling standards, capacity planning, and performance optimization for high\-reliability DoW environments
 • Develop Python\-based scripts and ETL/ELT pipelines for secure data ingestion, transformation, and integration from diverse sources
 • Apply advanced SQL skills for querying, schema design, optimization, and data integrity assurance
 • Operate within Agile/SAFe frameworks to deliver iterative, high\-value increments aligned with business priorities and DoW policies
 • Provide technical guidance and mentorship to align development with strategic financial management system reform objectives including enhanced tracking, oversight, and reporting
 • Perform additional duties as assigned to advance mission goals
 Requirements:
 • Proven Python development experience including building scalable data pipelines and automation solutions
 • Strong relational database (SQL) skills with advanced querying and optimization
 • Ability to work independently and collaboratively in team settings
 • Self\-motivated with strong problem\-solving skills and a proactive mindset
 • Must possess and maintain an active Secret clearance at the time of consideration
 • Remote\-eligible position aligned with Eastern Time Zone core business hours
 Experience Levels:
 \- Database Engineer II: 2 years relevant experience with Bachelor’s degree; or 6 years relevant experience with High School Diploma or equivalent
 \- Database Engineer III: 5 years relevant experience with Bachelor’s degree; or 9 years relevant experience with High School Diploma or equivalent
 \- Database Engineer IV: 9 years relevant experience with Bachelor’s degree; or 13 years relevant experience with High School Diploma or equivalent
 Preferred Requirements:
 • Strong understanding of transactional data flows, financial management systems, and auditability requirements in DoW/security cooperation contexts
 • Direct experience with ADVANA
 • Experience in SAFe Agile environments, including PI planning, Scrum/Kanban ceremonies, and DevSecOps practices
 • Candidate residing in the East Coast region
 Benefits \&amp; Perks:
 • Medical, dental, and vision insurance plans
 • Wellness resources and employee assistance programs
 • Savings plan options (401(k))
 • Financial planning tools
 • Life insurance
 Compensation:
 • Anticipated salary range: $90,000\.00 to $145,000\.00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0">
      <c r="A90" t="inlineStr">
        <is>
          <t>li-4372558495</t>
        </is>
      </c>
      <c r="B90" t="inlineStr">
        <is>
          <t>Data Engineer</t>
        </is>
      </c>
      <c r="C90" t="inlineStr">
        <is>
          <t>Jobs via Dice</t>
        </is>
      </c>
      <c r="D90" t="inlineStr">
        <is>
          <t>linkedin</t>
        </is>
      </c>
      <c r="E90">
        <f>HYPERLINK("https://www.linkedin.com/jobs/view/4372558495", "https://www.linkedin.com/jobs/view/4372558495")</f>
        <v/>
      </c>
      <c r="F90" t="inlineStr"/>
      <c r="G90" t="inlineStr">
        <is>
          <t>Austin, TX</t>
        </is>
      </c>
      <c r="H90" t="inlineStr"/>
      <c r="I90" t="inlineStr">
        <is>
          <t>Dice is the leading career destination for tech experts at every stage of their careers. Our client, Mindlance, is seeking the following. Apply via Dice today!
**Data Engineer**
**Austin, TX**
**Relevant skills include:**
* Demonstrated competency in developing production\-ready models in an Object\-Oriented Prog language such as Python.
* Demonstrated competency in using data\-access technologies such as SQL, Spark, Databricks, etc.
* Experience with Visualization tools such as Tableau, Kepler.gl, etc.
* Experience with Data Modeling techniques such as Normalization, data quality and coverage assessment, attribute analysis, performance management, etc.
* Experience building machine learning models such as Regression, supervised learning, unsupervised learning, probabilistic inference, natural language modeling, etc.
* Excellent communication skills. Able to effectively lead meetings, to document work for reproduction, to write persuasively, to communicate proof\-of\-concepts, and to effectively take notes.
**What makes candidates stand\-out are skills such as:**
* Experience with Geospatial data search and analysis, geo\-indexing techniques, vector and raster data structures.
* Experience with remote sensing, GIS tools, and satellite imagery analysis.
* Experience with CVML
* Experience with advanced AI techniques and tools.
* Examples of professional work such as publications, patents, a portfolio of relevant project\-work, etc.
* Familiarity with Distributed Datasets
* Experienced with a variety of data structures such as time\-series, geo\-tagged, text, structured, and unstructured.
* Additional experience with other languages such as Java, JavaScript, Scala, etc.
* Experience with simulations such as Monte Carlo simulation, Gibbs sampling, etc.
* Experience with model validation, measuring model bias, measuring model drift, etc.
* Experience collaborating with stakeholders from disciplines such as Product, Sales, Finance, etc.
* Ability to communicate complex analytical insights in a manner which is clearly understandable by nontechnical audiences.
 “Mindlance is an Equal Opportunity Employer and does not discriminate in employment on the basis of – Minority/Gender/Disability/Religion/LGBTQI/Age/Veterans.”</t>
        </is>
      </c>
    </row>
    <row r="91">
      <c r="A91" t="inlineStr">
        <is>
          <t>li-4372810222</t>
        </is>
      </c>
      <c r="B91" t="inlineStr">
        <is>
          <t>Data Engineer - Remote</t>
        </is>
      </c>
      <c r="C91" t="inlineStr">
        <is>
          <t>Jobs via Dice</t>
        </is>
      </c>
      <c r="D91" t="inlineStr">
        <is>
          <t>linkedin</t>
        </is>
      </c>
      <c r="E91">
        <f>HYPERLINK("https://www.linkedin.com/jobs/view/4372810222", "https://www.linkedin.com/jobs/view/4372810222")</f>
        <v/>
      </c>
      <c r="F91">
        <f>HYPERLINK("https://click.appcast.io/t/q8-K8PlnkZaPL8UpThgWHhJ7wGS9fueTz5Sew5d05V0=&amp;urlHash=cSBd", "https://click.appcast.io/t/q8-K8PlnkZaPL8UpThgWHhJ7wGS9fueTz5Sew5d05V0=&amp;urlHash=cSBd")</f>
        <v/>
      </c>
      <c r="G91" t="inlineStr"/>
      <c r="H91" t="inlineStr"/>
      <c r="I91" t="inlineStr">
        <is>
          <t>Dice is the leading career destination for tech experts at every stage of their careers. Our client, Contract Staffing Recruiters, is seeking the following. Apply via Dice today!
 We are looking for a software developer is to create and maintain software programs to meet the needs of users, businesses, and industry requirements. A software developer is responsible for writing clean, scalable code using a variety of programming languages and participating in all phases of the software development lifecycle, from concept to deployment.
 Job Responsibilities:
* Collaborate with a team to define, design, and ship new features and software applications.
* Write efficient, maintainable, and reusable code that adheres to coding standards and technical design.
* Test and deploy applications and systems, revising, updating, refactoring, and debugging code as necessary.
* Participate in code reviews to maintain code quality and share knowledge across the team.
* Document development phases and monitor system performance, ensuring the application is up\-to\-date.
* Stay informed of advancements in technology and propose integration of new technology tools and applications.
 Skills:
* Strong proficiency in one or more programming languages (e.g., C\#, Java, Python, JavaScript).
* Familiarity with software development methodologies (Agile, Scrum, Kanban) and software lifecycle management tools (e.g., Git, JIRA).
* Effective problem\-solving skills and the ability to work in a fast\-paced, collaborative environment.
* Experience with databases (SQL, NoSQL), web servers (e.g., Apache) and UI/UX design.
* Understanding of fundamental design principles behind a scalable application.
* Knowledge of continuous integration and familiarity with build and deployment automation tools.
 Education/Experience:
* Bachelor’s degree in computer science, information systems or a related field required
* 2\-4 years experience required</t>
        </is>
      </c>
    </row>
    <row r="92">
      <c r="A92" t="inlineStr">
        <is>
          <t>li-4372564742</t>
        </is>
      </c>
      <c r="B92" t="inlineStr">
        <is>
          <t>Principal GCP Data Engineer</t>
        </is>
      </c>
      <c r="C92" t="inlineStr">
        <is>
          <t>Insight Global</t>
        </is>
      </c>
      <c r="D92" t="inlineStr">
        <is>
          <t>linkedin</t>
        </is>
      </c>
      <c r="E92">
        <f>HYPERLINK("https://www.linkedin.com/jobs/view/4372564742", "https://www.linkedin.com/jobs/view/4372564742")</f>
        <v/>
      </c>
      <c r="F92" t="inlineStr"/>
      <c r="G92" t="inlineStr"/>
      <c r="H92" t="inlineStr"/>
      <c r="I92" t="inlineStr">
        <is>
          <t>**Position:** 
 Principal GCP Data Engineer
**Location:** 
 Remote \- PST
**Type:** 
 Contract\-to\-Hire/Permanent
**Required Skills and Experience** 
* 10\+ years of experience in software engineering, data engineering, or data architecture
* Deep hands\-on experience with Google Cloud Platform (GCP), including Cloud Storage, Big Query, Pub/Sub, Dataflow, Data Fusion
* Proven experience leading migrations to the cloud; ideally to GCP
* Strong programming experience in Python and advanced SQL
* Experience designing scalable, production‑grade data pipelines
* Strong understanding of cloud‑native architecture principles, data modeling, and performance optimization
**Overview** 
 We are seeking a Principal GCP Data Engineer to lead a large‑scale migration from Microsoft Azure to Google Cloud Platform (GCP). This individual will serve as both a technical authority and hands‑on architect, guiding the organization through GCP best practices while designing, building, and optimizing scalable data solutions. This role requires deep expertise in GCP data services, strong Python and SQL skills, and the ability to coach teams on the “ins and outs” of GCP—what to do, what not to do, and how to build cloud‑native solutions the right way.
**Key Responsibilities:** 
* Lead the migration of data platforms and pipelines from Azure to Google Cloud Platform, ensuring performance, scalability, and cost efficiency
* Act as the GCP SME and trusted advisor, educating engineering teams on GCP best practices, architectural patterns, and common pitfalls
* Design and architect cloud‑native data solutions using GCP services, with a focus on reliability, security, and long‑term maintainability
* Build and scale cloud native data pipelines using Pub/Sub, Kafka, Spark, Dataflow, Datastream, dbt, and ELT/ETL frameworks
* Define schemas, partitioning strategies, and performance optimization plans for large\-scale workloads
* Implement HA/DR strategies including cross\-region replication and failover
* Partner with application teams to ensure seamless integration and performance alignment
* Provide technical leadership and mentorship on GCP best practices
**Compensation:** 
 $86\-97/hr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93">
      <c r="A93" t="inlineStr">
        <is>
          <t>li-4371929540</t>
        </is>
      </c>
      <c r="B93" t="inlineStr">
        <is>
          <t>Staff Data Engineer, Data Platform - IntelliScript (Remote)</t>
        </is>
      </c>
      <c r="C93" t="inlineStr">
        <is>
          <t>Milliman</t>
        </is>
      </c>
      <c r="D93" t="inlineStr">
        <is>
          <t>linkedin</t>
        </is>
      </c>
      <c r="E93">
        <f>HYPERLINK("https://www.linkedin.com/jobs/view/4371929540", "https://www.linkedin.com/jobs/view/4371929540")</f>
        <v/>
      </c>
      <c r="F93">
        <f>HYPERLINK("https://recruiting2.ultipro.com/MIL1017/JobBoard/f54234e9-dfde-b183-fd20-4fbdb19cba7a/OpportunityDetail?opportunityId=386dcf41-1c67-4b5f-91a2-4e75f2cac172&amp;source=LinkedIn&amp;urlHash=RptL", "https://recruiting2.ultipro.com/MIL1017/JobBoard/f54234e9-dfde-b183-fd20-4fbdb19cba7a/OpportunityDetail?opportunityId=386dcf41-1c67-4b5f-91a2-4e75f2cac172&amp;source=LinkedIn&amp;urlHash=RptL")</f>
        <v/>
      </c>
      <c r="G93" t="inlineStr">
        <is>
          <t>Brookfield, WI</t>
        </is>
      </c>
      <c r="H93" t="inlineStr"/>
      <c r="I93"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IntelliScript attracts top candidates with its innovative, collaborative, and entrepreneurial atmosphere focused on excellence, outstanding customer service, balance, and transparency. Everyone’s opinion counts here, and we motivate each other to explore our full and varied potential. Our steady growth means there are ongoing opportunities for you to expand your skills, take on new responsibilities, and advance in your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IntelliScript’s Data has been a key part of our success and is critical to our future. In this position as a Staff Data Engineer of IntelliScript’s Data Platform, you will be a trusted advisor across leadership and engineering team, responsible for technical decisions. You will ensure data systems work together across our hybrid environments with a focus on scale and performance. You will lead technical and architecture decisions in collaboration with architecture and data engineering teams while ensuring compliance with industry\-leading data privacy standards.
**What You Will Be Doing** 
* Acts as a subject matter expert and thought leader within the Data Platform Domain
* Data Strategy: Serves as a thought leader in data processing design and implementation, defining advanced structure for moving, storing, and maintaining high\-quality data
* Team Leadership: Leads projects by managing timelines, coordinating teams, and communicating project statuses. Influences organizational direction through effective leadership and strategic collaboration
* Data Governance and Security: Serves as a subject matter expert on governance standards, continuously aligning data practices with evolving industry best practices and requirements
* Project Management and Scope of Work: Contributes to defining the overall vision and strategy for data engineering within the organization, ensuring alignment with organizational goals and long\-term objectives
* Results Orientation: Establishes visionary goals, advises on strategic plans, employs advanced monitoring, influences high\-level stakeholders, and delivers transformative results
* Data Platform: Expansion of our Data Warehouse(s) and Lakehouse solutions for a healthcare data focused enterprise
+ Data Governance: Configuring and maintaining unity catalog to enable enterprise data lineage, data quality, auditability and data stewardship
+ Data Security: Building out Data Security protocols and best practices including the management of identified and de\-identified (PHI/PII) solutions
+ Access Management: Always ensure a policy of least privilege is followed for anything being implemented
+ External Data Products: Building data solutions for clients while upholding the best standards for reliability, quality, and performance
+ ETL: Building solutions within Delta Live Tables and automation of transformations
+ Medallion Architecture: Building out performant enterprise\-level medallion architecture(s)
+ Streaming and Batch Processing: Building fit\-for\-purpose near real\-time streaming and batch solutions
+ Large Data Management: Building out performant and efficient enterprise solutions for internal and external users for both structured and unstructured healthcare data
+ Platform Engineering: Building out Infrastructure as Code using Terraform and Asset Bundles
+ Costs: Working with the business to build cost effective and cost transparent Data solutions
* Pipeline/ETL Management: You will help architect, build, and maintain robust and scalable data pipelines, monitoring, and optimizing performance
+ Experience working with Migration tools i.e. Fivetran, AWS technologies and custom solutions
+ Identify and implement improvements to enhance data processing efficiency
+ Design and implement reliable and resilient Event Driven data processing
+ Experience with building out effective pipeline monitoring solutions
+ Build the infrastructure required for optimal extraction, transformation, and loading of data from a wide variety of data sources using SQL, Delta Live Tables, Python, Scala, and cloud\-based ‘big data’ technologies
* API Development: Drive our design and implementation of internal APIs for integrating data between different systems and applications
+ Integration with external systems utilizing API driven processes to ingest data
+ Develop APIs built on top of datasets for internal systems to consume data from Databricks
+ Experience integrating with external APIs including but not limited to Salesforce, Financial systems, HR systems and other external systems
* Data Modeling: Lead design, implementation, and maintenance of standards based (FHIR, OMOP, etc.) and efficient data models for both structured and unstructured data
+ Assemble large, complex data sets that meet functional and non\-functional business requirements
+ Develop and maintain data models, ensuring they align with business objectives and data privacy regulations
* Collaboration: Partner internally and externally with key stakeholders to ensure we are providing meaningful, functional, and valuable data
+ Effectively work with Data, Development, Analysts, Data Science, and Business team members to gather requirements, propose, and build solutions
+ Communicate complex technical concepts to non\-technical stakeholders and provide guidance on best practices
+ Ensure that technology execution aligns with business strategy and provides efficient, secure solutions and systems
+ Gather requirements and build out project plans to implement those requirements with forecasted efforts to implement
* Processes and Tools: Identify, design, and implement internal process improvements: automating manual processes, optimizing data delivery, re\-designing infrastructure for greater scalability, etc.
+ Build analytics tools that utilize the data pipeline to provide actionable insights into operational efficiency and other key business performance metrics
+ Create data tools for clinical, analytics and data scientist team members that assist them in building and optimizing our product into an innovative industry leader
+ Lead investigation of new tooling, develop implementation plans, and deployment of necessary tooling
**What We Need**
* 15\+ years of relevant experience in design, development, and testing of Data Platform solutions, such as Data Warehouses, Data Lakes, and Data Products
* Expert level experience working in Databricks and AWS
* Expert level experience working in both relational and non\-relational databases such as SQL Server, PostgreSQL, DynamoDB, DocumentDB
* Experience managing and standardizing clinical data from structured and unstructured sources
* Experience building and managing solutions on AWS
* Expert knowledge in healthcare standards including FHIR, C\-CDA, and traditional HL7
* Expert knowledge in clinical standards/ontologies including ICD10/SNOMED/NDC/LOINC/Rx Norm
* Expert in building out data models, data warehouses, designing of data lakes for enterprise and product use cases
* Familiarity with designing and building APIs, ETL and data ingestion processes and utilization of tools to support enterprise solutions
* Experience in performance tuning, query optimization, security, monitoring, and release management
* Experience working with and managing large, disparate, identified and de\-identified data sets from multiple data sources
* Experience with building and deploying IAC using terraform, asset bundles and GitHub
* Experience collaborating with Data Science teams and building AI based solutions to drive efficiencies and business value
**What You Bring To The Table**
* Demonstrated “let’s find a way to do it” attitude – no task is too big or too small
* Effective collaboration and communication across multiple technical and non\-technical disciplines
* Comfortable working through ambiguous situations
* Able to teach \&amp; mentor others on new/emerging technologies
* Customer obsessed with a business\-centric focus
* Able to understand both strategic and tactical needs and balance appropriately
* Driven, thorough and self\-directed
* Able to lead through influence and persuasion
* Curiosity to explore industry trends and drive the organization to utilize fit for purpose solutions
**Wish list**
* Bachelor's degree or master's degree in computer science, data engineering or related field
* Health and Life Insurance business experience
* Professional level solution architecture certification in AWS
**Location**
 The expected application deadline for this job is June 30, 2026\. This position is open to remote work. Applicants must be willing to travel to the Milliman office in Brookfield, WI as needed and travel nationwide for meetings, conferences, and team events.
**Compensation**
 The overall salary range for this role is $131,600 \- $249,780\.
**For Candidates Residing In**
* Alaska, California, Connecticut, Illinois, Maryland, Massachusetts, New Jersey, New York City, Pennsylvania, Virginia, Washington, or the District of Columbia the salary range is $151,340 \- $249,780\.
* All other locations the salary range is $131,600 \- $217,200\.
 A combination of factors will be considered, including, but not limited to, education, relevant work experience, qualifications, skills, certifications, etc.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94">
      <c r="A94" t="inlineStr">
        <is>
          <t>li-4373862676</t>
        </is>
      </c>
      <c r="B94" t="inlineStr">
        <is>
          <t>Principal Data Engineer</t>
        </is>
      </c>
      <c r="C94" t="inlineStr">
        <is>
          <t>Vera Bradley</t>
        </is>
      </c>
      <c r="D94" t="inlineStr">
        <is>
          <t>linkedin</t>
        </is>
      </c>
      <c r="E94">
        <f>HYPERLINK("https://www.linkedin.com/jobs/view/4373862676", "https://www.linkedin.com/jobs/view/4373862676")</f>
        <v/>
      </c>
      <c r="F94" t="inlineStr"/>
      <c r="G94" t="inlineStr">
        <is>
          <t>Roanoke, IN</t>
        </is>
      </c>
      <c r="H94" t="inlineStr"/>
      <c r="I94" t="inlineStr">
        <is>
          <t>At Vera Bradley, a Principal Data Engineer works as a highly collaborative senior technical professional to design and build our data infrastructure, as well as consulting with colleagues and partners on how best to apply and gain insights from our data. This role contributes to profitable growth by supporting both sales increases and cost savings, achieved with tools and processes maintained and/or built by the data team.
**Responsibilities**
* Design, build, and maintain the infrastructure that enables the collection, storage, processing, and analysis of large volumes of data, including data pipelines and data architecture on the Azure platform using SQL Server and other technologies
* Develop data integration solutions to bring together disparate data sources, coherently
* Deploy data quality and data governance processes to ensure data accuracy, consistency, and compliance in the context of the retail industry
* Support retail data and analytics product discovery, consulting to align technical approaches that support desired process and features
* Support efforts to develop insights from data to drive business growth and success, across teams
* Stay current with best practices in data engineering, data architecture, and Azure cloud computing
* Establish and instruct on architectural, development and documentation standards, and best practices
* Mentor team members and share knowledge
**Skills \&amp; Experience**
* Bachelor's or Master's degree in Computer Science, Information Technology, or a related field
* 8\+ years of experience in Azure and SQL Server data engineering and architecture
* Exceptional knowledge of SQL Server database administration, data modeling, and data warehousing
* Deep experience on the Azure platform, including Azure Data Factory, Azure Databricks, etc.
* Retail industry experience, especially with data pipelines, architecture, governance, quality, and security
* Strong analytical and problem\-solving skills
* Ability to design, build, and maintain scalable and reliable data pipelines and architecture
* Strong communication and collaboration skills
* Experience using agile software development practices
* Detail\-oriented with the ability to prioritize short\- and long\-term projects at the same time
 We are proud of the competitive and comprehensive compensation and benefit package provided to our associates and their families. Our compensation package is designed to meet our associates today and help them plan for the future.
 Health Benefits
 VRA offers a variety of medical, dental and vision programs to meet your family’s health care needs.
* Medical plan options including both a HDHP/HSA plan and a PPO plan
* Dental
* Vision
* Flexible spending accounts
 Survivor Benefits
 Life insurance provides peace of mind for your family should the unexpected happen.
* Employer provided 2X your salary in life insurance
* Accidental Death and Disability insurance
* Voluntary life insurance for you, your spouse and your children
 Income Protection
 If you are unable to work due to illness or injury VRA provides several programs to protect your income at no cost to you.
* Short\-term disability
* Long\-term disability
* Paid family medical leave
 Retirement Plan
 The VRA 401k plan helps you accumulate savings for retirement
* 401k with generous company match, immediate vesting (age and service requirement)
* Strong line up of professionally managed funds
* Safe\-harbor plan design
 Paid Time Off
 Enjoy generous time off programs.
* Earn up to 3 weeks of paid time off in your first year of employment with opportunity to earn more
* 9 paid holidays a year
* Paid bereavement leave
 Give Back Opportunities
 VRA offers the opportunity to serve your community.
* Voluntary Time Off
 Holistic Wellness
* Access to a variety of financial, physical, and mental wellness experts
* Employee Assistance Program with access to work/life wellness support including no cost unlimited telephonic counseling services
* Opportunities for leadership development, skill development and career advancement
 Product Discount
* Generous employee discount on Vera Bradley products
 Ancillary Benefits and Programs
* Bonus opportunity, identity protection, legal services, pet insurance, cell phone discount, employee referral bonus, annual birthday gift, DailyPay, corporate fitness facility and individual policies through Aflac
 Equal Opportunity Employer/Vets/Disabled
 Vera Bradley is an Equal Opportunity Employer and Affirmative Action Employer.
 Vera Bradley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For more information, please click the following links:
 Vera Bradley's Equal Employment and Affirmative Action Policy
 Know Your Rights: Workplace Discrimination is Illegal (in English)
 Know Your Rights: Workplace Discrimination is Illegal (in Spanish)
 Pay Transparency (in English)
 Pay Transparency (in Spanish)
 E\-Verify Participation Poster
 Right to Work Poster (English)
 Right to Work Poster (Spanish)
 California Privacy Notice
 If you need a reasonable accommodation for any part of the employment application process, please send an e\-mail to applicationassistance@VeraBradley.com. Please include the accommodation you are requesting and your contact information. Reasonable accommodations are considered on a case\-by\-case basis. Please note that only inquiries concerning a request for reasonable accommodation and other EEO/Affirmative Action issues will be responded to from this e\-mail address.
 Our intention is to fill this opening within 30 days of the original posting date and applications will be accepted on an on\-going basis until the position is filled.
 Base Pay Range:
 $104,300\.00 \- $156,500\.00
*Vera Bradley’s compensation ranges are based on market data and comply with all local, state and federal regulations. Individual pay within the listed range depends on work location, skills, experience, and relevant education. The posted salary reflects base pay only and excludes bonuses, equity, or other incentives, if applicable.*</t>
        </is>
      </c>
    </row>
    <row r="95">
      <c r="A95" t="inlineStr">
        <is>
          <t>li-4373867475</t>
        </is>
      </c>
      <c r="B95" t="inlineStr">
        <is>
          <t>Azure Data Engineer, Financial Services - NYC</t>
        </is>
      </c>
      <c r="C95" t="inlineStr">
        <is>
          <t>Huxley</t>
        </is>
      </c>
      <c r="D95" t="inlineStr">
        <is>
          <t>linkedin</t>
        </is>
      </c>
      <c r="E95">
        <f>HYPERLINK("https://www.linkedin.com/jobs/view/4373867475", "https://www.linkedin.com/jobs/view/4373867475")</f>
        <v/>
      </c>
      <c r="F95">
        <f>HYPERLINK("https://www.aplitrak.com/?adid=SFJMQy44MDY5NC4xNTUwQHN0aHJlZXVzYTIuYXBsaXRyYWsuY29t&amp;urlHash=NwO7", "https://www.aplitrak.com/?adid=SFJMQy44MDY5NC4xNTUwQHN0aHJlZXVzYTIuYXBsaXRyYWsuY29t&amp;urlHash=NwO7")</f>
        <v/>
      </c>
      <c r="G95" t="inlineStr">
        <is>
          <t>New York, NY</t>
        </is>
      </c>
      <c r="H95" t="inlineStr"/>
      <c r="I95" t="inlineStr">
        <is>
          <t>Azure Data Engineer \- Join Our Client's Innovative Team
 About the Role
 Are you passionate about data engineering and driven to deliver cutting\-edge solutions? We are seeking a highly skilled Azure Data Engineer to become a key member of our client's dynamic team within the financial services sector, based in New York. Partnering closely with data architects, data engineers, and Power BI developers, you will play a pivotal role in designing, implementing, and managing comprehensive data solutions that empower business decisions and drive impactful insights.
 Key Skills and Responsibilities
* **Data Pipeline Development:** 
 Build and maintain robust pipelines using Azure Data Factory, Synapse Analytics, and Azure Functions for efficient end\-to\-end data processing.
* **Event Streaming:** 
 Implement event\-driven ingestion patterns using Event Hubs, Fabric Eventstreams, and ingestion into KQL databases.
* **Database Management \&amp; Optimization:** 
 Manage Azure SQL DB, Cosmos DB, Synapse Serverless, and optimize Fabric Lakehouses using partitioning, indexing, and clustering techniques.
* **Power BI Integration:** 
 Create views and semantic models to support Power BI reporting and collaborate on optimizing DAX queries and designs.
* **Serverless Automation:** 
 Develop serverless solutions triggered by Azure Functions and build streamlined workflows using CI/CD pipelines via Azure DevOps or GitHub Actions.
* **Infrastructure as Code:** 
 Design and maintain Terraform modules to provision Azure data services and resources.
* **Programming Expertise:** 
 Proficiency in Python, SQL, and PySpark for data processing, automation, and advanced pipeline workflows.
 Education and Experience
* Bachelor's degree in Computer Science, Engineering, or a related field.
* 5\-7 years of relevant data engineering experience, preferably within financial services.
 Bring your expertise to support transformative projects with our client's team. Apply now to explore this exciting opportunity!
**EOE Statement:**
 Specialist Staffing Group is an equal opportunity employer. All qualified applicants will receive consideration for employment without regard to race, color, religion, sex, sexual orientation, gender identity, national origin, disability, or veteran status.
 In addition to base pay, direct\-hire employees may be eligible for client offered benefits such as medical, dental, and vision coverage, and paid leave where required by applicable law. Eligibility may vary based on factors such as location and hire date and is subject to change.
***To find out more about Huxley, please visit
 www.huxley.com***</t>
        </is>
      </c>
    </row>
    <row r="96">
      <c r="A96" t="inlineStr">
        <is>
          <t>li-4372800533</t>
        </is>
      </c>
      <c r="B96" t="inlineStr">
        <is>
          <t>Data Engineer</t>
        </is>
      </c>
      <c r="C96" t="inlineStr">
        <is>
          <t>Jobs via Dice</t>
        </is>
      </c>
      <c r="D96" t="inlineStr">
        <is>
          <t>linkedin</t>
        </is>
      </c>
      <c r="E96">
        <f>HYPERLINK("https://www.linkedin.com/jobs/view/4372800533", "https://www.linkedin.com/jobs/view/4372800533")</f>
        <v/>
      </c>
      <c r="F96">
        <f>HYPERLINK("https://click.appcast.io/t/rwX8rYCsAA7ubVv2YAa74aVCJZk6JBP0w7Bgv_NzV10=&amp;urlHash=860o", "https://click.appcast.io/t/rwX8rYCsAA7ubVv2YAa74aVCJZk6JBP0w7Bgv_NzV10=&amp;urlHash=860o")</f>
        <v/>
      </c>
      <c r="G96" t="inlineStr">
        <is>
          <t>Charlotte, NC</t>
        </is>
      </c>
      <c r="H96" t="inlineStr"/>
      <c r="I96" t="inlineStr">
        <is>
          <t>Dice is the leading career destination for tech experts at every stage of their careers. Our client, ITBrainiac Inc, is seeking the following. Apply via Dice today!
 Immediate Need \-Data Engineer \- Charlotte, NC \- Onsite \- Only Locals
 Role: Data Engineer
 Location: Charlotte, NC \- Only Locals
 Duration: 12\+ Months
**Required Skills**
 9\+ years of experience as a Data Engineer.
 Strong hands\-on experience with AWS services such as(S3, Glue, Lambda,EC2\)
 Redshift
 Expertise in Amazon Redshift (query optimization, distribution keys, sort keys).
 Proficiency in SQL and performance tuning.
 Experience building ETL pipelines using AWS Glue or similar tools.
 Strong understanding of data warehousing concepts and best practices.
 Experience with Python for data processing and automation.
 Knowledge of data governance and security best practice</t>
        </is>
      </c>
    </row>
    <row r="97">
      <c r="A97" t="inlineStr">
        <is>
          <t>li-4372565180</t>
        </is>
      </c>
      <c r="B97" t="inlineStr">
        <is>
          <t>Senior Security Analytics Engineer, Global E-Commerce Security Platform</t>
        </is>
      </c>
      <c r="C97" t="inlineStr">
        <is>
          <t>TikTok</t>
        </is>
      </c>
      <c r="D97" t="inlineStr">
        <is>
          <t>linkedin</t>
        </is>
      </c>
      <c r="E97">
        <f>HYPERLINK("https://www.linkedin.com/jobs/view/4372565180", "https://www.linkedin.com/jobs/view/4372565180")</f>
        <v/>
      </c>
      <c r="F97" t="inlineStr"/>
      <c r="G97" t="inlineStr">
        <is>
          <t>San Jose, CA</t>
        </is>
      </c>
      <c r="H97" t="inlineStr"/>
      <c r="I97" t="inlineStr">
        <is>
          <t>**Responsibilities**
 About the team: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reliable platform services in different scenarios such as live E\-commerce, short video content E\-commerce, so as to make more affordable and high\-quality products sell easily and a better life within reach.
 The Security Platform team is responsible for safeguarding the platform's security and creating a safe, trustworthy shopping and business environment for Global E\-commerce: allowing consumers to shop with confidence, sellers to operate with peace of mind, and influencers to focus on the enjoyment of bringing goods.
 In order to enhance collaboration and cross\-functional partnerships, among other things, at this time, our organization follows a work schedule that requires employees to work in the office 5 days a week, or as directed by their manager/department. We regularly review our work model, and the specific requirements may change at any time.
 Responsibilities:
 \- Responsible for relevant security incident investigation, data analysis, risk labeling, model building, and developing data\-driven security solutions to detect security threats and breaches, with the ability to implement and execute the solutions.
 \- Monitor and analyze emerging cyber threats and risks related to user accounts takeover, network traffic crawling, data leakage prevention, suspicious user behavior, etc.
 \- Responsible for emergency response to security incidents, and identify the root causes of issues and provide security solutions to mitigate the impact of cyber attacks within specific SLAs.
 \- Collaborate deeply with various business teams, product teams, and more technical and functional teams to design and deliver technical solutions addressing complex business security challenges.
 \- Perform real\-time data analysis and trending of security log data from various systems, apply advanced data analytics, statistical learning, and data mining techniques to strengthen security capabilities.
**Qualifications**
 Minimum Qualifications:
 \- Bachelor's degree or above in Computer Science, Information Security, Data Science, Business Analytics, or a related discipline.
 \- 2\+ years of experience in data analytics, with proficiency in SQL, Python, and relevant analytical tools/languages, be able to detect cyber threats and risks by data\-driven approaches.
 \- Excellent capabilities to investigate, identify, analyze hidden issues from real business risks and security incidents, and provide technical solutions addressing business risk challenges.
 \- Strong business judgment and ability to work independently in a fast\-paced, ambiguous environment, strong cross\-team communication skills to achieve results.
 Preferred Qualifications:
 \- Experienced in security risk mitigation, such as account security, data security, traffic security, or content safety strategy development.
 \- Experienced in E\-commerce and retail related business fields.
 \- Strong communication skills to bridge business and technical teams, with the ability to drive projects efficiently from risk detection through solution implementation; Proven resilience and stability.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98">
      <c r="A98" t="inlineStr">
        <is>
          <t>li-4372566122</t>
        </is>
      </c>
      <c r="B98" t="inlineStr">
        <is>
          <t>Senior Security Analytics Engineer, Global E-Commerce Security Platform</t>
        </is>
      </c>
      <c r="C98" t="inlineStr">
        <is>
          <t>TikTok</t>
        </is>
      </c>
      <c r="D98" t="inlineStr">
        <is>
          <t>linkedin</t>
        </is>
      </c>
      <c r="E98">
        <f>HYPERLINK("https://www.linkedin.com/jobs/view/4372566122", "https://www.linkedin.com/jobs/view/4372566122")</f>
        <v/>
      </c>
      <c r="F98" t="inlineStr"/>
      <c r="G98" t="inlineStr">
        <is>
          <t>Seattle, WA</t>
        </is>
      </c>
      <c r="H98" t="inlineStr"/>
      <c r="I98" t="inlineStr">
        <is>
          <t>**Responsibilities**
 About the team: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reliable platform services in different scenarios such as live E\-commerce, short video content E\-commerce, so as to make more affordable and high\-quality products sell easily and a better life within reach.
 The Security Platform team is responsible for safeguarding the platform's security and creating a safe, trustworthy shopping and business environment for Global E\-commerce: allowing consumers to shop with confidence, sellers to operate with peace of mind, and influencers to focus on the enjoyment of bringing goods.
 In order to enhance collaboration and cross\-functional partnerships, among other things, at this time, our organization follows a work schedule that requires employees to work in the office 5 days a week, or as directed by their manager/department. We regularly review our work model, and the specific requirements may change at any time.
 Responsibilities:
 \- Responsible for relevant security incident investigation, data analysis, risk labeling, model building, and developing data\-driven security solutions to detect security threats and breaches, with the ability to implement and execute the solutions.
 \- Monitor and analyze emerging cyber threats and risks related to user accounts takeover, network traffic crawling, data leakage prevention, suspicious user behavior, etc.
 \- Responsible for emergency response to security incidents, and identify the root causes of issues and provide security solutions to mitigate the impact of cyber attacks within specific SLAs.
 \- Collaborate deeply with various business teams, product teams, and more technical and functional teams to design and deliver technical solutions addressing complex business security challenges.
 \- Perform real\-time data analysis and trending of security log data from various systems, apply advanced data analytics, statistical learning, and data mining techniques to strengthen security capabilities.
**Qualifications**
 Minimum Qualifications:
 \- Bachelor's degree or above in Computer Science, Information Security, Data Science, Business Analytics, or a related discipline.
 \- 2\+ years of experience in data analytics, with proficiency in SQL, Python, and relevant analytical tools/languages, be able to detect cyber threats and risks by data\-driven approaches.
 \- Excellent capabilities to investigate, identify, analyze hidden issues from real business risks and security incidents, and provide technical solutions addressing business risk challenges.
 \- Strong business judgment and ability to work independently in a fast\-paced, ambiguous environment, strong cross\-team communication skills to achieve results.
 Preferred Qualifications:
 \- Experienced in security risk mitigation, such as account security, data security, traffic security, or content safety strategy development.
 \- Experienced in E\-commerce and retail related business fields.
 \- Strong communication skills to bridge business and technical teams, with the ability to drive projects efficiently from risk detection through solution implementation; Proven resilience and stability.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99">
      <c r="A99" t="inlineStr">
        <is>
          <t>li-4372543757</t>
        </is>
      </c>
      <c r="B99" t="inlineStr">
        <is>
          <t>Lead Power BI (Analytics Engineer – Operations)</t>
        </is>
      </c>
      <c r="C99" t="inlineStr">
        <is>
          <t>Jobs via Dice</t>
        </is>
      </c>
      <c r="D99" t="inlineStr">
        <is>
          <t>linkedin</t>
        </is>
      </c>
      <c r="E99">
        <f>HYPERLINK("https://www.linkedin.com/jobs/view/4372543757", "https://www.linkedin.com/jobs/view/4372543757")</f>
        <v/>
      </c>
      <c r="F99">
        <f>HYPERLINK("https://click.appcast.io/t/A27nGa2aFBdtUG7Sfcoln5fPxFbsXjAldbTFAqQ0uOs=&amp;urlHash=02tA", "https://click.appcast.io/t/A27nGa2aFBdtUG7Sfcoln5fPxFbsXjAldbTFAqQ0uOs=&amp;urlHash=02tA")</f>
        <v/>
      </c>
      <c r="G99" t="inlineStr"/>
      <c r="H99" t="inlineStr"/>
      <c r="I99" t="inlineStr">
        <is>
          <t>Dice is the leading career destination for tech experts at every stage of their careers. Our client, Source Infotech, is seeking the following. Apply via Dice today!
 Lead Power BI (Analytics Engineer – Operations)
 Location: Remote (MST hours required)
 Employment Type: (Contract)
**Overview**
 We are seeking a Lead BI \&amp; Analytics Engineer to own end\-to\-end Operations analytics,
 with primary responsibility for Power BI dashboards, metric integrity, and analytics reliability.
 A key part of this role is inheriting, stabilizing, and improving existing Power BI
 dashboards. You will step into an environment with live, business\-critical analytics already in
 use—some well\-built, some not—and take full ownership of making them accurate, consistent,
 performant, and trusted.
 This role carries full lifecycle accountability: from understanding ambiguous operational
 questions, through validating inherited logic, to deploying production\-ready analytics and
 supporting them over time.
 This is not a greenfield\-only or report\-builder role. It requires judgment, technical leadership,
 and comfort operating in a messy, real\-world Operations environment.
 Core Responsibilities
 End\-to\-End Analytics Ownership
* Own analytics delivery end\-to\-end for Operations reporting, including:
 ○ Requirements discovery and clarification
 ○ Inheriting and validating existing dashboards and metrics
 ○ Data sourcing, modeling, and DAX logic
 ○ Data validation against source systems
 ○ Dashboard design, usability, and performance
 ○ Deployment, access control, and ongoing operational support
* Act as the single point of accountability for analytics correctness, consistency, and
 trust.
 Dashboard Inheritance, Stabilization \&amp; Evolution
* Inherit existing Power BI dashboards and:
 ○ Audit metric definitions, calculations, and assumptions
 ○ Identify and resolve data quality, logic, and trust issues
 ○ Improve performance, structure, and maintainability
 ○ Standardize metrics across dashboards and reporting cycles
* Refactor, simplify, or rebuild dashboards where necessary to meet production standards.
* Balance stabilizing legacy analytics with delivering new dashboards as Operations
 needs evolve.
 Power BI \&amp; Analytics Leadership
* Lead the design, build, maintenance, and evolution of Operations dashboards using
 Power BI.
* Define and enforce standards for:
 ○ KPI definitions and calculation logic
 ○ Data model structure and grain
 ○ Visualization and usability
* Ensure dashboards are production\-grade and support real operational decision\-making.
 Data Modeling, Validation \&amp; Trust
* Own Power BI data models end\-to\-end, ensuring:
 ○ Correct relationships and grain
 ○ Clear semantic layers
 ○ Performance at scale
* Validate dashboard outputs using SQL and structured reconciliation against backend
 sources.
* Partner with upstream data teams to request, shape, and consume analytics\-ready
 datasets.
 Environment, Deployment \&amp; Governance
* Own Power BI environments end\-to\-end:
 ○ Workspace strategy
 ○ Dev / Test / Prod separation
 ○ Deployment pipelines or equivalent promotion practices
* Define and maintain row\-level security (RLS) and access control patterns.
* Establish governance practices that ensure accuracy and consistency without slowing
 delivery.
 Stakeholder Partnership \&amp; Direction
* Serve as the primary analytics partner for Operations leadership.
* Translate ambiguous operational questions into clear, actionable analytics solutions.
* Manage competing priorities between stabilizing inherited dashboards and delivering
 new analytics.
* Set expectations, push back when needed, and communicate clearly around tradeoffs
 and timelines.
 Lead\-Level Influence
* Provide technical guidance and review for other BI or analytics contributors when
 applicable.
* Set standards and best practices for Operations analytics.
* Raise overall analytics maturity through documentation, coaching, and example\-setting.
**Required Qualifications**
* 8\+ years of experience in BI, analytics engineering, or data visualization roles.
* Proven experience owning end\-to\-end analytics delivery, including inheriting and
 improving existing dashboards.
* Deep hands\-on expertise with:
 ○ Power BI report development
 ○ Data modeling
 ○ DAX
 ○ Workspace and environment management
* Strong SQL skills with demonstrated experience validating BI outputs against source
 systems.
* Track record of stabilizing and improving legacy or inherited analytics in production
 environments.
* Comfortable working with imperfect, multi\-source operational data.
* Strong stakeholder communication skills and confidence operating autonomously.
* Availability during Mountain Standard Time (MST) working hours.
**Preferred Qualifications**
* Experience acting as a functional or technical lead for analytics.
* Exposure to Sigma Computing (not required).
* Familiarity with Azure\-based data platforms (ADLS, Databricks, Synapse) as an
 analytics consumer.
* Experience with Power BI deployment pipelines, CI/CD concepts, or Azure DevOps.
* Background supporting Operations, Finance, or executive reporting in complex
 environments.
 Why This Role
 This role exists to take ownership of what already exists and make it better.
 Operations relies on live dashboards today. Some need refinement, some need correction, and
 some need to be rethought entirely. This role owns that reality—by inheriting dashboards,
 restoring trust, and evolving analytics to support how Operations actually runs.
 You don’t just build new dashboards.
 You own inherited ones end\-to\-end.</t>
        </is>
      </c>
    </row>
    <row r="100">
      <c r="A100" t="inlineStr">
        <is>
          <t>li-4372555541</t>
        </is>
      </c>
      <c r="B100" t="inlineStr">
        <is>
          <t>Senior Databricks Engineer Senior Data Engineer @ San Jose, CA 95110 _ Onsite - Only on W2</t>
        </is>
      </c>
      <c r="C100" t="inlineStr">
        <is>
          <t>Jobs via Dice</t>
        </is>
      </c>
      <c r="D100" t="inlineStr">
        <is>
          <t>linkedin</t>
        </is>
      </c>
      <c r="E100">
        <f>HYPERLINK("https://www.linkedin.com/jobs/view/4372555541", "https://www.linkedin.com/jobs/view/4372555541")</f>
        <v/>
      </c>
      <c r="F100">
        <f>HYPERLINK("https://click.appcast.io/t/ORpNgb73q7vKspvFipeDGd9Xu2GFM4lVf2y9fwgWZsM=&amp;urlHash=nhWP", "https://click.appcast.io/t/ORpNgb73q7vKspvFipeDGd9Xu2GFM4lVf2y9fwgWZsM=&amp;urlHash=nhWP")</f>
        <v/>
      </c>
      <c r="G100" t="inlineStr">
        <is>
          <t>San Jose, CA</t>
        </is>
      </c>
      <c r="H100" t="inlineStr"/>
      <c r="I100" t="inlineStr">
        <is>
          <t>Dice is the leading career destination for tech experts at every stage of their careers. Our client, BURGEON IT SERVICES LLC, is seeking the following. Apply via Dice today!
**Role: Senior Databricks Engineer Senior Data Engineer
 Location: San Jose, CA 95110 \_ Onsite
 Duration: Long Term \_ Only on W2**
**Experience Required:**
**8 12 Years (Minimum 8 years hands\-on experience in Databricks ecosystem)
 Please share the resume at**
**Must Have Skills (Top 3 Technical Skills):**
* Databricks
* Spark / PySpark
* Python Programming with SQL
**Key Technical Requirements:**
* Strong hands\-on experience in Databricks (8\+ years preferred)
* Expertise in Spark / PySpark for large\-scale data processing
* Advanced Python programming skills with strong SQL querying experience
* Experience in Data Modeling (Dimensional / Star Schema / Snowflake)
* Strong understanding of Data Quality frameworks
* Experience in building Monitoring \&amp; Alerting frameworks
* Ability to optimize Spark jobs and improve performance tuning
* Strong troubleshooting and problem\-solving skills
* Ability to work independently and lead technical implementation
**Detailed Job Responsibilities:**
* Design, develop, and optimize data pipelines using Databricks
* Develop scalable data transformation logic using PySpark
* Implement robust data models and ensure data integrity
* Build data validation, monitoring, and alerting frameworks
* Write complex SQL queries for data extraction and validation
* Perform performance tuning and troubleshooting of Spark workloads
* Collaborate with stakeholders to understand data requirements
* Ensure best practices in coding, deployment, and production support</t>
        </is>
      </c>
    </row>
    <row r="101">
      <c r="A101" t="inlineStr">
        <is>
          <t>li-4372551629</t>
        </is>
      </c>
      <c r="B101" t="inlineStr">
        <is>
          <t>Lead Data Engineer</t>
        </is>
      </c>
      <c r="C101" t="inlineStr">
        <is>
          <t>Jobs via Dice</t>
        </is>
      </c>
      <c r="D101" t="inlineStr">
        <is>
          <t>linkedin</t>
        </is>
      </c>
      <c r="E101">
        <f>HYPERLINK("https://www.linkedin.com/jobs/view/4372551629", "https://www.linkedin.com/jobs/view/4372551629")</f>
        <v/>
      </c>
      <c r="F101" t="inlineStr"/>
      <c r="G101" t="inlineStr">
        <is>
          <t>Lisle, IL</t>
        </is>
      </c>
      <c r="H101" t="inlineStr"/>
      <c r="I101" t="inlineStr">
        <is>
          <t>Dice is the leading career destination for tech experts at every stage of their careers. Our client, Altitude Technology Solutions Inc, is seeking the following. Apply via Dice today!
**Hello,**
**Greetings,**
**Hope you are safe \&amp; healthy.**
 My name is Kundan Mishra. I am a Technical Recruiter with Altitude Technology Solutions (ATS) INC.
 The purpose of this email is to serve as an invitation to discuss the opportunity below with our customer that I think you or your candidate would be a great fit for.
**Position** 
**: Lead Data Engineer**
**Location: Lisle, IL**
**Job Description:**
 As a Data Engineer Lead, you will play a critical role in ensuring the accuracy and reliability of our data. You will be responsible for selecting appropriate tools, performing technical data extraction, writing programs, and managing data from various sources, including PeopleSoft, BAAN, Infor LN. You will leverage cutting\-edge analytics to unlock the potential within our data, guide critical business decisions and propel sustainable growth. Your expertise will help us maintain clean and usable data, free from duplication and errors.
**Key Responsibilities**
* Lead the data conversion team through scoping, extraction, mapping, and loading of both the master data sets \&amp; transactional data sets from multiple sources into the SAP system through the project phases.
* Design, develop, and implement components to migrate data from legacy platforms to SAP ERP platforms.
* Define development and test templates and methods for extracting data from various sources, with a strong emphasis on PeopleSoft, BAAN, Infor LN systems.
* Evaluate and select appropriate tools and technologies for data extraction and cleansing.
* Write programs and scripts to automate data extraction, cleansing, transform and load processes.
* Identify and resolve data duplication issues. Perform data cleansing to ensure the accuracy and quality of data. Participate in governance for preventive measures due to duplication at source.
* Create and maintain data mapping documents to map source data attributes to Business partner (customer/supplier) attributes.
* Monitor Data quality issues and refine data quality rules and checks as needed.
* Collaborate with cross\-functional teams, technology, and architecture groups to understand data requirements and implement data\-centric solutions.
* Document processes, methodologies, and best practices for data extraction and cleansing.
* Monitor data quality and continuously improve data management processes.
**Minimum Requirements**
* 6\+ years of overall technology experience that includes at least 4\+ years of hands\-on software development, data engineering, and systems architecture.
* Experience deploying modern data solutions leveraging components like Azure functions, Azure Data Factory or AWS Glue
* Experience with data migration platforms like Syniti or data stage
* Experience with at least one of the data quality products, like Informatica data quality, Talend DQ, or Atacama.
* Experience with implementing SAP ERP solution (at least one or two implementations), hands\-on experience with SAP Hana
**Preferred Qualifications (What experience you’d like to see candidates have)**
* Proven experience in data extraction, data cleansing, and data management.
* Strong Proficiency in Python, Spark, PySpark, PLSQL, Pandas or similar.
* Hands\-on experience in Syniti, Azure Data Factory, Synapse, ADLS and/or AWS Glue and other AWS data services
* Design, develop, optimize, and maintain data pipelines in Azure/AWS Cloud Platforms
* Exhibit a thorough understanding of data quality, master data management concepts and ETL/ELT operations.
* Solid experience developing and maintaining data quality dashboards.
* Solid experience maintaining data quality issue tracker and following up with data stewards/or data owners to fix critical issues.
* Strong data analysis background, including the planning and hands on execution of data cleansing and complex data conversions.
* Ability to develop reports and analyze, parse and manipulate data using SQL and tools such as Excel, Access and SQL Loader
* Strong problem\-solving skills and attention to detail.
* Ability to work independently and as part of a team.
* Excellent communication and documentation skills.
* Experience with data visualization tools and techniques. Familiarity with data warehousing processes.
* Knowledge of data governance and data quality best practices.
**Thanks \&amp; Regards**
**Kundan Mishra**
 Sr. Technical Recruiter</t>
        </is>
      </c>
    </row>
    <row r="102">
      <c r="A102" t="inlineStr">
        <is>
          <t>li-4372565095</t>
        </is>
      </c>
      <c r="B102" t="inlineStr">
        <is>
          <t>Cloud Big Data Engineer (Senior/Specialist)</t>
        </is>
      </c>
      <c r="C102" t="inlineStr">
        <is>
          <t>Jobs via Dice</t>
        </is>
      </c>
      <c r="D102" t="inlineStr">
        <is>
          <t>linkedin</t>
        </is>
      </c>
      <c r="E102">
        <f>HYPERLINK("https://www.linkedin.com/jobs/view/4372565095", "https://www.linkedin.com/jobs/view/4372565095")</f>
        <v/>
      </c>
      <c r="F102" t="inlineStr"/>
      <c r="G102" t="inlineStr">
        <is>
          <t>Toronto, OH</t>
        </is>
      </c>
      <c r="H102" t="inlineStr"/>
      <c r="I102" t="inlineStr">
        <is>
          <t>Dice is the leading career destination for tech experts at every stage of their careers. Our client, VDart, Inc., is seeking the following. Apply via Dice today!
**Job Title: Cloud Big Data Engineer (Senior/Specialist)
 Location: Toronto, ON, Canada**
**Duration: 12 Months**
**Job Overview**
 Scale enterprise data with Spark/Scala on AWS or Azure.
 Design and optimize large\-scale data pipelines using Spark (Core, Streaming, SQL) and cloud\-native services. Transform raw data into analytics\-ready datasets for data scientists and business stakeholders.
**Pipeline Architecture**
* Build scalable ingestion/processing pipelines with Spark \+ Scala.
* Optimize Hadoop ecosystems and cloud storage/compute (S3/EMR or ADF/Databricks).
**Software Engineering**
* Write production\-grade Java/Scala code for data services.
* Implement SQL/NoSQL data models and warehousing solutions.
**Cloud Mastery**
* Architect high\-availability, cost\-efficient solutions on AWS or Azure.
* Performance tuning for petabyte\-scale data processing.
**Technical Requirements**
* Expert Spark (Core, Streaming, SQL) \+ Scala proficiency.
* Strong Java \+ Hadoop ecosystem experience.
* Hands\-on AWS (S3, EMR) OR Azure (Data Factory, Databricks).
* SQL/NoSQL \+ data warehousing expertise.
***Keywords***
*: Cloud Big Data Engineer, Senior Data Engineer, Spark, Scala, Spark Streaming, Spark SQL, Java, Hadoop, AWS S3, AWS EMR, Azure Data Factory, Azure Databricks, data pipeline, ETL pipeline, data ingestion, data processing, SQL, NoSQL, data warehouse, data modeling, cloud architecture, Hadoop ecosystem, distributed computing, Toronto data engineer, Spark optimization, Scala programming*
**About VDart Group**
 VDart Group is a global leader in technology, product, and talent solutions, serving Fortune 500 clients in 13 countries. With over 4,000 professionals worldwide, we deliver innovation, operational excellence, and measurable outcomes across industries. Guided by our commitment to People, Purpose, and Planet, VDart is recognized with an EcoVadis Bronze Medal and as a UN Global Compact member, reflecting our dedication to sustainable practices.</t>
        </is>
      </c>
    </row>
    <row r="103">
      <c r="A103" t="inlineStr">
        <is>
          <t>li-4372541847</t>
        </is>
      </c>
      <c r="B103" t="inlineStr">
        <is>
          <t>Sr. Data Engineer- Plano, TX- Only locals</t>
        </is>
      </c>
      <c r="C103" t="inlineStr">
        <is>
          <t>Jobs via Dice</t>
        </is>
      </c>
      <c r="D103" t="inlineStr">
        <is>
          <t>linkedin</t>
        </is>
      </c>
      <c r="E103">
        <f>HYPERLINK("https://www.linkedin.com/jobs/view/4372541847", "https://www.linkedin.com/jobs/view/4372541847")</f>
        <v/>
      </c>
      <c r="F103" t="inlineStr"/>
      <c r="G103" t="inlineStr">
        <is>
          <t>Plano, TX</t>
        </is>
      </c>
      <c r="H103" t="inlineStr"/>
      <c r="I103" t="inlineStr">
        <is>
          <t>Dice is the leading career destination for tech experts at every stage of their careers. Our client, mProgen, is seeking the following. Apply via Dice today!
**Required Technical Skills**
* SQL
+ Strong ability to write correct SQL and clearly explain joins, subqueries, output, and performance considerations.
+ Advanced experience designing, developing, and optimizing complex queries and stored procedures.
* Python
+ Ability to write readable, testable Python code appropriate to the business problem.
+ Experience refactoring code and clearly explaining logic end\-to\-end.
* Data Integration \&amp; APIs
+ Experience building data integrations using integration tools and APIs to ingest and move data across systems.
+ Proven ability to deliver maintainable data pipelines from intake through deployment with minimal oversight.
**Platform \&amp; Tool Experience**
* Snowflake
+ Working proficiency with roles and permissions basics.
+ Experience monitoring and troubleshooting workloads.
* GitHub
+ Experience with branching strategies, pull requests, workflows, code reviews, and repository hygiene.
* BI / Analytics Ecosystem
+ Familiarity with BI and analytics tools (e.g., Tableau) and/or SQL Server components, as applicable to the environment.
* Automation \&amp; Scripting
+ Experience using scripting or automation to reduce manual effort and improve team efficiency.</t>
        </is>
      </c>
    </row>
    <row r="104">
      <c r="A104" t="inlineStr">
        <is>
          <t>li-4372566020</t>
        </is>
      </c>
      <c r="B104" t="inlineStr">
        <is>
          <t>Google Cloud Platform Data Engineer (Lead or Architect)</t>
        </is>
      </c>
      <c r="C104" t="inlineStr">
        <is>
          <t>Jobs via Dice</t>
        </is>
      </c>
      <c r="D104" t="inlineStr">
        <is>
          <t>linkedin</t>
        </is>
      </c>
      <c r="E104">
        <f>HYPERLINK("https://www.linkedin.com/jobs/view/4372566020", "https://www.linkedin.com/jobs/view/4372566020")</f>
        <v/>
      </c>
      <c r="F104" t="inlineStr"/>
      <c r="G104" t="inlineStr">
        <is>
          <t>Palm Beach, FL</t>
        </is>
      </c>
      <c r="H104" t="inlineStr"/>
      <c r="I104" t="inlineStr">
        <is>
          <t>Dice is the leading career destination for tech experts at every stage of their careers. Our client, Rivago infotech inc, is seeking the following. Apply via Dice today!
**H1b Workable**
**Near by Relocation only**
**Role \- Lead Google Cloud Platform Data Engineer/ Architect**
**Location \- Palm Beach , FL (Hybrid, 3\-4 days/ week)**
**Contract**
**Implementation partner \-** 
**\*\*\*\*\*\*\*\***
**End client \- Confidential**
**Mode of interview \- Video / Virtual**
**Exp \- Lead 10\+ years** 
**\- 15 years**
**Architect** 
**12\+ years \- 15 years**
**Job Description:**
 We are looking for a highly experienced Lead Data Engineer/ Architect with deep expertise in Google Cloud Platform (Google Cloud Platform) to lead the design, development, and optimization of large\-scale, cloud\-native data platforms. The role requires strong hands\-on capabilities along with technical leadership, architectural decision\-making, and mentoring responsibilities.
 Key Responsibilities
* Lead end\-to\-end design and implementation of scalable data architectures on Google Cloud Platform.
* Architect, develop, and optimize data pipelines and data storage solutions using Dataflow, Cloud SQL, and BigQuery.
* Own and optimize complex SQL queries and Python\-based data processing frameworks replicating data from ERP systems.
* Establish best practices for data modeling, ETL/ELT frameworks, and pipeline orchestration.
* Drive DevOps and CI/CD strategies for data platforms using Google Cloud Platform\-native tools.
* Ensure platform reliability, data quality, security, and cost optimization.
* Act as a technical advisor to stakeholders, translating business requirements into scalable data solutions.
* Mentor and guide junior and mid\-level data engineers.
* Conduct design reviews, performance tuning, and production issue resolution.
**Required Skills \&amp; Qualifications:**
* 10–15 years of overall experience in data engineering and analytics platforms.
* Strong hands\-on expertise in SQL and Python.
* Extensive experience with Google Cloud Platform, including:
* BigQuery
* Cloud SQL
* Dataflow (Apache Beam)
* Proven experience in Google Cloud Platform DevOps, including CI/CD pipelines, monitoring, logging, and automation.
* Strong understanding of distributed systems, data warehousing, and large\-scale data processing.
* Experience designing and operating high\-volume, high\-availability data platforms.
* Hands\-on experience with version control systems (Git).
**Good to Have**
* Experience with real\-time/streaming architecture replicating data from legacy ERP systems.
* Knowledge of data governance, metadata management, and security best practices.
* Google Cloud Platform certifications (Professional Data Engineer / Cloud Architect).
* Experience working in large enterprise environments (Supply Chain knowledge a plus).</t>
        </is>
      </c>
    </row>
    <row r="105">
      <c r="A105" t="inlineStr">
        <is>
          <t>li-4372574318</t>
        </is>
      </c>
      <c r="B105" t="inlineStr">
        <is>
          <t>Data Engineer</t>
        </is>
      </c>
      <c r="C105" t="inlineStr">
        <is>
          <t>Haystack</t>
        </is>
      </c>
      <c r="D105" t="inlineStr">
        <is>
          <t>linkedin</t>
        </is>
      </c>
      <c r="E105">
        <f>HYPERLINK("https://www.linkedin.com/jobs/view/4372574318", "https://www.linkedin.com/jobs/view/4372574318")</f>
        <v/>
      </c>
      <c r="F105">
        <f>HYPERLINK("https://haystack.cv/jobs/0b264723-a9b3-401e-9b8f-73a0528c0270?src=direct&amp;urlHash=kipd", "https://haystack.cv/jobs/0b264723-a9b3-401e-9b8f-73a0528c0270?src=direct&amp;urlHash=kipd")</f>
        <v/>
      </c>
      <c r="G105" t="inlineStr">
        <is>
          <t>Miami, FL</t>
        </is>
      </c>
      <c r="H105" t="inlineStr"/>
      <c r="I105" t="inlineStr">
        <is>
          <t>Data Integration Specialist (TS/SCI) \| Doral, Florida, United States \| $81,000\-$173,000 yearly
 We're working with Vantor on this exciting opportunity. This role supports a DoD customer by developing, integrating, and sustaining a scalable, federated data ecosystem to enhance interoperability, governance, and mission\-driven analytics. You will be crucial in bridging operational gaps for real\-time information sharing and dynamic data integration.
 The Role
 • Develop and maintain scalable data pipelines for real\-time and batch processing of structured and unstructured data.
 • Implement Extract, Transform, Load (ETL) workflows to facilitate data interoperability across cloud and on\-premises environments.
 • Manage schema alignment, metadata tagging, and data governance to ensure data quality and traceability.
 • Coordinate with the AI/ML Engineer to ensure data transformations meet model training and analytical requirements.
 • Submit Data Ingestion \&amp; Transformation Reports, documenting data sources, pipeline optimizations, and integration updates.
 What You'll Need
 • Active TS\-SCI Clearance.
 • Bachelor's degree in Data Science, Information Management, or a related field, or five (5\) years of equivalent experience in data integration.
 • Demonstrated experience in developing and managing ETL workflows, integrating data from multiple sources, and ensuring data quality.
 • Expertise with tools like Apache NiFi, Databricks, and SQL\-based data warehouses.
 • Proficiency in data integration tools, API development, ETL pipelines, and schema management.
 • Knowledge and capability to manage data ingestion, transformation, and interoperability across cloud and on\-premises environments.
 What's On Offer
 • Competitive salary with comprehensive benefits, including paid time off, health and welfare insurance, and 401(k).
 • Opportunity to work on a critical mission supporting a DoD customer.
 • Contribute to real\-time information sharing and dynamic data integration.
 Apply via Haystack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2026-02-17T01:46:51Z</dcterms:created>
  <dcterms:modified xsi:type="dcterms:W3CDTF">2026-02-17T01:46:51Z</dcterms:modified>
</cp:coreProperties>
</file>