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in-95387f76ab06100d</t>
        </is>
      </c>
      <c r="B2" t="inlineStr">
        <is>
          <t>Sr. Applied Scientist, Amazon Ads</t>
        </is>
      </c>
      <c r="C2" t="inlineStr">
        <is>
          <t>Amazon.com</t>
        </is>
      </c>
      <c r="D2" t="inlineStr">
        <is>
          <t>indeed</t>
        </is>
      </c>
      <c r="E2" t="inlineStr"/>
      <c r="F2" t="inlineStr"/>
      <c r="G2" t="inlineStr">
        <is>
          <t>Brooklyn,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in-3aac9e24f3a2f578</t>
        </is>
      </c>
      <c r="B3" t="inlineStr">
        <is>
          <t>Sr. Applied Scientist, Amazon Ads</t>
        </is>
      </c>
      <c r="C3" t="inlineStr">
        <is>
          <t>Amazon.com</t>
        </is>
      </c>
      <c r="D3" t="inlineStr">
        <is>
          <t>indeed</t>
        </is>
      </c>
      <c r="E3" t="inlineStr"/>
      <c r="F3" t="inlineStr"/>
      <c r="G3" t="inlineStr">
        <is>
          <t>Boston, MA,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in-dc14678d558a2f50</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in-165fee81f8df3be9</t>
        </is>
      </c>
      <c r="B5" t="inlineStr">
        <is>
          <t>Sr. Applied Scientist, Amazon Ads</t>
        </is>
      </c>
      <c r="C5" t="inlineStr">
        <is>
          <t>Amazon.com</t>
        </is>
      </c>
      <c r="D5" t="inlineStr">
        <is>
          <t>indeed</t>
        </is>
      </c>
      <c r="E5" t="inlineStr"/>
      <c r="F5" t="inlineStr"/>
      <c r="G5" t="inlineStr">
        <is>
          <t>New York,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in-15151d8743497d43</t>
        </is>
      </c>
      <c r="B6" t="inlineStr">
        <is>
          <t>Sr. Applied Scientist, Amazon Ads</t>
        </is>
      </c>
      <c r="C6" t="inlineStr">
        <is>
          <t>Amazon.com</t>
        </is>
      </c>
      <c r="D6" t="inlineStr">
        <is>
          <t>indeed</t>
        </is>
      </c>
      <c r="E6" t="inlineStr"/>
      <c r="F6" t="inlineStr"/>
      <c r="G6" t="inlineStr">
        <is>
          <t>Tukwila, WA,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in-8e248a2a59529793</t>
        </is>
      </c>
      <c r="B7" t="inlineStr">
        <is>
          <t>Sr. Applied Scientist, Amazon Ads</t>
        </is>
      </c>
      <c r="C7" t="inlineStr">
        <is>
          <t>Amazon.com</t>
        </is>
      </c>
      <c r="D7" t="inlineStr">
        <is>
          <t>indeed</t>
        </is>
      </c>
      <c r="E7" t="inlineStr"/>
      <c r="F7" t="inlineStr"/>
      <c r="G7" t="inlineStr">
        <is>
          <t>Seattle, WA,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in-9c48f27e100278ea</t>
        </is>
      </c>
      <c r="B8" t="inlineStr">
        <is>
          <t>Sr. Applied Scientist, Amazon Ads</t>
        </is>
      </c>
      <c r="C8" t="inlineStr">
        <is>
          <t>Amazon.com</t>
        </is>
      </c>
      <c r="D8" t="inlineStr">
        <is>
          <t>indeed</t>
        </is>
      </c>
      <c r="E8" t="inlineStr"/>
      <c r="F8" t="inlineStr"/>
      <c r="G8" t="inlineStr">
        <is>
          <t>Corvallis, OR,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in-36eccb583115534f</t>
        </is>
      </c>
      <c r="B9" t="inlineStr">
        <is>
          <t>Sr. Applied Scientist, Amazon Ads</t>
        </is>
      </c>
      <c r="C9" t="inlineStr">
        <is>
          <t>Amazon.com</t>
        </is>
      </c>
      <c r="D9" t="inlineStr">
        <is>
          <t>indeed</t>
        </is>
      </c>
      <c r="E9" t="inlineStr"/>
      <c r="F9" t="inlineStr"/>
      <c r="G9" t="inlineStr">
        <is>
          <t>Palo Alto, CA,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in-6b1e8f1a5115df12</t>
        </is>
      </c>
      <c r="B10" t="inlineStr">
        <is>
          <t>Sr. Applied Scientist, Amazon Ads</t>
        </is>
      </c>
      <c r="C10" t="inlineStr">
        <is>
          <t>Amazon.com</t>
        </is>
      </c>
      <c r="D10" t="inlineStr">
        <is>
          <t>indeed</t>
        </is>
      </c>
      <c r="E10" t="inlineStr"/>
      <c r="F10" t="inlineStr"/>
      <c r="G10" t="inlineStr">
        <is>
          <t>Boulder, CO,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in-a684575bc49ac1b3</t>
        </is>
      </c>
      <c r="B11" t="inlineStr">
        <is>
          <t>Sr. Applied Scientist, Amazon Ads</t>
        </is>
      </c>
      <c r="C11" t="inlineStr">
        <is>
          <t>Amazon.com</t>
        </is>
      </c>
      <c r="D11" t="inlineStr">
        <is>
          <t>indeed</t>
        </is>
      </c>
      <c r="E11" t="inlineStr"/>
      <c r="F11" t="inlineStr"/>
      <c r="G11" t="inlineStr">
        <is>
          <t>Sunnyvale,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in-50bd9138d62b96c5</t>
        </is>
      </c>
      <c r="B12" t="inlineStr">
        <is>
          <t>Applied Scientist</t>
        </is>
      </c>
      <c r="C12" t="inlineStr">
        <is>
          <t>Amazon.com</t>
        </is>
      </c>
      <c r="D12" t="inlineStr">
        <is>
          <t>indeed</t>
        </is>
      </c>
      <c r="E12" t="inlineStr"/>
      <c r="F12" t="inlineStr"/>
      <c r="G12" t="inlineStr">
        <is>
          <t>Palo Alto, CA, US</t>
        </is>
      </c>
      <c r="H12" s="1" t="n">
        <v>45939</v>
      </c>
      <c r="I1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in-3bbf3601f97e9a52</t>
        </is>
      </c>
      <c r="B13" t="inlineStr">
        <is>
          <t>Sr. Applied Scientist, SPB Advertiser Guidance</t>
        </is>
      </c>
      <c r="C13" t="inlineStr">
        <is>
          <t>Amazon.com</t>
        </is>
      </c>
      <c r="D13" t="inlineStr">
        <is>
          <t>indeed</t>
        </is>
      </c>
      <c r="E13" t="inlineStr"/>
      <c r="F13" t="inlineStr"/>
      <c r="G13" t="inlineStr">
        <is>
          <t>New York, NY, US</t>
        </is>
      </c>
      <c r="H13" s="1" t="n">
        <v>45939</v>
      </c>
      <c r="I1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in-f6164db7da71034b</t>
        </is>
      </c>
      <c r="B14" t="inlineStr">
        <is>
          <t>Applied Scientist</t>
        </is>
      </c>
      <c r="C14" t="inlineStr">
        <is>
          <t>Amazon.com</t>
        </is>
      </c>
      <c r="D14" t="inlineStr">
        <is>
          <t>indeed</t>
        </is>
      </c>
      <c r="E14" t="inlineStr"/>
      <c r="F14" t="inlineStr"/>
      <c r="G14" t="inlineStr">
        <is>
          <t>New York, NY, US</t>
        </is>
      </c>
      <c r="H14" s="1" t="n">
        <v>45939</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in-73033261130b7290</t>
        </is>
      </c>
      <c r="B15" t="inlineStr">
        <is>
          <t>Sr. Applied Scientist, SPB Advertiser Guidance</t>
        </is>
      </c>
      <c r="C15" t="inlineStr">
        <is>
          <t>Amazon.com</t>
        </is>
      </c>
      <c r="D15" t="inlineStr">
        <is>
          <t>indeed</t>
        </is>
      </c>
      <c r="E15" t="inlineStr"/>
      <c r="F15" t="inlineStr"/>
      <c r="G15" t="inlineStr">
        <is>
          <t>Seattle, WA, US</t>
        </is>
      </c>
      <c r="H15" s="1" t="n">
        <v>45939</v>
      </c>
      <c r="I1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in-942e7cc80cbe6dcd</t>
        </is>
      </c>
      <c r="B16" t="inlineStr">
        <is>
          <t>Applied Scientist</t>
        </is>
      </c>
      <c r="C16" t="inlineStr">
        <is>
          <t>Amazon.com</t>
        </is>
      </c>
      <c r="D16" t="inlineStr">
        <is>
          <t>indeed</t>
        </is>
      </c>
      <c r="E16" t="inlineStr"/>
      <c r="F16" t="inlineStr"/>
      <c r="G16" t="inlineStr">
        <is>
          <t>Seattle, WA, US</t>
        </is>
      </c>
      <c r="H16" s="1" t="n">
        <v>45939</v>
      </c>
      <c r="I1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in-4f486ebe1e8a7616</t>
        </is>
      </c>
      <c r="B17" t="inlineStr">
        <is>
          <t>Sr. Applied Scientist, SPB Advertiser Guidance</t>
        </is>
      </c>
      <c r="C17" t="inlineStr">
        <is>
          <t>Amazon.com</t>
        </is>
      </c>
      <c r="D17" t="inlineStr">
        <is>
          <t>indeed</t>
        </is>
      </c>
      <c r="E17" t="inlineStr"/>
      <c r="F17" t="inlineStr"/>
      <c r="G17" t="inlineStr">
        <is>
          <t>Palo Alto, CA, US</t>
        </is>
      </c>
      <c r="H17" s="1" t="n">
        <v>45939</v>
      </c>
      <c r="I1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in-0b1e5c6ab7783a28</t>
        </is>
      </c>
      <c r="B18" t="inlineStr">
        <is>
          <t>Applied Scientist II, Prime Video - Personalization and Discovery Science, Personalization and Discovery Science</t>
        </is>
      </c>
      <c r="C18" t="inlineStr">
        <is>
          <t>Amazon.com</t>
        </is>
      </c>
      <c r="D18" t="inlineStr">
        <is>
          <t>indeed</t>
        </is>
      </c>
      <c r="E18" t="inlineStr"/>
      <c r="F18" t="inlineStr"/>
      <c r="G18" t="inlineStr">
        <is>
          <t>New York, NY, US</t>
        </is>
      </c>
      <c r="H18" s="1" t="n">
        <v>45930</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in-bb7fd0a28117fa87</t>
        </is>
      </c>
      <c r="B19" t="inlineStr">
        <is>
          <t>Applied Scientist II, Prime Video - Personalization and Discovery Science, Personalization and Discovery Science</t>
        </is>
      </c>
      <c r="C19" t="inlineStr">
        <is>
          <t>Amazon.com</t>
        </is>
      </c>
      <c r="D19" t="inlineStr">
        <is>
          <t>indeed</t>
        </is>
      </c>
      <c r="E19" t="inlineStr"/>
      <c r="F19" t="inlineStr"/>
      <c r="G19" t="inlineStr">
        <is>
          <t>Seattle, WA, US</t>
        </is>
      </c>
      <c r="H19" s="1" t="n">
        <v>45930</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in-352a89ad3c12f210</t>
        </is>
      </c>
      <c r="B20" t="inlineStr">
        <is>
          <t>Applied Scientist II, Prime Video - Personalization and Discovery Science, Personalization and Discovery Science</t>
        </is>
      </c>
      <c r="C20" t="inlineStr">
        <is>
          <t>Amazon.com</t>
        </is>
      </c>
      <c r="D20" t="inlineStr">
        <is>
          <t>indeed</t>
        </is>
      </c>
      <c r="E20" t="inlineStr"/>
      <c r="F20" t="inlineStr"/>
      <c r="G20" t="inlineStr">
        <is>
          <t>Sunnyvale, CA, US</t>
        </is>
      </c>
      <c r="H20" s="1" t="n">
        <v>45930</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in-7394663bddc5ee32</t>
        </is>
      </c>
      <c r="B21" t="inlineStr">
        <is>
          <t>Applied Scientist II, Prime Video - Personalization and Discovery Science</t>
        </is>
      </c>
      <c r="C21" t="inlineStr">
        <is>
          <t>Amazon.com</t>
        </is>
      </c>
      <c r="D21" t="inlineStr">
        <is>
          <t>indeed</t>
        </is>
      </c>
      <c r="E21" t="inlineStr"/>
      <c r="F21" t="inlineStr"/>
      <c r="G21" t="inlineStr">
        <is>
          <t>New York, NY,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in-bad37f00861c3da7</t>
        </is>
      </c>
      <c r="B22" t="inlineStr">
        <is>
          <t>Sr. Applied Scientist, Prime Video - Personalization and Discovery Science</t>
        </is>
      </c>
      <c r="C22" t="inlineStr">
        <is>
          <t>Amazon.com</t>
        </is>
      </c>
      <c r="D22" t="inlineStr">
        <is>
          <t>indeed</t>
        </is>
      </c>
      <c r="E22" t="inlineStr"/>
      <c r="F22" t="inlineStr"/>
      <c r="G22" t="inlineStr">
        <is>
          <t>Seattle, WA,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in-7eb618daeb517bbf</t>
        </is>
      </c>
      <c r="B23" t="inlineStr">
        <is>
          <t>Applied Scientist II, Prime Video - Personalization and Discovery Science</t>
        </is>
      </c>
      <c r="C23" t="inlineStr">
        <is>
          <t>Amazon.com</t>
        </is>
      </c>
      <c r="D23" t="inlineStr">
        <is>
          <t>indeed</t>
        </is>
      </c>
      <c r="E23" t="inlineStr"/>
      <c r="F23" t="inlineStr"/>
      <c r="G23" t="inlineStr">
        <is>
          <t>Seattle, WA,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in-b5e183b23a1f6e76</t>
        </is>
      </c>
      <c r="B24" t="inlineStr">
        <is>
          <t>Sr. Applied Scientist, Prime Video - Personalization and Discovery Science</t>
        </is>
      </c>
      <c r="C24" t="inlineStr">
        <is>
          <t>Amazon.com</t>
        </is>
      </c>
      <c r="D24" t="inlineStr">
        <is>
          <t>indeed</t>
        </is>
      </c>
      <c r="E24" t="inlineStr"/>
      <c r="F24" t="inlineStr"/>
      <c r="G24" t="inlineStr">
        <is>
          <t>New York, NY,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in-9019b9d413209086</t>
        </is>
      </c>
      <c r="B25" t="inlineStr">
        <is>
          <t>Sr. Applied Scientist, Prime Video - Personalization and Discovery Science</t>
        </is>
      </c>
      <c r="C25" t="inlineStr">
        <is>
          <t>Amazon.com</t>
        </is>
      </c>
      <c r="D25" t="inlineStr">
        <is>
          <t>indeed</t>
        </is>
      </c>
      <c r="E25" t="inlineStr"/>
      <c r="F25" t="inlineStr"/>
      <c r="G25" t="inlineStr">
        <is>
          <t>Sunnyvale, CA, US</t>
        </is>
      </c>
      <c r="H25" s="1" t="n">
        <v>45881</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in-a28dace6ca9ab39a</t>
        </is>
      </c>
      <c r="B26" t="inlineStr">
        <is>
          <t>Applied Scientist II, Prime Video - Personalization and Discovery Science</t>
        </is>
      </c>
      <c r="C26" t="inlineStr">
        <is>
          <t>Amazon.com</t>
        </is>
      </c>
      <c r="D26" t="inlineStr">
        <is>
          <t>indeed</t>
        </is>
      </c>
      <c r="E26" t="inlineStr"/>
      <c r="F26" t="inlineStr"/>
      <c r="G26" t="inlineStr">
        <is>
          <t>Sunnyvale, CA, US</t>
        </is>
      </c>
      <c r="H26" s="1" t="n">
        <v>45881</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in-d76ff680fa628a2d</t>
        </is>
      </c>
      <c r="B27" t="inlineStr">
        <is>
          <t>AI Machine Learning Engineer Sr - Deployed AI</t>
        </is>
      </c>
      <c r="C27" t="inlineStr">
        <is>
          <t>Lockheed Martin</t>
        </is>
      </c>
      <c r="D27" t="inlineStr">
        <is>
          <t>indeed</t>
        </is>
      </c>
      <c r="E27" t="inlineStr"/>
      <c r="F27" t="inlineStr"/>
      <c r="G27" t="inlineStr">
        <is>
          <t>Fort Worth, TX, US</t>
        </is>
      </c>
      <c r="H27" s="1" t="n">
        <v>45999</v>
      </c>
      <c r="I27" t="inlineStr">
        <is>
          <t>**Job ID:** 712576BR
**Date posted:** Dec. 09, 2025  
**Description:**Are you ready to unlock the power of AI and machine learning to drive business success? We're seeking a highly skilled AI/ML Engineer to join our team as a trusted technical liaison between our customers and our consulting practice. As a remote member of a dynamic team, you'll have the opportunity to design, develop, and productionize machine\-learning solutions that make a real impact. With high ownership and rapid impact, this role is perfect for a technically\-savvy, business\-oriented individual looking to accelerate their career at the intersection of AI and real\-world business problems.  
What you'll be doing:  
* Building, testing, and deploying end\-to\-end AI/ML models, pipelines, and API services in the customer's production environment using Python, SQL, etc.
* Monitoring, troubleshooting, and continuously optimizing deployed solutions to meet performance\-SLA and business KPIs
* Serving as the primary technical point of contact for the assigned function and act as the LAIC consulting liaison; translating business requirements into concrete technical designs and articulate model behavior to non\-technical audiences
* Partnering with data engineers, product managers, and business leaders to integrate AI/ML work into existing workflows and data infrastructure
* Conducting rapid assessments for current and future opportunities
* Quickly pivoting to new priorities, evolving requirements, or emerging data sources while maintaining delivery cadence
What's In It For You:  
From onsite to remote, we offer flexible work schedules to comprehensive benefits investing in your future and security, learn more about Lockheed Martin's comprehensive benefits package here.  
Lockheed Martin provides the resources and the flexibility to enable inspiration and focus! If you have the passion and courage to dream big, work hard, and have fun doing what you love, then we want to build a better tomorrow with you!  
Who are you:  
You are a highly skilled AI/ML Engineer with a strong technical background and business acumen. You have the following:  
* Strong programming skills in languages such as Python, SQL, etc.
* Experience with machine learning frameworks and tools
* Excellent communication and stakeholder engagement skills
* Ability to work independently and as part of a remote team
* Strong problem\-solving skills and adaptability in a fast\-paced environment
* Experience with cross\-functional collaboration and partnership with data engineers, product managers, and business leaders
* Strong understanding of AI/ML concepts and ability to translate technical designs into business requirements
* Experience building and deploying solutions for finance and business operations customers in particular
\#LMLAIC  
**Basic Qualifications:**  
* Programming: Python \- such as but not limited to : pandas, scikit‑learn, PyTorch/TensorFlow
* ML Frameworks such as but not limited to : experience training, evaluating, and tuning models
* Software experience or engineering : such as but not limited to Git, unit testing, CI/CD basics, Docker containers
* Some knowledge of Data Science or Engineering Fundamentals
* 2\-5 years of professional experience building or deploying AI/ML solutions (consulting, startup, or large enterprise)
**Desired Skills:**  
* Prior exposure to client\-facing or embedded roles such as but not limited to consulting projects, on\-site engineering, cross\-functional product teams is highly valued
* Background in SaaS, customer experience, support operations, or manufacturing systems
* Experience deploying AI in mission\-critical environments
* Experience integrating with enterprise systems via APIs or middleware (e.g. Salesforce, Servicenow, SAP, Oracle)
* Bachelor's/Master's in Computer Science, Electrical Engineering, Statistics, or relevant field.
* SQL: Strong query\-writing \&amp; data\-wrangling
* Excellent written \&amp; verbal communication; can explain technical concepts to senior business leaders
* Strong stakeholder\-management instincts; comfortable navigating matrixed organizations
* Experience building and deploying solutions for finance and business (F\&amp;BO) customers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Massachusetts, and New York is $125,100 \- $216,890\.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Massachusetts, and New York (excluding most major metropolitan areas), Colorado, Hawaii, Illinois, Maryland, Minnesota, New Jersey, Vermont, Washington or Washington DC is $108,800 \- $191,820\.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ENTERPRISE BUSINESS SERVICES  
**Relocation Available:** No  
**Career Area:** Artificial Intelligence  
**Type:** Full\-Time  
**Shift:** First</t>
        </is>
      </c>
    </row>
    <row r="28">
      <c r="A28" t="inlineStr">
        <is>
          <t>in-c5bddc934ace591e</t>
        </is>
      </c>
      <c r="B28" t="inlineStr">
        <is>
          <t>Sr. Applied Scientist - SLAM, Amazon Industrial Robotics</t>
        </is>
      </c>
      <c r="C28" t="inlineStr">
        <is>
          <t>Amazon.com</t>
        </is>
      </c>
      <c r="D28" t="inlineStr">
        <is>
          <t>indeed</t>
        </is>
      </c>
      <c r="E28" t="inlineStr"/>
      <c r="F28" t="inlineStr"/>
      <c r="G28" t="inlineStr">
        <is>
          <t>Reading, MA, US</t>
        </is>
      </c>
      <c r="H28" s="1" t="n">
        <v>46050</v>
      </c>
      <c r="I2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9">
      <c r="A29" t="inlineStr">
        <is>
          <t>in-acf6388376b8644d</t>
        </is>
      </c>
      <c r="B29" t="inlineStr">
        <is>
          <t>Sr. Applied Scientist - SLAM, Amazon Industrial Robotics</t>
        </is>
      </c>
      <c r="C29" t="inlineStr">
        <is>
          <t>Amazon.com</t>
        </is>
      </c>
      <c r="D29" t="inlineStr">
        <is>
          <t>indeed</t>
        </is>
      </c>
      <c r="E29" t="inlineStr"/>
      <c r="F29" t="inlineStr"/>
      <c r="G29" t="inlineStr">
        <is>
          <t>Reading, MA, US</t>
        </is>
      </c>
      <c r="H29" s="1" t="n">
        <v>46050</v>
      </c>
      <c r="I2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0">
      <c r="A30" t="inlineStr">
        <is>
          <t>in-5b3d217370e5e717</t>
        </is>
      </c>
      <c r="B30" t="inlineStr">
        <is>
          <t>Sr. Applied Scientist, Sponsored Products Off-Search Sourcing</t>
        </is>
      </c>
      <c r="C30" t="inlineStr">
        <is>
          <t>Amazon.com</t>
        </is>
      </c>
      <c r="D30" t="inlineStr">
        <is>
          <t>indeed</t>
        </is>
      </c>
      <c r="E30" t="inlineStr"/>
      <c r="F30" t="inlineStr"/>
      <c r="G30" t="inlineStr">
        <is>
          <t>New York, NY, US</t>
        </is>
      </c>
      <c r="H30" s="1" t="n">
        <v>46049</v>
      </c>
      <c r="I3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1">
      <c r="A31" t="inlineStr">
        <is>
          <t>in-d68cce362efa23ab</t>
        </is>
      </c>
      <c r="B31" t="inlineStr">
        <is>
          <t>Sr. Applied Scientist, Sponsored Products Off-Search Sourcing</t>
        </is>
      </c>
      <c r="C31" t="inlineStr">
        <is>
          <t>Amazon.com</t>
        </is>
      </c>
      <c r="D31" t="inlineStr">
        <is>
          <t>indeed</t>
        </is>
      </c>
      <c r="E31" t="inlineStr"/>
      <c r="F31" t="inlineStr"/>
      <c r="G31" t="inlineStr">
        <is>
          <t>Seattle, WA, US</t>
        </is>
      </c>
      <c r="H31" s="1" t="n">
        <v>46049</v>
      </c>
      <c r="I3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2">
      <c r="A32" t="inlineStr">
        <is>
          <t>in-5dc5ba2d1cdbe6fe</t>
        </is>
      </c>
      <c r="B32" t="inlineStr">
        <is>
          <t>Sr. Applied Scientist, Sponsored Products Off-Search Sourcing</t>
        </is>
      </c>
      <c r="C32" t="inlineStr">
        <is>
          <t>Amazon.com</t>
        </is>
      </c>
      <c r="D32" t="inlineStr">
        <is>
          <t>indeed</t>
        </is>
      </c>
      <c r="E32" t="inlineStr"/>
      <c r="F32" t="inlineStr"/>
      <c r="G32" t="inlineStr">
        <is>
          <t>Palo Alto, CA, US</t>
        </is>
      </c>
      <c r="H32" s="1" t="n">
        <v>46049</v>
      </c>
      <c r="I3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3">
      <c r="A33" t="inlineStr">
        <is>
          <t>in-84614aa126599828</t>
        </is>
      </c>
      <c r="B33" t="inlineStr">
        <is>
          <t>Principal Applied Scientist, AWS Science of Security</t>
        </is>
      </c>
      <c r="C33" t="inlineStr">
        <is>
          <t>Amazon.com</t>
        </is>
      </c>
      <c r="D33" t="inlineStr">
        <is>
          <t>indeed</t>
        </is>
      </c>
      <c r="E33" t="inlineStr"/>
      <c r="F33" t="inlineStr"/>
      <c r="G33" t="inlineStr">
        <is>
          <t>Arlington, VA, US</t>
        </is>
      </c>
      <c r="H33" s="1" t="n">
        <v>46049</v>
      </c>
      <c r="I33"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4">
      <c r="A34" t="inlineStr">
        <is>
          <t>in-e7c37b30bbf1fd61</t>
        </is>
      </c>
      <c r="B34" t="inlineStr">
        <is>
          <t>Principal Applied Scientist, AWS Science of Security</t>
        </is>
      </c>
      <c r="C34" t="inlineStr">
        <is>
          <t>Amazon.com</t>
        </is>
      </c>
      <c r="D34" t="inlineStr">
        <is>
          <t>indeed</t>
        </is>
      </c>
      <c r="E34" t="inlineStr"/>
      <c r="F34" t="inlineStr"/>
      <c r="G34" t="inlineStr">
        <is>
          <t>Seattle, WA, US</t>
        </is>
      </c>
      <c r="H34" s="1" t="n">
        <v>46049</v>
      </c>
      <c r="I34"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5">
      <c r="A35" t="inlineStr">
        <is>
          <t>in-d6871b4dd03ad283</t>
        </is>
      </c>
      <c r="B35" t="inlineStr">
        <is>
          <t>Principal Applied Scientist, AWS Science of Security</t>
        </is>
      </c>
      <c r="C35" t="inlineStr">
        <is>
          <t>Amazon.com</t>
        </is>
      </c>
      <c r="D35" t="inlineStr">
        <is>
          <t>indeed</t>
        </is>
      </c>
      <c r="E35" t="inlineStr"/>
      <c r="F35" t="inlineStr"/>
      <c r="G35" t="inlineStr">
        <is>
          <t>New York, NY, US</t>
        </is>
      </c>
      <c r="H35" s="1" t="n">
        <v>46049</v>
      </c>
      <c r="I35"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36">
      <c r="A36" t="inlineStr">
        <is>
          <t>in-1829845d22f46154</t>
        </is>
      </c>
      <c r="B36" t="inlineStr">
        <is>
          <t>Senior Applied Scientist, Amazon Industrial Robotics</t>
        </is>
      </c>
      <c r="C36" t="inlineStr">
        <is>
          <t>Amazon.com</t>
        </is>
      </c>
      <c r="D36" t="inlineStr">
        <is>
          <t>indeed</t>
        </is>
      </c>
      <c r="E36" t="inlineStr"/>
      <c r="F36" t="inlineStr"/>
      <c r="G36" t="inlineStr">
        <is>
          <t>Reading, MA, US</t>
        </is>
      </c>
      <c r="H36" s="1" t="n">
        <v>46048</v>
      </c>
      <c r="I3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in-0882a802c5b8371f</t>
        </is>
      </c>
      <c r="B37" t="inlineStr">
        <is>
          <t>Applied Scientist II, Prime Video Personalization and Discovery Science</t>
        </is>
      </c>
      <c r="C37" t="inlineStr">
        <is>
          <t>Amazon.com</t>
        </is>
      </c>
      <c r="D37" t="inlineStr">
        <is>
          <t>indeed</t>
        </is>
      </c>
      <c r="E37" t="inlineStr"/>
      <c r="F37" t="inlineStr"/>
      <c r="G37" t="inlineStr">
        <is>
          <t>Seattle, WA, US</t>
        </is>
      </c>
      <c r="H37" s="1" t="n">
        <v>46047</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
      <c r="A38" t="inlineStr">
        <is>
          <t>in-e2042cccf7574187</t>
        </is>
      </c>
      <c r="B38" t="inlineStr">
        <is>
          <t>Applied Scientist II, Prime Video Personalization and Discovery Science</t>
        </is>
      </c>
      <c r="C38" t="inlineStr">
        <is>
          <t>Amazon.com</t>
        </is>
      </c>
      <c r="D38" t="inlineStr">
        <is>
          <t>indeed</t>
        </is>
      </c>
      <c r="E38" t="inlineStr"/>
      <c r="F38" t="inlineStr"/>
      <c r="G38" t="inlineStr">
        <is>
          <t>Sunnyvale, CA, US</t>
        </is>
      </c>
      <c r="H38" s="1" t="n">
        <v>46047</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9">
      <c r="A39" t="inlineStr">
        <is>
          <t>in-62fa237dcc3948bc</t>
        </is>
      </c>
      <c r="B39" t="inlineStr">
        <is>
          <t>Applied Scientist II, Prime Video Personalization and Discovery Science</t>
        </is>
      </c>
      <c r="C39" t="inlineStr">
        <is>
          <t>Amazon.com</t>
        </is>
      </c>
      <c r="D39" t="inlineStr">
        <is>
          <t>indeed</t>
        </is>
      </c>
      <c r="E39" t="inlineStr"/>
      <c r="F39" t="inlineStr"/>
      <c r="G39" t="inlineStr">
        <is>
          <t>New York, NY, US</t>
        </is>
      </c>
      <c r="H39" s="1" t="n">
        <v>46047</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0">
      <c r="A40" t="inlineStr">
        <is>
          <t>in-a65e6587511a4610</t>
        </is>
      </c>
      <c r="B40" t="inlineStr">
        <is>
          <t>Applied Scientist, Amazon Connect</t>
        </is>
      </c>
      <c r="C40" t="inlineStr">
        <is>
          <t>Amazon Web Services</t>
        </is>
      </c>
      <c r="D40" t="inlineStr">
        <is>
          <t>indeed</t>
        </is>
      </c>
      <c r="E40" t="inlineStr"/>
      <c r="F40" t="inlineStr"/>
      <c r="G40" t="inlineStr">
        <is>
          <t>New York, NY, US</t>
        </is>
      </c>
      <c r="H40" s="1" t="n">
        <v>46047</v>
      </c>
      <c r="I4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1">
      <c r="A41" t="inlineStr">
        <is>
          <t>in-a3d15261662363c1</t>
        </is>
      </c>
      <c r="B41" t="inlineStr">
        <is>
          <t>Applied Scientist, Amazon Connect</t>
        </is>
      </c>
      <c r="C41" t="inlineStr">
        <is>
          <t>Amazon Web Services</t>
        </is>
      </c>
      <c r="D41" t="inlineStr">
        <is>
          <t>indeed</t>
        </is>
      </c>
      <c r="E41" t="inlineStr"/>
      <c r="F41" t="inlineStr"/>
      <c r="G41" t="inlineStr">
        <is>
          <t>Seattle, WA, US</t>
        </is>
      </c>
      <c r="H41" s="1" t="n">
        <v>46047</v>
      </c>
      <c r="I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in-fb0dcbb27f38071e</t>
        </is>
      </c>
      <c r="B42" t="inlineStr">
        <is>
          <t>Sr. Applied Scientist, Amazon Connect</t>
        </is>
      </c>
      <c r="C42" t="inlineStr">
        <is>
          <t>Amazon Web Services</t>
        </is>
      </c>
      <c r="D42" t="inlineStr">
        <is>
          <t>indeed</t>
        </is>
      </c>
      <c r="E42" t="inlineStr"/>
      <c r="F42" t="inlineStr"/>
      <c r="G42" t="inlineStr">
        <is>
          <t>New York, NY, US</t>
        </is>
      </c>
      <c r="H42" s="1" t="n">
        <v>46047</v>
      </c>
      <c r="I4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3">
      <c r="A43" t="inlineStr">
        <is>
          <t>in-ba784bb83fa2d38d</t>
        </is>
      </c>
      <c r="B43" t="inlineStr">
        <is>
          <t>Sr. Applied Scientist, Amazon Connect</t>
        </is>
      </c>
      <c r="C43" t="inlineStr">
        <is>
          <t>Amazon Web Services</t>
        </is>
      </c>
      <c r="D43" t="inlineStr">
        <is>
          <t>indeed</t>
        </is>
      </c>
      <c r="E43" t="inlineStr"/>
      <c r="F43" t="inlineStr"/>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4">
      <c r="A44" t="inlineStr">
        <is>
          <t>in-045bb08d95d611a2</t>
        </is>
      </c>
      <c r="B44" t="inlineStr">
        <is>
          <t>Machine Learning Engineer, WWPS ProServe Data and Machine Learning</t>
        </is>
      </c>
      <c r="C44" t="inlineStr">
        <is>
          <t>Amazon Web Services</t>
        </is>
      </c>
      <c r="D44" t="inlineStr">
        <is>
          <t>indeed</t>
        </is>
      </c>
      <c r="E44" t="inlineStr"/>
      <c r="F44" t="inlineStr"/>
      <c r="G44" t="inlineStr">
        <is>
          <t>Herndon, VA, US</t>
        </is>
      </c>
      <c r="H44" s="1" t="n">
        <v>46043</v>
      </c>
      <c r="I4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5">
      <c r="A45" t="inlineStr">
        <is>
          <t>in-b1d23f9e600b0b48</t>
        </is>
      </c>
      <c r="B45" t="inlineStr">
        <is>
          <t>Machine Learning Engineer, WWPS ProServe Data and Machine Learning</t>
        </is>
      </c>
      <c r="C45" t="inlineStr">
        <is>
          <t>Amazon Web Services</t>
        </is>
      </c>
      <c r="D45" t="inlineStr">
        <is>
          <t>indeed</t>
        </is>
      </c>
      <c r="E45" t="inlineStr"/>
      <c r="F45" t="inlineStr"/>
      <c r="G45" t="inlineStr">
        <is>
          <t>Arlington, VA, US</t>
        </is>
      </c>
      <c r="H45" s="1" t="n">
        <v>46043</v>
      </c>
      <c r="I4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46">
      <c r="A46" t="inlineStr">
        <is>
          <t>in-171d9a34f5f24d3e</t>
        </is>
      </c>
      <c r="B46" t="inlineStr">
        <is>
          <t>Applied Scientist, Safety ML</t>
        </is>
      </c>
      <c r="C46" t="inlineStr">
        <is>
          <t>Amazon.com</t>
        </is>
      </c>
      <c r="D46" t="inlineStr">
        <is>
          <t>indeed</t>
        </is>
      </c>
      <c r="E46" t="inlineStr"/>
      <c r="F46" t="inlineStr"/>
      <c r="G46" t="inlineStr">
        <is>
          <t>San Francisco, CA, US</t>
        </is>
      </c>
      <c r="H46" s="1" t="n">
        <v>46037</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7">
      <c r="A47" t="inlineStr">
        <is>
          <t>in-030ae29215ceb1f8</t>
        </is>
      </c>
      <c r="B47" t="inlineStr">
        <is>
          <t>Applied Scientist, Safety ML</t>
        </is>
      </c>
      <c r="C47" t="inlineStr">
        <is>
          <t>Amazon.com</t>
        </is>
      </c>
      <c r="D47" t="inlineStr">
        <is>
          <t>indeed</t>
        </is>
      </c>
      <c r="E47" t="inlineStr"/>
      <c r="F47" t="inlineStr"/>
      <c r="G47" t="inlineStr">
        <is>
          <t>Seattle, WA,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in-606141bb7844b69c</t>
        </is>
      </c>
      <c r="B48" t="inlineStr">
        <is>
          <t>Applied Scientist, LLM Code Agents, Kiro Science</t>
        </is>
      </c>
      <c r="C48" t="inlineStr">
        <is>
          <t>Amazon.com</t>
        </is>
      </c>
      <c r="D48" t="inlineStr">
        <is>
          <t>indeed</t>
        </is>
      </c>
      <c r="E48" t="inlineStr"/>
      <c r="F48" t="inlineStr"/>
      <c r="G48" t="inlineStr">
        <is>
          <t>Santa Clara, CA, US</t>
        </is>
      </c>
      <c r="H48" s="1" t="n">
        <v>46035</v>
      </c>
      <c r="I4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49">
      <c r="A49" t="inlineStr">
        <is>
          <t>in-72be23a16604e709</t>
        </is>
      </c>
      <c r="B49" t="inlineStr">
        <is>
          <t>Applied Scientist, LLM Code Agents, Kiro Science</t>
        </is>
      </c>
      <c r="C49" t="inlineStr">
        <is>
          <t>Amazon.com</t>
        </is>
      </c>
      <c r="D49" t="inlineStr">
        <is>
          <t>indeed</t>
        </is>
      </c>
      <c r="E49" t="inlineStr"/>
      <c r="F49" t="inlineStr"/>
      <c r="G49" t="inlineStr">
        <is>
          <t>Seattle, WA, US</t>
        </is>
      </c>
      <c r="H49" s="1" t="n">
        <v>46035</v>
      </c>
      <c r="I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0">
      <c r="A50" t="inlineStr">
        <is>
          <t>in-81d9f0a2ec318be0</t>
        </is>
      </c>
      <c r="B50" t="inlineStr">
        <is>
          <t>Applied Scientist II, Prime Video Personalization and Discovery Science</t>
        </is>
      </c>
      <c r="C50" t="inlineStr">
        <is>
          <t>Amazon.com</t>
        </is>
      </c>
      <c r="D50" t="inlineStr">
        <is>
          <t>indeed</t>
        </is>
      </c>
      <c r="E50" t="inlineStr"/>
      <c r="F50" t="inlineStr"/>
      <c r="G50" t="inlineStr">
        <is>
          <t>Sunnyvale, CA, US</t>
        </is>
      </c>
      <c r="H50" s="1" t="n">
        <v>46034</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1">
      <c r="A51" t="inlineStr">
        <is>
          <t>in-527740bb6a22e358</t>
        </is>
      </c>
      <c r="B51" t="inlineStr">
        <is>
          <t>Applied Scientist II, Prime Video Personalization and Discovery Science</t>
        </is>
      </c>
      <c r="C51" t="inlineStr">
        <is>
          <t>Amazon.com</t>
        </is>
      </c>
      <c r="D51" t="inlineStr">
        <is>
          <t>indeed</t>
        </is>
      </c>
      <c r="E51" t="inlineStr"/>
      <c r="F51" t="inlineStr"/>
      <c r="G51" t="inlineStr">
        <is>
          <t>Seattle, WA, US</t>
        </is>
      </c>
      <c r="H51" s="1" t="n">
        <v>46034</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2">
      <c r="A52" t="inlineStr">
        <is>
          <t>in-02656d73be0f1b5a</t>
        </is>
      </c>
      <c r="B52" t="inlineStr">
        <is>
          <t>Applied Scientist, Alexa Smart Home</t>
        </is>
      </c>
      <c r="C52" t="inlineStr">
        <is>
          <t>Amazon.com</t>
        </is>
      </c>
      <c r="D52" t="inlineStr">
        <is>
          <t>indeed</t>
        </is>
      </c>
      <c r="E52" t="inlineStr"/>
      <c r="F52" t="inlineStr"/>
      <c r="G52" t="inlineStr">
        <is>
          <t>Sunnyvale, CA, US</t>
        </is>
      </c>
      <c r="H52" s="1" t="n">
        <v>46033</v>
      </c>
      <c r="I5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3">
      <c r="A53" t="inlineStr">
        <is>
          <t>in-bf80775ec6ccbfbe</t>
        </is>
      </c>
      <c r="B53" t="inlineStr">
        <is>
          <t>Applied Scientist, Alexa Smart Home</t>
        </is>
      </c>
      <c r="C53" t="inlineStr">
        <is>
          <t>Amazon.com</t>
        </is>
      </c>
      <c r="D53" t="inlineStr">
        <is>
          <t>indeed</t>
        </is>
      </c>
      <c r="E53" t="inlineStr"/>
      <c r="F53" t="inlineStr"/>
      <c r="G53" t="inlineStr">
        <is>
          <t>Seattle, WA, US</t>
        </is>
      </c>
      <c r="H53" s="1" t="n">
        <v>46033</v>
      </c>
      <c r="I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4">
      <c r="A54" t="inlineStr">
        <is>
          <t>in-948d924200f39608</t>
        </is>
      </c>
      <c r="B54" t="inlineStr">
        <is>
          <t>Sr Applied Scientist, AWS Proactive Security</t>
        </is>
      </c>
      <c r="C54" t="inlineStr">
        <is>
          <t>Amazon.com</t>
        </is>
      </c>
      <c r="D54" t="inlineStr">
        <is>
          <t>indeed</t>
        </is>
      </c>
      <c r="E54" t="inlineStr"/>
      <c r="F54" t="inlineStr"/>
      <c r="G54" t="inlineStr">
        <is>
          <t>Sunnyvale, CA, US</t>
        </is>
      </c>
      <c r="H54" s="1" t="n">
        <v>46030</v>
      </c>
      <c r="I5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5">
      <c r="A55" t="inlineStr">
        <is>
          <t>in-096af554b26cff96</t>
        </is>
      </c>
      <c r="B55" t="inlineStr">
        <is>
          <t>Sr Applied Scientist, AWS Proactive Security</t>
        </is>
      </c>
      <c r="C55" t="inlineStr">
        <is>
          <t>Amazon.com</t>
        </is>
      </c>
      <c r="D55" t="inlineStr">
        <is>
          <t>indeed</t>
        </is>
      </c>
      <c r="E55" t="inlineStr"/>
      <c r="F55" t="inlineStr"/>
      <c r="G55" t="inlineStr">
        <is>
          <t>Arlington, VA, US</t>
        </is>
      </c>
      <c r="H55" s="1" t="n">
        <v>46030</v>
      </c>
      <c r="I5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6">
      <c r="A56" t="inlineStr">
        <is>
          <t>in-094ddaa68280a4cf</t>
        </is>
      </c>
      <c r="B56" t="inlineStr">
        <is>
          <t>Sr Applied Scientist, AWS Proactive Security</t>
        </is>
      </c>
      <c r="C56" t="inlineStr">
        <is>
          <t>Amazon.com</t>
        </is>
      </c>
      <c r="D56" t="inlineStr">
        <is>
          <t>indeed</t>
        </is>
      </c>
      <c r="E56" t="inlineStr"/>
      <c r="F56" t="inlineStr"/>
      <c r="G56" t="inlineStr">
        <is>
          <t>Herndon, VA, US</t>
        </is>
      </c>
      <c r="H56" s="1" t="n">
        <v>46030</v>
      </c>
      <c r="I5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57">
      <c r="A57" t="inlineStr">
        <is>
          <t>in-3b65b0fab9f8cadd</t>
        </is>
      </c>
      <c r="B57" t="inlineStr">
        <is>
          <t>Applied Scientist, AWS Applied AI Solutions</t>
        </is>
      </c>
      <c r="C57" t="inlineStr">
        <is>
          <t>Amazon Web Services</t>
        </is>
      </c>
      <c r="D57" t="inlineStr">
        <is>
          <t>indeed</t>
        </is>
      </c>
      <c r="E57" t="inlineStr"/>
      <c r="F57" t="inlineStr"/>
      <c r="G57" t="inlineStr">
        <is>
          <t>New York, NY, US</t>
        </is>
      </c>
      <c r="H57" s="1" t="n">
        <v>46030</v>
      </c>
      <c r="I5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8">
      <c r="A58" t="inlineStr">
        <is>
          <t>in-271a11a7f6a771aa</t>
        </is>
      </c>
      <c r="B58" t="inlineStr">
        <is>
          <t>Applied Scientist, AWS Applied AI Solutions</t>
        </is>
      </c>
      <c r="C58" t="inlineStr">
        <is>
          <t>Amazon Web Services</t>
        </is>
      </c>
      <c r="D58" t="inlineStr">
        <is>
          <t>indeed</t>
        </is>
      </c>
      <c r="E58" t="inlineStr"/>
      <c r="F58" t="inlineStr"/>
      <c r="G58" t="inlineStr">
        <is>
          <t>Seattle, WA, US</t>
        </is>
      </c>
      <c r="H58" s="1" t="n">
        <v>46030</v>
      </c>
      <c r="I5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9">
      <c r="A59" t="inlineStr">
        <is>
          <t>in-577271a87d39cfba</t>
        </is>
      </c>
      <c r="B59" t="inlineStr">
        <is>
          <t>Applied Scientist, Last Mile Delivery Automation</t>
        </is>
      </c>
      <c r="C59" t="inlineStr">
        <is>
          <t>Amazon.com</t>
        </is>
      </c>
      <c r="D59" t="inlineStr">
        <is>
          <t>indeed</t>
        </is>
      </c>
      <c r="E59" t="inlineStr"/>
      <c r="F59" t="inlineStr"/>
      <c r="G59" t="inlineStr">
        <is>
          <t>Santa Clara, CA, US</t>
        </is>
      </c>
      <c r="H59" s="1" t="n">
        <v>46026</v>
      </c>
      <c r="I59"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in-92a23a6f7c2a8c61</t>
        </is>
      </c>
      <c r="B60" t="inlineStr">
        <is>
          <t>Applied Scientist, Last Mile Delivery Automation</t>
        </is>
      </c>
      <c r="C60" t="inlineStr">
        <is>
          <t>Amazon.com</t>
        </is>
      </c>
      <c r="D60" t="inlineStr">
        <is>
          <t>indeed</t>
        </is>
      </c>
      <c r="E60" t="inlineStr"/>
      <c r="F60" t="inlineStr"/>
      <c r="G60" t="inlineStr">
        <is>
          <t>Bellevue, WA, US</t>
        </is>
      </c>
      <c r="H60" s="1" t="n">
        <v>46026</v>
      </c>
      <c r="I6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in-333b5ed36a32786b</t>
        </is>
      </c>
      <c r="B61" t="inlineStr">
        <is>
          <t>Senior Applied Scientist, Sponsored Products and Brands, Off-Search</t>
        </is>
      </c>
      <c r="C61" t="inlineStr">
        <is>
          <t>Amazon.com</t>
        </is>
      </c>
      <c r="D61" t="inlineStr">
        <is>
          <t>indeed</t>
        </is>
      </c>
      <c r="E61" t="inlineStr"/>
      <c r="F61" t="inlineStr"/>
      <c r="G61" t="inlineStr">
        <is>
          <t>Seattle, WA, US</t>
        </is>
      </c>
      <c r="H61" s="1" t="n">
        <v>46017</v>
      </c>
      <c r="I6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in-2d696ae39595db81</t>
        </is>
      </c>
      <c r="B62" t="inlineStr">
        <is>
          <t>Senior Applied Scientist, Sponsored Products and Brands, Off-Search</t>
        </is>
      </c>
      <c r="C62" t="inlineStr">
        <is>
          <t>Amazon.com</t>
        </is>
      </c>
      <c r="D62" t="inlineStr">
        <is>
          <t>indeed</t>
        </is>
      </c>
      <c r="E62" t="inlineStr"/>
      <c r="F62" t="inlineStr"/>
      <c r="G62" t="inlineStr">
        <is>
          <t>New York, NY, US</t>
        </is>
      </c>
      <c r="H62" s="1" t="n">
        <v>46017</v>
      </c>
      <c r="I6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in-a50b2cddd9c2300e</t>
        </is>
      </c>
      <c r="B63" t="inlineStr">
        <is>
          <t>Senior Applied Scientist, Sponsored Products and Brands, Off-Search</t>
        </is>
      </c>
      <c r="C63" t="inlineStr">
        <is>
          <t>Amazon.com</t>
        </is>
      </c>
      <c r="D63" t="inlineStr">
        <is>
          <t>indeed</t>
        </is>
      </c>
      <c r="E63" t="inlineStr"/>
      <c r="F63" t="inlineStr"/>
      <c r="G63" t="inlineStr">
        <is>
          <t>Palo Alto, CA, US</t>
        </is>
      </c>
      <c r="H63" s="1" t="n">
        <v>46017</v>
      </c>
      <c r="I6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in-d614bff723b6ea69</t>
        </is>
      </c>
      <c r="B64" t="inlineStr">
        <is>
          <t>Applied Scientist II, Prime Video - Personalization and Discovery Science</t>
        </is>
      </c>
      <c r="C64" t="inlineStr">
        <is>
          <t>Amazon.com</t>
        </is>
      </c>
      <c r="D64" t="inlineStr">
        <is>
          <t>indeed</t>
        </is>
      </c>
      <c r="E64" t="inlineStr"/>
      <c r="F64" t="inlineStr"/>
      <c r="G64" t="inlineStr">
        <is>
          <t>Seattle, WA, US</t>
        </is>
      </c>
      <c r="H64" s="1" t="n">
        <v>46012</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5">
      <c r="A65" t="inlineStr">
        <is>
          <t>in-1cb708741cc666bf</t>
        </is>
      </c>
      <c r="B65" t="inlineStr">
        <is>
          <t>Applied Scientist II, Prime Video - Personalization and Discovery Science</t>
        </is>
      </c>
      <c r="C65" t="inlineStr">
        <is>
          <t>Amazon.com</t>
        </is>
      </c>
      <c r="D65" t="inlineStr">
        <is>
          <t>indeed</t>
        </is>
      </c>
      <c r="E65" t="inlineStr"/>
      <c r="F65" t="inlineStr"/>
      <c r="G65" t="inlineStr">
        <is>
          <t>Sunnyvale, CA, US</t>
        </is>
      </c>
      <c r="H65" s="1" t="n">
        <v>46012</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6">
      <c r="A66" t="inlineStr">
        <is>
          <t>in-b7b8f5a0f3ffc1a0</t>
        </is>
      </c>
      <c r="B66" t="inlineStr">
        <is>
          <t>Applied Scientist, Delivery Foundation Model</t>
        </is>
      </c>
      <c r="C66" t="inlineStr">
        <is>
          <t>Amazon.com</t>
        </is>
      </c>
      <c r="D66" t="inlineStr">
        <is>
          <t>indeed</t>
        </is>
      </c>
      <c r="E66" t="inlineStr"/>
      <c r="F66" t="inlineStr"/>
      <c r="G66" t="inlineStr">
        <is>
          <t>Bellevue, WA, US</t>
        </is>
      </c>
      <c r="H66" s="1" t="n">
        <v>46009</v>
      </c>
      <c r="I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7">
      <c r="A67" t="inlineStr">
        <is>
          <t>in-f1098375ec47b13c</t>
        </is>
      </c>
      <c r="B67" t="inlineStr">
        <is>
          <t>Applied Scientist, Delivery Foundation Model</t>
        </is>
      </c>
      <c r="C67" t="inlineStr">
        <is>
          <t>Amazon.com</t>
        </is>
      </c>
      <c r="D67" t="inlineStr">
        <is>
          <t>indeed</t>
        </is>
      </c>
      <c r="E67" t="inlineStr"/>
      <c r="F67" t="inlineStr"/>
      <c r="G67" t="inlineStr">
        <is>
          <t>Santa Clara, CA, US</t>
        </is>
      </c>
      <c r="H67" s="1" t="n">
        <v>46009</v>
      </c>
      <c r="I6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8">
      <c r="A68" t="inlineStr">
        <is>
          <t>in-ecdf7284439c8d0c</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in-f15228bc97d8136d</t>
        </is>
      </c>
      <c r="B69" t="inlineStr">
        <is>
          <t>Principal Applied Scientist, Kiro Science</t>
        </is>
      </c>
      <c r="C69" t="inlineStr">
        <is>
          <t>Amazon Web Services</t>
        </is>
      </c>
      <c r="D69" t="inlineStr">
        <is>
          <t>indeed</t>
        </is>
      </c>
      <c r="E69" t="inlineStr"/>
      <c r="F69" t="inlineStr"/>
      <c r="G69" t="inlineStr">
        <is>
          <t>New York, NY, US</t>
        </is>
      </c>
      <c r="H69" s="1" t="n">
        <v>45999</v>
      </c>
      <c r="I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0">
      <c r="A70" t="inlineStr">
        <is>
          <t>in-1df855b70840f3a9</t>
        </is>
      </c>
      <c r="B70" t="inlineStr">
        <is>
          <t>Senior Applied Scientist, Locomotion, Amazon Industrial Robotics</t>
        </is>
      </c>
      <c r="C70" t="inlineStr">
        <is>
          <t>Amazon.com</t>
        </is>
      </c>
      <c r="D70" t="inlineStr">
        <is>
          <t>indeed</t>
        </is>
      </c>
      <c r="E70" t="inlineStr"/>
      <c r="F70" t="inlineStr"/>
      <c r="G70" t="inlineStr">
        <is>
          <t>Reading, MA, US</t>
        </is>
      </c>
      <c r="H70" s="1" t="n">
        <v>45992</v>
      </c>
      <c r="I7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1">
      <c r="A71" t="inlineStr">
        <is>
          <t>in-26a59e3e78da7259</t>
        </is>
      </c>
      <c r="B71" t="inlineStr">
        <is>
          <t>Principal Applied Scientist, Sponsored Products and Brands</t>
        </is>
      </c>
      <c r="C71" t="inlineStr">
        <is>
          <t>Amazon.com</t>
        </is>
      </c>
      <c r="D71" t="inlineStr">
        <is>
          <t>indeed</t>
        </is>
      </c>
      <c r="E71" t="inlineStr"/>
      <c r="F71" t="inlineStr"/>
      <c r="G71" t="inlineStr">
        <is>
          <t>Seattle, WA, US</t>
        </is>
      </c>
      <c r="H71" s="1"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in-be668a80a6d4dc42</t>
        </is>
      </c>
      <c r="B72" t="inlineStr">
        <is>
          <t>Principal Applied Scientist, Sponsored Products and Brands</t>
        </is>
      </c>
      <c r="C72" t="inlineStr">
        <is>
          <t>Amazon.com</t>
        </is>
      </c>
      <c r="D72" t="inlineStr">
        <is>
          <t>indeed</t>
        </is>
      </c>
      <c r="E72" t="inlineStr"/>
      <c r="F72" t="inlineStr"/>
      <c r="G72" t="inlineStr">
        <is>
          <t>New York, NY, US</t>
        </is>
      </c>
      <c r="H72" s="1" t="n">
        <v>45979</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in-de981c261801e087</t>
        </is>
      </c>
      <c r="B73" t="inlineStr">
        <is>
          <t>Applied Scientist, Personalization, DTx Science</t>
        </is>
      </c>
      <c r="C73" t="inlineStr">
        <is>
          <t>Amazon.com</t>
        </is>
      </c>
      <c r="D73" t="inlineStr">
        <is>
          <t>indeed</t>
        </is>
      </c>
      <c r="E73" t="inlineStr"/>
      <c r="F73" t="inlineStr"/>
      <c r="G73" t="inlineStr">
        <is>
          <t>Seattle, WA, US</t>
        </is>
      </c>
      <c r="H73" s="1" t="n">
        <v>45979</v>
      </c>
      <c r="I7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in-5a18f2bc2ab3358f</t>
        </is>
      </c>
      <c r="B74" t="inlineStr">
        <is>
          <t>Applied Scientist, Personalization, DTx Science</t>
        </is>
      </c>
      <c r="C74" t="inlineStr">
        <is>
          <t>Amazon.com</t>
        </is>
      </c>
      <c r="D74" t="inlineStr">
        <is>
          <t>indeed</t>
        </is>
      </c>
      <c r="E74" t="inlineStr"/>
      <c r="F74" t="inlineStr"/>
      <c r="G74" t="inlineStr">
        <is>
          <t>New York, NY, US</t>
        </is>
      </c>
      <c r="H74" s="1" t="n">
        <v>45979</v>
      </c>
      <c r="I7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5">
      <c r="A75" t="inlineStr">
        <is>
          <t>in-f2b25712f93c5bef</t>
        </is>
      </c>
      <c r="B75" t="inlineStr">
        <is>
          <t>Senior Applied Scientist, Sponsored Products and Brands</t>
        </is>
      </c>
      <c r="C75" t="inlineStr">
        <is>
          <t>Amazon.com</t>
        </is>
      </c>
      <c r="D75" t="inlineStr">
        <is>
          <t>indeed</t>
        </is>
      </c>
      <c r="E75" t="inlineStr"/>
      <c r="F75" t="inlineStr"/>
      <c r="G75" t="inlineStr">
        <is>
          <t>New York, NY, US</t>
        </is>
      </c>
      <c r="H75" s="1" t="n">
        <v>45979</v>
      </c>
      <c r="I7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6">
      <c r="A76" t="inlineStr">
        <is>
          <t>in-9da0e81647470d5e</t>
        </is>
      </c>
      <c r="B76" t="inlineStr">
        <is>
          <t>Senior Applied Scientist, Sponsored Products and Brands</t>
        </is>
      </c>
      <c r="C76" t="inlineStr">
        <is>
          <t>Amazon.com</t>
        </is>
      </c>
      <c r="D76" t="inlineStr">
        <is>
          <t>indeed</t>
        </is>
      </c>
      <c r="E76" t="inlineStr"/>
      <c r="F76" t="inlineStr"/>
      <c r="G76" t="inlineStr">
        <is>
          <t>Seattle, WA, US</t>
        </is>
      </c>
      <c r="H76" s="1" t="n">
        <v>45979</v>
      </c>
      <c r="I7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7">
      <c r="A77" t="inlineStr">
        <is>
          <t>in-6802908361bd01de</t>
        </is>
      </c>
      <c r="B77" t="inlineStr">
        <is>
          <t>Applied Scientist II, Prime Video Personalization and Discovery Science</t>
        </is>
      </c>
      <c r="C77" t="inlineStr">
        <is>
          <t>Amazon.com</t>
        </is>
      </c>
      <c r="D77" t="inlineStr">
        <is>
          <t>indeed</t>
        </is>
      </c>
      <c r="E77" t="inlineStr"/>
      <c r="F77" t="inlineStr"/>
      <c r="G77" t="inlineStr">
        <is>
          <t>Seattle, WA, US</t>
        </is>
      </c>
      <c r="H77" s="1" t="n">
        <v>45978</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8">
      <c r="A78" t="inlineStr">
        <is>
          <t>in-3ccc4bb4d0c43876</t>
        </is>
      </c>
      <c r="B78" t="inlineStr">
        <is>
          <t>Applied Scientist II, Prime Video Personalization and Discovery Science</t>
        </is>
      </c>
      <c r="C78" t="inlineStr">
        <is>
          <t>Amazon.com</t>
        </is>
      </c>
      <c r="D78" t="inlineStr">
        <is>
          <t>indeed</t>
        </is>
      </c>
      <c r="E78" t="inlineStr"/>
      <c r="F78" t="inlineStr"/>
      <c r="G78" t="inlineStr">
        <is>
          <t>New York, NY, US</t>
        </is>
      </c>
      <c r="H78" s="1" t="n">
        <v>45978</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9">
      <c r="A79" t="inlineStr">
        <is>
          <t>in-dd01eb3da7ea032d</t>
        </is>
      </c>
      <c r="B79" t="inlineStr">
        <is>
          <t>Applied Scientist II, Prime Video Personalization and Discovery Science</t>
        </is>
      </c>
      <c r="C79" t="inlineStr">
        <is>
          <t>Amazon.com</t>
        </is>
      </c>
      <c r="D79" t="inlineStr">
        <is>
          <t>indeed</t>
        </is>
      </c>
      <c r="E79" t="inlineStr"/>
      <c r="F79" t="inlineStr"/>
      <c r="G79" t="inlineStr">
        <is>
          <t>Sunnyvale, CA, US</t>
        </is>
      </c>
      <c r="H79" s="1" t="n">
        <v>45978</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80">
      <c r="A80" t="inlineStr">
        <is>
          <t>in-4f7655558bca7def</t>
        </is>
      </c>
      <c r="B80" t="inlineStr">
        <is>
          <t>Sr. Applied Scientist, Sponsored Products</t>
        </is>
      </c>
      <c r="C80" t="inlineStr">
        <is>
          <t>Amazon.com</t>
        </is>
      </c>
      <c r="D80" t="inlineStr">
        <is>
          <t>indeed</t>
        </is>
      </c>
      <c r="E80" t="inlineStr"/>
      <c r="F80" t="inlineStr"/>
      <c r="G80" t="inlineStr">
        <is>
          <t>Arlington, VA, US</t>
        </is>
      </c>
      <c r="H80" s="1" t="n">
        <v>45976</v>
      </c>
      <c r="I8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1">
      <c r="A81" t="inlineStr">
        <is>
          <t>in-fdb1e80527c8014c</t>
        </is>
      </c>
      <c r="B81" t="inlineStr">
        <is>
          <t>Sr. Applied Scientist, Sponsored Products</t>
        </is>
      </c>
      <c r="C81" t="inlineStr">
        <is>
          <t>Amazon.com</t>
        </is>
      </c>
      <c r="D81" t="inlineStr">
        <is>
          <t>indeed</t>
        </is>
      </c>
      <c r="E81" t="inlineStr"/>
      <c r="F81" t="inlineStr"/>
      <c r="G81" t="inlineStr">
        <is>
          <t>Seattle, WA,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in-12bb5c1f076f3007</t>
        </is>
      </c>
      <c r="B82" t="inlineStr">
        <is>
          <t>Sr. Applied Scientist, Sponsored Products</t>
        </is>
      </c>
      <c r="C82" t="inlineStr">
        <is>
          <t>Amazon.com</t>
        </is>
      </c>
      <c r="D82" t="inlineStr">
        <is>
          <t>indeed</t>
        </is>
      </c>
      <c r="E82" t="inlineStr"/>
      <c r="F82" t="inlineStr"/>
      <c r="G82" t="inlineStr">
        <is>
          <t>New York, NY,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in-eddaab0a4bd74202</t>
        </is>
      </c>
      <c r="B83" t="inlineStr">
        <is>
          <t>Applied Scientist II, Robotics and ML, Amazon Industrial Robotics</t>
        </is>
      </c>
      <c r="C83" t="inlineStr">
        <is>
          <t>Amazon.com</t>
        </is>
      </c>
      <c r="D83" t="inlineStr">
        <is>
          <t>indeed</t>
        </is>
      </c>
      <c r="E83" t="inlineStr"/>
      <c r="F83" t="inlineStr"/>
      <c r="G83" t="inlineStr">
        <is>
          <t>Reading, MA, US</t>
        </is>
      </c>
      <c r="H83" s="1" t="n">
        <v>45975</v>
      </c>
      <c r="I8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4">
      <c r="A84" t="inlineStr">
        <is>
          <t>in-d9e415561fd86b9c</t>
        </is>
      </c>
      <c r="B84" t="inlineStr">
        <is>
          <t>Applied Scientist II, Robotics and ML, Amazon Industrial Robotics</t>
        </is>
      </c>
      <c r="C84" t="inlineStr">
        <is>
          <t>Amazon.com</t>
        </is>
      </c>
      <c r="D84" t="inlineStr">
        <is>
          <t>indeed</t>
        </is>
      </c>
      <c r="E84" t="inlineStr"/>
      <c r="F84" t="inlineStr"/>
      <c r="G84" t="inlineStr">
        <is>
          <t>Reading, MA, US</t>
        </is>
      </c>
      <c r="H84" s="1" t="n">
        <v>45975</v>
      </c>
      <c r="I8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85">
      <c r="A85" t="inlineStr">
        <is>
          <t>in-0e0b7de80c614e05</t>
        </is>
      </c>
      <c r="B85" t="inlineStr">
        <is>
          <t>Applied Scientist, Sponsored Products and Brands</t>
        </is>
      </c>
      <c r="C85" t="inlineStr">
        <is>
          <t>Amazon.com</t>
        </is>
      </c>
      <c r="D85" t="inlineStr">
        <is>
          <t>indeed</t>
        </is>
      </c>
      <c r="E85" t="inlineStr"/>
      <c r="F85" t="inlineStr"/>
      <c r="G85" t="inlineStr">
        <is>
          <t>Seattle, WA, US</t>
        </is>
      </c>
      <c r="H85" s="1" t="n">
        <v>45965</v>
      </c>
      <c r="I8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6">
      <c r="A86" t="inlineStr">
        <is>
          <t>in-cc568efd2ea01236</t>
        </is>
      </c>
      <c r="B86" t="inlineStr">
        <is>
          <t>Applied Scientist, Sponsored Products and Brands</t>
        </is>
      </c>
      <c r="C86" t="inlineStr">
        <is>
          <t>Amazon.com</t>
        </is>
      </c>
      <c r="D86" t="inlineStr">
        <is>
          <t>indeed</t>
        </is>
      </c>
      <c r="E86" t="inlineStr"/>
      <c r="F86" t="inlineStr"/>
      <c r="G86" t="inlineStr">
        <is>
          <t>New York, NY, US</t>
        </is>
      </c>
      <c r="H86" s="1" t="n">
        <v>45965</v>
      </c>
      <c r="I8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87">
      <c r="A87" t="inlineStr">
        <is>
          <t>in-471029b431d2beda</t>
        </is>
      </c>
      <c r="B87" t="inlineStr">
        <is>
          <t>Applied Scientist, AWS Agentic AI</t>
        </is>
      </c>
      <c r="C87" t="inlineStr">
        <is>
          <t>Amazon Web Services</t>
        </is>
      </c>
      <c r="D87" t="inlineStr">
        <is>
          <t>indeed</t>
        </is>
      </c>
      <c r="E87" t="inlineStr"/>
      <c r="F87" t="inlineStr"/>
      <c r="G87" t="inlineStr">
        <is>
          <t>Santa Clara, CA, US</t>
        </is>
      </c>
      <c r="H87" s="1"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in-98bdc8533c96fbe0</t>
        </is>
      </c>
      <c r="B88" t="inlineStr">
        <is>
          <t>Applied Scientist, AWS Agentic AI</t>
        </is>
      </c>
      <c r="C88" t="inlineStr">
        <is>
          <t>Amazon Web Services</t>
        </is>
      </c>
      <c r="D88" t="inlineStr">
        <is>
          <t>indeed</t>
        </is>
      </c>
      <c r="E88" t="inlineStr"/>
      <c r="F88" t="inlineStr"/>
      <c r="G88" t="inlineStr">
        <is>
          <t>Seattle, WA, US</t>
        </is>
      </c>
      <c r="H88" s="1"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in-33a542cf8e192ff6</t>
        </is>
      </c>
      <c r="B89" t="inlineStr">
        <is>
          <t>Applied Scientist, AWS Agentic AI</t>
        </is>
      </c>
      <c r="C89" t="inlineStr">
        <is>
          <t>Amazon Web Services</t>
        </is>
      </c>
      <c r="D89" t="inlineStr">
        <is>
          <t>indeed</t>
        </is>
      </c>
      <c r="E89" t="inlineStr"/>
      <c r="F89" t="inlineStr"/>
      <c r="G89" t="inlineStr">
        <is>
          <t>New York, NY, US</t>
        </is>
      </c>
      <c r="H89" s="1" t="n">
        <v>45962</v>
      </c>
      <c r="I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in-c6a093454d6919a8</t>
        </is>
      </c>
      <c r="B90" t="inlineStr">
        <is>
          <t>Applied Scientist, AI Automation, Prime Video</t>
        </is>
      </c>
      <c r="C90" t="inlineStr">
        <is>
          <t>Amazon.com</t>
        </is>
      </c>
      <c r="D90" t="inlineStr">
        <is>
          <t>indeed</t>
        </is>
      </c>
      <c r="E90" t="inlineStr"/>
      <c r="F90" t="inlineStr"/>
      <c r="G90" t="inlineStr">
        <is>
          <t>Culver City, CA, US</t>
        </is>
      </c>
      <c r="H90" s="1" t="n">
        <v>45949</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in-afee1dfaab2362d0</t>
        </is>
      </c>
      <c r="B91" t="inlineStr">
        <is>
          <t>Applied Scientist, AI Automation, Prime Video</t>
        </is>
      </c>
      <c r="C91" t="inlineStr">
        <is>
          <t>Amazon.com</t>
        </is>
      </c>
      <c r="D91" t="inlineStr">
        <is>
          <t>indeed</t>
        </is>
      </c>
      <c r="E91" t="inlineStr"/>
      <c r="F91" t="inlineStr"/>
      <c r="G91" t="inlineStr">
        <is>
          <t>Seattle, WA, US</t>
        </is>
      </c>
      <c r="H91" s="1" t="n">
        <v>45949</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in-c516151ff7848228</t>
        </is>
      </c>
      <c r="B92" t="inlineStr">
        <is>
          <t>Principal Applied Scientist, Advertiser Growth, Amazon Sponsored Products &amp; Brands</t>
        </is>
      </c>
      <c r="C92" t="inlineStr">
        <is>
          <t>Amazon.com</t>
        </is>
      </c>
      <c r="D92" t="inlineStr">
        <is>
          <t>indeed</t>
        </is>
      </c>
      <c r="E92" t="inlineStr"/>
      <c r="F92" t="inlineStr"/>
      <c r="G92" t="inlineStr">
        <is>
          <t>Palo Alto, CA, US</t>
        </is>
      </c>
      <c r="H92" s="1"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in-b44ce46088af4ba4</t>
        </is>
      </c>
      <c r="B93" t="inlineStr">
        <is>
          <t>Principal Applied Scientist, Advertiser Growth, Amazon Sponsored Products &amp; Brands</t>
        </is>
      </c>
      <c r="C93" t="inlineStr">
        <is>
          <t>Amazon.com</t>
        </is>
      </c>
      <c r="D93" t="inlineStr">
        <is>
          <t>indeed</t>
        </is>
      </c>
      <c r="E93" t="inlineStr"/>
      <c r="F93" t="inlineStr"/>
      <c r="G93" t="inlineStr">
        <is>
          <t>New York, NY,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in-7e53cd8fba592731</t>
        </is>
      </c>
      <c r="B94" t="inlineStr">
        <is>
          <t>Principal Applied Scientist, Advertiser Growth, Amazon Sponsored Products &amp; Brands</t>
        </is>
      </c>
      <c r="C94" t="inlineStr">
        <is>
          <t>Amazon.com</t>
        </is>
      </c>
      <c r="D94" t="inlineStr">
        <is>
          <t>indeed</t>
        </is>
      </c>
      <c r="E94" t="inlineStr"/>
      <c r="F94" t="inlineStr"/>
      <c r="G94" t="inlineStr">
        <is>
          <t>Seattle, WA, US</t>
        </is>
      </c>
      <c r="H94" s="1" t="n">
        <v>45942</v>
      </c>
      <c r="I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in-c0492343f55c4afe</t>
        </is>
      </c>
      <c r="B95" t="inlineStr">
        <is>
          <t>Applied Scientist, Workplace Health &amp; Safety</t>
        </is>
      </c>
      <c r="C95" t="inlineStr">
        <is>
          <t>Amazon.com</t>
        </is>
      </c>
      <c r="D95" t="inlineStr">
        <is>
          <t>indeed</t>
        </is>
      </c>
      <c r="E95" t="inlineStr"/>
      <c r="F95" t="inlineStr"/>
      <c r="G95" t="inlineStr">
        <is>
          <t>Bellevue, WA, US</t>
        </is>
      </c>
      <c r="H95" s="1" t="n">
        <v>45917</v>
      </c>
      <c r="I9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in-22f9302ee1ff8dbf</t>
        </is>
      </c>
      <c r="B96" t="inlineStr">
        <is>
          <t>Applied Scientist, Workplace Health &amp; Safety</t>
        </is>
      </c>
      <c r="C96" t="inlineStr">
        <is>
          <t>Amazon.com</t>
        </is>
      </c>
      <c r="D96" t="inlineStr">
        <is>
          <t>indeed</t>
        </is>
      </c>
      <c r="E96" t="inlineStr"/>
      <c r="F96" t="inlineStr"/>
      <c r="G96" t="inlineStr">
        <is>
          <t>Nashville, TN, US</t>
        </is>
      </c>
      <c r="H96" s="1" t="n">
        <v>45917</v>
      </c>
      <c r="I9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in-d3bacef9e66e47b3</t>
        </is>
      </c>
      <c r="B97" t="inlineStr">
        <is>
          <t>Sr. Applied Scientist, Prime Video - Personalization and Discovery Science</t>
        </is>
      </c>
      <c r="C97" t="inlineStr">
        <is>
          <t>Amazon.com</t>
        </is>
      </c>
      <c r="D97" t="inlineStr">
        <is>
          <t>indeed</t>
        </is>
      </c>
      <c r="E97" t="inlineStr"/>
      <c r="F97" t="inlineStr"/>
      <c r="G97" t="inlineStr">
        <is>
          <t>New York, NY, US</t>
        </is>
      </c>
      <c r="H97" s="1" t="n">
        <v>45896</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8">
      <c r="A98" t="inlineStr">
        <is>
          <t>in-257221f0b2bf276f</t>
        </is>
      </c>
      <c r="B98" t="inlineStr">
        <is>
          <t>Sr. Applied Scientist, Prime Video - Personalization and Discovery Science</t>
        </is>
      </c>
      <c r="C98" t="inlineStr">
        <is>
          <t>Amazon.com</t>
        </is>
      </c>
      <c r="D98" t="inlineStr">
        <is>
          <t>indeed</t>
        </is>
      </c>
      <c r="E98" t="inlineStr"/>
      <c r="F98" t="inlineStr"/>
      <c r="G98" t="inlineStr">
        <is>
          <t>Sunnyvale, CA, US</t>
        </is>
      </c>
      <c r="H98" s="1" t="n">
        <v>45896</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9">
      <c r="A99" t="inlineStr">
        <is>
          <t>in-7e8ea4d87d08f0bc</t>
        </is>
      </c>
      <c r="B99" t="inlineStr">
        <is>
          <t>Sr. Applied Scientist, Prime Video - Personalization and Discovery Science</t>
        </is>
      </c>
      <c r="C99" t="inlineStr">
        <is>
          <t>Amazon.com</t>
        </is>
      </c>
      <c r="D99" t="inlineStr">
        <is>
          <t>indeed</t>
        </is>
      </c>
      <c r="E99" t="inlineStr"/>
      <c r="F99" t="inlineStr"/>
      <c r="G99" t="inlineStr">
        <is>
          <t>Seattle, WA,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in-7d880a770671c11b</t>
        </is>
      </c>
      <c r="B100" t="inlineStr">
        <is>
          <t>Applied Scientist II, Prime Video , Personalization and Discovery Science</t>
        </is>
      </c>
      <c r="C100" t="inlineStr">
        <is>
          <t>Amazon.com</t>
        </is>
      </c>
      <c r="D100" t="inlineStr">
        <is>
          <t>indeed</t>
        </is>
      </c>
      <c r="E100" t="inlineStr"/>
      <c r="F100" t="inlineStr"/>
      <c r="G100" t="inlineStr">
        <is>
          <t>Seattle, WA, US</t>
        </is>
      </c>
      <c r="H100" s="1" t="n">
        <v>45886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1">
      <c r="A101" t="inlineStr">
        <is>
          <t>in-fd89b8025594c262</t>
        </is>
      </c>
      <c r="B101" t="inlineStr">
        <is>
          <t>Applied Scientist II, Prime Video , Personalization and Discovery Science</t>
        </is>
      </c>
      <c r="C101" t="inlineStr">
        <is>
          <t>Amazon.com</t>
        </is>
      </c>
      <c r="D101" t="inlineStr">
        <is>
          <t>indeed</t>
        </is>
      </c>
      <c r="E101" t="inlineStr"/>
      <c r="F101" t="inlineStr"/>
      <c r="G101" t="inlineStr">
        <is>
          <t>Sunnyvale, CA, US</t>
        </is>
      </c>
      <c r="H101" s="1" t="n">
        <v>45886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2">
      <c r="A102" t="inlineStr">
        <is>
          <t>in-4985e617c46c08b6</t>
        </is>
      </c>
      <c r="B102" t="inlineStr">
        <is>
          <t>Applied Scientist II, Prime Video , Personalization and Discovery Science</t>
        </is>
      </c>
      <c r="C102" t="inlineStr">
        <is>
          <t>Amazon.com</t>
        </is>
      </c>
      <c r="D102" t="inlineStr">
        <is>
          <t>indeed</t>
        </is>
      </c>
      <c r="E102" t="inlineStr"/>
      <c r="F102" t="inlineStr"/>
      <c r="G102" t="inlineStr">
        <is>
          <t>New York, NY, US</t>
        </is>
      </c>
      <c r="H102" s="1" t="n">
        <v>45886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03">
      <c r="A103" t="inlineStr">
        <is>
          <t>in-39d27951682147b6</t>
        </is>
      </c>
      <c r="B103" t="inlineStr">
        <is>
          <t>Sr. Applied Scientist, Prime Video - Personalization and Discovery Science</t>
        </is>
      </c>
      <c r="C103" t="inlineStr">
        <is>
          <t>Amazon.com</t>
        </is>
      </c>
      <c r="D103" t="inlineStr">
        <is>
          <t>indeed</t>
        </is>
      </c>
      <c r="E103" t="inlineStr"/>
      <c r="F103" t="inlineStr"/>
      <c r="G103" t="inlineStr">
        <is>
          <t>New York, NY, US</t>
        </is>
      </c>
      <c r="H103" s="1" t="n">
        <v>45886</v>
      </c>
      <c r="I1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in-a238c120b97b9292</t>
        </is>
      </c>
      <c r="B104" t="inlineStr">
        <is>
          <t>Sr. Applied Scientist, Prime Video - Personalization and Discovery Science</t>
        </is>
      </c>
      <c r="C104" t="inlineStr">
        <is>
          <t>Amazon.com</t>
        </is>
      </c>
      <c r="D104" t="inlineStr">
        <is>
          <t>indeed</t>
        </is>
      </c>
      <c r="E104" t="inlineStr"/>
      <c r="F104" t="inlineStr"/>
      <c r="G104" t="inlineStr">
        <is>
          <t>Sunnyvale, CA, US</t>
        </is>
      </c>
      <c r="H104" s="1" t="n">
        <v>45886</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in-7bc77bdcecfe4db7</t>
        </is>
      </c>
      <c r="B105" t="inlineStr">
        <is>
          <t>Sr. Applied Scientist, Prime Video - Personalization and Discovery Science</t>
        </is>
      </c>
      <c r="C105" t="inlineStr">
        <is>
          <t>Amazon.com</t>
        </is>
      </c>
      <c r="D105" t="inlineStr">
        <is>
          <t>indeed</t>
        </is>
      </c>
      <c r="E105" t="inlineStr"/>
      <c r="F105" t="inlineStr"/>
      <c r="G105" t="inlineStr">
        <is>
          <t>Seattle, WA, US</t>
        </is>
      </c>
      <c r="H105" s="1" t="n">
        <v>45886</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in-7b359d44be3826cc</t>
        </is>
      </c>
      <c r="B106" t="inlineStr">
        <is>
          <t>Applied Scientist III, StoreGen</t>
        </is>
      </c>
      <c r="C106" t="inlineStr">
        <is>
          <t>Amazon.com</t>
        </is>
      </c>
      <c r="D106" t="inlineStr">
        <is>
          <t>indeed</t>
        </is>
      </c>
      <c r="E106" t="inlineStr"/>
      <c r="F106" t="inlineStr"/>
      <c r="G106" t="inlineStr">
        <is>
          <t>Sunnyvale, CA, US</t>
        </is>
      </c>
      <c r="H106" s="1" t="n">
        <v>45868</v>
      </c>
      <c r="I10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in-fad9c98e1e31c858</t>
        </is>
      </c>
      <c r="B107" t="inlineStr">
        <is>
          <t>Applied Scientist III, StoreGen</t>
        </is>
      </c>
      <c r="C107" t="inlineStr">
        <is>
          <t>Amazon.com</t>
        </is>
      </c>
      <c r="D107" t="inlineStr">
        <is>
          <t>indeed</t>
        </is>
      </c>
      <c r="E107" t="inlineStr"/>
      <c r="F107" t="inlineStr"/>
      <c r="G107" t="inlineStr">
        <is>
          <t>Seattle, WA, US</t>
        </is>
      </c>
      <c r="H107" s="1" t="n">
        <v>45868</v>
      </c>
      <c r="I10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in-2b6d67eeee1ccb81</t>
        </is>
      </c>
      <c r="B108" t="inlineStr">
        <is>
          <t>Sr. Applied Scientist, Amazon Advertising</t>
        </is>
      </c>
      <c r="C108" t="inlineStr">
        <is>
          <t>Amazon.com</t>
        </is>
      </c>
      <c r="D108" t="inlineStr">
        <is>
          <t>indeed</t>
        </is>
      </c>
      <c r="E108" t="inlineStr"/>
      <c r="F108" t="inlineStr"/>
      <c r="G108" t="inlineStr">
        <is>
          <t>Austin, TX,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in-6074ee797a1773de</t>
        </is>
      </c>
      <c r="B109" t="inlineStr">
        <is>
          <t>Sr. Applied Scientist, Amazon Advertising</t>
        </is>
      </c>
      <c r="C109" t="inlineStr">
        <is>
          <t>Amazon.com</t>
        </is>
      </c>
      <c r="D109" t="inlineStr">
        <is>
          <t>indeed</t>
        </is>
      </c>
      <c r="E109" t="inlineStr"/>
      <c r="F109" t="inlineStr"/>
      <c r="G109" t="inlineStr">
        <is>
          <t>Los Angeles, CA,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in-4adb24097212fecc</t>
        </is>
      </c>
      <c r="B110" t="inlineStr">
        <is>
          <t>Sr. Applied Scientist, Amazon Advertising</t>
        </is>
      </c>
      <c r="C110" t="inlineStr">
        <is>
          <t>Amazon.com</t>
        </is>
      </c>
      <c r="D110" t="inlineStr">
        <is>
          <t>indeed</t>
        </is>
      </c>
      <c r="E110" t="inlineStr"/>
      <c r="F110" t="inlineStr"/>
      <c r="G110" t="inlineStr">
        <is>
          <t>Palo Alto, CA, US</t>
        </is>
      </c>
      <c r="H110" s="1"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in-f7be1dfdc8b26c25</t>
        </is>
      </c>
      <c r="B111" t="inlineStr">
        <is>
          <t>Sr. Applied Scientist, Amazon Advertising</t>
        </is>
      </c>
      <c r="C111" t="inlineStr">
        <is>
          <t>Amazon.com</t>
        </is>
      </c>
      <c r="D111" t="inlineStr">
        <is>
          <t>indeed</t>
        </is>
      </c>
      <c r="E111" t="inlineStr"/>
      <c r="F111" t="inlineStr"/>
      <c r="G111" t="inlineStr">
        <is>
          <t>New York, NY, US</t>
        </is>
      </c>
      <c r="H111" s="1"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in-51f7af7d0ca0f23d</t>
        </is>
      </c>
      <c r="B112" t="inlineStr">
        <is>
          <t>Sr. Applied Scientist, Amazon Advertising</t>
        </is>
      </c>
      <c r="C112" t="inlineStr">
        <is>
          <t>Amazon.com</t>
        </is>
      </c>
      <c r="D112" t="inlineStr">
        <is>
          <t>indeed</t>
        </is>
      </c>
      <c r="E112" t="inlineStr"/>
      <c r="F112" t="inlineStr"/>
      <c r="G112" t="inlineStr">
        <is>
          <t>Seattle, WA, US</t>
        </is>
      </c>
      <c r="H112" s="1"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in-f399e335877c6132</t>
        </is>
      </c>
      <c r="B113" t="inlineStr">
        <is>
          <t>Sr. Applied Scientist, Amazon Advertising</t>
        </is>
      </c>
      <c r="C113" t="inlineStr">
        <is>
          <t>Amazon.com</t>
        </is>
      </c>
      <c r="D113" t="inlineStr">
        <is>
          <t>indeed</t>
        </is>
      </c>
      <c r="E113" t="inlineStr"/>
      <c r="F113" t="inlineStr"/>
      <c r="G113" t="inlineStr">
        <is>
          <t>West Hollywood, CA, US</t>
        </is>
      </c>
      <c r="H113" s="1"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in-354347731559ef6d</t>
        </is>
      </c>
      <c r="B114" t="inlineStr">
        <is>
          <t>Sr. Applied Scientist, Amazon Advertising</t>
        </is>
      </c>
      <c r="C114" t="inlineStr">
        <is>
          <t>Amazon.com</t>
        </is>
      </c>
      <c r="D114" t="inlineStr">
        <is>
          <t>indeed</t>
        </is>
      </c>
      <c r="E114" t="inlineStr"/>
      <c r="F114" t="inlineStr"/>
      <c r="G114" t="inlineStr">
        <is>
          <t>Simi Valley, CA, US</t>
        </is>
      </c>
      <c r="H114" s="1"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in-8d755f1415ac5bd2</t>
        </is>
      </c>
      <c r="B115" t="inlineStr">
        <is>
          <t>Sr. Applied Scientist, Amazon Advertising</t>
        </is>
      </c>
      <c r="C115" t="inlineStr">
        <is>
          <t>Amazon.com</t>
        </is>
      </c>
      <c r="D115" t="inlineStr">
        <is>
          <t>indeed</t>
        </is>
      </c>
      <c r="E115" t="inlineStr"/>
      <c r="F115" t="inlineStr"/>
      <c r="G115" t="inlineStr">
        <is>
          <t>Arlington, VA, US</t>
        </is>
      </c>
      <c r="H115" s="1"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in-d2bc0b1fcc81ea52</t>
        </is>
      </c>
      <c r="B116" t="inlineStr">
        <is>
          <t>Sr. Applied Scientist, Sales AI</t>
        </is>
      </c>
      <c r="C116" t="inlineStr">
        <is>
          <t>Amazon.com</t>
        </is>
      </c>
      <c r="D116" t="inlineStr">
        <is>
          <t>indeed</t>
        </is>
      </c>
      <c r="E116" t="inlineStr"/>
      <c r="F116" t="inlineStr"/>
      <c r="G116" t="inlineStr">
        <is>
          <t>Sunnyvale, CA, US</t>
        </is>
      </c>
      <c r="H116" s="1" t="n">
        <v>45830</v>
      </c>
      <c r="I11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in-bbbee068700409ca</t>
        </is>
      </c>
      <c r="B117" t="inlineStr">
        <is>
          <t>Sr. Applied Scientist, Sales AI</t>
        </is>
      </c>
      <c r="C117" t="inlineStr">
        <is>
          <t>Amazon.com</t>
        </is>
      </c>
      <c r="D117" t="inlineStr">
        <is>
          <t>indeed</t>
        </is>
      </c>
      <c r="E117" t="inlineStr"/>
      <c r="F117" t="inlineStr"/>
      <c r="G117" t="inlineStr">
        <is>
          <t>New York, NY, US</t>
        </is>
      </c>
      <c r="H117" s="1" t="n">
        <v>45830</v>
      </c>
      <c r="I11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in-f2f46b66d9191c49</t>
        </is>
      </c>
      <c r="B118" t="inlineStr">
        <is>
          <t>Sr. Applied Scientist, Sales AI</t>
        </is>
      </c>
      <c r="C118" t="inlineStr">
        <is>
          <t>Amazon.com</t>
        </is>
      </c>
      <c r="D118" t="inlineStr">
        <is>
          <t>indeed</t>
        </is>
      </c>
      <c r="E118" t="inlineStr"/>
      <c r="F118" t="inlineStr"/>
      <c r="G118" t="inlineStr">
        <is>
          <t>Seattle, WA, US</t>
        </is>
      </c>
      <c r="H118" s="1" t="n">
        <v>45830</v>
      </c>
      <c r="I11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in-a598d42066bd365e</t>
        </is>
      </c>
      <c r="B119" t="inlineStr">
        <is>
          <t>Senior Applied Scientist, Delivery Foundation Model</t>
        </is>
      </c>
      <c r="C119" t="inlineStr">
        <is>
          <t>Amazon.com</t>
        </is>
      </c>
      <c r="D119" t="inlineStr">
        <is>
          <t>indeed</t>
        </is>
      </c>
      <c r="E119" t="inlineStr"/>
      <c r="F119" t="inlineStr"/>
      <c r="G119" t="inlineStr">
        <is>
          <t>Santa Clara, CA, US</t>
        </is>
      </c>
      <c r="H119" s="1"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in-61c17930661e0909</t>
        </is>
      </c>
      <c r="B120" t="inlineStr">
        <is>
          <t>Senior Applied Scientist, Delivery Foundation Model</t>
        </is>
      </c>
      <c r="C120" t="inlineStr">
        <is>
          <t>Amazon.com</t>
        </is>
      </c>
      <c r="D120" t="inlineStr">
        <is>
          <t>indeed</t>
        </is>
      </c>
      <c r="E120" t="inlineStr"/>
      <c r="F120" t="inlineStr"/>
      <c r="G120" t="inlineStr">
        <is>
          <t>Bellevue, WA, US</t>
        </is>
      </c>
      <c r="H120" s="1" t="n">
        <v>45806</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in-b6ec5dec6058c8ab</t>
        </is>
      </c>
      <c r="B121" t="inlineStr">
        <is>
          <t>Senior Applied Scientist, Delivery Foundation Model</t>
        </is>
      </c>
      <c r="C121" t="inlineStr">
        <is>
          <t>Amazon.com</t>
        </is>
      </c>
      <c r="D121" t="inlineStr">
        <is>
          <t>indeed</t>
        </is>
      </c>
      <c r="E121" t="inlineStr"/>
      <c r="F121" t="inlineStr"/>
      <c r="G121" t="inlineStr">
        <is>
          <t>New York, NY, US</t>
        </is>
      </c>
      <c r="H121" s="1" t="n">
        <v>45806</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in-f520d4ddeba09d95</t>
        </is>
      </c>
      <c r="B122" t="inlineStr">
        <is>
          <t>Sr. Applied Scientist - Privacy, Privacy Engineering</t>
        </is>
      </c>
      <c r="C122" t="inlineStr">
        <is>
          <t>Amazon.com</t>
        </is>
      </c>
      <c r="D122" t="inlineStr">
        <is>
          <t>indeed</t>
        </is>
      </c>
      <c r="E122" t="inlineStr"/>
      <c r="F122" t="inlineStr"/>
      <c r="G122" t="inlineStr">
        <is>
          <t>Santa Clara, CA, US</t>
        </is>
      </c>
      <c r="H122" s="1"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in-868a5ce53b94189d</t>
        </is>
      </c>
      <c r="B123" t="inlineStr">
        <is>
          <t>Sr. Applied Scientist - Privacy, Privacy Engineering</t>
        </is>
      </c>
      <c r="C123" t="inlineStr">
        <is>
          <t>Amazon.com</t>
        </is>
      </c>
      <c r="D123" t="inlineStr">
        <is>
          <t>indeed</t>
        </is>
      </c>
      <c r="E123" t="inlineStr"/>
      <c r="F123" t="inlineStr"/>
      <c r="G123" t="inlineStr">
        <is>
          <t>San Francisco, CA, US</t>
        </is>
      </c>
      <c r="H123" s="1"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in-9d142fdf59e632f3</t>
        </is>
      </c>
      <c r="B124" t="inlineStr">
        <is>
          <t>Sr. Applied Scientist - Privacy, Privacy Engineering</t>
        </is>
      </c>
      <c r="C124" t="inlineStr">
        <is>
          <t>Amazon.com</t>
        </is>
      </c>
      <c r="D124" t="inlineStr">
        <is>
          <t>indeed</t>
        </is>
      </c>
      <c r="E124" t="inlineStr"/>
      <c r="F124" t="inlineStr"/>
      <c r="G124" t="inlineStr">
        <is>
          <t>Seattle, WA,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in-afcb0e031d895616</t>
        </is>
      </c>
      <c r="B125" t="inlineStr">
        <is>
          <t>Sr. Applied Scientist - Privacy, Privacy Engineering</t>
        </is>
      </c>
      <c r="C125" t="inlineStr">
        <is>
          <t>Amazon.com</t>
        </is>
      </c>
      <c r="D125" t="inlineStr">
        <is>
          <t>indeed</t>
        </is>
      </c>
      <c r="E125" t="inlineStr"/>
      <c r="F125" t="inlineStr"/>
      <c r="G125" t="inlineStr">
        <is>
          <t>Sunnyvale, CA, US</t>
        </is>
      </c>
      <c r="H125" s="1" t="n">
        <v>45787</v>
      </c>
      <c r="I1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in-946e7bf71805c7e6</t>
        </is>
      </c>
      <c r="B126" t="inlineStr">
        <is>
          <t>Sr. Machine Learning Engineer, WWPS ProServe Data and Machine Learning</t>
        </is>
      </c>
      <c r="C126" t="inlineStr">
        <is>
          <t>Amazon Web Services</t>
        </is>
      </c>
      <c r="D126" t="inlineStr">
        <is>
          <t>indeed</t>
        </is>
      </c>
      <c r="E126" t="inlineStr"/>
      <c r="F126" t="inlineStr"/>
      <c r="G126" t="inlineStr">
        <is>
          <t>Arlington, VA, US</t>
        </is>
      </c>
      <c r="H126" s="1" t="n">
        <v>46062</v>
      </c>
      <c r="I126"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27">
      <c r="A127" t="inlineStr">
        <is>
          <t>in-9ed188f061b2453c</t>
        </is>
      </c>
      <c r="B127" t="inlineStr">
        <is>
          <t>Sr. Machine Learning Engineer, WWPS ProServe Data and Machine Learning</t>
        </is>
      </c>
      <c r="C127" t="inlineStr">
        <is>
          <t>Amazon Web Services</t>
        </is>
      </c>
      <c r="D127" t="inlineStr">
        <is>
          <t>indeed</t>
        </is>
      </c>
      <c r="E127" t="inlineStr"/>
      <c r="F127" t="inlineStr"/>
      <c r="G127" t="inlineStr">
        <is>
          <t>Herndon, VA, US</t>
        </is>
      </c>
      <c r="H127" s="1" t="n">
        <v>46062</v>
      </c>
      <c r="I127"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128">
      <c r="A128" t="inlineStr">
        <is>
          <t>in-fd90f483baf7c35e</t>
        </is>
      </c>
      <c r="B128" t="inlineStr">
        <is>
          <t>Data and Machine Learning Engineer - Vision Language Models, Data &amp; Machine Learning (DML)</t>
        </is>
      </c>
      <c r="C128" t="inlineStr">
        <is>
          <t>Amazon Web Services</t>
        </is>
      </c>
      <c r="D128" t="inlineStr">
        <is>
          <t>indeed</t>
        </is>
      </c>
      <c r="E128" t="inlineStr"/>
      <c r="F128" t="inlineStr"/>
      <c r="G128" t="inlineStr">
        <is>
          <t>Arlington, VA, US</t>
        </is>
      </c>
      <c r="H128" s="1" t="n">
        <v>46051</v>
      </c>
      <c r="I128"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9">
      <c r="A129" t="inlineStr">
        <is>
          <t>in-989f98e9d824daea</t>
        </is>
      </c>
      <c r="B129" t="inlineStr">
        <is>
          <t>Data and Machine Learning Engineer - Vision Language Models, Data &amp; Machine Learning (DML)</t>
        </is>
      </c>
      <c r="C129" t="inlineStr">
        <is>
          <t>Amazon Web Services</t>
        </is>
      </c>
      <c r="D129" t="inlineStr">
        <is>
          <t>indeed</t>
        </is>
      </c>
      <c r="E129" t="inlineStr"/>
      <c r="F129" t="inlineStr"/>
      <c r="G129" t="inlineStr">
        <is>
          <t>Herndon, VA, US</t>
        </is>
      </c>
      <c r="H129" s="1" t="n">
        <v>46051</v>
      </c>
      <c r="I129"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0">
      <c r="A130" t="inlineStr">
        <is>
          <t>in-ab14bbdd3c8bb57c</t>
        </is>
      </c>
      <c r="B130" t="inlineStr">
        <is>
          <t>Machine Learning Engineer, WWPS ProServe Data and Machine Learning</t>
        </is>
      </c>
      <c r="C130" t="inlineStr">
        <is>
          <t>Amazon Web Services</t>
        </is>
      </c>
      <c r="D130" t="inlineStr">
        <is>
          <t>indeed</t>
        </is>
      </c>
      <c r="E130" t="inlineStr"/>
      <c r="F130" t="inlineStr"/>
      <c r="G130" t="inlineStr">
        <is>
          <t>Herndon, VA, US</t>
        </is>
      </c>
      <c r="H130" s="1" t="n">
        <v>46044</v>
      </c>
      <c r="I13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1">
      <c r="A131" t="inlineStr">
        <is>
          <t>in-572f9187111dc048</t>
        </is>
      </c>
      <c r="B131" t="inlineStr">
        <is>
          <t>Machine Learning Engineer, WWPS ProServe Data and Machine Learning</t>
        </is>
      </c>
      <c r="C131" t="inlineStr">
        <is>
          <t>Amazon Web Services</t>
        </is>
      </c>
      <c r="D131" t="inlineStr">
        <is>
          <t>indeed</t>
        </is>
      </c>
      <c r="E131" t="inlineStr"/>
      <c r="F131" t="inlineStr"/>
      <c r="G131" t="inlineStr">
        <is>
          <t>Arlington, VA, US</t>
        </is>
      </c>
      <c r="H131" s="1" t="n">
        <v>46044</v>
      </c>
      <c r="I131"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32">
      <c r="A132" t="inlineStr">
        <is>
          <t>in-53901738da8a841a</t>
        </is>
      </c>
      <c r="B132" t="inlineStr">
        <is>
          <t>ML Engineer, GO-AI Technology &amp; Development Team</t>
        </is>
      </c>
      <c r="C132" t="inlineStr">
        <is>
          <t>Amazon.com</t>
        </is>
      </c>
      <c r="D132" t="inlineStr">
        <is>
          <t>indeed</t>
        </is>
      </c>
      <c r="E132" t="inlineStr"/>
      <c r="F132" t="inlineStr"/>
      <c r="G132" t="inlineStr">
        <is>
          <t>Seattle, WA, US</t>
        </is>
      </c>
      <c r="H132" s="1" t="n">
        <v>45998</v>
      </c>
      <c r="I13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3">
      <c r="A133" t="inlineStr">
        <is>
          <t>in-59d3fe5e6d18dc5d</t>
        </is>
      </c>
      <c r="B133" t="inlineStr">
        <is>
          <t>ML Engineer, GO-AI Technology &amp; Development Team</t>
        </is>
      </c>
      <c r="C133" t="inlineStr">
        <is>
          <t>Amazon.com</t>
        </is>
      </c>
      <c r="D133" t="inlineStr">
        <is>
          <t>indeed</t>
        </is>
      </c>
      <c r="E133" t="inlineStr"/>
      <c r="F133" t="inlineStr"/>
      <c r="G133" t="inlineStr">
        <is>
          <t>Boston, MA, US</t>
        </is>
      </c>
      <c r="H133" s="1" t="n">
        <v>45998</v>
      </c>
      <c r="I13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4">
      <c r="A134" t="inlineStr">
        <is>
          <t>in-2ac9b19d918178f5</t>
        </is>
      </c>
      <c r="B134" t="inlineStr">
        <is>
          <t>ML Engineer, GO-AI Technology &amp; Development Team</t>
        </is>
      </c>
      <c r="C134" t="inlineStr">
        <is>
          <t>Amazon.com</t>
        </is>
      </c>
      <c r="D134" t="inlineStr">
        <is>
          <t>indeed</t>
        </is>
      </c>
      <c r="E134" t="inlineStr"/>
      <c r="F134" t="inlineStr"/>
      <c r="G134" t="inlineStr">
        <is>
          <t>Westborough, MA, US</t>
        </is>
      </c>
      <c r="H134" s="1" t="n">
        <v>45998</v>
      </c>
      <c r="I13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5">
      <c r="A135" t="inlineStr">
        <is>
          <t>in-4bfcd3293b3026fe</t>
        </is>
      </c>
      <c r="B135" t="inlineStr">
        <is>
          <t>ML Engineer, GO-AI Technology &amp; Development Team</t>
        </is>
      </c>
      <c r="C135" t="inlineStr">
        <is>
          <t>Amazon.com</t>
        </is>
      </c>
      <c r="D135" t="inlineStr">
        <is>
          <t>indeed</t>
        </is>
      </c>
      <c r="E135" t="inlineStr"/>
      <c r="F135" t="inlineStr"/>
      <c r="G135" t="inlineStr">
        <is>
          <t>Reading, MA, US</t>
        </is>
      </c>
      <c r="H135" s="1" t="n">
        <v>45998</v>
      </c>
      <c r="I13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36">
      <c r="A136" t="inlineStr">
        <is>
          <t>in-1717c71cb2e3723a</t>
        </is>
      </c>
      <c r="B136" t="inlineStr">
        <is>
          <t>Finance Machine Learning Engineer - Tech Lead</t>
        </is>
      </c>
      <c r="C136" t="inlineStr">
        <is>
          <t>Apple</t>
        </is>
      </c>
      <c r="D136" t="inlineStr">
        <is>
          <t>indeed</t>
        </is>
      </c>
      <c r="E136" t="inlineStr"/>
      <c r="F136" t="inlineStr"/>
      <c r="G136" t="inlineStr">
        <is>
          <t>Austin, TX, US</t>
        </is>
      </c>
      <c r="H136" s="1" t="n">
        <v>46068</v>
      </c>
      <c r="I136"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organization.","responsibilities":"Technical lead overseeing solution design and engineers  
Partner with teammates and share expertise across teams  
Explain technical concepts to non\-technical audiences  
Collaborate effectively with cross\-functional teams  
Operationalize AI solutions, bridging the gap between prototype and production  
Instill strong engineering practices into team machine learning processes  
Rapidly and reliably deliver value to the Finance organization  
**Preferred Qualifications**  
Previous experience working in a corporate finance, accounting, or supply chain organization  
Understanding of or ability to learn financial statements, P\&amp;L impact, high level accounting principles, SOX and tax compliance and month\-end close process  
**Minimum Qualifications**  
At least 8 years experience in an engineering role  
At least one year experience effectively leading engineers and collaborating cross\-functionally, translating technical concepts for diverse audiences and converting ideas into solutions with strong process and data understanding  
Experience building data models and scalable pipelines using SQL and big data technologies, with expertise in data ops best practices  
Experience developing in Python while following and advocating for DRY principles, modularity, testing standards, version control, and code reviews. Experience with front end (.js experience)  
Experience applying ML algorithms for regression, classification, and anomaly detection; build generative AI and agentic solutions; implement MLOps/LLMOps including CI/CD, drift monitoring, and familiarity working with cloud platforms (AWS, GCP, Azure)  
Graduate degree (computer science, data science, math, quantitative finance, or similar discipline)  
Undergraduate degree (computer science, data science, finance, economics, accounting, or related business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7">
      <c r="A137" t="inlineStr">
        <is>
          <t>in-95616e358f3547ca</t>
        </is>
      </c>
      <c r="B137" t="inlineStr">
        <is>
          <t>Finance Machine Learning Engineer - Tech Lead</t>
        </is>
      </c>
      <c r="C137" t="inlineStr">
        <is>
          <t>Apple</t>
        </is>
      </c>
      <c r="D137" t="inlineStr">
        <is>
          <t>indeed</t>
        </is>
      </c>
      <c r="E137" t="inlineStr"/>
      <c r="F137" t="inlineStr"/>
      <c r="G137" t="inlineStr">
        <is>
          <t>Austin, TX, US</t>
        </is>
      </c>
      <c r="H137" s="1" t="n">
        <v>46068</v>
      </c>
      <c r="I137" t="inlineStr">
        <is>
          <t>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organization.","responsibilities":"Technical lead overseeing solution design and engineers  
Partner with teammates and share expertise across teams  
Explain technical concepts to non\-technical audiences  
Collaborate effectively with cross\-functional teams  
Operationalize AI solutions, bridging the gap between prototype and production  
Instill strong engineering practices into team machine learning processes  
Rapidly and reliably deliver value to the Finance organization  
**Preferred Qualifications**  
Previous experience working in a corporate finance, accounting, or supply chain organization  
Understanding of or ability to learn financial statements, P\&amp;L impact, high level accounting principles, SOX and tax compliance and month\-end close process  
**Minimum Qualifications**  
At least 8 years experience in an engineering role  
At least one year experience effectively leading engineers and collaborating cross\-functionally, translating technical concepts for diverse audiences and converting ideas into solutions with strong process and data understanding  
Experience building data models and scalable pipelines using SQL and big data technologies, with expertise in data ops best practices  
Experience developing in Python while following and advocating for DRY principles, modularity, testing standards, version control, and code reviews. Experience with front end (.js experience)  
Experience applying ML algorithms for regression, classification, and anomaly detection; build generative AI and agentic solutions; implement MLOps/LLMOps including CI/CD, drift monitoring, and familiarity working with cloud platforms (AWS, GCP, Azure)  
Graduate degree (computer science, data science, math, quantitative finance, or similar discipline)  
Undergraduate degree (computer science, data science, finance, economics, accounting, or related business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8">
      <c r="A138" t="inlineStr">
        <is>
          <t>in-5e6a923c7a3d43e6</t>
        </is>
      </c>
      <c r="B138" t="inlineStr">
        <is>
          <t>Applied Scientist, Safety ML</t>
        </is>
      </c>
      <c r="C138" t="inlineStr">
        <is>
          <t>Amazon.com</t>
        </is>
      </c>
      <c r="D138" t="inlineStr">
        <is>
          <t>indeed</t>
        </is>
      </c>
      <c r="E138" t="inlineStr"/>
      <c r="F138" t="inlineStr"/>
      <c r="G138" t="inlineStr">
        <is>
          <t>San Francisco, CA, US</t>
        </is>
      </c>
      <c r="H138" s="1" t="n">
        <v>46037</v>
      </c>
      <c r="I1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39">
      <c r="A139" t="inlineStr">
        <is>
          <t>in-4d48a9625e627b9b</t>
        </is>
      </c>
      <c r="B139" t="inlineStr">
        <is>
          <t>Applied Scientist, Safety ML</t>
        </is>
      </c>
      <c r="C139" t="inlineStr">
        <is>
          <t>Amazon.com</t>
        </is>
      </c>
      <c r="D139" t="inlineStr">
        <is>
          <t>indeed</t>
        </is>
      </c>
      <c r="E139" t="inlineStr"/>
      <c r="F139" t="inlineStr"/>
      <c r="G139" t="inlineStr">
        <is>
          <t>Seattle, WA, US</t>
        </is>
      </c>
      <c r="H139" s="1" t="n">
        <v>46037</v>
      </c>
      <c r="I1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0">
      <c r="A140" t="inlineStr">
        <is>
          <t>in-b0072cdd230ceafd</t>
        </is>
      </c>
      <c r="B140" t="inlineStr">
        <is>
          <t>Applied Scientist, LLM Code Agents, Kiro Science</t>
        </is>
      </c>
      <c r="C140" t="inlineStr">
        <is>
          <t>Amazon.com</t>
        </is>
      </c>
      <c r="D140" t="inlineStr">
        <is>
          <t>indeed</t>
        </is>
      </c>
      <c r="E140" t="inlineStr"/>
      <c r="F140" t="inlineStr"/>
      <c r="G140" t="inlineStr">
        <is>
          <t>Santa Clara, CA, US</t>
        </is>
      </c>
      <c r="H140" s="1" t="n">
        <v>46035</v>
      </c>
      <c r="I14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1">
      <c r="A141" t="inlineStr">
        <is>
          <t>in-9e7efb6c4a9248fb</t>
        </is>
      </c>
      <c r="B141" t="inlineStr">
        <is>
          <t>Applied Scientist, LLM Code Agents, Kiro Science</t>
        </is>
      </c>
      <c r="C141" t="inlineStr">
        <is>
          <t>Amazon.com</t>
        </is>
      </c>
      <c r="D141" t="inlineStr">
        <is>
          <t>indeed</t>
        </is>
      </c>
      <c r="E141" t="inlineStr"/>
      <c r="F141" t="inlineStr"/>
      <c r="G141" t="inlineStr">
        <is>
          <t>Seattle, WA, US</t>
        </is>
      </c>
      <c r="H141" s="1" t="n">
        <v>46035</v>
      </c>
      <c r="I14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42">
      <c r="A142" t="inlineStr">
        <is>
          <t>in-496bedcd6ffaa4a6</t>
        </is>
      </c>
      <c r="B142" t="inlineStr">
        <is>
          <t>Applied Scientist II, Prime Video Personalization and Discovery Science</t>
        </is>
      </c>
      <c r="C142" t="inlineStr">
        <is>
          <t>Amazon.com</t>
        </is>
      </c>
      <c r="D142" t="inlineStr">
        <is>
          <t>indeed</t>
        </is>
      </c>
      <c r="E142" t="inlineStr"/>
      <c r="F142" t="inlineStr"/>
      <c r="G142" t="inlineStr">
        <is>
          <t>Seattle, WA, US</t>
        </is>
      </c>
      <c r="H142" s="1" t="n">
        <v>46034</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3">
      <c r="A143" t="inlineStr">
        <is>
          <t>in-ed6513c03bb1270d</t>
        </is>
      </c>
      <c r="B143" t="inlineStr">
        <is>
          <t>Applied Scientist II, Prime Video Personalization and Discovery Science</t>
        </is>
      </c>
      <c r="C143" t="inlineStr">
        <is>
          <t>Amazon.com</t>
        </is>
      </c>
      <c r="D143" t="inlineStr">
        <is>
          <t>indeed</t>
        </is>
      </c>
      <c r="E143" t="inlineStr"/>
      <c r="F143" t="inlineStr"/>
      <c r="G143" t="inlineStr">
        <is>
          <t>Sunnyvale, CA, US</t>
        </is>
      </c>
      <c r="H143" s="1" t="n">
        <v>46034</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44">
      <c r="A144" t="inlineStr">
        <is>
          <t>in-c2d10a7606e4a018</t>
        </is>
      </c>
      <c r="B144" t="inlineStr">
        <is>
          <t>Sr Applied Scientist, AWS Proactive Security</t>
        </is>
      </c>
      <c r="C144" t="inlineStr">
        <is>
          <t>Amazon.com</t>
        </is>
      </c>
      <c r="D144" t="inlineStr">
        <is>
          <t>indeed</t>
        </is>
      </c>
      <c r="E144" t="inlineStr"/>
      <c r="F144" t="inlineStr"/>
      <c r="G144" t="inlineStr">
        <is>
          <t>Herndon, VA, US</t>
        </is>
      </c>
      <c r="H144" s="1" t="n">
        <v>46030</v>
      </c>
      <c r="I14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5">
      <c r="A145" t="inlineStr">
        <is>
          <t>in-e06a27bea8a5d939</t>
        </is>
      </c>
      <c r="B145" t="inlineStr">
        <is>
          <t>Sr Applied Scientist, AWS Proactive Security</t>
        </is>
      </c>
      <c r="C145" t="inlineStr">
        <is>
          <t>Amazon.com</t>
        </is>
      </c>
      <c r="D145" t="inlineStr">
        <is>
          <t>indeed</t>
        </is>
      </c>
      <c r="E145" t="inlineStr"/>
      <c r="F145" t="inlineStr"/>
      <c r="G145" t="inlineStr">
        <is>
          <t>Sunnyvale, CA, US</t>
        </is>
      </c>
      <c r="H145" s="1" t="n">
        <v>46030</v>
      </c>
      <c r="I14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6">
      <c r="A146" t="inlineStr">
        <is>
          <t>in-c23f7b8a1a8b9bd9</t>
        </is>
      </c>
      <c r="B146" t="inlineStr">
        <is>
          <t>Sr Applied Scientist, AWS Proactive Security</t>
        </is>
      </c>
      <c r="C146" t="inlineStr">
        <is>
          <t>Amazon.com</t>
        </is>
      </c>
      <c r="D146" t="inlineStr">
        <is>
          <t>indeed</t>
        </is>
      </c>
      <c r="E146" t="inlineStr"/>
      <c r="F146" t="inlineStr"/>
      <c r="G146" t="inlineStr">
        <is>
          <t>Arlington, VA, US</t>
        </is>
      </c>
      <c r="H146" s="1" t="n">
        <v>46030</v>
      </c>
      <c r="I14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47">
      <c r="A147" t="inlineStr">
        <is>
          <t>in-3eaebc5a9b95924c</t>
        </is>
      </c>
      <c r="B147" t="inlineStr">
        <is>
          <t>Applied Scientist, Last Mile Delivery Automation</t>
        </is>
      </c>
      <c r="C147" t="inlineStr">
        <is>
          <t>Amazon.com</t>
        </is>
      </c>
      <c r="D147" t="inlineStr">
        <is>
          <t>indeed</t>
        </is>
      </c>
      <c r="E147" t="inlineStr"/>
      <c r="F147" t="inlineStr"/>
      <c r="G147" t="inlineStr">
        <is>
          <t>Bellevue, WA, US</t>
        </is>
      </c>
      <c r="H147" s="1" t="n">
        <v>46026</v>
      </c>
      <c r="I1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in-2f11e4ad66c55c3b</t>
        </is>
      </c>
      <c r="B148" t="inlineStr">
        <is>
          <t>Applied Scientist, Last Mile Delivery Automation</t>
        </is>
      </c>
      <c r="C148" t="inlineStr">
        <is>
          <t>Amazon.com</t>
        </is>
      </c>
      <c r="D148" t="inlineStr">
        <is>
          <t>indeed</t>
        </is>
      </c>
      <c r="E148" t="inlineStr"/>
      <c r="F148" t="inlineStr"/>
      <c r="G148" t="inlineStr">
        <is>
          <t>Santa Clara, CA, US</t>
        </is>
      </c>
      <c r="H148" s="1" t="n">
        <v>46026</v>
      </c>
      <c r="I14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in-c0995c9ec41834a1</t>
        </is>
      </c>
      <c r="B149" t="inlineStr">
        <is>
          <t>Applied Scientist II, Prime Video - Personalization and Discovery Science</t>
        </is>
      </c>
      <c r="C149" t="inlineStr">
        <is>
          <t>Amazon.com</t>
        </is>
      </c>
      <c r="D149" t="inlineStr">
        <is>
          <t>indeed</t>
        </is>
      </c>
      <c r="E149" t="inlineStr"/>
      <c r="F149" t="inlineStr"/>
      <c r="G149" t="inlineStr">
        <is>
          <t>Seattle, WA, US</t>
        </is>
      </c>
      <c r="H149" s="1" t="n">
        <v>46012</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0">
      <c r="A150" t="inlineStr">
        <is>
          <t>in-f08b7874e22e8f1b</t>
        </is>
      </c>
      <c r="B150" t="inlineStr">
        <is>
          <t>Applied Scientist II, Prime Video - Personalization and Discovery Science</t>
        </is>
      </c>
      <c r="C150" t="inlineStr">
        <is>
          <t>Amazon.com</t>
        </is>
      </c>
      <c r="D150" t="inlineStr">
        <is>
          <t>indeed</t>
        </is>
      </c>
      <c r="E150" t="inlineStr"/>
      <c r="F150" t="inlineStr"/>
      <c r="G150" t="inlineStr">
        <is>
          <t>Sunnyvale, CA, US</t>
        </is>
      </c>
      <c r="H150" s="1" t="n">
        <v>46012</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1">
      <c r="A151" t="inlineStr">
        <is>
          <t>in-54fd2f1b0231c225</t>
        </is>
      </c>
      <c r="B151" t="inlineStr">
        <is>
          <t>Principal Applied Scientist, Kiro Science</t>
        </is>
      </c>
      <c r="C151" t="inlineStr">
        <is>
          <t>Amazon Web Services</t>
        </is>
      </c>
      <c r="D151" t="inlineStr">
        <is>
          <t>indeed</t>
        </is>
      </c>
      <c r="E151" t="inlineStr"/>
      <c r="F151" t="inlineStr"/>
      <c r="G151" t="inlineStr">
        <is>
          <t>New York, NY, US</t>
        </is>
      </c>
      <c r="H151" s="1" t="n">
        <v>45999</v>
      </c>
      <c r="I15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2">
      <c r="A152" t="inlineStr">
        <is>
          <t>in-ac91f7b432d9b5da</t>
        </is>
      </c>
      <c r="B152" t="inlineStr">
        <is>
          <t>Principal Applied Scientist, Kiro Science</t>
        </is>
      </c>
      <c r="C152" t="inlineStr">
        <is>
          <t>Amazon Web Services</t>
        </is>
      </c>
      <c r="D152" t="inlineStr">
        <is>
          <t>indeed</t>
        </is>
      </c>
      <c r="E152" t="inlineStr"/>
      <c r="F152" t="inlineStr"/>
      <c r="G152" t="inlineStr">
        <is>
          <t>Santa Clara, CA, US</t>
        </is>
      </c>
      <c r="H152" s="1" t="n">
        <v>45999</v>
      </c>
      <c r="I15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53">
      <c r="A153" t="inlineStr">
        <is>
          <t>in-ac62de359e4dfde2</t>
        </is>
      </c>
      <c r="B153" t="inlineStr">
        <is>
          <t>Sr. Applied Scientist, Amazon Ads</t>
        </is>
      </c>
      <c r="C153" t="inlineStr">
        <is>
          <t>Amazon.com</t>
        </is>
      </c>
      <c r="D153" t="inlineStr">
        <is>
          <t>indeed</t>
        </is>
      </c>
      <c r="E153" t="inlineStr"/>
      <c r="F153" t="inlineStr"/>
      <c r="G153" t="inlineStr">
        <is>
          <t>Tukwila, WA, US</t>
        </is>
      </c>
      <c r="H153" s="1"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in-ffab9c5377438fe2</t>
        </is>
      </c>
      <c r="B154" t="inlineStr">
        <is>
          <t>Sr. Applied Scientist, Amazon Ads</t>
        </is>
      </c>
      <c r="C154" t="inlineStr">
        <is>
          <t>Amazon.com</t>
        </is>
      </c>
      <c r="D154" t="inlineStr">
        <is>
          <t>indeed</t>
        </is>
      </c>
      <c r="E154" t="inlineStr"/>
      <c r="F154" t="inlineStr"/>
      <c r="G154" t="inlineStr">
        <is>
          <t>Boulder, CO, US</t>
        </is>
      </c>
      <c r="H154" s="1"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in-b8ea4d70cd030e21</t>
        </is>
      </c>
      <c r="B155" t="inlineStr">
        <is>
          <t>Sr. Applied Scientist, Amazon Ads</t>
        </is>
      </c>
      <c r="C155" t="inlineStr">
        <is>
          <t>Amazon.com</t>
        </is>
      </c>
      <c r="D155" t="inlineStr">
        <is>
          <t>indeed</t>
        </is>
      </c>
      <c r="E155" t="inlineStr"/>
      <c r="F155" t="inlineStr"/>
      <c r="G155" t="inlineStr">
        <is>
          <t>Brooklyn, NY, US</t>
        </is>
      </c>
      <c r="H155" s="1"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in-0aae4bb32b054062</t>
        </is>
      </c>
      <c r="B156" t="inlineStr">
        <is>
          <t>Sr. Applied Scientist, Amazon Ads</t>
        </is>
      </c>
      <c r="C156" t="inlineStr">
        <is>
          <t>Amazon.com</t>
        </is>
      </c>
      <c r="D156" t="inlineStr">
        <is>
          <t>indeed</t>
        </is>
      </c>
      <c r="E156" t="inlineStr"/>
      <c r="F156" t="inlineStr"/>
      <c r="G156" t="inlineStr">
        <is>
          <t>Santa Monica, CA, US</t>
        </is>
      </c>
      <c r="H156" s="1"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in-f8390fbe5ab43925</t>
        </is>
      </c>
      <c r="B157" t="inlineStr">
        <is>
          <t>Sr. Applied Scientist, Amazon Ads</t>
        </is>
      </c>
      <c r="C157" t="inlineStr">
        <is>
          <t>Amazon.com</t>
        </is>
      </c>
      <c r="D157" t="inlineStr">
        <is>
          <t>indeed</t>
        </is>
      </c>
      <c r="E157" t="inlineStr"/>
      <c r="F157" t="inlineStr"/>
      <c r="G157" t="inlineStr">
        <is>
          <t>New York, NY, US</t>
        </is>
      </c>
      <c r="H157" s="1"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in-c8235b77077ef779</t>
        </is>
      </c>
      <c r="B158" t="inlineStr">
        <is>
          <t>Sr. Applied Scientist, Amazon Ads</t>
        </is>
      </c>
      <c r="C158" t="inlineStr">
        <is>
          <t>Amazon.com</t>
        </is>
      </c>
      <c r="D158" t="inlineStr">
        <is>
          <t>indeed</t>
        </is>
      </c>
      <c r="E158" t="inlineStr"/>
      <c r="F158" t="inlineStr"/>
      <c r="G158" t="inlineStr">
        <is>
          <t>Corvallis, OR, US</t>
        </is>
      </c>
      <c r="H158" s="1"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in-1aacd488aef64a1c</t>
        </is>
      </c>
      <c r="B159" t="inlineStr">
        <is>
          <t>Sr. Applied Scientist, Amazon Ads</t>
        </is>
      </c>
      <c r="C159" t="inlineStr">
        <is>
          <t>Amazon.com</t>
        </is>
      </c>
      <c r="D159" t="inlineStr">
        <is>
          <t>indeed</t>
        </is>
      </c>
      <c r="E159" t="inlineStr"/>
      <c r="F159" t="inlineStr"/>
      <c r="G159" t="inlineStr">
        <is>
          <t>Seattle, WA, US</t>
        </is>
      </c>
      <c r="H159" s="1"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in-42e92d551d73a5fb</t>
        </is>
      </c>
      <c r="B160" t="inlineStr">
        <is>
          <t>Sr. Applied Scientist, Amazon Ads</t>
        </is>
      </c>
      <c r="C160" t="inlineStr">
        <is>
          <t>Amazon.com</t>
        </is>
      </c>
      <c r="D160" t="inlineStr">
        <is>
          <t>indeed</t>
        </is>
      </c>
      <c r="E160" t="inlineStr"/>
      <c r="F160" t="inlineStr"/>
      <c r="G160" t="inlineStr">
        <is>
          <t>Boston, MA, US</t>
        </is>
      </c>
      <c r="H160" s="1"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in-ee68318b8335d024</t>
        </is>
      </c>
      <c r="B161" t="inlineStr">
        <is>
          <t>Sr. Applied Scientist, Amazon Ads</t>
        </is>
      </c>
      <c r="C161" t="inlineStr">
        <is>
          <t>Amazon.com</t>
        </is>
      </c>
      <c r="D161" t="inlineStr">
        <is>
          <t>indeed</t>
        </is>
      </c>
      <c r="E161" t="inlineStr"/>
      <c r="F161" t="inlineStr"/>
      <c r="G161" t="inlineStr">
        <is>
          <t>Palo Alto, CA, US</t>
        </is>
      </c>
      <c r="H161" s="1"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in-6f43e6dd7c88357f</t>
        </is>
      </c>
      <c r="B162" t="inlineStr">
        <is>
          <t>Sr. Applied Scientist, Amazon Ads</t>
        </is>
      </c>
      <c r="C162" t="inlineStr">
        <is>
          <t>Amazon.com</t>
        </is>
      </c>
      <c r="D162" t="inlineStr">
        <is>
          <t>indeed</t>
        </is>
      </c>
      <c r="E162" t="inlineStr"/>
      <c r="F162" t="inlineStr"/>
      <c r="G162" t="inlineStr">
        <is>
          <t>Sunnyvale, CA, US</t>
        </is>
      </c>
      <c r="H162" s="1"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in-91d7f4e554ca08bf</t>
        </is>
      </c>
      <c r="B163" t="inlineStr">
        <is>
          <t>Principal Applied Scientist, Sponsored Products and Brands</t>
        </is>
      </c>
      <c r="C163" t="inlineStr">
        <is>
          <t>Amazon.com</t>
        </is>
      </c>
      <c r="D163" t="inlineStr">
        <is>
          <t>indeed</t>
        </is>
      </c>
      <c r="E163" t="inlineStr"/>
      <c r="F163" t="inlineStr"/>
      <c r="G163" t="inlineStr">
        <is>
          <t>New York, NY, US</t>
        </is>
      </c>
      <c r="H163" s="1" t="n">
        <v>45979</v>
      </c>
      <c r="I1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in-81ea4f1270922193</t>
        </is>
      </c>
      <c r="B164" t="inlineStr">
        <is>
          <t>Principal Applied Scientist, Sponsored Products and Brands</t>
        </is>
      </c>
      <c r="C164" t="inlineStr">
        <is>
          <t>Amazon.com</t>
        </is>
      </c>
      <c r="D164" t="inlineStr">
        <is>
          <t>indeed</t>
        </is>
      </c>
      <c r="E164" t="inlineStr"/>
      <c r="F164" t="inlineStr"/>
      <c r="G164" t="inlineStr">
        <is>
          <t>Seattle, WA, US</t>
        </is>
      </c>
      <c r="H164" s="1" t="n">
        <v>45979</v>
      </c>
      <c r="I16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in-589f119bc4c772dc</t>
        </is>
      </c>
      <c r="B165" t="inlineStr">
        <is>
          <t>Applied Scientist, Personalization, DTx Science</t>
        </is>
      </c>
      <c r="C165" t="inlineStr">
        <is>
          <t>Amazon.com</t>
        </is>
      </c>
      <c r="D165" t="inlineStr">
        <is>
          <t>indeed</t>
        </is>
      </c>
      <c r="E165" t="inlineStr"/>
      <c r="F165" t="inlineStr"/>
      <c r="G165" t="inlineStr">
        <is>
          <t>Seattle, WA, US</t>
        </is>
      </c>
      <c r="H165" s="1" t="n">
        <v>45979</v>
      </c>
      <c r="I16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6">
      <c r="A166" t="inlineStr">
        <is>
          <t>in-bf397ef8d1782500</t>
        </is>
      </c>
      <c r="B166" t="inlineStr">
        <is>
          <t>Applied Scientist, Personalization, DTx Science</t>
        </is>
      </c>
      <c r="C166" t="inlineStr">
        <is>
          <t>Amazon.com</t>
        </is>
      </c>
      <c r="D166" t="inlineStr">
        <is>
          <t>indeed</t>
        </is>
      </c>
      <c r="E166" t="inlineStr"/>
      <c r="F166" t="inlineStr"/>
      <c r="G166" t="inlineStr">
        <is>
          <t>New York, NY, US</t>
        </is>
      </c>
      <c r="H166" s="1" t="n">
        <v>45979</v>
      </c>
      <c r="I166"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7">
      <c r="A167" t="inlineStr">
        <is>
          <t>in-fd9aa425ad703eba</t>
        </is>
      </c>
      <c r="B167" t="inlineStr">
        <is>
          <t>Senior Applied Scientist, Sponsored Products and Brands</t>
        </is>
      </c>
      <c r="C167" t="inlineStr">
        <is>
          <t>Amazon.com</t>
        </is>
      </c>
      <c r="D167" t="inlineStr">
        <is>
          <t>indeed</t>
        </is>
      </c>
      <c r="E167" t="inlineStr"/>
      <c r="F167" t="inlineStr"/>
      <c r="G167" t="inlineStr">
        <is>
          <t>New York, NY, US</t>
        </is>
      </c>
      <c r="H167" s="1" t="n">
        <v>45979</v>
      </c>
      <c r="I16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8">
      <c r="A168" t="inlineStr">
        <is>
          <t>in-91b032cb3dce9ba7</t>
        </is>
      </c>
      <c r="B168" t="inlineStr">
        <is>
          <t>Senior Applied Scientist, Sponsored Products and Brands</t>
        </is>
      </c>
      <c r="C168" t="inlineStr">
        <is>
          <t>Amazon.com</t>
        </is>
      </c>
      <c r="D168" t="inlineStr">
        <is>
          <t>indeed</t>
        </is>
      </c>
      <c r="E168" t="inlineStr"/>
      <c r="F168" t="inlineStr"/>
      <c r="G168" t="inlineStr">
        <is>
          <t>Seattle, WA, US</t>
        </is>
      </c>
      <c r="H168" s="1" t="n">
        <v>45979</v>
      </c>
      <c r="I168"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69">
      <c r="A169" t="inlineStr">
        <is>
          <t>in-002d74c231382431</t>
        </is>
      </c>
      <c r="B169" t="inlineStr">
        <is>
          <t>Applied Scientist II, Prime Video Personalization and Discovery Science</t>
        </is>
      </c>
      <c r="C169" t="inlineStr">
        <is>
          <t>Amazon.com</t>
        </is>
      </c>
      <c r="D169" t="inlineStr">
        <is>
          <t>indeed</t>
        </is>
      </c>
      <c r="E169" t="inlineStr"/>
      <c r="F169" t="inlineStr"/>
      <c r="G169" t="inlineStr">
        <is>
          <t>Seattle, WA, US</t>
        </is>
      </c>
      <c r="H169" s="1" t="n">
        <v>45978</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0">
      <c r="A170" t="inlineStr">
        <is>
          <t>in-eed41c1039034925</t>
        </is>
      </c>
      <c r="B170" t="inlineStr">
        <is>
          <t>Applied Scientist II, Prime Video Personalization and Discovery Science</t>
        </is>
      </c>
      <c r="C170" t="inlineStr">
        <is>
          <t>Amazon.com</t>
        </is>
      </c>
      <c r="D170" t="inlineStr">
        <is>
          <t>indeed</t>
        </is>
      </c>
      <c r="E170" t="inlineStr"/>
      <c r="F170" t="inlineStr"/>
      <c r="G170" t="inlineStr">
        <is>
          <t>New York, NY, US</t>
        </is>
      </c>
      <c r="H170" s="1" t="n">
        <v>45978</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1">
      <c r="A171" t="inlineStr">
        <is>
          <t>in-85a22a7d70f559f7</t>
        </is>
      </c>
      <c r="B171" t="inlineStr">
        <is>
          <t>Applied Scientist II, Prime Video Personalization and Discovery Science</t>
        </is>
      </c>
      <c r="C171" t="inlineStr">
        <is>
          <t>Amazon.com</t>
        </is>
      </c>
      <c r="D171" t="inlineStr">
        <is>
          <t>indeed</t>
        </is>
      </c>
      <c r="E171" t="inlineStr"/>
      <c r="F171" t="inlineStr"/>
      <c r="G171" t="inlineStr">
        <is>
          <t>Sunnyvale, CA, US</t>
        </is>
      </c>
      <c r="H171" s="1" t="n">
        <v>45978</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2">
      <c r="A172" t="inlineStr">
        <is>
          <t>in-f8132ba1882cb937</t>
        </is>
      </c>
      <c r="B172" t="inlineStr">
        <is>
          <t>Applied Scientist, AWS Agentic AI</t>
        </is>
      </c>
      <c r="C172" t="inlineStr">
        <is>
          <t>Amazon Web Services</t>
        </is>
      </c>
      <c r="D172" t="inlineStr">
        <is>
          <t>indeed</t>
        </is>
      </c>
      <c r="E172" t="inlineStr"/>
      <c r="F172" t="inlineStr"/>
      <c r="G172" t="inlineStr">
        <is>
          <t>New York, NY, US</t>
        </is>
      </c>
      <c r="H172" s="1" t="n">
        <v>45962</v>
      </c>
      <c r="I1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in-ef19f6cf81373b83</t>
        </is>
      </c>
      <c r="B173" t="inlineStr">
        <is>
          <t>Applied Scientist, AWS Agentic AI</t>
        </is>
      </c>
      <c r="C173" t="inlineStr">
        <is>
          <t>Amazon Web Services</t>
        </is>
      </c>
      <c r="D173" t="inlineStr">
        <is>
          <t>indeed</t>
        </is>
      </c>
      <c r="E173" t="inlineStr"/>
      <c r="F173" t="inlineStr"/>
      <c r="G173" t="inlineStr">
        <is>
          <t>Seattle, WA, US</t>
        </is>
      </c>
      <c r="H173" s="1" t="n">
        <v>45962</v>
      </c>
      <c r="I1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in-84b7df8c0e9a1e0a</t>
        </is>
      </c>
      <c r="B174" t="inlineStr">
        <is>
          <t>Applied Scientist, AWS Agentic AI</t>
        </is>
      </c>
      <c r="C174" t="inlineStr">
        <is>
          <t>Amazon Web Services</t>
        </is>
      </c>
      <c r="D174" t="inlineStr">
        <is>
          <t>indeed</t>
        </is>
      </c>
      <c r="E174" t="inlineStr"/>
      <c r="F174" t="inlineStr"/>
      <c r="G174" t="inlineStr">
        <is>
          <t>Santa Clara, CA, US</t>
        </is>
      </c>
      <c r="H174" s="1" t="n">
        <v>45962</v>
      </c>
      <c r="I17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in-51ca31e5e8644884</t>
        </is>
      </c>
      <c r="B175" t="inlineStr">
        <is>
          <t>Principal Applied Scientist, Advertiser Growth, Amazon Sponsored Products &amp; Brands</t>
        </is>
      </c>
      <c r="C175" t="inlineStr">
        <is>
          <t>Amazon.com</t>
        </is>
      </c>
      <c r="D175" t="inlineStr">
        <is>
          <t>indeed</t>
        </is>
      </c>
      <c r="E175" t="inlineStr"/>
      <c r="F175" t="inlineStr"/>
      <c r="G175" t="inlineStr">
        <is>
          <t>Palo Alto, CA, US</t>
        </is>
      </c>
      <c r="H175" s="1" t="n">
        <v>45942</v>
      </c>
      <c r="I1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in-42633977662d1d97</t>
        </is>
      </c>
      <c r="B176" t="inlineStr">
        <is>
          <t>Principal Applied Scientist, Advertiser Growth, Amazon Sponsored Products &amp; Brands</t>
        </is>
      </c>
      <c r="C176" t="inlineStr">
        <is>
          <t>Amazon.com</t>
        </is>
      </c>
      <c r="D176" t="inlineStr">
        <is>
          <t>indeed</t>
        </is>
      </c>
      <c r="E176" t="inlineStr"/>
      <c r="F176" t="inlineStr"/>
      <c r="G176" t="inlineStr">
        <is>
          <t>New York, NY, US</t>
        </is>
      </c>
      <c r="H176" s="1" t="n">
        <v>45942</v>
      </c>
      <c r="I1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in-331b868c7bbbe7b9</t>
        </is>
      </c>
      <c r="B177" t="inlineStr">
        <is>
          <t>Principal Applied Scientist, Advertiser Growth, Amazon Sponsored Products &amp; Brands</t>
        </is>
      </c>
      <c r="C177" t="inlineStr">
        <is>
          <t>Amazon.com</t>
        </is>
      </c>
      <c r="D177" t="inlineStr">
        <is>
          <t>indeed</t>
        </is>
      </c>
      <c r="E177" t="inlineStr"/>
      <c r="F177" t="inlineStr"/>
      <c r="G177" t="inlineStr">
        <is>
          <t>Seattle, WA, US</t>
        </is>
      </c>
      <c r="H177" s="1" t="n">
        <v>45942</v>
      </c>
      <c r="I1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in-39ddd8389ce47988</t>
        </is>
      </c>
      <c r="B178" t="inlineStr">
        <is>
          <t>Sr. Applied Scientist, SPB Advertiser Guidance</t>
        </is>
      </c>
      <c r="C178" t="inlineStr">
        <is>
          <t>Amazon.com</t>
        </is>
      </c>
      <c r="D178" t="inlineStr">
        <is>
          <t>indeed</t>
        </is>
      </c>
      <c r="E178" t="inlineStr"/>
      <c r="F178" t="inlineStr"/>
      <c r="G178" t="inlineStr">
        <is>
          <t>Palo Alto, CA, US</t>
        </is>
      </c>
      <c r="H178" s="1" t="n">
        <v>45939</v>
      </c>
      <c r="I1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in-5979d575e1b614bb</t>
        </is>
      </c>
      <c r="B179" t="inlineStr">
        <is>
          <t>Sr. Applied Scientist, SPB Advertiser Guidance</t>
        </is>
      </c>
      <c r="C179" t="inlineStr">
        <is>
          <t>Amazon.com</t>
        </is>
      </c>
      <c r="D179" t="inlineStr">
        <is>
          <t>indeed</t>
        </is>
      </c>
      <c r="E179" t="inlineStr"/>
      <c r="F179" t="inlineStr"/>
      <c r="G179" t="inlineStr">
        <is>
          <t>Seattle, WA, US</t>
        </is>
      </c>
      <c r="H179" s="1" t="n">
        <v>45939</v>
      </c>
      <c r="I1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in-7b46819e8d0910b3</t>
        </is>
      </c>
      <c r="B180" t="inlineStr">
        <is>
          <t>Applied Scientist</t>
        </is>
      </c>
      <c r="C180" t="inlineStr">
        <is>
          <t>Amazon.com</t>
        </is>
      </c>
      <c r="D180" t="inlineStr">
        <is>
          <t>indeed</t>
        </is>
      </c>
      <c r="E180" t="inlineStr"/>
      <c r="F180" t="inlineStr"/>
      <c r="G180" t="inlineStr">
        <is>
          <t>New York, NY, US</t>
        </is>
      </c>
      <c r="H180" s="1" t="n">
        <v>45939</v>
      </c>
      <c r="I1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in-f9f768aee107934f</t>
        </is>
      </c>
      <c r="B181" t="inlineStr">
        <is>
          <t>Sr. Applied Scientist, SPB Advertiser Guidance</t>
        </is>
      </c>
      <c r="C181" t="inlineStr">
        <is>
          <t>Amazon.com</t>
        </is>
      </c>
      <c r="D181" t="inlineStr">
        <is>
          <t>indeed</t>
        </is>
      </c>
      <c r="E181" t="inlineStr"/>
      <c r="F181" t="inlineStr"/>
      <c r="G181" t="inlineStr">
        <is>
          <t>New York, NY, US</t>
        </is>
      </c>
      <c r="H181" s="1" t="n">
        <v>45939</v>
      </c>
      <c r="I1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in-8ca2addfc20b8cea</t>
        </is>
      </c>
      <c r="B182" t="inlineStr">
        <is>
          <t>Applied Scientist</t>
        </is>
      </c>
      <c r="C182" t="inlineStr">
        <is>
          <t>Amazon.com</t>
        </is>
      </c>
      <c r="D182" t="inlineStr">
        <is>
          <t>indeed</t>
        </is>
      </c>
      <c r="E182" t="inlineStr"/>
      <c r="F182" t="inlineStr"/>
      <c r="G182" t="inlineStr">
        <is>
          <t>Seattle, WA, US</t>
        </is>
      </c>
      <c r="H182" s="1" t="n">
        <v>45939</v>
      </c>
      <c r="I1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in-b16c86857f01337a</t>
        </is>
      </c>
      <c r="B183" t="inlineStr">
        <is>
          <t>Applied Scientist</t>
        </is>
      </c>
      <c r="C183" t="inlineStr">
        <is>
          <t>Amazon.com</t>
        </is>
      </c>
      <c r="D183" t="inlineStr">
        <is>
          <t>indeed</t>
        </is>
      </c>
      <c r="E183" t="inlineStr"/>
      <c r="F183" t="inlineStr"/>
      <c r="G183" t="inlineStr">
        <is>
          <t>Palo Alto, CA, US</t>
        </is>
      </c>
      <c r="H183" s="1" t="n">
        <v>45939</v>
      </c>
      <c r="I18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in-70459170ccd34895</t>
        </is>
      </c>
      <c r="B184" t="inlineStr">
        <is>
          <t>Applied Scientist II, Prime Video - Personalization and Discovery Science, Personalization and Discovery Science</t>
        </is>
      </c>
      <c r="C184" t="inlineStr">
        <is>
          <t>Amazon.com</t>
        </is>
      </c>
      <c r="D184" t="inlineStr">
        <is>
          <t>indeed</t>
        </is>
      </c>
      <c r="E184" t="inlineStr"/>
      <c r="F184" t="inlineStr"/>
      <c r="G184" t="inlineStr">
        <is>
          <t>Seattle, WA, US</t>
        </is>
      </c>
      <c r="H184" s="1" t="n">
        <v>45930</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in-e9e8e1bd3fac1550</t>
        </is>
      </c>
      <c r="B185" t="inlineStr">
        <is>
          <t>Applied Scientist II, Prime Video - Personalization and Discovery Science, Personalization and Discovery Science</t>
        </is>
      </c>
      <c r="C185" t="inlineStr">
        <is>
          <t>Amazon.com</t>
        </is>
      </c>
      <c r="D185" t="inlineStr">
        <is>
          <t>indeed</t>
        </is>
      </c>
      <c r="E185" t="inlineStr"/>
      <c r="F185" t="inlineStr"/>
      <c r="G185" t="inlineStr">
        <is>
          <t>New York, NY, US</t>
        </is>
      </c>
      <c r="H185" s="1" t="n">
        <v>45930</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in-f3b3440b608700fd</t>
        </is>
      </c>
      <c r="B186" t="inlineStr">
        <is>
          <t>Applied Scientist II, Prime Video - Personalization and Discovery Science, Personalization and Discovery Science</t>
        </is>
      </c>
      <c r="C186" t="inlineStr">
        <is>
          <t>Amazon.com</t>
        </is>
      </c>
      <c r="D186" t="inlineStr">
        <is>
          <t>indeed</t>
        </is>
      </c>
      <c r="E186" t="inlineStr"/>
      <c r="F186" t="inlineStr"/>
      <c r="G186" t="inlineStr">
        <is>
          <t>Sunnyvale, CA, US</t>
        </is>
      </c>
      <c r="H186" s="1"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in-474b4df5fcd6cb26</t>
        </is>
      </c>
      <c r="B187" t="inlineStr">
        <is>
          <t>Applied Scientist, Workplace Health &amp; Safety</t>
        </is>
      </c>
      <c r="C187" t="inlineStr">
        <is>
          <t>Amazon.com</t>
        </is>
      </c>
      <c r="D187" t="inlineStr">
        <is>
          <t>indeed</t>
        </is>
      </c>
      <c r="E187" t="inlineStr"/>
      <c r="F187" t="inlineStr"/>
      <c r="G187" t="inlineStr">
        <is>
          <t>Bellevue, WA, US</t>
        </is>
      </c>
      <c r="H187" s="1" t="n">
        <v>45917</v>
      </c>
      <c r="I18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in-6379da292d72a380</t>
        </is>
      </c>
      <c r="B188" t="inlineStr">
        <is>
          <t>Applied Scientist, Workplace Health &amp; Safety</t>
        </is>
      </c>
      <c r="C188" t="inlineStr">
        <is>
          <t>Amazon.com</t>
        </is>
      </c>
      <c r="D188" t="inlineStr">
        <is>
          <t>indeed</t>
        </is>
      </c>
      <c r="E188" t="inlineStr"/>
      <c r="F188" t="inlineStr"/>
      <c r="G188" t="inlineStr">
        <is>
          <t>Nashville, TN, US</t>
        </is>
      </c>
      <c r="H188" s="1" t="n">
        <v>45917</v>
      </c>
      <c r="I18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in-399192e152964551</t>
        </is>
      </c>
      <c r="B189" t="inlineStr">
        <is>
          <t>Sr. Applied Scientist, Prime Video - Personalization and Discovery Science</t>
        </is>
      </c>
      <c r="C189" t="inlineStr">
        <is>
          <t>Amazon.com</t>
        </is>
      </c>
      <c r="D189" t="inlineStr">
        <is>
          <t>indeed</t>
        </is>
      </c>
      <c r="E189" t="inlineStr"/>
      <c r="F189" t="inlineStr"/>
      <c r="G189" t="inlineStr">
        <is>
          <t>Sunnyvale, CA, US</t>
        </is>
      </c>
      <c r="H189" s="1" t="n">
        <v>45896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0">
      <c r="A190" t="inlineStr">
        <is>
          <t>in-96e481b6aefe0ee3</t>
        </is>
      </c>
      <c r="B190" t="inlineStr">
        <is>
          <t>Sr. Applied Scientist, Prime Video - Personalization and Discovery Science</t>
        </is>
      </c>
      <c r="C190" t="inlineStr">
        <is>
          <t>Amazon.com</t>
        </is>
      </c>
      <c r="D190" t="inlineStr">
        <is>
          <t>indeed</t>
        </is>
      </c>
      <c r="E190" t="inlineStr"/>
      <c r="F190" t="inlineStr"/>
      <c r="G190" t="inlineStr">
        <is>
          <t>Seattle, WA, US</t>
        </is>
      </c>
      <c r="H190" s="1" t="n">
        <v>45896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1">
      <c r="A191" t="inlineStr">
        <is>
          <t>in-9c1742abae6d0940</t>
        </is>
      </c>
      <c r="B191" t="inlineStr">
        <is>
          <t>Sr. Applied Scientist, Prime Video - Personalization and Discovery Science</t>
        </is>
      </c>
      <c r="C191" t="inlineStr">
        <is>
          <t>Amazon.com</t>
        </is>
      </c>
      <c r="D191" t="inlineStr">
        <is>
          <t>indeed</t>
        </is>
      </c>
      <c r="E191" t="inlineStr"/>
      <c r="F191" t="inlineStr"/>
      <c r="G191" t="inlineStr">
        <is>
          <t>New York, NY, US</t>
        </is>
      </c>
      <c r="H191" s="1" t="n">
        <v>45896</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2">
      <c r="A192" t="inlineStr">
        <is>
          <t>in-9e84546019f482c0</t>
        </is>
      </c>
      <c r="B192" t="inlineStr">
        <is>
          <t>Applied Scientist II, Prime Video , Personalization and Discovery Science</t>
        </is>
      </c>
      <c r="C192" t="inlineStr">
        <is>
          <t>Amazon.com</t>
        </is>
      </c>
      <c r="D192" t="inlineStr">
        <is>
          <t>indeed</t>
        </is>
      </c>
      <c r="E192" t="inlineStr"/>
      <c r="F192" t="inlineStr"/>
      <c r="G192" t="inlineStr">
        <is>
          <t>New York, NY, US</t>
        </is>
      </c>
      <c r="H192" s="1" t="n">
        <v>45886</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3">
      <c r="A193" t="inlineStr">
        <is>
          <t>in-a9d923c5a0e2339d</t>
        </is>
      </c>
      <c r="B193" t="inlineStr">
        <is>
          <t>Applied Scientist II, Prime Video , Personalization and Discovery Science</t>
        </is>
      </c>
      <c r="C193" t="inlineStr">
        <is>
          <t>Amazon.com</t>
        </is>
      </c>
      <c r="D193" t="inlineStr">
        <is>
          <t>indeed</t>
        </is>
      </c>
      <c r="E193" t="inlineStr"/>
      <c r="F193" t="inlineStr"/>
      <c r="G193" t="inlineStr">
        <is>
          <t>Seattle, WA, US</t>
        </is>
      </c>
      <c r="H193" s="1" t="n">
        <v>45886</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4">
      <c r="A194" t="inlineStr">
        <is>
          <t>in-fec42d5fa9e5b58f</t>
        </is>
      </c>
      <c r="B194" t="inlineStr">
        <is>
          <t>Applied Scientist II, Prime Video , Personalization and Discovery Science</t>
        </is>
      </c>
      <c r="C194" t="inlineStr">
        <is>
          <t>Amazon.com</t>
        </is>
      </c>
      <c r="D194" t="inlineStr">
        <is>
          <t>indeed</t>
        </is>
      </c>
      <c r="E194" t="inlineStr"/>
      <c r="F194" t="inlineStr"/>
      <c r="G194" t="inlineStr">
        <is>
          <t>Sunnyvale, CA, US</t>
        </is>
      </c>
      <c r="H194" s="1" t="n">
        <v>45886</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195">
      <c r="A195" t="inlineStr">
        <is>
          <t>in-dfcbfe0b5573d1f0</t>
        </is>
      </c>
      <c r="B195" t="inlineStr">
        <is>
          <t>Sr. Applied Scientist, Prime Video - Personalization and Discovery Science</t>
        </is>
      </c>
      <c r="C195" t="inlineStr">
        <is>
          <t>Amazon.com</t>
        </is>
      </c>
      <c r="D195" t="inlineStr">
        <is>
          <t>indeed</t>
        </is>
      </c>
      <c r="E195" t="inlineStr"/>
      <c r="F195" t="inlineStr"/>
      <c r="G195" t="inlineStr">
        <is>
          <t>New York, NY, US</t>
        </is>
      </c>
      <c r="H195" s="1"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in-df1a5b66ce541888</t>
        </is>
      </c>
      <c r="B196" t="inlineStr">
        <is>
          <t>Applied Scientist II, Prime Video - Personalization and Discovery Science</t>
        </is>
      </c>
      <c r="C196" t="inlineStr">
        <is>
          <t>Amazon.com</t>
        </is>
      </c>
      <c r="D196" t="inlineStr">
        <is>
          <t>indeed</t>
        </is>
      </c>
      <c r="E196" t="inlineStr"/>
      <c r="F196" t="inlineStr"/>
      <c r="G196" t="inlineStr">
        <is>
          <t>New York, NY, US</t>
        </is>
      </c>
      <c r="H196" s="1"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in-298f35d51c175c77</t>
        </is>
      </c>
      <c r="B197" t="inlineStr">
        <is>
          <t>Sr. Applied Scientist, Prime Video - Personalization and Discovery Science</t>
        </is>
      </c>
      <c r="C197" t="inlineStr">
        <is>
          <t>Amazon.com</t>
        </is>
      </c>
      <c r="D197" t="inlineStr">
        <is>
          <t>indeed</t>
        </is>
      </c>
      <c r="E197" t="inlineStr"/>
      <c r="F197" t="inlineStr"/>
      <c r="G197" t="inlineStr">
        <is>
          <t>Seattle, WA, US</t>
        </is>
      </c>
      <c r="H197" s="1"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in-49a1ce00bd574ab7</t>
        </is>
      </c>
      <c r="B198" t="inlineStr">
        <is>
          <t>Applied Scientist II, Prime Video - Personalization and Discovery Science</t>
        </is>
      </c>
      <c r="C198" t="inlineStr">
        <is>
          <t>Amazon.com</t>
        </is>
      </c>
      <c r="D198" t="inlineStr">
        <is>
          <t>indeed</t>
        </is>
      </c>
      <c r="E198" t="inlineStr"/>
      <c r="F198" t="inlineStr"/>
      <c r="G198" t="inlineStr">
        <is>
          <t>Sunnyvale, CA, US</t>
        </is>
      </c>
      <c r="H198" s="1"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in-aa2b3b5f9e4ae4b2</t>
        </is>
      </c>
      <c r="B199" t="inlineStr">
        <is>
          <t>Applied Scientist II, Prime Video - Personalization and Discovery Science</t>
        </is>
      </c>
      <c r="C199" t="inlineStr">
        <is>
          <t>Amazon.com</t>
        </is>
      </c>
      <c r="D199" t="inlineStr">
        <is>
          <t>indeed</t>
        </is>
      </c>
      <c r="E199" t="inlineStr"/>
      <c r="F199" t="inlineStr"/>
      <c r="G199" t="inlineStr">
        <is>
          <t>Seattle, WA, US</t>
        </is>
      </c>
      <c r="H199" s="1"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in-b12f635324596769</t>
        </is>
      </c>
      <c r="B200" t="inlineStr">
        <is>
          <t>Sr. Applied Scientist, Prime Video - Personalization and Discovery Science</t>
        </is>
      </c>
      <c r="C200" t="inlineStr">
        <is>
          <t>Amazon.com</t>
        </is>
      </c>
      <c r="D200" t="inlineStr">
        <is>
          <t>indeed</t>
        </is>
      </c>
      <c r="E200" t="inlineStr"/>
      <c r="F200" t="inlineStr"/>
      <c r="G200" t="inlineStr">
        <is>
          <t>Sunnyvale, CA, US</t>
        </is>
      </c>
      <c r="H200" s="1" t="n">
        <v>45881</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in-181ea2cdd65a1ace</t>
        </is>
      </c>
      <c r="B201" t="inlineStr">
        <is>
          <t>Applied Scientist III, StoreGen</t>
        </is>
      </c>
      <c r="C201" t="inlineStr">
        <is>
          <t>Amazon.com</t>
        </is>
      </c>
      <c r="D201" t="inlineStr">
        <is>
          <t>indeed</t>
        </is>
      </c>
      <c r="E201" t="inlineStr"/>
      <c r="F201" t="inlineStr"/>
      <c r="G201" t="inlineStr">
        <is>
          <t>Sunnyvale, CA, US</t>
        </is>
      </c>
      <c r="H201" s="1" t="n">
        <v>45868</v>
      </c>
      <c r="I201"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in-4ba31307b7995eda</t>
        </is>
      </c>
      <c r="B202" t="inlineStr">
        <is>
          <t>Applied Scientist III, StoreGen</t>
        </is>
      </c>
      <c r="C202" t="inlineStr">
        <is>
          <t>Amazon.com</t>
        </is>
      </c>
      <c r="D202" t="inlineStr">
        <is>
          <t>indeed</t>
        </is>
      </c>
      <c r="E202" t="inlineStr"/>
      <c r="F202" t="inlineStr"/>
      <c r="G202" t="inlineStr">
        <is>
          <t>Seattle, WA, US</t>
        </is>
      </c>
      <c r="H202" s="1" t="n">
        <v>45868</v>
      </c>
      <c r="I202"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in-1f75c6a2042afc75</t>
        </is>
      </c>
      <c r="B203" t="inlineStr">
        <is>
          <t>Sr. Applied Scientist, Amazon Advertising</t>
        </is>
      </c>
      <c r="C203" t="inlineStr">
        <is>
          <t>Amazon.com</t>
        </is>
      </c>
      <c r="D203" t="inlineStr">
        <is>
          <t>indeed</t>
        </is>
      </c>
      <c r="E203" t="inlineStr"/>
      <c r="F203" t="inlineStr"/>
      <c r="G203" t="inlineStr">
        <is>
          <t>Arlington, VA, US</t>
        </is>
      </c>
      <c r="H203" s="1"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in-20069f7366477a62</t>
        </is>
      </c>
      <c r="B204" t="inlineStr">
        <is>
          <t>Sr. Applied Scientist, Amazon Advertising</t>
        </is>
      </c>
      <c r="C204" t="inlineStr">
        <is>
          <t>Amazon.com</t>
        </is>
      </c>
      <c r="D204" t="inlineStr">
        <is>
          <t>indeed</t>
        </is>
      </c>
      <c r="E204" t="inlineStr"/>
      <c r="F204" t="inlineStr"/>
      <c r="G204" t="inlineStr">
        <is>
          <t>Simi Valley, CA, US</t>
        </is>
      </c>
      <c r="H204" s="1"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in-1441706b3e4d3898</t>
        </is>
      </c>
      <c r="B205" t="inlineStr">
        <is>
          <t>Sr. Applied Scientist, Amazon Advertising</t>
        </is>
      </c>
      <c r="C205" t="inlineStr">
        <is>
          <t>Amazon.com</t>
        </is>
      </c>
      <c r="D205" t="inlineStr">
        <is>
          <t>indeed</t>
        </is>
      </c>
      <c r="E205" t="inlineStr"/>
      <c r="F205" t="inlineStr"/>
      <c r="G205" t="inlineStr">
        <is>
          <t>Los Angeles, CA, US</t>
        </is>
      </c>
      <c r="H205" s="1"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in-27c28ad0bc87befc</t>
        </is>
      </c>
      <c r="B206" t="inlineStr">
        <is>
          <t>Sr. Applied Scientist, Amazon Advertising</t>
        </is>
      </c>
      <c r="C206" t="inlineStr">
        <is>
          <t>Amazon.com</t>
        </is>
      </c>
      <c r="D206" t="inlineStr">
        <is>
          <t>indeed</t>
        </is>
      </c>
      <c r="E206" t="inlineStr"/>
      <c r="F206" t="inlineStr"/>
      <c r="G206" t="inlineStr">
        <is>
          <t>West Hollywood, CA, US</t>
        </is>
      </c>
      <c r="H206" s="1" t="n">
        <v>45851</v>
      </c>
      <c r="I2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in-74e88cb80315ebb3</t>
        </is>
      </c>
      <c r="B207" t="inlineStr">
        <is>
          <t>Sr. Applied Scientist, Amazon Advertising</t>
        </is>
      </c>
      <c r="C207" t="inlineStr">
        <is>
          <t>Amazon.com</t>
        </is>
      </c>
      <c r="D207" t="inlineStr">
        <is>
          <t>indeed</t>
        </is>
      </c>
      <c r="E207" t="inlineStr"/>
      <c r="F207" t="inlineStr"/>
      <c r="G207" t="inlineStr">
        <is>
          <t>New York, NY, US</t>
        </is>
      </c>
      <c r="H207" s="1"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in-d6f289dda1f0916d</t>
        </is>
      </c>
      <c r="B208" t="inlineStr">
        <is>
          <t>Sr. Applied Scientist, Amazon Advertising</t>
        </is>
      </c>
      <c r="C208" t="inlineStr">
        <is>
          <t>Amazon.com</t>
        </is>
      </c>
      <c r="D208" t="inlineStr">
        <is>
          <t>indeed</t>
        </is>
      </c>
      <c r="E208" t="inlineStr"/>
      <c r="F208" t="inlineStr"/>
      <c r="G208" t="inlineStr">
        <is>
          <t>Palo Alto, CA, US</t>
        </is>
      </c>
      <c r="H208" s="1" t="n">
        <v>45851</v>
      </c>
      <c r="I2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in-36d484af74d21fae</t>
        </is>
      </c>
      <c r="B209" t="inlineStr">
        <is>
          <t>Sr. Applied Scientist, Amazon Advertising</t>
        </is>
      </c>
      <c r="C209" t="inlineStr">
        <is>
          <t>Amazon.com</t>
        </is>
      </c>
      <c r="D209" t="inlineStr">
        <is>
          <t>indeed</t>
        </is>
      </c>
      <c r="E209" t="inlineStr"/>
      <c r="F209" t="inlineStr"/>
      <c r="G209" t="inlineStr">
        <is>
          <t>Seattle, WA, US</t>
        </is>
      </c>
      <c r="H209" s="1" t="n">
        <v>45851</v>
      </c>
      <c r="I2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in-6a37ef2d1c282e4d</t>
        </is>
      </c>
      <c r="B210" t="inlineStr">
        <is>
          <t>Sr. Applied Scientist, Amazon Advertising</t>
        </is>
      </c>
      <c r="C210" t="inlineStr">
        <is>
          <t>Amazon.com</t>
        </is>
      </c>
      <c r="D210" t="inlineStr">
        <is>
          <t>indeed</t>
        </is>
      </c>
      <c r="E210" t="inlineStr"/>
      <c r="F210" t="inlineStr"/>
      <c r="G210" t="inlineStr">
        <is>
          <t>Austin, TX, US</t>
        </is>
      </c>
      <c r="H210" s="1" t="n">
        <v>45851</v>
      </c>
      <c r="I2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in-8b9215b06c274aba</t>
        </is>
      </c>
      <c r="B211" t="inlineStr">
        <is>
          <t>Sr. Applied Scientist, Sales AI</t>
        </is>
      </c>
      <c r="C211" t="inlineStr">
        <is>
          <t>Amazon.com</t>
        </is>
      </c>
      <c r="D211" t="inlineStr">
        <is>
          <t>indeed</t>
        </is>
      </c>
      <c r="E211" t="inlineStr"/>
      <c r="F211" t="inlineStr"/>
      <c r="G211" t="inlineStr">
        <is>
          <t>New York, NY, US</t>
        </is>
      </c>
      <c r="H211" s="1" t="n">
        <v>45830</v>
      </c>
      <c r="I2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in-a6d15e51ef7b7ce7</t>
        </is>
      </c>
      <c r="B212" t="inlineStr">
        <is>
          <t>Sr. Applied Scientist, Sales AI</t>
        </is>
      </c>
      <c r="C212" t="inlineStr">
        <is>
          <t>Amazon.com</t>
        </is>
      </c>
      <c r="D212" t="inlineStr">
        <is>
          <t>indeed</t>
        </is>
      </c>
      <c r="E212" t="inlineStr"/>
      <c r="F212" t="inlineStr"/>
      <c r="G212" t="inlineStr">
        <is>
          <t>Seattle, WA, US</t>
        </is>
      </c>
      <c r="H212" s="1" t="n">
        <v>45830</v>
      </c>
      <c r="I21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in-e829a56d0f373b17</t>
        </is>
      </c>
      <c r="B213" t="inlineStr">
        <is>
          <t>Sr. Applied Scientist, Sales AI</t>
        </is>
      </c>
      <c r="C213" t="inlineStr">
        <is>
          <t>Amazon.com</t>
        </is>
      </c>
      <c r="D213" t="inlineStr">
        <is>
          <t>indeed</t>
        </is>
      </c>
      <c r="E213" t="inlineStr"/>
      <c r="F213" t="inlineStr"/>
      <c r="G213" t="inlineStr">
        <is>
          <t>Sunnyvale, CA, US</t>
        </is>
      </c>
      <c r="H213" s="1" t="n">
        <v>45830</v>
      </c>
      <c r="I2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in-434d1c20c08e5341</t>
        </is>
      </c>
      <c r="B214" t="inlineStr">
        <is>
          <t>Senior Applied Scientist, Delivery Foundation Model</t>
        </is>
      </c>
      <c r="C214" t="inlineStr">
        <is>
          <t>Amazon.com</t>
        </is>
      </c>
      <c r="D214" t="inlineStr">
        <is>
          <t>indeed</t>
        </is>
      </c>
      <c r="E214" t="inlineStr"/>
      <c r="F214" t="inlineStr"/>
      <c r="G214" t="inlineStr">
        <is>
          <t>Bellevue, WA, US</t>
        </is>
      </c>
      <c r="H214" s="1" t="n">
        <v>45806</v>
      </c>
      <c r="I2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in-db39c2167c751f2e</t>
        </is>
      </c>
      <c r="B215" t="inlineStr">
        <is>
          <t>Senior Applied Scientist, Delivery Foundation Model</t>
        </is>
      </c>
      <c r="C215" t="inlineStr">
        <is>
          <t>Amazon.com</t>
        </is>
      </c>
      <c r="D215" t="inlineStr">
        <is>
          <t>indeed</t>
        </is>
      </c>
      <c r="E215" t="inlineStr"/>
      <c r="F215" t="inlineStr"/>
      <c r="G215" t="inlineStr">
        <is>
          <t>Santa Clara, CA, US</t>
        </is>
      </c>
      <c r="H215" s="1" t="n">
        <v>45806</v>
      </c>
      <c r="I2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in-93248f140eeca03c</t>
        </is>
      </c>
      <c r="B216" t="inlineStr">
        <is>
          <t>Senior Applied Scientist, Delivery Foundation Model</t>
        </is>
      </c>
      <c r="C216" t="inlineStr">
        <is>
          <t>Amazon.com</t>
        </is>
      </c>
      <c r="D216" t="inlineStr">
        <is>
          <t>indeed</t>
        </is>
      </c>
      <c r="E216" t="inlineStr"/>
      <c r="F216" t="inlineStr"/>
      <c r="G216" t="inlineStr">
        <is>
          <t>New York, NY, US</t>
        </is>
      </c>
      <c r="H216" s="1" t="n">
        <v>45806</v>
      </c>
      <c r="I2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in-6a57bd06fcc7cb3e</t>
        </is>
      </c>
      <c r="B217" t="inlineStr">
        <is>
          <t>Sr. Applied Scientist - Privacy, Privacy Engineering</t>
        </is>
      </c>
      <c r="C217" t="inlineStr">
        <is>
          <t>Amazon.com</t>
        </is>
      </c>
      <c r="D217" t="inlineStr">
        <is>
          <t>indeed</t>
        </is>
      </c>
      <c r="E217" t="inlineStr"/>
      <c r="F217" t="inlineStr"/>
      <c r="G217" t="inlineStr">
        <is>
          <t>Sunnyvale, CA, US</t>
        </is>
      </c>
      <c r="H217" s="1" t="n">
        <v>45787</v>
      </c>
      <c r="I2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in-40d15490e0512a76</t>
        </is>
      </c>
      <c r="B218" t="inlineStr">
        <is>
          <t>Sr. Applied Scientist - Privacy, Privacy Engineering</t>
        </is>
      </c>
      <c r="C218" t="inlineStr">
        <is>
          <t>Amazon.com</t>
        </is>
      </c>
      <c r="D218" t="inlineStr">
        <is>
          <t>indeed</t>
        </is>
      </c>
      <c r="E218" t="inlineStr"/>
      <c r="F218" t="inlineStr"/>
      <c r="G218" t="inlineStr">
        <is>
          <t>San Francisco, CA, US</t>
        </is>
      </c>
      <c r="H218" s="1" t="n">
        <v>45787</v>
      </c>
      <c r="I21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in-36dd8267f43c8cc9</t>
        </is>
      </c>
      <c r="B219" t="inlineStr">
        <is>
          <t>AIML - Staff ML Engineer, Responsible AI</t>
        </is>
      </c>
      <c r="C219" t="inlineStr">
        <is>
          <t>Apple</t>
        </is>
      </c>
      <c r="D219" t="inlineStr">
        <is>
          <t>indeed</t>
        </is>
      </c>
      <c r="E219" t="inlineStr"/>
      <c r="F219" t="inlineStr"/>
      <c r="G219" t="inlineStr">
        <is>
          <t>San Francisco, CA, US</t>
        </is>
      </c>
      <c r="H219" s="1" t="n">
        <v>46068</v>
      </c>
      <c r="I219" t="inlineStr">
        <is>
          <t>Join Us in Shaping the Future of Generative AI at Apple! Are you passionate about making AI systems safer, more inclusive, and globally representative? Apple is seeking an expert Machine Learning Engineer to shape the future of responsible AI for the next generation of generative features. In this role, you will lead the responsible AI lifecycle end\-to\-end: assessing risks, defining policies, developing mitigation strategies, and driving continuous improvements. Your work will directly influence how we evaluate, align, and monitor the safety of large language and multimodal models. As part of Apple’s Responsible AI group within the Human\-Centered Machine Intelligence (HCMI) organization, you’ll collaborate with cross\-functional partners to minimize unintended consequences across people, systems, and society while elevating feature capabilities and the overall user experience. Together, we’ll anticipate challenges, measure real\-world impact, and deliver trusted, high\-quality AI experiences to users around the globe. You’ll also contribute to forward\-looking research in fairness, robustness, uncertainty, and safety \- pushing the boundaries of responsible AI at scale.  
**Description**  
Our team leads Responsible AI efforts for a global generative AI product in a highly cross\-functional environment. The ideal candidates will define safety policies in collaboration with leadership, design, engineering, legal, and regulatory teams, ensuring alignment with product goals.  
These individuals will work on architecture mitigation and safety alignment strategies for generative models, drive integration in production. Additionally, they will work on developing models, tools, datasets, and evaluation methods to monitor, diagnose failures, and improve the safety of generative models throughout the deployment lifecycle. We do all these by incorporating human and automated feedback, post\-launch to continuously improve feature safety and user trust.  
**Preferred Qualifications**  
BS, MS, or PhD in Computer Science, Machine Learning, or related field, or equivalent experience  
Proven success contributing in a highly cross\-functional environment  
Experience shipping complex AI systems at global scale  
Background in model explainability, uncertainty estimation, or interpretability  
Curiosity and research interest in fairness, bias, and the societal impacts of generative AI  
Passion for building innovative, high\-impact products that draw upon interdisciplinary skills  
**Minimum Qualifications**  
3\+ years of proven ability in machine learning, including work with generative models (Transformers, LLMs, VLMs), NLP, or Computer Vision  
Proficiency in Python and data science libraries (e.g. Pandas) with strong skills in data analysis, visualization, and applied ML workflows  
Excellent interpersonal skills and proven ability to translate sophisticated technical insights for cross\-functional partners, senior leadership, and executives  
Strong analytical and independent problem\-solving skills, with ability to navigate ambiguity  
Experience designing and supporting human and automated evaluations, particularly with complex, nuanced, or multi\-labeled data  
Hands\-on experience collecting and analyzing language, vision, or multimodal datasets  
Background in failure analysis, quality engineering, or robustness testing for ML\-driven systems  
Must be comfortable working with sensitive or potentially offensive content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220">
      <c r="A220" t="inlineStr">
        <is>
          <t>in-024d35d3f8bf9e69</t>
        </is>
      </c>
      <c r="B220" t="inlineStr">
        <is>
          <t>CV / ML Engineer, Automated Officiating</t>
        </is>
      </c>
      <c r="C220" t="inlineStr">
        <is>
          <t>National Basketball Association</t>
        </is>
      </c>
      <c r="D220" t="inlineStr">
        <is>
          <t>indeed</t>
        </is>
      </c>
      <c r="E220" t="inlineStr"/>
      <c r="F220" t="inlineStr"/>
      <c r="G220" t="inlineStr">
        <is>
          <t>New York, NY, US</t>
        </is>
      </c>
      <c r="H220" s="1" t="n">
        <v>46068</v>
      </c>
      <c r="I220" t="inlineStr">
        <is>
          <t>WORK OPTION: The NBA currently provides eligible employees the option of working remotely one day per week.
\_\_\_\_\_\_\_\_\_\_\_\_\_\_\_\_\_
**Group Summary**
The Basketball Strategy \&amp; Growth department is responsible for data collection, analysis and technology pertaining to all on\-court activities. The group, in partnership with Referee Operations, oversees the Game Review Program to help drive improvements in referee performance and rules clarification initiatives. Basketball Strategy \&amp; Growth also leads pivotal initiatives focused on innovating and improving the NBA game, such as rules changes, improvements to the competition format and implementation of technologies to improve player health, game integrity and fan engagement.
The Automated Officiating team is a new function within the Basketball Strategy \&amp; Growth department. This team is focused on innovating the on\-court product through internally developed and deployed technologies. They spearhead key officiating technology initiatives from concept to launch, leveraging their cross\-discipline expertise in real\-time perception and sensing, computer vision, machine learning, and data analytics. The primary near\-term focus of this team is deploying a system that can automatically detect and determine objective calls (e.g., out\-of\-bounds) in real\-time during live NBA games.
**Position Summary**
The NBA is seeking an experienced machine learning software engineer to be a key contributor to the Automated Officiating team. This team sits within Basketball Strategy \&amp; Growth, and its primary goal is to develop advanced, multi\-modal officiating capabilities to enhance call accuracy, streamline game flow, and provide decision\-making consistency and transparency. This is a small team that works like a startup within the NBA and provides significant opportunities for ownership and accelerated learning and growth.
The ideal candidate will bring considerable expertise building and owning modern vision models and ML pipelines in production and are able to contribute to all aspects of a real\-world perception system, from sensor processing pipelines to scalable ML data, training, modeling and evaluation pipelines. This role will report to the Engineering Lead and play a critical role in taking our product from 0 to 1, leveraging expertise typically found in autonomous vehicles, robotics, AR/VR or other real\-time ML\-driven systems.
**Major Responsibilities**
* Make technical contributions across the automated officiating system, e.g. sensor pipelines, ML data pipelines, training, model development and evaluation pipelines etc.
* Designing, implementing, and deploying state\-of\-the\-art tracking, 3D reconstruction and geometry estimation, scene understanding and visual recognition systems.
* Build and maintain efficient, scalable end\-to\-end pipelines to manage petabyte\-scale multi\-modal datasets and model training throughout the entire ML lifecycle.
* Profile, debug and implement tooling to understand bottlenecks and optimize system performance.
* Collaborate with the broader Basketball R\&amp;D team on various initiatives, such as sensing research and development, KPI development and measurement, product road mapping, etc.
* Provide technical guidance and mentorship to other engineers on the team.
* Have a strong sense of ownership and be excited to wear many hats.
* Be a guardian of the codebase and push for clean, well\-tested and highly extensible code.
**Required Education/Professional Experience**
* Bachelor’s degree in Computer Science, Electrical Engineering, Math or related field (or equivalent experience).
**Required Skills/Knowledge Attributes**
* Experience working with ML data pipelines and large datasets (TB or PB scale) in a production environment.
* Demonstrated proficiency building and deploying machine learning solutions to production.
* Familiarity with containerization and orchestration frameworks like Kubernetes, Docker.
* Proficiency in Python and prior experience building machine learning data pipelines.
* Proficiency with at least one deep learning framework (Pytorch, TensorFlow, JAX etc).
* Exposure to the entire ML stack, from data pipelines to model inference.
* Excellent problem\-solving skills and adaptability in a fast\-paced environment.
* Excellent communication and interpersonal skills.
**Bonus Qualifications**
* Proven experience delivering solutions for real\-world perception challenges (e.g., AR/VR, autonomous vehicles, robotics, drones).
* Strong C\+\+ programming skills (or another equivalent compiled on\-board language), with a history of optimizing and deploying performance\-critical systems.
* Familiar with ML training frameworks and prior experience building ML training and evaluation pipelines.
* Experience with production ML systems, including scalable data pipelines, training infrastructure, model evaluation or deployment.
* Familiarity with computer vision libraries, model deployment (TensorRT, ONNX) and GPU acceleration frameworks.
* Strong grasp of low\-latency, high\-throughput system design, distributed task management systems and scalable model serving \&amp; deployment architectures.
* Exposure to CUDA, parallel computing, or high\-performance programming on GPUs.
* Passion for basketball and familiarity with officiating rules.
**Full Time** **Benefits** **:**  
*Employees currently are eligible to receive an annual discretionary performance bonus, awarded at the sole discretion of the Company and subject to any terms and conditions set by the Company. Employees and/or eligible dependents may be eligible to participate in the following Company\-sponsored employee benefit programs: medical; dental; vision; life/AD\&amp;D insurance; short\- and long\-term disability; fertility and family\-forming assistance; wellbeing allowance; educational assistance; mental health coaching/therapy; tax advantaged accounts such as HSA and healthcare/dependent care FSAs; a 401(k) retirement plan; and time off* *benefits* *that include vacation, sick time, and personal days.*
**Salary Range:**
$175,000 \- $225,000
**Job Posting Title:**
Senior Manager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221">
      <c r="A221" t="inlineStr">
        <is>
          <t>in-96e8b1bb6c73b242</t>
        </is>
      </c>
      <c r="B221" t="inlineStr">
        <is>
          <t>Machine Learning Engineer, Computer Vision</t>
        </is>
      </c>
      <c r="C221" t="inlineStr">
        <is>
          <t>Google</t>
        </is>
      </c>
      <c r="D221" t="inlineStr">
        <is>
          <t>indeed</t>
        </is>
      </c>
      <c r="E221" t="inlineStr"/>
      <c r="F221" t="inlineStr"/>
      <c r="G221" t="inlineStr">
        <is>
          <t>Mountain View, CA, US</t>
        </is>
      </c>
      <c r="H221" s="1" t="n">
        <v>46068</v>
      </c>
      <c r="I221" t="inlineStr">
        <is>
          <t>### **Minimum qualifications:**
* Bachelor's degree in Electrical Engineering, Computer Science, relevant technical field or equivalent practical experience.
* 2 years of experience with software development in one or more programming languages (e.g., Java, Python, C/C\+\+).
* Experience with image processing, computer vision, and machine learning algorithms.
* Experience with machine learning computer vision algorithm development and tools (e.g., tensorflow, flume, machine learning libraries), artificial intelligence, deep learning.
* Experience with ML infrastructure (e.g., model deployment, model evaluation, data processing, debugging).
### **Preferred qualifications:**
* Master or PhD degree in Engineering with a focus on Computer Vision or Camera, or equivalent practical experience.
* Experience in building and testing consumer electronic products for manufacturing including design for manufacturing (DFM) and design for test (DFT).
* Experience in building machine learning powered automatic\-optical\-inspection (AOI) systems including hardware, software, and algorithms.
* Experience with Machine Learning infrastructure (e.g., model deployment, model evaluation, model serving, data processing, debugging, fine tuning).
* Experience with generative AI and LLM related skills (e.g. Gemini AI suite, Vertex AI).
* Ability to travel domestically or internationally up to 20% of the time as needed.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scope of the Central Test Engineering team spans hardware and software, and across Engineering and Operations as the team that knows the secrets to successfully shipping high\-volume consumer products while balancing engineering and operational priorities.  
In this role, you will be in one or all of the following product families: virtual reality (VR), wearables, phones, and home. You will own one of the key consumer satisfaction metrics such as functional performance of the device. As a key member of the cross\-functional team that will launch the product, you will be an integral part of Google's hardware success. You will use your computer vision experience to develop multiple machine learning based automatic optical inspections stations for production lines.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solutions in artificial intelligence and machine learning applications for smart manufacturing.
* Implement and adapt deep learning architecture and the goal to land the factory test stations with a focus on automatic optical inspection solutions for production lines from new product introduction (NPI) to mass production (MP) stage.
* Understand and be able to debug the computer vision or image processing algorithms to investigate camera or assembly failures.
* Design and develop components of scalable Machine Learning infrastructure for manufacturing.
* Maintain and improve existing AI platform to support advanced automatic optical inspection.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2">
      <c r="A222" t="inlineStr">
        <is>
          <t>in-f0afc3d26300ac4e</t>
        </is>
      </c>
      <c r="B222" t="inlineStr">
        <is>
          <t>Sr. Machine Learning Engineer, WWPS ProServe Data and Machine Learning</t>
        </is>
      </c>
      <c r="C222" t="inlineStr">
        <is>
          <t>Amazon Web Services</t>
        </is>
      </c>
      <c r="D222" t="inlineStr">
        <is>
          <t>indeed</t>
        </is>
      </c>
      <c r="E222" t="inlineStr"/>
      <c r="F222" t="inlineStr"/>
      <c r="G222" t="inlineStr">
        <is>
          <t>Arlington, VA, US</t>
        </is>
      </c>
      <c r="H222" s="1" t="n">
        <v>46062</v>
      </c>
      <c r="I222"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23">
      <c r="A223" t="inlineStr">
        <is>
          <t>in-f8a10ed481effb06</t>
        </is>
      </c>
      <c r="B223" t="inlineStr">
        <is>
          <t>Sr. Machine Learning Engineer, WWPS ProServe Data and Machine Learning</t>
        </is>
      </c>
      <c r="C223" t="inlineStr">
        <is>
          <t>Amazon Web Services</t>
        </is>
      </c>
      <c r="D223" t="inlineStr">
        <is>
          <t>indeed</t>
        </is>
      </c>
      <c r="E223" t="inlineStr"/>
      <c r="F223" t="inlineStr"/>
      <c r="G223" t="inlineStr">
        <is>
          <t>Herndon, VA, US</t>
        </is>
      </c>
      <c r="H223" s="1" t="n">
        <v>46062</v>
      </c>
      <c r="I223"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224">
      <c r="A224" t="inlineStr">
        <is>
          <t>in-195331ba7ad296d4</t>
        </is>
      </c>
      <c r="B224" t="inlineStr">
        <is>
          <t>Data and Machine Learning Engineer - Vision Language Models, Data &amp; Machine Learning (DML)</t>
        </is>
      </c>
      <c r="C224" t="inlineStr">
        <is>
          <t>Amazon Web Services</t>
        </is>
      </c>
      <c r="D224" t="inlineStr">
        <is>
          <t>indeed</t>
        </is>
      </c>
      <c r="E224" t="inlineStr"/>
      <c r="F224" t="inlineStr"/>
      <c r="G224" t="inlineStr">
        <is>
          <t>Arlington, VA, US</t>
        </is>
      </c>
      <c r="H224" s="1" t="n">
        <v>46051</v>
      </c>
      <c r="I224"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5">
      <c r="A225" t="inlineStr">
        <is>
          <t>in-cd604f18336759bc</t>
        </is>
      </c>
      <c r="B225" t="inlineStr">
        <is>
          <t>Data and Machine Learning Engineer - Vision Language Models, Data &amp; Machine Learning (DML)</t>
        </is>
      </c>
      <c r="C225" t="inlineStr">
        <is>
          <t>Amazon Web Services</t>
        </is>
      </c>
      <c r="D225" t="inlineStr">
        <is>
          <t>indeed</t>
        </is>
      </c>
      <c r="E225" t="inlineStr"/>
      <c r="F225" t="inlineStr"/>
      <c r="G225" t="inlineStr">
        <is>
          <t>Herndon, VA, US</t>
        </is>
      </c>
      <c r="H225" s="1" t="n">
        <v>46051</v>
      </c>
      <c r="I225"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6">
      <c r="A226" t="inlineStr">
        <is>
          <t>in-67ff3663b1648de0</t>
        </is>
      </c>
      <c r="B226" t="inlineStr">
        <is>
          <t>Machine Learning Engineer, WWPS ProServe Data and Machine Learning</t>
        </is>
      </c>
      <c r="C226" t="inlineStr">
        <is>
          <t>Amazon Web Services</t>
        </is>
      </c>
      <c r="D226" t="inlineStr">
        <is>
          <t>indeed</t>
        </is>
      </c>
      <c r="E226" t="inlineStr"/>
      <c r="F226" t="inlineStr"/>
      <c r="G226" t="inlineStr">
        <is>
          <t>Herndon, VA, US</t>
        </is>
      </c>
      <c r="H226" s="1" t="n">
        <v>46044</v>
      </c>
      <c r="I22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7">
      <c r="A227" t="inlineStr">
        <is>
          <t>in-3c36e9477b08dc04</t>
        </is>
      </c>
      <c r="B227" t="inlineStr">
        <is>
          <t>Machine Learning Engineer, WWPS ProServe Data and Machine Learning</t>
        </is>
      </c>
      <c r="C227" t="inlineStr">
        <is>
          <t>Amazon Web Services</t>
        </is>
      </c>
      <c r="D227" t="inlineStr">
        <is>
          <t>indeed</t>
        </is>
      </c>
      <c r="E227" t="inlineStr"/>
      <c r="F227" t="inlineStr"/>
      <c r="G227" t="inlineStr">
        <is>
          <t>Arlington, VA, US</t>
        </is>
      </c>
      <c r="H227" s="1" t="n">
        <v>46044</v>
      </c>
      <c r="I22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8">
      <c r="A228" t="inlineStr">
        <is>
          <t>in-60122b1fae7c8f91</t>
        </is>
      </c>
      <c r="B228" t="inlineStr">
        <is>
          <t>Machine Learning Engineer, WWPS ProServe Data and Machine Learning</t>
        </is>
      </c>
      <c r="C228" t="inlineStr">
        <is>
          <t>Amazon Web Services</t>
        </is>
      </c>
      <c r="D228" t="inlineStr">
        <is>
          <t>indeed</t>
        </is>
      </c>
      <c r="E228" t="inlineStr"/>
      <c r="F228" t="inlineStr"/>
      <c r="G228" t="inlineStr">
        <is>
          <t>Herndon, VA, US</t>
        </is>
      </c>
      <c r="H228" s="1" t="n">
        <v>46043</v>
      </c>
      <c r="I22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29">
      <c r="A229" t="inlineStr">
        <is>
          <t>in-de61fe4ed9d9871a</t>
        </is>
      </c>
      <c r="B229" t="inlineStr">
        <is>
          <t>Machine Learning Engineer, WWPS ProServe Data and Machine Learning</t>
        </is>
      </c>
      <c r="C229" t="inlineStr">
        <is>
          <t>Amazon Web Services</t>
        </is>
      </c>
      <c r="D229" t="inlineStr">
        <is>
          <t>indeed</t>
        </is>
      </c>
      <c r="E229" t="inlineStr"/>
      <c r="F229" t="inlineStr"/>
      <c r="G229" t="inlineStr">
        <is>
          <t>Arlington, VA, US</t>
        </is>
      </c>
      <c r="H229" s="1" t="n">
        <v>46043</v>
      </c>
      <c r="I22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30">
      <c r="A230" t="inlineStr">
        <is>
          <t>in-2467ef6a5b25616f</t>
        </is>
      </c>
      <c r="B230" t="inlineStr">
        <is>
          <t>Applied Scientist, Alexa Smart Home</t>
        </is>
      </c>
      <c r="C230" t="inlineStr">
        <is>
          <t>Amazon.com</t>
        </is>
      </c>
      <c r="D230" t="inlineStr">
        <is>
          <t>indeed</t>
        </is>
      </c>
      <c r="E230" t="inlineStr"/>
      <c r="F230" t="inlineStr"/>
      <c r="G230" t="inlineStr">
        <is>
          <t>Sunnyvale, CA, US</t>
        </is>
      </c>
      <c r="H230" s="1" t="n">
        <v>46033</v>
      </c>
      <c r="I23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1">
      <c r="A231" t="inlineStr">
        <is>
          <t>in-4641e6be6dfefda8</t>
        </is>
      </c>
      <c r="B231" t="inlineStr">
        <is>
          <t>Applied Scientist, Alexa Smart Home</t>
        </is>
      </c>
      <c r="C231" t="inlineStr">
        <is>
          <t>Amazon.com</t>
        </is>
      </c>
      <c r="D231" t="inlineStr">
        <is>
          <t>indeed</t>
        </is>
      </c>
      <c r="E231" t="inlineStr"/>
      <c r="F231" t="inlineStr"/>
      <c r="G231" t="inlineStr">
        <is>
          <t>Seattle, WA, US</t>
        </is>
      </c>
      <c r="H231" s="1" t="n">
        <v>46033</v>
      </c>
      <c r="I23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2">
      <c r="A232" t="inlineStr">
        <is>
          <t>in-19fb3d7c33bb2c5a</t>
        </is>
      </c>
      <c r="B232" t="inlineStr">
        <is>
          <t>ML Engineer, GO-AI Technology &amp; Development Team</t>
        </is>
      </c>
      <c r="C232" t="inlineStr">
        <is>
          <t>Amazon.com</t>
        </is>
      </c>
      <c r="D232" t="inlineStr">
        <is>
          <t>indeed</t>
        </is>
      </c>
      <c r="E232" t="inlineStr"/>
      <c r="F232" t="inlineStr"/>
      <c r="G232" t="inlineStr">
        <is>
          <t>Reading, MA, US</t>
        </is>
      </c>
      <c r="H232" s="1" t="n">
        <v>45998</v>
      </c>
      <c r="I23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3">
      <c r="A233" t="inlineStr">
        <is>
          <t>in-fb005c9561d6d5c2</t>
        </is>
      </c>
      <c r="B233" t="inlineStr">
        <is>
          <t>ML Engineer, GO-AI Technology &amp; Development Team</t>
        </is>
      </c>
      <c r="C233" t="inlineStr">
        <is>
          <t>Amazon.com</t>
        </is>
      </c>
      <c r="D233" t="inlineStr">
        <is>
          <t>indeed</t>
        </is>
      </c>
      <c r="E233" t="inlineStr"/>
      <c r="F233" t="inlineStr"/>
      <c r="G233" t="inlineStr">
        <is>
          <t>Westborough, MA, US</t>
        </is>
      </c>
      <c r="H233" s="1" t="n">
        <v>45998</v>
      </c>
      <c r="I23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4">
      <c r="A234" t="inlineStr">
        <is>
          <t>in-d2c8e77583f569db</t>
        </is>
      </c>
      <c r="B234" t="inlineStr">
        <is>
          <t>ML Engineer, GO-AI Technology &amp; Development Team</t>
        </is>
      </c>
      <c r="C234" t="inlineStr">
        <is>
          <t>Amazon.com</t>
        </is>
      </c>
      <c r="D234" t="inlineStr">
        <is>
          <t>indeed</t>
        </is>
      </c>
      <c r="E234" t="inlineStr"/>
      <c r="F234" t="inlineStr"/>
      <c r="G234" t="inlineStr">
        <is>
          <t>Seattle, WA, US</t>
        </is>
      </c>
      <c r="H234" s="1" t="n">
        <v>45998</v>
      </c>
      <c r="I23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5">
      <c r="A235" t="inlineStr">
        <is>
          <t>in-7e7fd0aca084969e</t>
        </is>
      </c>
      <c r="B235" t="inlineStr">
        <is>
          <t>ML Engineer, GO-AI Technology &amp; Development Team</t>
        </is>
      </c>
      <c r="C235" t="inlineStr">
        <is>
          <t>Amazon.com</t>
        </is>
      </c>
      <c r="D235" t="inlineStr">
        <is>
          <t>indeed</t>
        </is>
      </c>
      <c r="E235" t="inlineStr"/>
      <c r="F235" t="inlineStr"/>
      <c r="G235" t="inlineStr">
        <is>
          <t>Boston, MA, US</t>
        </is>
      </c>
      <c r="H235" s="1" t="n">
        <v>45998</v>
      </c>
      <c r="I23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6">
      <c r="A236" t="inlineStr">
        <is>
          <t>in-0fa371971da9eedf</t>
        </is>
      </c>
      <c r="B236" t="inlineStr">
        <is>
          <t>AI Engineer</t>
        </is>
      </c>
      <c r="C236" t="inlineStr"/>
      <c r="D236" t="inlineStr">
        <is>
          <t>indeed</t>
        </is>
      </c>
      <c r="E236">
        <f>HYPERLINK("https://www.indeed.com/viewjob?jk=0fa371971da9eedf", "https://www.indeed.com/viewjob?jk=0fa371971da9eedf")</f>
        <v/>
      </c>
      <c r="F236">
        <f>HYPERLINK("https://recruiting2.ultipro.com/QSE1000QSER/JobBoard/6cf8d9f1-7140-4a4f-8dba-c15b5a2fafb0/OpportunityDetail?opportunityId=8017bb4a-9b5b-41be-b9f9-cda32f9611b8&amp;postingId=7edb137b-e27d-46cd-b447-cd468f98507c", "https://recruiting2.ultipro.com/QSE1000QSER/JobBoard/6cf8d9f1-7140-4a4f-8dba-c15b5a2fafb0/OpportunityDetail?opportunityId=8017bb4a-9b5b-41be-b9f9-cda32f9611b8&amp;postingId=7edb137b-e27d-46cd-b447-cd468f98507c")</f>
        <v/>
      </c>
      <c r="G236" t="inlineStr">
        <is>
          <t>WI, US</t>
        </is>
      </c>
      <c r="H236" s="2" t="n">
        <v>46069</v>
      </c>
      <c r="I236" t="inlineStr">
        <is>
          <t>Love your Mondays again!
**Join the future of connectivity with Metronet!**
**AI Engineer** – Metronet
**POSITION SUMMARY:**
The AI Engineer is responsible for designs, developing, and deploying artificial intelligence systems and machine learning models to automate tasks and solve complex business problems. They create infrastructure, train algorithms (NLP, computer vision), and integrate models into production using frameworks like Python, TensorFlow, and cloud platforms. This role requires bridging data science with software engineering to deploy scalable, efficient AI solutions.
**ESSENTIAL JOB FUNCTIONS:**
* Build, train, and evaluate machine learning models—including deep learning and neural networks.
* Design and maintain AI development and production infrastructure, integrating AI tools, and deploying models as APIs.
* Clean, preprocess, and analyze large datasets to ensure high data quality and reliability.
* Optimize AI systems to improve performance, accuracy, and scalability.
* Collaborate with data scientists, software engineers, and product managers to deliver AI solutions aligned with business objectives.
**JOB QUALIFICATIONS AND REQUIREMENTS:**
* Proven experience leading large operational teams in Service Delivery, provisioning, installation, or related functions.
* Strong executive presence with ability to present performance metrics, risks, and mitigation strategies to senior leadership.
* Deep understanding of order\-to\-activate delivery models, construction dependencies, and partner\-driven execution.
* Exceptional organizational skills and ability to thrive in fast\-paced, high\-stakes environments.
* Excellent customer\-facing communication skills; able to translate delivery risks into business and revenue impacts.
* Demonstrated ability to mentor and develop both junior and senior team members.
* Skilled in performance analysis, process gap identification, and implementing measurable improvements.
* Telecom operations expertise required; fiber service delivery and construction experience strongly preferred.
* Proficiency in MS Office Suite and workflow platforms (Pega, OFSC, ServiceNow, Remedy, etc.).
* Familiarity with ITIL; delivery\-focused operational certifications a plus.
* Bachelor’s degree in Engineering or related field (or equivalent experience).
**Metronet** is an equal opportunity employer. We will not discriminate against any applicant or employee on the basis of sexual orientation, gender identity, race, gender, religion, age, national origin, color, disability, or veteran status. EOE/Minority/Female/Disabled/Veteran
\#LI\-EO1</t>
        </is>
      </c>
    </row>
    <row r="237">
      <c r="A237" t="inlineStr">
        <is>
          <t>in-77e422d3513af25f</t>
        </is>
      </c>
      <c r="B237" t="inlineStr">
        <is>
          <t>ML Engineer</t>
        </is>
      </c>
      <c r="C237" t="inlineStr">
        <is>
          <t>Keystone Cooperative</t>
        </is>
      </c>
      <c r="D237" t="inlineStr">
        <is>
          <t>indeed</t>
        </is>
      </c>
      <c r="E237">
        <f>HYPERLINK("https://www.indeed.com/viewjob?jk=77e422d3513af25f", "https://www.indeed.com/viewjob?jk=77e422d3513af25f")</f>
        <v/>
      </c>
      <c r="F237">
        <f>HYPERLINK("https://keystone.wd5.myworkdayjobs.com/keystone/job/Indianapolis-IN/ML-Engineer_JR102777", "https://keystone.wd5.myworkdayjobs.com/keystone/job/Indianapolis-IN/ML-Engineer_JR102777")</f>
        <v/>
      </c>
      <c r="G237" t="inlineStr">
        <is>
          <t>Indianapolis, IN, US</t>
        </is>
      </c>
      <c r="H237" s="2" t="n">
        <v>46068</v>
      </c>
      <c r="I237" t="inlineStr">
        <is>
          <t>**Job Description**
**Overview:** Our company is seeking a detail\-oriented and highly analytical ML Engineer who will assist in driving our AI\-driven product development initiatives. The successful candidate will possess a strong understanding of data analysis, along with the ability to apply AI and ML methodologies to enhance our products. Must be authorized to work in the United States now and in the future, without company sponsorship. Must be about to work onsite in the corporate office in Indianapolis, Indiana. (This role is not hybrid or remote).
Must be authorized to work in the United States of America, now and in the future, without company sponsorship.
**Duties and Responsibilities:**
Include but are not limited to:
* Collaborate with cross\-functional teams to understand business requirements and develop data\-driven solutions tailored to those needs.
* Utilize Snowflake Cortex and other AI/ML development tools to design, implement, and optimize data models and algorithms.
* Conduct exploratory data analysis to uncover trends, patterns, and insights that can inform business decisions.
* Analyze complex datasets to extract actionable insights that inform product development strategies.
* Conduct complex statistical analyses, including regression modeling, hypothesis testing, and predictive analytics, to forecast trends and inform strategic decisions.
* Assist in developing machine learning models and algorithms to solve complex business problems and improve operational efficiency.
* Create and maintain detailed documentation of data analysis processes and AI/ML model development.
* Monitor and evaluate the effectiveness of AI/ML models in production and refine them as needed.
* Provide training and support to team members and stakeholders on data analysis tools and techniques.
**Skills and Qualifications:**
* Proven experience as a Data Analyst or Data Engineer, preferably with experience incorporating AI/ML methodologies.
* Strong expertise in data analysis tools and languages (e.g., Python, R, SQL).
* Experience with machine learning frameworks and tools (e.g., TensorFlow, PyTorch).
* Excellent problem\-solving skills and attention to detail.
* Ability to communicate complex findings in a clear and concise manner.
* Strong teamwork and collaboration skills.
**Education and Experience:**
* Bachelor’s degree in Data Science, Statistics, Computer Science, or related field. Master’s degree preferred.</t>
        </is>
      </c>
    </row>
    <row r="238">
      <c r="A238" t="inlineStr">
        <is>
          <t>in-665fcbc274c9eb07</t>
        </is>
      </c>
      <c r="B238" t="inlineStr">
        <is>
          <t>Sr. Applied Scientist, Sponsored Products Off-Search Sourcing</t>
        </is>
      </c>
      <c r="C238" t="inlineStr">
        <is>
          <t>Amazon.com</t>
        </is>
      </c>
      <c r="D238" t="inlineStr">
        <is>
          <t>indeed</t>
        </is>
      </c>
      <c r="E238">
        <f>HYPERLINK("https://www.indeed.com/viewjob?jk=665fcbc274c9eb07", "https://www.indeed.com/viewjob?jk=665fcbc274c9eb07")</f>
        <v/>
      </c>
      <c r="F238">
        <f>HYPERLINK("https://www.amazon.jobs/jobs/3169094/sr-applied-scientist-sponsored-products-offsearch-sourcing?cmpid=DA_INAD200785B", "https://www.amazon.jobs/jobs/3169094/sr-applied-scientist-sponsored-products-offsearch-sourcing?cmpid=DA_INAD200785B")</f>
        <v/>
      </c>
      <c r="G238" t="inlineStr">
        <is>
          <t>New York, NY, US</t>
        </is>
      </c>
      <c r="H238" s="2" t="n">
        <v>46049</v>
      </c>
      <c r="I23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39">
      <c r="A239" t="inlineStr">
        <is>
          <t>in-43c4efdfc6704504</t>
        </is>
      </c>
      <c r="B239" t="inlineStr">
        <is>
          <t>Sr. Applied Scientist, Sponsored Products Off-Search Sourcing</t>
        </is>
      </c>
      <c r="C239" t="inlineStr">
        <is>
          <t>Amazon.com</t>
        </is>
      </c>
      <c r="D239" t="inlineStr">
        <is>
          <t>indeed</t>
        </is>
      </c>
      <c r="E239">
        <f>HYPERLINK("https://www.indeed.com/viewjob?jk=43c4efdfc6704504", "https://www.indeed.com/viewjob?jk=43c4efdfc6704504")</f>
        <v/>
      </c>
      <c r="F239">
        <f>HYPERLINK("https://www.amazon.jobs/jobs/3169094/sr-applied-scientist-sponsored-products-offsearch-sourcing?cmpid=DA_INAD200785B", "https://www.amazon.jobs/jobs/3169094/sr-applied-scientist-sponsored-products-offsearch-sourcing?cmpid=DA_INAD200785B")</f>
        <v/>
      </c>
      <c r="G239" t="inlineStr">
        <is>
          <t>Seattle, WA, US</t>
        </is>
      </c>
      <c r="H239" s="2" t="n">
        <v>46049</v>
      </c>
      <c r="I23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0">
      <c r="A240" t="inlineStr">
        <is>
          <t>in-2a15fb2d8cf86bd5</t>
        </is>
      </c>
      <c r="B240" t="inlineStr">
        <is>
          <t>Sr. Applied Scientist, Sponsored Products Off-Search Sourcing</t>
        </is>
      </c>
      <c r="C240" t="inlineStr">
        <is>
          <t>Amazon.com</t>
        </is>
      </c>
      <c r="D240" t="inlineStr">
        <is>
          <t>indeed</t>
        </is>
      </c>
      <c r="E240">
        <f>HYPERLINK("https://www.indeed.com/viewjob?jk=2a15fb2d8cf86bd5", "https://www.indeed.com/viewjob?jk=2a15fb2d8cf86bd5")</f>
        <v/>
      </c>
      <c r="F240">
        <f>HYPERLINK("https://www.amazon.jobs/jobs/3169094/sr-applied-scientist-sponsored-products-offsearch-sourcing?cmpid=DA_INAD200785B", "https://www.amazon.jobs/jobs/3169094/sr-applied-scientist-sponsored-products-offsearch-sourcing?cmpid=DA_INAD200785B")</f>
        <v/>
      </c>
      <c r="G240" t="inlineStr">
        <is>
          <t>Palo Alto, CA, US</t>
        </is>
      </c>
      <c r="H240" s="2" t="n">
        <v>46049</v>
      </c>
      <c r="I24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241">
      <c r="A241" t="inlineStr">
        <is>
          <t>in-02d5245b30e82da4</t>
        </is>
      </c>
      <c r="B241" t="inlineStr">
        <is>
          <t>Sr. Applied Scientist, Amazon Connect</t>
        </is>
      </c>
      <c r="C241" t="inlineStr">
        <is>
          <t>Amazon Web Services</t>
        </is>
      </c>
      <c r="D241" t="inlineStr">
        <is>
          <t>indeed</t>
        </is>
      </c>
      <c r="E241">
        <f>HYPERLINK("https://www.indeed.com/viewjob?jk=02d5245b30e82da4", "https://www.indeed.com/viewjob?jk=02d5245b30e82da4")</f>
        <v/>
      </c>
      <c r="F241">
        <f>HYPERLINK("https://www.amazon.jobs/jobs/3168991/sr-applied-scientist-amazon-connect?cmpid=DA_INAD200785B", "https://www.amazon.jobs/jobs/3168991/sr-applied-scientist-amazon-connect?cmpid=DA_INAD200785B")</f>
        <v/>
      </c>
      <c r="G241" t="inlineStr">
        <is>
          <t>New York, NY, US</t>
        </is>
      </c>
      <c r="H241" s="2" t="n">
        <v>46047</v>
      </c>
      <c r="I24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42">
      <c r="A242" t="inlineStr">
        <is>
          <t>in-d10ad1b3467d2d4e</t>
        </is>
      </c>
      <c r="B242" t="inlineStr">
        <is>
          <t>Applied Scientist, Amazon Connect</t>
        </is>
      </c>
      <c r="C242" t="inlineStr">
        <is>
          <t>Amazon Web Services</t>
        </is>
      </c>
      <c r="D242" t="inlineStr">
        <is>
          <t>indeed</t>
        </is>
      </c>
      <c r="E242">
        <f>HYPERLINK("https://www.indeed.com/viewjob?jk=d10ad1b3467d2d4e", "https://www.indeed.com/viewjob?jk=d10ad1b3467d2d4e")</f>
        <v/>
      </c>
      <c r="F242">
        <f>HYPERLINK("https://www.amazon.jobs/jobs/3168981/applied-scientist-amazon-connect?cmpid=DA_INAD200785B", "https://www.amazon.jobs/jobs/3168981/applied-scientist-amazon-connect?cmpid=DA_INAD200785B")</f>
        <v/>
      </c>
      <c r="G242" t="inlineStr">
        <is>
          <t>New York, NY, US</t>
        </is>
      </c>
      <c r="H242" s="2" t="n">
        <v>46047</v>
      </c>
      <c r="I24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43">
      <c r="A243" t="inlineStr">
        <is>
          <t>in-0fa459581e0a22f7</t>
        </is>
      </c>
      <c r="B243" t="inlineStr">
        <is>
          <t>Applied Scientist II, Prime Video Personalization and Discovery Science</t>
        </is>
      </c>
      <c r="C243" t="inlineStr">
        <is>
          <t>Amazon.com</t>
        </is>
      </c>
      <c r="D243" t="inlineStr">
        <is>
          <t>indeed</t>
        </is>
      </c>
      <c r="E243">
        <f>HYPERLINK("https://www.indeed.com/viewjob?jk=0fa459581e0a22f7", "https://www.indeed.com/viewjob?jk=0fa459581e0a22f7")</f>
        <v/>
      </c>
      <c r="F243">
        <f>HYPERLINK("https://www.amazon.jobs/jobs/3168905/applied-scientist-ii-prime-video-personalization-and-discovery-science?cmpid=DA_INAD200785B", "https://www.amazon.jobs/jobs/3168905/applied-scientist-ii-prime-video-personalization-and-discovery-science?cmpid=DA_INAD200785B")</f>
        <v/>
      </c>
      <c r="G243" t="inlineStr">
        <is>
          <t>Seattle, WA, US</t>
        </is>
      </c>
      <c r="H243" s="2" t="n">
        <v>46047</v>
      </c>
      <c r="I2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4">
      <c r="A244" t="inlineStr">
        <is>
          <t>in-ee94eb1dc4177b81</t>
        </is>
      </c>
      <c r="B244" t="inlineStr">
        <is>
          <t>Applied Scientist II, Prime Video Personalization and Discovery Science</t>
        </is>
      </c>
      <c r="C244" t="inlineStr">
        <is>
          <t>Amazon.com</t>
        </is>
      </c>
      <c r="D244" t="inlineStr">
        <is>
          <t>indeed</t>
        </is>
      </c>
      <c r="E244">
        <f>HYPERLINK("https://www.indeed.com/viewjob?jk=ee94eb1dc4177b81", "https://www.indeed.com/viewjob?jk=ee94eb1dc4177b81")</f>
        <v/>
      </c>
      <c r="F244">
        <f>HYPERLINK("https://www.amazon.jobs/jobs/3168905/applied-scientist-ii-prime-video-personalization-and-discovery-science?cmpid=DA_INAD200785B", "https://www.amazon.jobs/jobs/3168905/applied-scientist-ii-prime-video-personalization-and-discovery-science?cmpid=DA_INAD200785B")</f>
        <v/>
      </c>
      <c r="G244" t="inlineStr">
        <is>
          <t>Sunnyvale, CA, US</t>
        </is>
      </c>
      <c r="H244" s="2" t="n">
        <v>46047</v>
      </c>
      <c r="I2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5">
      <c r="A245" t="inlineStr">
        <is>
          <t>in-63020d8427b3ac31</t>
        </is>
      </c>
      <c r="B245" t="inlineStr">
        <is>
          <t>Applied Scientist II, Prime Video Personalization and Discovery Science</t>
        </is>
      </c>
      <c r="C245" t="inlineStr">
        <is>
          <t>Amazon.com</t>
        </is>
      </c>
      <c r="D245" t="inlineStr">
        <is>
          <t>indeed</t>
        </is>
      </c>
      <c r="E245">
        <f>HYPERLINK("https://www.indeed.com/viewjob?jk=63020d8427b3ac31", "https://www.indeed.com/viewjob?jk=63020d8427b3ac31")</f>
        <v/>
      </c>
      <c r="F245">
        <f>HYPERLINK("https://www.amazon.jobs/jobs/3168905/applied-scientist-ii-prime-video-personalization-and-discovery-science?cmpid=DA_INAD200785B", "https://www.amazon.jobs/jobs/3168905/applied-scientist-ii-prime-video-personalization-and-discovery-science?cmpid=DA_INAD200785B")</f>
        <v/>
      </c>
      <c r="G245" t="inlineStr">
        <is>
          <t>New York, NY, US</t>
        </is>
      </c>
      <c r="H245" s="2" t="n">
        <v>46047</v>
      </c>
      <c r="I2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6">
      <c r="A246" t="inlineStr">
        <is>
          <t>in-9a7738d1d653f76f</t>
        </is>
      </c>
      <c r="B246" t="inlineStr">
        <is>
          <t>Sr. Applied Scientist, Amazon Connect</t>
        </is>
      </c>
      <c r="C246" t="inlineStr">
        <is>
          <t>Amazon Web Services</t>
        </is>
      </c>
      <c r="D246" t="inlineStr">
        <is>
          <t>indeed</t>
        </is>
      </c>
      <c r="E246">
        <f>HYPERLINK("https://www.indeed.com/viewjob?jk=9a7738d1d653f76f", "https://www.indeed.com/viewjob?jk=9a7738d1d653f76f")</f>
        <v/>
      </c>
      <c r="F246">
        <f>HYPERLINK("https://www.amazon.jobs/jobs/3168991/sr-applied-scientist-amazon-connect?cmpid=DA_INAD200785B", "https://www.amazon.jobs/jobs/3168991/sr-applied-scientist-amazon-connect?cmpid=DA_INAD200785B")</f>
        <v/>
      </c>
      <c r="G246" t="inlineStr">
        <is>
          <t>Seattle, WA, US</t>
        </is>
      </c>
      <c r="H246" s="2" t="n">
        <v>46047</v>
      </c>
      <c r="I2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Senior Applied Scientist will lead the scientific agenda for AI systems at the product level. The role requires identifying and solving ill\-defined problems where no textbook solutions exist, balancing rapid innovation with reliability and compliance. You should be comfortable making decisions with incomplete information and driving solutions in ambiguous problem spaces. You'll work closely with senior technical leaders within the team and across AWS, influencing across multiple teams. We're looking for scientists who can maintain high standards while moving quickly, prioritizing both rapid experimentation and responsible AI development to deliver measurable customer impact.  
Key job responsibilities  
* Lead the design, implementation, and delivery of scientifically\-complex production solutions that address medium\-to\-large business problems
* Drive your team's scientific agenda and propose new initiatives aligned with customer needs and business problems
* Invent new methodologies or paradigms when existing approaches are insufficient
* Influence across multiple teams to build consensus on technical direction and scientific approaches
* Deliver significant portions of critical\-path code that meets high quality standards (efficient, reproducible, testable, maintainable)
* Actively mentor and develop other scientists, fostering a culture of scientific excellence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in engineering, technology, computer science, machine learning, robotics, operations research, statistics, mathematics or equivalent quantitative field
* 5\+ years of building machine learning models or developing algorithms for business application experience
* Experience programming in Java, C\+\+, Python or related language
* Experience in patents or publications at top\-tier peer\-reviewed conferences or journals
* Experience collaborating and influencing multiple teams across multiple organizations
* Experience leading, mentoring and growing teams of scientists (teams of five or more scientists)
**PREFERRED QUALIFICATIONS**
----------------------------
* Experience with modeling tools such as R, scikit\-learn, Spark MLLib, MxNet, Tensorflow, numpy, scipy etc.
* Experience with large scale distributed systems such as Hadoop, Spark etc.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47">
      <c r="A247" t="inlineStr">
        <is>
          <t>in-672ca5239e01a4fc</t>
        </is>
      </c>
      <c r="B247" t="inlineStr">
        <is>
          <t>Applied Scientist, Amazon Connect</t>
        </is>
      </c>
      <c r="C247" t="inlineStr">
        <is>
          <t>Amazon Web Services</t>
        </is>
      </c>
      <c r="D247" t="inlineStr">
        <is>
          <t>indeed</t>
        </is>
      </c>
      <c r="E247">
        <f>HYPERLINK("https://www.indeed.com/viewjob?jk=672ca5239e01a4fc", "https://www.indeed.com/viewjob?jk=672ca5239e01a4fc")</f>
        <v/>
      </c>
      <c r="F247">
        <f>HYPERLINK("https://www.amazon.jobs/jobs/3168981/applied-scientist-amazon-connect?cmpid=DA_INAD200785B", "https://www.amazon.jobs/jobs/3168981/applied-scientist-amazon-connect?cmpid=DA_INAD200785B")</f>
        <v/>
      </c>
      <c r="G247" t="inlineStr">
        <is>
          <t>Seattle, WA, US</t>
        </is>
      </c>
      <c r="H247" s="2" t="n">
        <v>46047</v>
      </c>
      <c r="I247"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48">
      <c r="A248" t="inlineStr">
        <is>
          <t>in-10cd41681a69667d</t>
        </is>
      </c>
      <c r="B248" t="inlineStr">
        <is>
          <t>Machine Learning Engineer, WWPS ProServe Data and Machine Learning</t>
        </is>
      </c>
      <c r="C248" t="inlineStr">
        <is>
          <t>Amazon Web Services</t>
        </is>
      </c>
      <c r="D248" t="inlineStr">
        <is>
          <t>indeed</t>
        </is>
      </c>
      <c r="E248">
        <f>HYPERLINK("https://www.indeed.com/viewjob?jk=10cd41681a69667d", "https://www.indeed.com/viewjob?jk=10cd41681a69667d")</f>
        <v/>
      </c>
      <c r="F248">
        <f>HYPERLINK("https://www.amazon.jobs/jobs/3168180/machine-learning-engineer-wwps-proserve-data-and-machine-learning?cmpid=DA_INAD200785B", "https://www.amazon.jobs/jobs/3168180/machine-learning-engineer-wwps-proserve-data-and-machine-learning?cmpid=DA_INAD200785B")</f>
        <v/>
      </c>
      <c r="G248" t="inlineStr">
        <is>
          <t>Herndon, VA, US</t>
        </is>
      </c>
      <c r="H248" s="2" t="n">
        <v>46043</v>
      </c>
      <c r="I24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49">
      <c r="A249" t="inlineStr">
        <is>
          <t>in-9582804e9d733714</t>
        </is>
      </c>
      <c r="B249" t="inlineStr">
        <is>
          <t>Machine Learning Engineer, WWPS ProServe Data and Machine Learning</t>
        </is>
      </c>
      <c r="C249" t="inlineStr">
        <is>
          <t>Amazon Web Services</t>
        </is>
      </c>
      <c r="D249" t="inlineStr">
        <is>
          <t>indeed</t>
        </is>
      </c>
      <c r="E249">
        <f>HYPERLINK("https://www.indeed.com/viewjob?jk=9582804e9d733714", "https://www.indeed.com/viewjob?jk=9582804e9d733714")</f>
        <v/>
      </c>
      <c r="F249">
        <f>HYPERLINK("https://www.amazon.jobs/jobs/3168180/machine-learning-engineer-wwps-proserve-data-and-machine-learning?cmpid=DA_INAD200785B", "https://www.amazon.jobs/jobs/3168180/machine-learning-engineer-wwps-proserve-data-and-machine-learning?cmpid=DA_INAD200785B")</f>
        <v/>
      </c>
      <c r="G249" t="inlineStr">
        <is>
          <t>Arlington, VA, US</t>
        </is>
      </c>
      <c r="H249" s="2" t="n">
        <v>46043</v>
      </c>
      <c r="I24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250">
      <c r="A250" t="inlineStr">
        <is>
          <t>in-b771804e114bea9c</t>
        </is>
      </c>
      <c r="B250" t="inlineStr">
        <is>
          <t>Applied Scientist, Safety ML</t>
        </is>
      </c>
      <c r="C250" t="inlineStr">
        <is>
          <t>Amazon.com</t>
        </is>
      </c>
      <c r="D250" t="inlineStr">
        <is>
          <t>indeed</t>
        </is>
      </c>
      <c r="E250">
        <f>HYPERLINK("https://www.indeed.com/viewjob?jk=b771804e114bea9c", "https://www.indeed.com/viewjob?jk=b771804e114bea9c")</f>
        <v/>
      </c>
      <c r="F250">
        <f>HYPERLINK("https://www.amazon.jobs/jobs/3161224/applied-scientist-safety-ml?cmpid=DA_INAD200785B", "https://www.amazon.jobs/jobs/3161224/applied-scientist-safety-ml?cmpid=DA_INAD200785B")</f>
        <v/>
      </c>
      <c r="G250" t="inlineStr">
        <is>
          <t>San Francisco, CA, US</t>
        </is>
      </c>
      <c r="H250" s="2" t="n">
        <v>46037</v>
      </c>
      <c r="I2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1">
      <c r="A251" t="inlineStr">
        <is>
          <t>in-4d29a0cd765b7475</t>
        </is>
      </c>
      <c r="B251" t="inlineStr">
        <is>
          <t>Applied Scientist, Safety ML</t>
        </is>
      </c>
      <c r="C251" t="inlineStr">
        <is>
          <t>Amazon.com</t>
        </is>
      </c>
      <c r="D251" t="inlineStr">
        <is>
          <t>indeed</t>
        </is>
      </c>
      <c r="E251">
        <f>HYPERLINK("https://www.indeed.com/viewjob?jk=4d29a0cd765b7475", "https://www.indeed.com/viewjob?jk=4d29a0cd765b7475")</f>
        <v/>
      </c>
      <c r="F251">
        <f>HYPERLINK("https://www.amazon.jobs/jobs/3161224/applied-scientist-safety-ml?cmpid=DA_INAD200785B", "https://www.amazon.jobs/jobs/3161224/applied-scientist-safety-ml?cmpid=DA_INAD200785B")</f>
        <v/>
      </c>
      <c r="G251" t="inlineStr">
        <is>
          <t>Seattle, WA, US</t>
        </is>
      </c>
      <c r="H251" s="2" t="n">
        <v>46037</v>
      </c>
      <c r="I2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52">
      <c r="A252" t="inlineStr">
        <is>
          <t>in-2475cbca63afee6a</t>
        </is>
      </c>
      <c r="B252" t="inlineStr">
        <is>
          <t>Applied Scientist, LLM Code Agents, Kiro Science</t>
        </is>
      </c>
      <c r="C252" t="inlineStr">
        <is>
          <t>Amazon.com</t>
        </is>
      </c>
      <c r="D252" t="inlineStr">
        <is>
          <t>indeed</t>
        </is>
      </c>
      <c r="E252">
        <f>HYPERLINK("https://www.indeed.com/viewjob?jk=2475cbca63afee6a", "https://www.indeed.com/viewjob?jk=2475cbca63afee6a")</f>
        <v/>
      </c>
      <c r="F252">
        <f>HYPERLINK("https://www.amazon.jobs/jobs/3161363/applied-scientist-llm-code-agents-kiro-science?cmpid=DA_INAD200785B", "https://www.amazon.jobs/jobs/3161363/applied-scientist-llm-code-agents-kiro-science?cmpid=DA_INAD200785B")</f>
        <v/>
      </c>
      <c r="G252" t="inlineStr">
        <is>
          <t>Santa Clara, CA, US</t>
        </is>
      </c>
      <c r="H252" s="2" t="n">
        <v>46035</v>
      </c>
      <c r="I25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3">
      <c r="A253" t="inlineStr">
        <is>
          <t>in-5fe6369949748212</t>
        </is>
      </c>
      <c r="B253" t="inlineStr">
        <is>
          <t>Applied Scientist, LLM Code Agents, Kiro Science</t>
        </is>
      </c>
      <c r="C253" t="inlineStr">
        <is>
          <t>Amazon.com</t>
        </is>
      </c>
      <c r="D253" t="inlineStr">
        <is>
          <t>indeed</t>
        </is>
      </c>
      <c r="E253">
        <f>HYPERLINK("https://www.indeed.com/viewjob?jk=5fe6369949748212", "https://www.indeed.com/viewjob?jk=5fe6369949748212")</f>
        <v/>
      </c>
      <c r="F253">
        <f>HYPERLINK("https://www.amazon.jobs/jobs/3161363/applied-scientist-llm-code-agents-kiro-science?cmpid=DA_INAD200785B", "https://www.amazon.jobs/jobs/3161363/applied-scientist-llm-code-agents-kiro-science?cmpid=DA_INAD200785B")</f>
        <v/>
      </c>
      <c r="G253" t="inlineStr">
        <is>
          <t>Seattle, WA, US</t>
        </is>
      </c>
      <c r="H253" s="2" t="n">
        <v>46035</v>
      </c>
      <c r="I25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54">
      <c r="A254" t="inlineStr">
        <is>
          <t>in-cf38132c005301d1</t>
        </is>
      </c>
      <c r="B254" t="inlineStr">
        <is>
          <t>Applied Scientist II, Prime Video Personalization and Discovery Science</t>
        </is>
      </c>
      <c r="C254" t="inlineStr">
        <is>
          <t>Amazon.com</t>
        </is>
      </c>
      <c r="D254" t="inlineStr">
        <is>
          <t>indeed</t>
        </is>
      </c>
      <c r="E254">
        <f>HYPERLINK("https://www.indeed.com/viewjob?jk=cf38132c005301d1", "https://www.indeed.com/viewjob?jk=cf38132c005301d1")</f>
        <v/>
      </c>
      <c r="F254">
        <f>HYPERLINK("https://www.amazon.jobs/jobs/3165157/applied-scientist-ii-prime-video-personalization-and-discovery-science?cmpid=DA_INAD200785B", "https://www.amazon.jobs/jobs/3165157/applied-scientist-ii-prime-video-personalization-and-discovery-science?cmpid=DA_INAD200785B")</f>
        <v/>
      </c>
      <c r="G254" t="inlineStr">
        <is>
          <t>Seattle, WA, US</t>
        </is>
      </c>
      <c r="H254" s="2" t="n">
        <v>46034</v>
      </c>
      <c r="I2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5">
      <c r="A255" t="inlineStr">
        <is>
          <t>in-1006909acd9b5a3d</t>
        </is>
      </c>
      <c r="B255" t="inlineStr">
        <is>
          <t>Applied Scientist II, Prime Video Personalization and Discovery Science</t>
        </is>
      </c>
      <c r="C255" t="inlineStr">
        <is>
          <t>Amazon.com</t>
        </is>
      </c>
      <c r="D255" t="inlineStr">
        <is>
          <t>indeed</t>
        </is>
      </c>
      <c r="E255">
        <f>HYPERLINK("https://www.indeed.com/viewjob?jk=1006909acd9b5a3d", "https://www.indeed.com/viewjob?jk=1006909acd9b5a3d")</f>
        <v/>
      </c>
      <c r="F255">
        <f>HYPERLINK("https://www.amazon.jobs/jobs/3165157/applied-scientist-ii-prime-video-personalization-and-discovery-science?cmpid=DA_INAD200785B", "https://www.amazon.jobs/jobs/3165157/applied-scientist-ii-prime-video-personalization-and-discovery-science?cmpid=DA_INAD200785B")</f>
        <v/>
      </c>
      <c r="G255" t="inlineStr">
        <is>
          <t>Sunnyvale, CA, US</t>
        </is>
      </c>
      <c r="H255" s="2" t="n">
        <v>46034</v>
      </c>
      <c r="I2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56">
      <c r="A256" t="inlineStr">
        <is>
          <t>in-a1057ffc033b1606</t>
        </is>
      </c>
      <c r="B256" t="inlineStr">
        <is>
          <t>Sr Applied Scientist, AWS Proactive Security</t>
        </is>
      </c>
      <c r="C256" t="inlineStr">
        <is>
          <t>Amazon.com</t>
        </is>
      </c>
      <c r="D256" t="inlineStr">
        <is>
          <t>indeed</t>
        </is>
      </c>
      <c r="E256">
        <f>HYPERLINK("https://www.indeed.com/viewjob?jk=a1057ffc033b1606", "https://www.indeed.com/viewjob?jk=a1057ffc033b1606")</f>
        <v/>
      </c>
      <c r="F256">
        <f>HYPERLINK("https://www.amazon.jobs/jobs/3164664/sr-applied-scientist-aws-proactive-security?cmpid=DA_INAD200785B", "https://www.amazon.jobs/jobs/3164664/sr-applied-scientist-aws-proactive-security?cmpid=DA_INAD200785B")</f>
        <v/>
      </c>
      <c r="G256" t="inlineStr">
        <is>
          <t>Arlington, VA, US</t>
        </is>
      </c>
      <c r="H256" s="2" t="n">
        <v>46030</v>
      </c>
      <c r="I256"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7">
      <c r="A257" t="inlineStr">
        <is>
          <t>in-e2db59b183d76740</t>
        </is>
      </c>
      <c r="B257" t="inlineStr">
        <is>
          <t>Sr Applied Scientist, AWS Proactive Security</t>
        </is>
      </c>
      <c r="C257" t="inlineStr">
        <is>
          <t>Amazon.com</t>
        </is>
      </c>
      <c r="D257" t="inlineStr">
        <is>
          <t>indeed</t>
        </is>
      </c>
      <c r="E257">
        <f>HYPERLINK("https://www.indeed.com/viewjob?jk=e2db59b183d76740", "https://www.indeed.com/viewjob?jk=e2db59b183d76740")</f>
        <v/>
      </c>
      <c r="F257">
        <f>HYPERLINK("https://www.amazon.jobs/jobs/3164664/sr-applied-scientist-aws-proactive-security?cmpid=DA_INAD200785B", "https://www.amazon.jobs/jobs/3164664/sr-applied-scientist-aws-proactive-security?cmpid=DA_INAD200785B")</f>
        <v/>
      </c>
      <c r="G257" t="inlineStr">
        <is>
          <t>Sunnyvale, CA, US</t>
        </is>
      </c>
      <c r="H257" s="2" t="n">
        <v>46030</v>
      </c>
      <c r="I257"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8">
      <c r="A258" t="inlineStr">
        <is>
          <t>in-708899bf175095a7</t>
        </is>
      </c>
      <c r="B258" t="inlineStr">
        <is>
          <t>Sr Applied Scientist, AWS Proactive Security</t>
        </is>
      </c>
      <c r="C258" t="inlineStr">
        <is>
          <t>Amazon.com</t>
        </is>
      </c>
      <c r="D258" t="inlineStr">
        <is>
          <t>indeed</t>
        </is>
      </c>
      <c r="E258">
        <f>HYPERLINK("https://www.indeed.com/viewjob?jk=708899bf175095a7", "https://www.indeed.com/viewjob?jk=708899bf175095a7")</f>
        <v/>
      </c>
      <c r="F258">
        <f>HYPERLINK("https://www.amazon.jobs/jobs/3164664/sr-applied-scientist-aws-proactive-security?cmpid=DA_INAD200785B", "https://www.amazon.jobs/jobs/3164664/sr-applied-scientist-aws-proactive-security?cmpid=DA_INAD200785B")</f>
        <v/>
      </c>
      <c r="G258" t="inlineStr">
        <is>
          <t>Herndon, VA, US</t>
        </is>
      </c>
      <c r="H258" s="2" t="n">
        <v>46030</v>
      </c>
      <c r="I258"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259">
      <c r="A259" t="inlineStr">
        <is>
          <t>in-48ae781dc5165c4c</t>
        </is>
      </c>
      <c r="B259" t="inlineStr">
        <is>
          <t>Applied Scientist, AWS Applied AI Solutions</t>
        </is>
      </c>
      <c r="C259" t="inlineStr">
        <is>
          <t>Amazon Web Services</t>
        </is>
      </c>
      <c r="D259" t="inlineStr">
        <is>
          <t>indeed</t>
        </is>
      </c>
      <c r="E259">
        <f>HYPERLINK("https://www.indeed.com/viewjob?jk=48ae781dc5165c4c", "https://www.indeed.com/viewjob?jk=48ae781dc5165c4c")</f>
        <v/>
      </c>
      <c r="F259">
        <f>HYPERLINK("https://www.amazon.jobs/jobs/3166907/applied-scientist-aws-applied-ai-solutions?cmpid=DA_INAD200785B", "https://www.amazon.jobs/jobs/3166907/applied-scientist-aws-applied-ai-solutions?cmpid=DA_INAD200785B")</f>
        <v/>
      </c>
      <c r="G259" t="inlineStr">
        <is>
          <t>Seattle, WA, US</t>
        </is>
      </c>
      <c r="H259" s="2" t="n">
        <v>46030</v>
      </c>
      <c r="I2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0">
      <c r="A260" t="inlineStr">
        <is>
          <t>in-0243ab4e833207f8</t>
        </is>
      </c>
      <c r="B260" t="inlineStr">
        <is>
          <t>Applied Scientist, AWS Applied AI Solutions</t>
        </is>
      </c>
      <c r="C260" t="inlineStr">
        <is>
          <t>Amazon Web Services</t>
        </is>
      </c>
      <c r="D260" t="inlineStr">
        <is>
          <t>indeed</t>
        </is>
      </c>
      <c r="E260">
        <f>HYPERLINK("https://www.indeed.com/viewjob?jk=0243ab4e833207f8", "https://www.indeed.com/viewjob?jk=0243ab4e833207f8")</f>
        <v/>
      </c>
      <c r="F260">
        <f>HYPERLINK("https://www.amazon.jobs/jobs/3166907/applied-scientist-aws-applied-ai-solutions?cmpid=DA_INAD200785B", "https://www.amazon.jobs/jobs/3166907/applied-scientist-aws-applied-ai-solutions?cmpid=DA_INAD200785B")</f>
        <v/>
      </c>
      <c r="G260" t="inlineStr">
        <is>
          <t>New York, NY, US</t>
        </is>
      </c>
      <c r="H260" s="2" t="n">
        <v>46030</v>
      </c>
      <c r="I26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1">
      <c r="A261" t="inlineStr">
        <is>
          <t>in-a94d3a678f3024cb</t>
        </is>
      </c>
      <c r="B261" t="inlineStr">
        <is>
          <t>Applied Scientist, Last Mile Delivery Automation</t>
        </is>
      </c>
      <c r="C261" t="inlineStr">
        <is>
          <t>Amazon.com</t>
        </is>
      </c>
      <c r="D261" t="inlineStr">
        <is>
          <t>indeed</t>
        </is>
      </c>
      <c r="E261">
        <f>HYPERLINK("https://www.indeed.com/viewjob?jk=a94d3a678f3024cb", "https://www.indeed.com/viewjob?jk=a94d3a678f3024cb")</f>
        <v/>
      </c>
      <c r="F261">
        <f>HYPERLINK("https://www.amazon.jobs/jobs/3155354/applied-scientist-last-mile-delivery-automation?cmpid=DA_INAD200785B", "https://www.amazon.jobs/jobs/3155354/applied-scientist-last-mile-delivery-automation?cmpid=DA_INAD200785B")</f>
        <v/>
      </c>
      <c r="G261" t="inlineStr">
        <is>
          <t>Bellevue, WA, US</t>
        </is>
      </c>
      <c r="H261" s="2" t="n">
        <v>46026</v>
      </c>
      <c r="I26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in-1c30a1bcdf225770</t>
        </is>
      </c>
      <c r="B262" t="inlineStr">
        <is>
          <t>Applied Scientist, Last Mile Delivery Automation</t>
        </is>
      </c>
      <c r="C262" t="inlineStr">
        <is>
          <t>Amazon.com</t>
        </is>
      </c>
      <c r="D262" t="inlineStr">
        <is>
          <t>indeed</t>
        </is>
      </c>
      <c r="E262">
        <f>HYPERLINK("https://www.indeed.com/viewjob?jk=1c30a1bcdf225770", "https://www.indeed.com/viewjob?jk=1c30a1bcdf225770")</f>
        <v/>
      </c>
      <c r="F262">
        <f>HYPERLINK("https://www.amazon.jobs/jobs/3155354/applied-scientist-last-mile-delivery-automation?cmpid=DA_INAD200785B", "https://www.amazon.jobs/jobs/3155354/applied-scientist-last-mile-delivery-automation?cmpid=DA_INAD200785B")</f>
        <v/>
      </c>
      <c r="G262" t="inlineStr">
        <is>
          <t>Santa Clara, CA, US</t>
        </is>
      </c>
      <c r="H262" s="2" t="n">
        <v>46026</v>
      </c>
      <c r="I262"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in-58ae752b4445d524</t>
        </is>
      </c>
      <c r="B263" t="inlineStr">
        <is>
          <t>Senior Applied Scientist, Sponsored Products and Brands, Off-Search</t>
        </is>
      </c>
      <c r="C263" t="inlineStr">
        <is>
          <t>Amazon.com</t>
        </is>
      </c>
      <c r="D263" t="inlineStr">
        <is>
          <t>indeed</t>
        </is>
      </c>
      <c r="E263">
        <f>HYPERLINK("https://www.indeed.com/viewjob?jk=58ae752b4445d524", "https://www.indeed.com/viewjob?jk=58ae752b4445d524")</f>
        <v/>
      </c>
      <c r="F263">
        <f>HYPERLINK("https://www.amazon.jobs/jobs/3153569/senior-applied-scientist-sponsored-products-and-brands-offsearch?cmpid=DA_INAD200785B", "https://www.amazon.jobs/jobs/3153569/senior-applied-scientist-sponsored-products-and-brands-offsearch?cmpid=DA_INAD200785B")</f>
        <v/>
      </c>
      <c r="G263" t="inlineStr">
        <is>
          <t>Seattle, WA, US</t>
        </is>
      </c>
      <c r="H263" s="2" t="n">
        <v>46017</v>
      </c>
      <c r="I263"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in-dd213430188fcfe0</t>
        </is>
      </c>
      <c r="B264" t="inlineStr">
        <is>
          <t>Senior Applied Scientist, Sponsored Products and Brands, Off-Search</t>
        </is>
      </c>
      <c r="C264" t="inlineStr">
        <is>
          <t>Amazon.com</t>
        </is>
      </c>
      <c r="D264" t="inlineStr">
        <is>
          <t>indeed</t>
        </is>
      </c>
      <c r="E264">
        <f>HYPERLINK("https://www.indeed.com/viewjob?jk=dd213430188fcfe0", "https://www.indeed.com/viewjob?jk=dd213430188fcfe0")</f>
        <v/>
      </c>
      <c r="F264">
        <f>HYPERLINK("https://www.amazon.jobs/jobs/3153569/senior-applied-scientist-sponsored-products-and-brands-offsearch?cmpid=DA_INAD200785B", "https://www.amazon.jobs/jobs/3153569/senior-applied-scientist-sponsored-products-and-brands-offsearch?cmpid=DA_INAD200785B")</f>
        <v/>
      </c>
      <c r="G264" t="inlineStr">
        <is>
          <t>New York, NY, US</t>
        </is>
      </c>
      <c r="H264" s="2" t="n">
        <v>46017</v>
      </c>
      <c r="I26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in-c06ebbe847f23fab</t>
        </is>
      </c>
      <c r="B265" t="inlineStr">
        <is>
          <t>Senior Applied Scientist, Sponsored Products and Brands, Off-Search</t>
        </is>
      </c>
      <c r="C265" t="inlineStr">
        <is>
          <t>Amazon.com</t>
        </is>
      </c>
      <c r="D265" t="inlineStr">
        <is>
          <t>indeed</t>
        </is>
      </c>
      <c r="E265">
        <f>HYPERLINK("https://www.indeed.com/viewjob?jk=c06ebbe847f23fab", "https://www.indeed.com/viewjob?jk=c06ebbe847f23fab")</f>
        <v/>
      </c>
      <c r="F265">
        <f>HYPERLINK("https://www.amazon.jobs/jobs/3153569/senior-applied-scientist-sponsored-products-and-brands-offsearch?cmpid=DA_INAD200785B", "https://www.amazon.jobs/jobs/3153569/senior-applied-scientist-sponsored-products-and-brands-offsearch?cmpid=DA_INAD200785B")</f>
        <v/>
      </c>
      <c r="G265" t="inlineStr">
        <is>
          <t>Palo Alto, CA, US</t>
        </is>
      </c>
      <c r="H265" s="2" t="n">
        <v>46017</v>
      </c>
      <c r="I26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in-7371ff9ba37a6f53</t>
        </is>
      </c>
      <c r="B266" t="inlineStr">
        <is>
          <t>Applied Scientist II, Prime Video - Personalization and Discovery Science</t>
        </is>
      </c>
      <c r="C266" t="inlineStr">
        <is>
          <t>Amazon.com</t>
        </is>
      </c>
      <c r="D266" t="inlineStr">
        <is>
          <t>indeed</t>
        </is>
      </c>
      <c r="E266">
        <f>HYPERLINK("https://www.indeed.com/viewjob?jk=7371ff9ba37a6f53", "https://www.indeed.com/viewjob?jk=7371ff9ba37a6f53")</f>
        <v/>
      </c>
      <c r="F266">
        <f>HYPERLINK("https://www.amazon.jobs/jobs/3154128/applied-scientist-ii-prime-video--personalization-and-discovery-science?cmpid=DA_INAD200785B", "https://www.amazon.jobs/jobs/3154128/applied-scientist-ii-prime-video--personalization-and-discovery-science?cmpid=DA_INAD200785B")</f>
        <v/>
      </c>
      <c r="G266" t="inlineStr">
        <is>
          <t>Sunnyvale, CA, US</t>
        </is>
      </c>
      <c r="H266" s="2" t="n">
        <v>46012</v>
      </c>
      <c r="I2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7">
      <c r="A267" t="inlineStr">
        <is>
          <t>in-8da2b4c4c1a84137</t>
        </is>
      </c>
      <c r="B267" t="inlineStr">
        <is>
          <t>Applied Scientist II, Prime Video - Personalization and Discovery Science</t>
        </is>
      </c>
      <c r="C267" t="inlineStr">
        <is>
          <t>Amazon.com</t>
        </is>
      </c>
      <c r="D267" t="inlineStr">
        <is>
          <t>indeed</t>
        </is>
      </c>
      <c r="E267">
        <f>HYPERLINK("https://www.indeed.com/viewjob?jk=8da2b4c4c1a84137", "https://www.indeed.com/viewjob?jk=8da2b4c4c1a84137")</f>
        <v/>
      </c>
      <c r="F267">
        <f>HYPERLINK("https://www.amazon.jobs/jobs/3154128/applied-scientist-ii-prime-video--personalization-and-discovery-science?cmpid=DA_INAD200785B", "https://www.amazon.jobs/jobs/3154128/applied-scientist-ii-prime-video--personalization-and-discovery-science?cmpid=DA_INAD200785B")</f>
        <v/>
      </c>
      <c r="G267" t="inlineStr">
        <is>
          <t>Seattle, WA, US</t>
        </is>
      </c>
      <c r="H267" s="2" t="n">
        <v>46012</v>
      </c>
      <c r="I2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8">
      <c r="A268" t="inlineStr">
        <is>
          <t>in-c8cd64a069204f91</t>
        </is>
      </c>
      <c r="B268" t="inlineStr">
        <is>
          <t>Principal Applied Scientist, Kiro Science</t>
        </is>
      </c>
      <c r="C268" t="inlineStr">
        <is>
          <t>Amazon Web Services</t>
        </is>
      </c>
      <c r="D268" t="inlineStr">
        <is>
          <t>indeed</t>
        </is>
      </c>
      <c r="E268">
        <f>HYPERLINK("https://www.indeed.com/viewjob?jk=c8cd64a069204f91", "https://www.indeed.com/viewjob?jk=c8cd64a069204f91")</f>
        <v/>
      </c>
      <c r="F268">
        <f>HYPERLINK("https://www.amazon.jobs/jobs/3161064/principal-applied-scientist-kiro-science?cmpid=DA_INAD200785B", "https://www.amazon.jobs/jobs/3161064/principal-applied-scientist-kiro-science?cmpid=DA_INAD200785B")</f>
        <v/>
      </c>
      <c r="G268" t="inlineStr">
        <is>
          <t>Santa Clara, CA, US</t>
        </is>
      </c>
      <c r="H268" s="2" t="n">
        <v>45999</v>
      </c>
      <c r="I2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69">
      <c r="A269" t="inlineStr">
        <is>
          <t>in-42eb46fe39803e85</t>
        </is>
      </c>
      <c r="B269" t="inlineStr">
        <is>
          <t>Principal Applied Scientist, Kiro Science</t>
        </is>
      </c>
      <c r="C269" t="inlineStr">
        <is>
          <t>Amazon Web Services</t>
        </is>
      </c>
      <c r="D269" t="inlineStr">
        <is>
          <t>indeed</t>
        </is>
      </c>
      <c r="E269">
        <f>HYPERLINK("https://www.indeed.com/viewjob?jk=42eb46fe39803e85", "https://www.indeed.com/viewjob?jk=42eb46fe39803e85")</f>
        <v/>
      </c>
      <c r="F269">
        <f>HYPERLINK("https://www.amazon.jobs/jobs/3161064/principal-applied-scientist-kiro-science?cmpid=DA_INAD200785B", "https://www.amazon.jobs/jobs/3161064/principal-applied-scientist-kiro-science?cmpid=DA_INAD200785B")</f>
        <v/>
      </c>
      <c r="G269" t="inlineStr">
        <is>
          <t>New York, NY, US</t>
        </is>
      </c>
      <c r="H269" s="2" t="n">
        <v>45999</v>
      </c>
      <c r="I2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70">
      <c r="A270" t="inlineStr">
        <is>
          <t>in-ea48012ff0661fcc</t>
        </is>
      </c>
      <c r="B270" t="inlineStr">
        <is>
          <t>Sr. Applied Scientist, Amazon Ads</t>
        </is>
      </c>
      <c r="C270" t="inlineStr">
        <is>
          <t>Amazon.com</t>
        </is>
      </c>
      <c r="D270" t="inlineStr">
        <is>
          <t>indeed</t>
        </is>
      </c>
      <c r="E270">
        <f>HYPERLINK("https://www.indeed.com/viewjob?jk=ea48012ff0661fcc", "https://www.indeed.com/viewjob?jk=ea48012ff0661fcc")</f>
        <v/>
      </c>
      <c r="F270">
        <f>HYPERLINK("https://www.amazon.jobs/jobs/3139328/sr-applied-scientist-amazon-ads?cmpid=DA_INAD200785B", "https://www.amazon.jobs/jobs/3139328/sr-applied-scientist-amazon-ads?cmpid=DA_INAD200785B")</f>
        <v/>
      </c>
      <c r="G270" t="inlineStr">
        <is>
          <t>Santa Monica, CA, US</t>
        </is>
      </c>
      <c r="H270" s="2" t="n">
        <v>45998</v>
      </c>
      <c r="I2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1">
      <c r="A271" t="inlineStr">
        <is>
          <t>in-6ab33391eaa782bd</t>
        </is>
      </c>
      <c r="B271" t="inlineStr">
        <is>
          <t>Sr. Applied Scientist, Amazon Ads</t>
        </is>
      </c>
      <c r="C271" t="inlineStr">
        <is>
          <t>Amazon.com</t>
        </is>
      </c>
      <c r="D271" t="inlineStr">
        <is>
          <t>indeed</t>
        </is>
      </c>
      <c r="E271">
        <f>HYPERLINK("https://www.indeed.com/viewjob?jk=6ab33391eaa782bd", "https://www.indeed.com/viewjob?jk=6ab33391eaa782bd")</f>
        <v/>
      </c>
      <c r="F271">
        <f>HYPERLINK("https://www.amazon.jobs/jobs/3139328/sr-applied-scientist-amazon-ads?cmpid=DA_INAD200785B", "https://www.amazon.jobs/jobs/3139328/sr-applied-scientist-amazon-ads?cmpid=DA_INAD200785B")</f>
        <v/>
      </c>
      <c r="G271" t="inlineStr">
        <is>
          <t>Brooklyn, NY, US</t>
        </is>
      </c>
      <c r="H271" s="2" t="n">
        <v>45998</v>
      </c>
      <c r="I2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2">
      <c r="A272" t="inlineStr">
        <is>
          <t>in-82a40f25a81836bb</t>
        </is>
      </c>
      <c r="B272" t="inlineStr">
        <is>
          <t>Sr. Applied Scientist, Amazon Ads</t>
        </is>
      </c>
      <c r="C272" t="inlineStr">
        <is>
          <t>Amazon.com</t>
        </is>
      </c>
      <c r="D272" t="inlineStr">
        <is>
          <t>indeed</t>
        </is>
      </c>
      <c r="E272">
        <f>HYPERLINK("https://www.indeed.com/viewjob?jk=82a40f25a81836bb", "https://www.indeed.com/viewjob?jk=82a40f25a81836bb")</f>
        <v/>
      </c>
      <c r="F272">
        <f>HYPERLINK("https://www.amazon.jobs/jobs/3139328/sr-applied-scientist-amazon-ads?cmpid=DA_INAD200785B", "https://www.amazon.jobs/jobs/3139328/sr-applied-scientist-amazon-ads?cmpid=DA_INAD200785B")</f>
        <v/>
      </c>
      <c r="G272" t="inlineStr">
        <is>
          <t>Tukwila, WA, US</t>
        </is>
      </c>
      <c r="H272" s="2" t="n">
        <v>45998</v>
      </c>
      <c r="I2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3">
      <c r="A273" t="inlineStr">
        <is>
          <t>in-afaf14208b705db2</t>
        </is>
      </c>
      <c r="B273" t="inlineStr">
        <is>
          <t>Sr. Applied Scientist, Amazon Ads</t>
        </is>
      </c>
      <c r="C273" t="inlineStr">
        <is>
          <t>Amazon.com</t>
        </is>
      </c>
      <c r="D273" t="inlineStr">
        <is>
          <t>indeed</t>
        </is>
      </c>
      <c r="E273">
        <f>HYPERLINK("https://www.indeed.com/viewjob?jk=afaf14208b705db2", "https://www.indeed.com/viewjob?jk=afaf14208b705db2")</f>
        <v/>
      </c>
      <c r="F273">
        <f>HYPERLINK("https://www.amazon.jobs/jobs/3139328/sr-applied-scientist-amazon-ads?cmpid=DA_INAD200785B", "https://www.amazon.jobs/jobs/3139328/sr-applied-scientist-amazon-ads?cmpid=DA_INAD200785B")</f>
        <v/>
      </c>
      <c r="G273" t="inlineStr">
        <is>
          <t>Palo Alto, CA, US</t>
        </is>
      </c>
      <c r="H273" s="2" t="n">
        <v>45998</v>
      </c>
      <c r="I2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4">
      <c r="A274" t="inlineStr">
        <is>
          <t>in-40ff9c171b567f46</t>
        </is>
      </c>
      <c r="B274" t="inlineStr">
        <is>
          <t>Sr. Applied Scientist, Amazon Ads</t>
        </is>
      </c>
      <c r="C274" t="inlineStr">
        <is>
          <t>Amazon.com</t>
        </is>
      </c>
      <c r="D274" t="inlineStr">
        <is>
          <t>indeed</t>
        </is>
      </c>
      <c r="E274">
        <f>HYPERLINK("https://www.indeed.com/viewjob?jk=40ff9c171b567f46", "https://www.indeed.com/viewjob?jk=40ff9c171b567f46")</f>
        <v/>
      </c>
      <c r="F274">
        <f>HYPERLINK("https://www.amazon.jobs/jobs/3139328/sr-applied-scientist-amazon-ads?cmpid=DA_INAD200785B", "https://www.amazon.jobs/jobs/3139328/sr-applied-scientist-amazon-ads?cmpid=DA_INAD200785B")</f>
        <v/>
      </c>
      <c r="G274" t="inlineStr">
        <is>
          <t>Seattle, WA, US</t>
        </is>
      </c>
      <c r="H274" s="2" t="n">
        <v>45998</v>
      </c>
      <c r="I2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5">
      <c r="A275" t="inlineStr">
        <is>
          <t>in-66b9c4fad22e6129</t>
        </is>
      </c>
      <c r="B275" t="inlineStr">
        <is>
          <t>Sr. Applied Scientist, Amazon Ads</t>
        </is>
      </c>
      <c r="C275" t="inlineStr">
        <is>
          <t>Amazon.com</t>
        </is>
      </c>
      <c r="D275" t="inlineStr">
        <is>
          <t>indeed</t>
        </is>
      </c>
      <c r="E275">
        <f>HYPERLINK("https://www.indeed.com/viewjob?jk=66b9c4fad22e6129", "https://www.indeed.com/viewjob?jk=66b9c4fad22e6129")</f>
        <v/>
      </c>
      <c r="F275">
        <f>HYPERLINK("https://www.amazon.jobs/jobs/3139328/sr-applied-scientist-amazon-ads?cmpid=DA_INAD200785B", "https://www.amazon.jobs/jobs/3139328/sr-applied-scientist-amazon-ads?cmpid=DA_INAD200785B")</f>
        <v/>
      </c>
      <c r="G275" t="inlineStr">
        <is>
          <t>New York, NY, US</t>
        </is>
      </c>
      <c r="H275" s="2" t="n">
        <v>45998</v>
      </c>
      <c r="I2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6">
      <c r="A276" t="inlineStr">
        <is>
          <t>in-473aaa7181d97c5f</t>
        </is>
      </c>
      <c r="B276" t="inlineStr">
        <is>
          <t>Sr. Applied Scientist, Amazon Ads</t>
        </is>
      </c>
      <c r="C276" t="inlineStr">
        <is>
          <t>Amazon.com</t>
        </is>
      </c>
      <c r="D276" t="inlineStr">
        <is>
          <t>indeed</t>
        </is>
      </c>
      <c r="E276">
        <f>HYPERLINK("https://www.indeed.com/viewjob?jk=473aaa7181d97c5f", "https://www.indeed.com/viewjob?jk=473aaa7181d97c5f")</f>
        <v/>
      </c>
      <c r="F276">
        <f>HYPERLINK("https://www.amazon.jobs/jobs/3139328/sr-applied-scientist-amazon-ads?cmpid=DA_INAD200785B", "https://www.amazon.jobs/jobs/3139328/sr-applied-scientist-amazon-ads?cmpid=DA_INAD200785B")</f>
        <v/>
      </c>
      <c r="G276" t="inlineStr">
        <is>
          <t>Sunnyvale, CA, US</t>
        </is>
      </c>
      <c r="H276" s="2" t="n">
        <v>45998</v>
      </c>
      <c r="I2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7">
      <c r="A277" t="inlineStr">
        <is>
          <t>in-23aadee309827cd3</t>
        </is>
      </c>
      <c r="B277" t="inlineStr">
        <is>
          <t>Sr. Applied Scientist, Amazon Ads</t>
        </is>
      </c>
      <c r="C277" t="inlineStr">
        <is>
          <t>Amazon.com</t>
        </is>
      </c>
      <c r="D277" t="inlineStr">
        <is>
          <t>indeed</t>
        </is>
      </c>
      <c r="E277">
        <f>HYPERLINK("https://www.indeed.com/viewjob?jk=23aadee309827cd3", "https://www.indeed.com/viewjob?jk=23aadee309827cd3")</f>
        <v/>
      </c>
      <c r="F277">
        <f>HYPERLINK("https://www.amazon.jobs/jobs/3139328/sr-applied-scientist-amazon-ads?cmpid=DA_INAD200785B", "https://www.amazon.jobs/jobs/3139328/sr-applied-scientist-amazon-ads?cmpid=DA_INAD200785B")</f>
        <v/>
      </c>
      <c r="G277" t="inlineStr">
        <is>
          <t>Boston, MA, US</t>
        </is>
      </c>
      <c r="H277" s="2" t="n">
        <v>45998</v>
      </c>
      <c r="I2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8">
      <c r="A278" t="inlineStr">
        <is>
          <t>in-94b9d1c92266a3ae</t>
        </is>
      </c>
      <c r="B278" t="inlineStr">
        <is>
          <t>Sr. Applied Scientist, Amazon Ads</t>
        </is>
      </c>
      <c r="C278" t="inlineStr">
        <is>
          <t>Amazon.com</t>
        </is>
      </c>
      <c r="D278" t="inlineStr">
        <is>
          <t>indeed</t>
        </is>
      </c>
      <c r="E278">
        <f>HYPERLINK("https://www.indeed.com/viewjob?jk=94b9d1c92266a3ae", "https://www.indeed.com/viewjob?jk=94b9d1c92266a3ae")</f>
        <v/>
      </c>
      <c r="F278">
        <f>HYPERLINK("https://www.amazon.jobs/jobs/3139328/sr-applied-scientist-amazon-ads?cmpid=DA_INAD200785B", "https://www.amazon.jobs/jobs/3139328/sr-applied-scientist-amazon-ads?cmpid=DA_INAD200785B")</f>
        <v/>
      </c>
      <c r="G278" t="inlineStr">
        <is>
          <t>Corvallis, OR, US</t>
        </is>
      </c>
      <c r="H278" s="2" t="n">
        <v>45998</v>
      </c>
      <c r="I27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9">
      <c r="A279" t="inlineStr">
        <is>
          <t>in-f34d2b10c61e1f32</t>
        </is>
      </c>
      <c r="B279" t="inlineStr">
        <is>
          <t>Sr. Applied Scientist, Amazon Ads</t>
        </is>
      </c>
      <c r="C279" t="inlineStr">
        <is>
          <t>Amazon.com</t>
        </is>
      </c>
      <c r="D279" t="inlineStr">
        <is>
          <t>indeed</t>
        </is>
      </c>
      <c r="E279">
        <f>HYPERLINK("https://www.indeed.com/viewjob?jk=f34d2b10c61e1f32", "https://www.indeed.com/viewjob?jk=f34d2b10c61e1f32")</f>
        <v/>
      </c>
      <c r="F279">
        <f>HYPERLINK("https://www.amazon.jobs/jobs/3139328/sr-applied-scientist-amazon-ads?cmpid=DA_INAD200785B", "https://www.amazon.jobs/jobs/3139328/sr-applied-scientist-amazon-ads?cmpid=DA_INAD200785B")</f>
        <v/>
      </c>
      <c r="G279" t="inlineStr">
        <is>
          <t>Boulder, CO, US</t>
        </is>
      </c>
      <c r="H279" s="2" t="n">
        <v>45998</v>
      </c>
      <c r="I27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0">
      <c r="A280" t="inlineStr">
        <is>
          <t>in-f27e58d7183ae943</t>
        </is>
      </c>
      <c r="B280" t="inlineStr">
        <is>
          <t>Principal Applied Scientist, Sponsored Products and Brands</t>
        </is>
      </c>
      <c r="C280" t="inlineStr">
        <is>
          <t>Amazon.com</t>
        </is>
      </c>
      <c r="D280" t="inlineStr">
        <is>
          <t>indeed</t>
        </is>
      </c>
      <c r="E280">
        <f>HYPERLINK("https://www.indeed.com/viewjob?jk=f27e58d7183ae943", "https://www.indeed.com/viewjob?jk=f27e58d7183ae943")</f>
        <v/>
      </c>
      <c r="F280">
        <f>HYPERLINK("https://www.amazon.jobs/jobs/3130855/principal-applied-scientist-sponsored-products-and-brands?cmpid=DA_INAD200785B", "https://www.amazon.jobs/jobs/3130855/principal-applied-scientist-sponsored-products-and-brands?cmpid=DA_INAD200785B")</f>
        <v/>
      </c>
      <c r="G280" t="inlineStr">
        <is>
          <t>Seattle, WA, US</t>
        </is>
      </c>
      <c r="H280" s="2" t="n">
        <v>45979</v>
      </c>
      <c r="I2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in-c2d26ccf7cc97b96</t>
        </is>
      </c>
      <c r="B281" t="inlineStr">
        <is>
          <t>Principal Applied Scientist, Sponsored Products and Brands</t>
        </is>
      </c>
      <c r="C281" t="inlineStr">
        <is>
          <t>Amazon.com</t>
        </is>
      </c>
      <c r="D281" t="inlineStr">
        <is>
          <t>indeed</t>
        </is>
      </c>
      <c r="E281">
        <f>HYPERLINK("https://www.indeed.com/viewjob?jk=c2d26ccf7cc97b96", "https://www.indeed.com/viewjob?jk=c2d26ccf7cc97b96")</f>
        <v/>
      </c>
      <c r="F281">
        <f>HYPERLINK("https://www.amazon.jobs/jobs/3130855/principal-applied-scientist-sponsored-products-and-brands?cmpid=DA_INAD200785B", "https://www.amazon.jobs/jobs/3130855/principal-applied-scientist-sponsored-products-and-brands?cmpid=DA_INAD200785B")</f>
        <v/>
      </c>
      <c r="G281" t="inlineStr">
        <is>
          <t>New York, NY, US</t>
        </is>
      </c>
      <c r="H281" s="2" t="n">
        <v>45979</v>
      </c>
      <c r="I28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in-1f7ac0a44440afa7</t>
        </is>
      </c>
      <c r="B282" t="inlineStr">
        <is>
          <t>Applied Scientist, Personalization, DTx Science</t>
        </is>
      </c>
      <c r="C282" t="inlineStr">
        <is>
          <t>Amazon.com</t>
        </is>
      </c>
      <c r="D282" t="inlineStr">
        <is>
          <t>indeed</t>
        </is>
      </c>
      <c r="E282">
        <f>HYPERLINK("https://www.indeed.com/viewjob?jk=1f7ac0a44440afa7", "https://www.indeed.com/viewjob?jk=1f7ac0a44440afa7")</f>
        <v/>
      </c>
      <c r="F282">
        <f>HYPERLINK("https://www.amazon.jobs/jobs/3136853/applied-scientist-personalization-dtx-science?cmpid=DA_INAD200785B", "https://www.amazon.jobs/jobs/3136853/applied-scientist-personalization-dtx-science?cmpid=DA_INAD200785B")</f>
        <v/>
      </c>
      <c r="G282" t="inlineStr">
        <is>
          <t>New York, NY, US</t>
        </is>
      </c>
      <c r="H282" s="2" t="n">
        <v>45979</v>
      </c>
      <c r="I28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3">
      <c r="A283" t="inlineStr">
        <is>
          <t>in-c694f53b94b5eef4</t>
        </is>
      </c>
      <c r="B283" t="inlineStr">
        <is>
          <t>Applied Scientist, Personalization, DTx Science</t>
        </is>
      </c>
      <c r="C283" t="inlineStr">
        <is>
          <t>Amazon.com</t>
        </is>
      </c>
      <c r="D283" t="inlineStr">
        <is>
          <t>indeed</t>
        </is>
      </c>
      <c r="E283">
        <f>HYPERLINK("https://www.indeed.com/viewjob?jk=c694f53b94b5eef4", "https://www.indeed.com/viewjob?jk=c694f53b94b5eef4")</f>
        <v/>
      </c>
      <c r="F283">
        <f>HYPERLINK("https://www.amazon.jobs/jobs/3136853/applied-scientist-personalization-dtx-science?cmpid=DA_INAD200785B", "https://www.amazon.jobs/jobs/3136853/applied-scientist-personalization-dtx-science?cmpid=DA_INAD200785B")</f>
        <v/>
      </c>
      <c r="G283" t="inlineStr">
        <is>
          <t>Seattle, WA, US</t>
        </is>
      </c>
      <c r="H283" s="2" t="n">
        <v>45979</v>
      </c>
      <c r="I28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84">
      <c r="A284" t="inlineStr">
        <is>
          <t>in-76d94e6c833317f2</t>
        </is>
      </c>
      <c r="B284" t="inlineStr">
        <is>
          <t>Senior Applied Scientist, Sponsored Products and Brands</t>
        </is>
      </c>
      <c r="C284" t="inlineStr">
        <is>
          <t>Amazon.com</t>
        </is>
      </c>
      <c r="D284" t="inlineStr">
        <is>
          <t>indeed</t>
        </is>
      </c>
      <c r="E284">
        <f>HYPERLINK("https://www.indeed.com/viewjob?jk=76d94e6c833317f2", "https://www.indeed.com/viewjob?jk=76d94e6c833317f2")</f>
        <v/>
      </c>
      <c r="F284">
        <f>HYPERLINK("https://www.amazon.jobs/jobs/3130062/senior-applied-scientist-sponsored-products-and-brands?cmpid=DA_INAD200785B", "https://www.amazon.jobs/jobs/3130062/senior-applied-scientist-sponsored-products-and-brands?cmpid=DA_INAD200785B")</f>
        <v/>
      </c>
      <c r="G284" t="inlineStr">
        <is>
          <t>Seattle, WA, US</t>
        </is>
      </c>
      <c r="H284" s="2" t="n">
        <v>45979</v>
      </c>
      <c r="I2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85">
      <c r="A285" t="inlineStr">
        <is>
          <t>in-f370b611924fe029</t>
        </is>
      </c>
      <c r="B285" t="inlineStr">
        <is>
          <t>Senior Applied Scientist, Sponsored Products and Brands</t>
        </is>
      </c>
      <c r="C285" t="inlineStr">
        <is>
          <t>Amazon.com</t>
        </is>
      </c>
      <c r="D285" t="inlineStr">
        <is>
          <t>indeed</t>
        </is>
      </c>
      <c r="E285">
        <f>HYPERLINK("https://www.indeed.com/viewjob?jk=f370b611924fe029", "https://www.indeed.com/viewjob?jk=f370b611924fe029")</f>
        <v/>
      </c>
      <c r="F285">
        <f>HYPERLINK("https://www.amazon.jobs/jobs/3130062/senior-applied-scientist-sponsored-products-and-brands?cmpid=DA_INAD200785B", "https://www.amazon.jobs/jobs/3130062/senior-applied-scientist-sponsored-products-and-brands?cmpid=DA_INAD200785B")</f>
        <v/>
      </c>
      <c r="G285" t="inlineStr">
        <is>
          <t>New York, NY, US</t>
        </is>
      </c>
      <c r="H285" s="2" t="n">
        <v>45979</v>
      </c>
      <c r="I28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86">
      <c r="A286" t="inlineStr">
        <is>
          <t>in-b297bab439eb3cd7</t>
        </is>
      </c>
      <c r="B286" t="inlineStr">
        <is>
          <t>Applied Scientist II, Prime Video Personalization and Discovery Science</t>
        </is>
      </c>
      <c r="C286" t="inlineStr">
        <is>
          <t>Amazon.com</t>
        </is>
      </c>
      <c r="D286" t="inlineStr">
        <is>
          <t>indeed</t>
        </is>
      </c>
      <c r="E286">
        <f>HYPERLINK("https://www.indeed.com/viewjob?jk=b297bab439eb3cd7", "https://www.indeed.com/viewjob?jk=b297bab439eb3cd7")</f>
        <v/>
      </c>
      <c r="F286">
        <f>HYPERLINK("https://www.amazon.jobs/jobs/3129475/applied-scientist-ii-prime-video-personalization-and-discovery-science?cmpid=DA_INAD200785B", "https://www.amazon.jobs/jobs/3129475/applied-scientist-ii-prime-video-personalization-and-discovery-science?cmpid=DA_INAD200785B")</f>
        <v/>
      </c>
      <c r="G286" t="inlineStr">
        <is>
          <t>Seattle, WA, US</t>
        </is>
      </c>
      <c r="H286" s="2" t="n">
        <v>45978</v>
      </c>
      <c r="I2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87">
      <c r="A287" t="inlineStr">
        <is>
          <t>in-eac785a615ed6729</t>
        </is>
      </c>
      <c r="B287" t="inlineStr">
        <is>
          <t>Applied Scientist II, Prime Video Personalization and Discovery Science</t>
        </is>
      </c>
      <c r="C287" t="inlineStr">
        <is>
          <t>Amazon.com</t>
        </is>
      </c>
      <c r="D287" t="inlineStr">
        <is>
          <t>indeed</t>
        </is>
      </c>
      <c r="E287">
        <f>HYPERLINK("https://www.indeed.com/viewjob?jk=eac785a615ed6729", "https://www.indeed.com/viewjob?jk=eac785a615ed6729")</f>
        <v/>
      </c>
      <c r="F287">
        <f>HYPERLINK("https://www.amazon.jobs/jobs/3129475/applied-scientist-ii-prime-video-personalization-and-discovery-science?cmpid=DA_INAD200785B", "https://www.amazon.jobs/jobs/3129475/applied-scientist-ii-prime-video-personalization-and-discovery-science?cmpid=DA_INAD200785B")</f>
        <v/>
      </c>
      <c r="G287" t="inlineStr">
        <is>
          <t>New York, NY, US</t>
        </is>
      </c>
      <c r="H287" s="2" t="n">
        <v>45978</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88">
      <c r="A288" t="inlineStr">
        <is>
          <t>in-8e2859c7a461a13b</t>
        </is>
      </c>
      <c r="B288" t="inlineStr">
        <is>
          <t>Applied Scientist II, Prime Video Personalization and Discovery Science</t>
        </is>
      </c>
      <c r="C288" t="inlineStr">
        <is>
          <t>Amazon.com</t>
        </is>
      </c>
      <c r="D288" t="inlineStr">
        <is>
          <t>indeed</t>
        </is>
      </c>
      <c r="E288">
        <f>HYPERLINK("https://www.indeed.com/viewjob?jk=8e2859c7a461a13b", "https://www.indeed.com/viewjob?jk=8e2859c7a461a13b")</f>
        <v/>
      </c>
      <c r="F288">
        <f>HYPERLINK("https://www.amazon.jobs/jobs/3129475/applied-scientist-ii-prime-video-personalization-and-discovery-science?cmpid=DA_INAD200785B", "https://www.amazon.jobs/jobs/3129475/applied-scientist-ii-prime-video-personalization-and-discovery-science?cmpid=DA_INAD200785B")</f>
        <v/>
      </c>
      <c r="G288" t="inlineStr">
        <is>
          <t>Sunnyvale, CA, US</t>
        </is>
      </c>
      <c r="H288" s="2" t="n">
        <v>45978</v>
      </c>
      <c r="I2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89">
      <c r="A289" t="inlineStr">
        <is>
          <t>in-0cca88e0b2d9d977</t>
        </is>
      </c>
      <c r="B289" t="inlineStr">
        <is>
          <t>Sr. Applied Scientist, Sponsored Products</t>
        </is>
      </c>
      <c r="C289" t="inlineStr">
        <is>
          <t>Amazon.com</t>
        </is>
      </c>
      <c r="D289" t="inlineStr">
        <is>
          <t>indeed</t>
        </is>
      </c>
      <c r="E289">
        <f>HYPERLINK("https://www.indeed.com/viewjob?jk=0cca88e0b2d9d977", "https://www.indeed.com/viewjob?jk=0cca88e0b2d9d977")</f>
        <v/>
      </c>
      <c r="F289">
        <f>HYPERLINK("https://www.amazon.jobs/jobs/3136156/sr-applied-scientist-sponsored-products?cmpid=DA_INAD200785B", "https://www.amazon.jobs/jobs/3136156/sr-applied-scientist-sponsored-products?cmpid=DA_INAD200785B")</f>
        <v/>
      </c>
      <c r="G289" t="inlineStr">
        <is>
          <t>New York, NY, US</t>
        </is>
      </c>
      <c r="H289" s="2" t="n">
        <v>45976</v>
      </c>
      <c r="I2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0">
      <c r="A290" t="inlineStr">
        <is>
          <t>in-85e61298a0133c2e</t>
        </is>
      </c>
      <c r="B290" t="inlineStr">
        <is>
          <t>Sr. Applied Scientist, Sponsored Products</t>
        </is>
      </c>
      <c r="C290" t="inlineStr">
        <is>
          <t>Amazon.com</t>
        </is>
      </c>
      <c r="D290" t="inlineStr">
        <is>
          <t>indeed</t>
        </is>
      </c>
      <c r="E290">
        <f>HYPERLINK("https://www.indeed.com/viewjob?jk=85e61298a0133c2e", "https://www.indeed.com/viewjob?jk=85e61298a0133c2e")</f>
        <v/>
      </c>
      <c r="F290">
        <f>HYPERLINK("https://www.amazon.jobs/jobs/3136156/sr-applied-scientist-sponsored-products?cmpid=DA_INAD200785B", "https://www.amazon.jobs/jobs/3136156/sr-applied-scientist-sponsored-products?cmpid=DA_INAD200785B")</f>
        <v/>
      </c>
      <c r="G290" t="inlineStr">
        <is>
          <t>Arlington, VA, US</t>
        </is>
      </c>
      <c r="H290" s="2" t="n">
        <v>45976</v>
      </c>
      <c r="I2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1">
      <c r="A291" t="inlineStr">
        <is>
          <t>in-c41965b80bf9bcdb</t>
        </is>
      </c>
      <c r="B291" t="inlineStr">
        <is>
          <t>Sr. Applied Scientist, Sponsored Products</t>
        </is>
      </c>
      <c r="C291" t="inlineStr">
        <is>
          <t>Amazon.com</t>
        </is>
      </c>
      <c r="D291" t="inlineStr">
        <is>
          <t>indeed</t>
        </is>
      </c>
      <c r="E291">
        <f>HYPERLINK("https://www.indeed.com/viewjob?jk=c41965b80bf9bcdb", "https://www.indeed.com/viewjob?jk=c41965b80bf9bcdb")</f>
        <v/>
      </c>
      <c r="F291">
        <f>HYPERLINK("https://www.amazon.jobs/jobs/3136156/sr-applied-scientist-sponsored-products?cmpid=DA_INAD200785B", "https://www.amazon.jobs/jobs/3136156/sr-applied-scientist-sponsored-products?cmpid=DA_INAD200785B")</f>
        <v/>
      </c>
      <c r="G291" t="inlineStr">
        <is>
          <t>Seattle, WA, US</t>
        </is>
      </c>
      <c r="H291" s="2" t="n">
        <v>45976</v>
      </c>
      <c r="I2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92">
      <c r="A292" t="inlineStr">
        <is>
          <t>in-2281d9d6cbbc5c5e</t>
        </is>
      </c>
      <c r="B292" t="inlineStr">
        <is>
          <t>Applied Scientist, AWS Agentic AI</t>
        </is>
      </c>
      <c r="C292" t="inlineStr">
        <is>
          <t>Amazon Web Services</t>
        </is>
      </c>
      <c r="D292" t="inlineStr">
        <is>
          <t>indeed</t>
        </is>
      </c>
      <c r="E292">
        <f>HYPERLINK("https://www.indeed.com/viewjob?jk=2281d9d6cbbc5c5e", "https://www.indeed.com/viewjob?jk=2281d9d6cbbc5c5e")</f>
        <v/>
      </c>
      <c r="F292">
        <f>HYPERLINK("https://www.amazon.jobs/jobs/3141517/applied-scientist-aws-agentic-ai-?cmpid=DA_INAD200785B", "https://www.amazon.jobs/jobs/3141517/applied-scientist-aws-agentic-ai-?cmpid=DA_INAD200785B")</f>
        <v/>
      </c>
      <c r="G292" t="inlineStr">
        <is>
          <t>Seattle, WA, US</t>
        </is>
      </c>
      <c r="H292" s="2" t="n">
        <v>45962</v>
      </c>
      <c r="I2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in-5242c2dd126fbf96</t>
        </is>
      </c>
      <c r="B293" t="inlineStr">
        <is>
          <t>Applied Scientist, AWS Agentic AI</t>
        </is>
      </c>
      <c r="C293" t="inlineStr">
        <is>
          <t>Amazon Web Services</t>
        </is>
      </c>
      <c r="D293" t="inlineStr">
        <is>
          <t>indeed</t>
        </is>
      </c>
      <c r="E293">
        <f>HYPERLINK("https://www.indeed.com/viewjob?jk=5242c2dd126fbf96", "https://www.indeed.com/viewjob?jk=5242c2dd126fbf96")</f>
        <v/>
      </c>
      <c r="F293">
        <f>HYPERLINK("https://www.amazon.jobs/jobs/3141517/applied-scientist-aws-agentic-ai-?cmpid=DA_INAD200785B", "https://www.amazon.jobs/jobs/3141517/applied-scientist-aws-agentic-ai-?cmpid=DA_INAD200785B")</f>
        <v/>
      </c>
      <c r="G293" t="inlineStr">
        <is>
          <t>Santa Clara, CA, US</t>
        </is>
      </c>
      <c r="H293" s="2" t="n">
        <v>45962</v>
      </c>
      <c r="I2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in-68517b1c2a68584a</t>
        </is>
      </c>
      <c r="B294" t="inlineStr">
        <is>
          <t>Applied Scientist, AWS Agentic AI</t>
        </is>
      </c>
      <c r="C294" t="inlineStr">
        <is>
          <t>Amazon Web Services</t>
        </is>
      </c>
      <c r="D294" t="inlineStr">
        <is>
          <t>indeed</t>
        </is>
      </c>
      <c r="E294">
        <f>HYPERLINK("https://www.indeed.com/viewjob?jk=68517b1c2a68584a", "https://www.indeed.com/viewjob?jk=68517b1c2a68584a")</f>
        <v/>
      </c>
      <c r="F294">
        <f>HYPERLINK("https://www.amazon.jobs/jobs/3141517/applied-scientist-aws-agentic-ai-?cmpid=DA_INAD200785B", "https://www.amazon.jobs/jobs/3141517/applied-scientist-aws-agentic-ai-?cmpid=DA_INAD200785B")</f>
        <v/>
      </c>
      <c r="G294" t="inlineStr">
        <is>
          <t>New York, NY, US</t>
        </is>
      </c>
      <c r="H294" s="2" t="n">
        <v>45962</v>
      </c>
      <c r="I2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in-ab509255a98f72b9</t>
        </is>
      </c>
      <c r="B295" t="inlineStr">
        <is>
          <t>Applied Scientist, AI Automation, Prime Video</t>
        </is>
      </c>
      <c r="C295" t="inlineStr">
        <is>
          <t>Amazon.com</t>
        </is>
      </c>
      <c r="D295" t="inlineStr">
        <is>
          <t>indeed</t>
        </is>
      </c>
      <c r="E295">
        <f>HYPERLINK("https://www.indeed.com/viewjob?jk=ab509255a98f72b9", "https://www.indeed.com/viewjob?jk=ab509255a98f72b9")</f>
        <v/>
      </c>
      <c r="F295">
        <f>HYPERLINK("https://www.amazon.jobs/jobs/3119822/applied-scientist-ai-automation-prime-video?cmpid=DA_INAD200785B", "https://www.amazon.jobs/jobs/3119822/applied-scientist-ai-automation-prime-video?cmpid=DA_INAD200785B")</f>
        <v/>
      </c>
      <c r="G295" t="inlineStr">
        <is>
          <t>Culver City, CA, US</t>
        </is>
      </c>
      <c r="H295" s="2" t="n">
        <v>45949</v>
      </c>
      <c r="I2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in-3a2ec43483192658</t>
        </is>
      </c>
      <c r="B296" t="inlineStr">
        <is>
          <t>Applied Scientist, AI Automation, Prime Video</t>
        </is>
      </c>
      <c r="C296" t="inlineStr">
        <is>
          <t>Amazon.com</t>
        </is>
      </c>
      <c r="D296" t="inlineStr">
        <is>
          <t>indeed</t>
        </is>
      </c>
      <c r="E296">
        <f>HYPERLINK("https://www.indeed.com/viewjob?jk=3a2ec43483192658", "https://www.indeed.com/viewjob?jk=3a2ec43483192658")</f>
        <v/>
      </c>
      <c r="F296">
        <f>HYPERLINK("https://www.amazon.jobs/jobs/3119822/applied-scientist-ai-automation-prime-video?cmpid=DA_INAD200785B", "https://www.amazon.jobs/jobs/3119822/applied-scientist-ai-automation-prime-video?cmpid=DA_INAD200785B")</f>
        <v/>
      </c>
      <c r="G296" t="inlineStr">
        <is>
          <t>Seattle, WA, US</t>
        </is>
      </c>
      <c r="H296" s="2" t="n">
        <v>45949</v>
      </c>
      <c r="I2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forming a new organization within Prime Video to redefine our operational landscape through the power of artificial intelligence. As a Applied Scientist within this initiative, you will be a technical leader helping to design and build the intelligent systems that power our vision. You will tackle complex and ambiguous problems, designing and delivering scalable and resilient agentic AI and ML solutions from the ground up. You will not only write high\-quality, maintainable software and models, but also mentor other scientists, influence our technical strategy, and drive engineering best practices across the team. Your work will directly contribute to making Prime Video's operations more efficient and will set the technical foundation for years to come.  
Key job responsibilities  
* Lead the design and architecture of highly scalable, available, and resilient services for our AI automation platform.
* Write high\-quality, maintainable, and robust code to solve complex business problems, building flexible systems without over\-engineering.
* Act as a technical leader and mentor for other engineers on the team, assisting with career growth and encouraging excellence.
* Work through ambiguous requirements, cut through complexity, and translate business needs into scalable technical solutions.
* Take ownership of the full software development lifecycle, including design, testing, deployment, and operations.
* Work closely with product managers, scientists, and other engineers to build and launch new features and systems.
About the team  
This role offers a unique opportunity to shape the future of one of Amazon's most exciting businesses through the application of AI technologies. If you're passionate about leveraging AI to drive real\-world impact at massive scale, we want to hear from you.**BASIC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in-42782fe204cab49d</t>
        </is>
      </c>
      <c r="B297" t="inlineStr">
        <is>
          <t>Principal Applied Scientist, Advertiser Growth, Amazon Sponsored Products &amp; Brands</t>
        </is>
      </c>
      <c r="C297" t="inlineStr">
        <is>
          <t>Amazon.com</t>
        </is>
      </c>
      <c r="D297" t="inlineStr">
        <is>
          <t>indeed</t>
        </is>
      </c>
      <c r="E297">
        <f>HYPERLINK("https://www.indeed.com/viewjob?jk=42782fe204cab49d", "https://www.indeed.com/viewjob?jk=42782fe204cab49d")</f>
        <v/>
      </c>
      <c r="F297">
        <f>HYPERLINK("https://www.amazon.jobs/jobs/3115279/principal-applied-scientist-advertiser-growth-amazon-sponsored-products--brands?cmpid=DA_INAD200785B", "https://www.amazon.jobs/jobs/3115279/principal-applied-scientist-advertiser-growth-amazon-sponsored-products--brands?cmpid=DA_INAD200785B")</f>
        <v/>
      </c>
      <c r="G297" t="inlineStr">
        <is>
          <t>Seattle, WA, US</t>
        </is>
      </c>
      <c r="H297" s="2" t="n">
        <v>45942</v>
      </c>
      <c r="I2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in-f456930f25a3ea73</t>
        </is>
      </c>
      <c r="B298" t="inlineStr">
        <is>
          <t>Principal Applied Scientist, Advertiser Growth, Amazon Sponsored Products &amp; Brands</t>
        </is>
      </c>
      <c r="C298" t="inlineStr">
        <is>
          <t>Amazon.com</t>
        </is>
      </c>
      <c r="D298" t="inlineStr">
        <is>
          <t>indeed</t>
        </is>
      </c>
      <c r="E298">
        <f>HYPERLINK("https://www.indeed.com/viewjob?jk=f456930f25a3ea73", "https://www.indeed.com/viewjob?jk=f456930f25a3ea73")</f>
        <v/>
      </c>
      <c r="F298">
        <f>HYPERLINK("https://www.amazon.jobs/jobs/3115279/principal-applied-scientist-advertiser-growth-amazon-sponsored-products--brands?cmpid=DA_INAD200785B", "https://www.amazon.jobs/jobs/3115279/principal-applied-scientist-advertiser-growth-amazon-sponsored-products--brands?cmpid=DA_INAD200785B")</f>
        <v/>
      </c>
      <c r="G298" t="inlineStr">
        <is>
          <t>New York, NY, US</t>
        </is>
      </c>
      <c r="H298" s="2" t="n">
        <v>45942</v>
      </c>
      <c r="I2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in-3ef482b55250cbb2</t>
        </is>
      </c>
      <c r="B299" t="inlineStr">
        <is>
          <t>Principal Applied Scientist, Advertiser Growth, Amazon Sponsored Products &amp; Brands</t>
        </is>
      </c>
      <c r="C299" t="inlineStr">
        <is>
          <t>Amazon.com</t>
        </is>
      </c>
      <c r="D299" t="inlineStr">
        <is>
          <t>indeed</t>
        </is>
      </c>
      <c r="E299">
        <f>HYPERLINK("https://www.indeed.com/viewjob?jk=3ef482b55250cbb2", "https://www.indeed.com/viewjob?jk=3ef482b55250cbb2")</f>
        <v/>
      </c>
      <c r="F299">
        <f>HYPERLINK("https://www.amazon.jobs/jobs/3115279/principal-applied-scientist-advertiser-growth-amazon-sponsored-products--brands?cmpid=DA_INAD200785B", "https://www.amazon.jobs/jobs/3115279/principal-applied-scientist-advertiser-growth-amazon-sponsored-products--brands?cmpid=DA_INAD200785B")</f>
        <v/>
      </c>
      <c r="G299" t="inlineStr">
        <is>
          <t>Palo Alto, CA, US</t>
        </is>
      </c>
      <c r="H299" s="2" t="n">
        <v>45942</v>
      </c>
      <c r="I29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in-5061aff43c8788a8</t>
        </is>
      </c>
      <c r="B300" t="inlineStr">
        <is>
          <t>Applied Scientist</t>
        </is>
      </c>
      <c r="C300" t="inlineStr">
        <is>
          <t>Amazon.com</t>
        </is>
      </c>
      <c r="D300" t="inlineStr">
        <is>
          <t>indeed</t>
        </is>
      </c>
      <c r="E300">
        <f>HYPERLINK("https://www.indeed.com/viewjob?jk=5061aff43c8788a8", "https://www.indeed.com/viewjob?jk=5061aff43c8788a8")</f>
        <v/>
      </c>
      <c r="F300">
        <f>HYPERLINK("https://www.amazon.jobs/jobs/3106501/applied-scientist?cmpid=DA_INAD200785B", "https://www.amazon.jobs/jobs/3106501/applied-scientist?cmpid=DA_INAD200785B")</f>
        <v/>
      </c>
      <c r="G300" t="inlineStr">
        <is>
          <t>Seattle, WA, US</t>
        </is>
      </c>
      <c r="H300" s="2" t="n">
        <v>45939</v>
      </c>
      <c r="I30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in-44a3b8e7a7911f28</t>
        </is>
      </c>
      <c r="B301" t="inlineStr">
        <is>
          <t>Applied Scientist</t>
        </is>
      </c>
      <c r="C301" t="inlineStr">
        <is>
          <t>Amazon.com</t>
        </is>
      </c>
      <c r="D301" t="inlineStr">
        <is>
          <t>indeed</t>
        </is>
      </c>
      <c r="E301">
        <f>HYPERLINK("https://www.indeed.com/viewjob?jk=44a3b8e7a7911f28", "https://www.indeed.com/viewjob?jk=44a3b8e7a7911f28")</f>
        <v/>
      </c>
      <c r="F301">
        <f>HYPERLINK("https://www.amazon.jobs/jobs/3106501/applied-scientist?cmpid=DA_INAD200785B", "https://www.amazon.jobs/jobs/3106501/applied-scientist?cmpid=DA_INAD200785B")</f>
        <v/>
      </c>
      <c r="G301" t="inlineStr">
        <is>
          <t>New York, NY, US</t>
        </is>
      </c>
      <c r="H301" s="2" t="n">
        <v>45939</v>
      </c>
      <c r="I30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in-c545e2f84185e2a6</t>
        </is>
      </c>
      <c r="B302" t="inlineStr">
        <is>
          <t>Applied Scientist</t>
        </is>
      </c>
      <c r="C302" t="inlineStr">
        <is>
          <t>Amazon.com</t>
        </is>
      </c>
      <c r="D302" t="inlineStr">
        <is>
          <t>indeed</t>
        </is>
      </c>
      <c r="E302">
        <f>HYPERLINK("https://www.indeed.com/viewjob?jk=c545e2f84185e2a6", "https://www.indeed.com/viewjob?jk=c545e2f84185e2a6")</f>
        <v/>
      </c>
      <c r="F302">
        <f>HYPERLINK("https://www.amazon.jobs/jobs/3106501/applied-scientist?cmpid=DA_INAD200785B", "https://www.amazon.jobs/jobs/3106501/applied-scientist?cmpid=DA_INAD200785B")</f>
        <v/>
      </c>
      <c r="G302" t="inlineStr">
        <is>
          <t>Palo Alto, CA, US</t>
        </is>
      </c>
      <c r="H302" s="2" t="n">
        <v>45939</v>
      </c>
      <c r="I30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in-c19e0105e1091893</t>
        </is>
      </c>
      <c r="B303" t="inlineStr">
        <is>
          <t>Sr. Applied Scientist, SPB Advertiser Guidance</t>
        </is>
      </c>
      <c r="C303" t="inlineStr">
        <is>
          <t>Amazon.com</t>
        </is>
      </c>
      <c r="D303" t="inlineStr">
        <is>
          <t>indeed</t>
        </is>
      </c>
      <c r="E303">
        <f>HYPERLINK("https://www.indeed.com/viewjob?jk=c19e0105e1091893", "https://www.indeed.com/viewjob?jk=c19e0105e1091893")</f>
        <v/>
      </c>
      <c r="F303">
        <f>HYPERLINK("https://www.amazon.jobs/jobs/3106497/sr-applied-scientist-spb-advertiser-guidance?cmpid=DA_INAD200785B", "https://www.amazon.jobs/jobs/3106497/sr-applied-scientist-spb-advertiser-guidance?cmpid=DA_INAD200785B")</f>
        <v/>
      </c>
      <c r="G303" t="inlineStr">
        <is>
          <t>New York, NY, US</t>
        </is>
      </c>
      <c r="H303" s="2" t="n">
        <v>45939</v>
      </c>
      <c r="I30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in-5e40c096db853ac6</t>
        </is>
      </c>
      <c r="B304" t="inlineStr">
        <is>
          <t>Sr. Applied Scientist, SPB Advertiser Guidance</t>
        </is>
      </c>
      <c r="C304" t="inlineStr">
        <is>
          <t>Amazon.com</t>
        </is>
      </c>
      <c r="D304" t="inlineStr">
        <is>
          <t>indeed</t>
        </is>
      </c>
      <c r="E304">
        <f>HYPERLINK("https://www.indeed.com/viewjob?jk=5e40c096db853ac6", "https://www.indeed.com/viewjob?jk=5e40c096db853ac6")</f>
        <v/>
      </c>
      <c r="F304">
        <f>HYPERLINK("https://www.amazon.jobs/jobs/3106497/sr-applied-scientist-spb-advertiser-guidance?cmpid=DA_INAD200785B", "https://www.amazon.jobs/jobs/3106497/sr-applied-scientist-spb-advertiser-guidance?cmpid=DA_INAD200785B")</f>
        <v/>
      </c>
      <c r="G304" t="inlineStr">
        <is>
          <t>Palo Alto, CA, US</t>
        </is>
      </c>
      <c r="H304" s="2" t="n">
        <v>45939</v>
      </c>
      <c r="I30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in-3195a58da0d0ed0c</t>
        </is>
      </c>
      <c r="B305" t="inlineStr">
        <is>
          <t>Sr. Applied Scientist, SPB Advertiser Guidance</t>
        </is>
      </c>
      <c r="C305" t="inlineStr">
        <is>
          <t>Amazon.com</t>
        </is>
      </c>
      <c r="D305" t="inlineStr">
        <is>
          <t>indeed</t>
        </is>
      </c>
      <c r="E305">
        <f>HYPERLINK("https://www.indeed.com/viewjob?jk=3195a58da0d0ed0c", "https://www.indeed.com/viewjob?jk=3195a58da0d0ed0c")</f>
        <v/>
      </c>
      <c r="F305">
        <f>HYPERLINK("https://www.amazon.jobs/jobs/3106497/sr-applied-scientist-spb-advertiser-guidance?cmpid=DA_INAD200785B", "https://www.amazon.jobs/jobs/3106497/sr-applied-scientist-spb-advertiser-guidance?cmpid=DA_INAD200785B")</f>
        <v/>
      </c>
      <c r="G305" t="inlineStr">
        <is>
          <t>Seattle, WA, US</t>
        </is>
      </c>
      <c r="H305" s="2" t="n">
        <v>45939</v>
      </c>
      <c r="I3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in-da11d552b621d8d1</t>
        </is>
      </c>
      <c r="B306" t="inlineStr">
        <is>
          <t>Applied Scientist II, Prime Video - Personalization and Discovery Science, Personalization and Discovery Science</t>
        </is>
      </c>
      <c r="C306" t="inlineStr">
        <is>
          <t>Amazon.com</t>
        </is>
      </c>
      <c r="D306" t="inlineStr">
        <is>
          <t>indeed</t>
        </is>
      </c>
      <c r="E306">
        <f>HYPERLINK("https://www.indeed.com/viewjob?jk=da11d552b621d8d1", "https://www.indeed.com/viewjob?jk=da11d552b621d8d1")</f>
        <v/>
      </c>
      <c r="F30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6" t="inlineStr">
        <is>
          <t>Seattle, WA, US</t>
        </is>
      </c>
      <c r="H306" s="2" t="n">
        <v>45930</v>
      </c>
      <c r="I3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in-0ce12f0de3ceba41</t>
        </is>
      </c>
      <c r="B307" t="inlineStr">
        <is>
          <t>Applied Scientist II, Prime Video - Personalization and Discovery Science, Personalization and Discovery Science</t>
        </is>
      </c>
      <c r="C307" t="inlineStr">
        <is>
          <t>Amazon.com</t>
        </is>
      </c>
      <c r="D307" t="inlineStr">
        <is>
          <t>indeed</t>
        </is>
      </c>
      <c r="E307">
        <f>HYPERLINK("https://www.indeed.com/viewjob?jk=0ce12f0de3ceba41", "https://www.indeed.com/viewjob?jk=0ce12f0de3ceba41")</f>
        <v/>
      </c>
      <c r="F30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7" t="inlineStr">
        <is>
          <t>Sunnyvale, CA, US</t>
        </is>
      </c>
      <c r="H307" s="2" t="n">
        <v>45930</v>
      </c>
      <c r="I3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in-f6991efca38216e1</t>
        </is>
      </c>
      <c r="B308" t="inlineStr">
        <is>
          <t>Applied Scientist II, Prime Video - Personalization and Discovery Science, Personalization and Discovery Science</t>
        </is>
      </c>
      <c r="C308" t="inlineStr">
        <is>
          <t>Amazon.com</t>
        </is>
      </c>
      <c r="D308" t="inlineStr">
        <is>
          <t>indeed</t>
        </is>
      </c>
      <c r="E308">
        <f>HYPERLINK("https://www.indeed.com/viewjob?jk=f6991efca38216e1", "https://www.indeed.com/viewjob?jk=f6991efca38216e1")</f>
        <v/>
      </c>
      <c r="F30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08" t="inlineStr">
        <is>
          <t>New York, NY, US</t>
        </is>
      </c>
      <c r="H308" s="2" t="n">
        <v>45930</v>
      </c>
      <c r="I3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in-74e2c10d236bd703</t>
        </is>
      </c>
      <c r="B309" t="inlineStr">
        <is>
          <t>Applied Scientist, Workplace Health &amp; Safety</t>
        </is>
      </c>
      <c r="C309" t="inlineStr">
        <is>
          <t>Amazon.com</t>
        </is>
      </c>
      <c r="D309" t="inlineStr">
        <is>
          <t>indeed</t>
        </is>
      </c>
      <c r="E309">
        <f>HYPERLINK("https://www.indeed.com/viewjob?jk=74e2c10d236bd703", "https://www.indeed.com/viewjob?jk=74e2c10d236bd703")</f>
        <v/>
      </c>
      <c r="F309">
        <f>HYPERLINK("https://www.amazon.jobs/jobs/3144886/applied-scientist-workplace-health--safety-?cmpid=DA_INAD200785B", "https://www.amazon.jobs/jobs/3144886/applied-scientist-workplace-health--safety-?cmpid=DA_INAD200785B")</f>
        <v/>
      </c>
      <c r="G309" t="inlineStr">
        <is>
          <t>Bellevue, WA, US</t>
        </is>
      </c>
      <c r="H309" s="2" t="n">
        <v>45917</v>
      </c>
      <c r="I30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in-adc9d17ad0b7f1b6</t>
        </is>
      </c>
      <c r="B310" t="inlineStr">
        <is>
          <t>Applied Scientist, Workplace Health &amp; Safety</t>
        </is>
      </c>
      <c r="C310" t="inlineStr">
        <is>
          <t>Amazon.com</t>
        </is>
      </c>
      <c r="D310" t="inlineStr">
        <is>
          <t>indeed</t>
        </is>
      </c>
      <c r="E310">
        <f>HYPERLINK("https://www.indeed.com/viewjob?jk=adc9d17ad0b7f1b6", "https://www.indeed.com/viewjob?jk=adc9d17ad0b7f1b6")</f>
        <v/>
      </c>
      <c r="F310">
        <f>HYPERLINK("https://www.amazon.jobs/jobs/3144886/applied-scientist-workplace-health--safety-?cmpid=DA_INAD200785B", "https://www.amazon.jobs/jobs/3144886/applied-scientist-workplace-health--safety-?cmpid=DA_INAD200785B")</f>
        <v/>
      </c>
      <c r="G310" t="inlineStr">
        <is>
          <t>Nashville, TN, US</t>
        </is>
      </c>
      <c r="H310" s="2" t="n">
        <v>45917</v>
      </c>
      <c r="I310"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in-578c73292beee410</t>
        </is>
      </c>
      <c r="B311" t="inlineStr">
        <is>
          <t>Sr. Applied Scientist, Prime Video - Personalization and Discovery Science</t>
        </is>
      </c>
      <c r="C311" t="inlineStr">
        <is>
          <t>Amazon.com</t>
        </is>
      </c>
      <c r="D311" t="inlineStr">
        <is>
          <t>indeed</t>
        </is>
      </c>
      <c r="E311">
        <f>HYPERLINK("https://www.indeed.com/viewjob?jk=578c73292beee410", "https://www.indeed.com/viewjob?jk=578c73292beee410")</f>
        <v/>
      </c>
      <c r="F311">
        <f>HYPERLINK("https://www.amazon.jobs/jobs/3084479/sr-applied-scientist-prime-video--personalization-and-discovery-science?cmpid=DA_INAD200785B", "https://www.amazon.jobs/jobs/3084479/sr-applied-scientist-prime-video--personalization-and-discovery-science?cmpid=DA_INAD200785B")</f>
        <v/>
      </c>
      <c r="G311" t="inlineStr">
        <is>
          <t>New York, NY, US</t>
        </is>
      </c>
      <c r="H311" s="2" t="n">
        <v>45896</v>
      </c>
      <c r="I3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2">
      <c r="A312" t="inlineStr">
        <is>
          <t>in-81cc8ba1b7c274c4</t>
        </is>
      </c>
      <c r="B312" t="inlineStr">
        <is>
          <t>Sr. Applied Scientist, Prime Video - Personalization and Discovery Science</t>
        </is>
      </c>
      <c r="C312" t="inlineStr">
        <is>
          <t>Amazon.com</t>
        </is>
      </c>
      <c r="D312" t="inlineStr">
        <is>
          <t>indeed</t>
        </is>
      </c>
      <c r="E312">
        <f>HYPERLINK("https://www.indeed.com/viewjob?jk=81cc8ba1b7c274c4", "https://www.indeed.com/viewjob?jk=81cc8ba1b7c274c4")</f>
        <v/>
      </c>
      <c r="F312">
        <f>HYPERLINK("https://www.amazon.jobs/jobs/3084479/sr-applied-scientist-prime-video--personalization-and-discovery-science?cmpid=DA_INAD200785B", "https://www.amazon.jobs/jobs/3084479/sr-applied-scientist-prime-video--personalization-and-discovery-science?cmpid=DA_INAD200785B")</f>
        <v/>
      </c>
      <c r="G312" t="inlineStr">
        <is>
          <t>Sunnyvale, CA, US</t>
        </is>
      </c>
      <c r="H312" s="2" t="n">
        <v>45896</v>
      </c>
      <c r="I3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3">
      <c r="A313" t="inlineStr">
        <is>
          <t>in-c78fd0083fcd40b6</t>
        </is>
      </c>
      <c r="B313" t="inlineStr">
        <is>
          <t>Sr. Applied Scientist, Prime Video - Personalization and Discovery Science</t>
        </is>
      </c>
      <c r="C313" t="inlineStr">
        <is>
          <t>Amazon.com</t>
        </is>
      </c>
      <c r="D313" t="inlineStr">
        <is>
          <t>indeed</t>
        </is>
      </c>
      <c r="E313">
        <f>HYPERLINK("https://www.indeed.com/viewjob?jk=c78fd0083fcd40b6", "https://www.indeed.com/viewjob?jk=c78fd0083fcd40b6")</f>
        <v/>
      </c>
      <c r="F313">
        <f>HYPERLINK("https://www.amazon.jobs/jobs/3084479/sr-applied-scientist-prime-video--personalization-and-discovery-science?cmpid=DA_INAD200785B", "https://www.amazon.jobs/jobs/3084479/sr-applied-scientist-prime-video--personalization-and-discovery-science?cmpid=DA_INAD200785B")</f>
        <v/>
      </c>
      <c r="G313" t="inlineStr">
        <is>
          <t>Seattle, WA, US</t>
        </is>
      </c>
      <c r="H313" s="2" t="n">
        <v>45896</v>
      </c>
      <c r="I3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314">
      <c r="A314" t="inlineStr">
        <is>
          <t>in-0d7c1a1c42ea121e</t>
        </is>
      </c>
      <c r="B314" t="inlineStr">
        <is>
          <t>Applied Scientist II, Prime Video , Personalization and Discovery Science</t>
        </is>
      </c>
      <c r="C314" t="inlineStr">
        <is>
          <t>Amazon.com</t>
        </is>
      </c>
      <c r="D314" t="inlineStr">
        <is>
          <t>indeed</t>
        </is>
      </c>
      <c r="E314">
        <f>HYPERLINK("https://www.indeed.com/viewjob?jk=0d7c1a1c42ea121e", "https://www.indeed.com/viewjob?jk=0d7c1a1c42ea121e")</f>
        <v/>
      </c>
      <c r="F314">
        <f>HYPERLINK("https://www.amazon.jobs/jobs/3061303/applied-scientist-ii-prime-video--personalization-and-discovery-science?cmpid=DA_INAD200785B", "https://www.amazon.jobs/jobs/3061303/applied-scientist-ii-prime-video--personalization-and-discovery-science?cmpid=DA_INAD200785B")</f>
        <v/>
      </c>
      <c r="G314" t="inlineStr">
        <is>
          <t>Sunnyvale, CA, US</t>
        </is>
      </c>
      <c r="H314" s="2" t="n">
        <v>45886</v>
      </c>
      <c r="I3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15">
      <c r="A315" t="inlineStr">
        <is>
          <t>in-92eb36308738b7df</t>
        </is>
      </c>
      <c r="B315" t="inlineStr">
        <is>
          <t>Applied Scientist II, Prime Video , Personalization and Discovery Science</t>
        </is>
      </c>
      <c r="C315" t="inlineStr">
        <is>
          <t>Amazon.com</t>
        </is>
      </c>
      <c r="D315" t="inlineStr">
        <is>
          <t>indeed</t>
        </is>
      </c>
      <c r="E315">
        <f>HYPERLINK("https://www.indeed.com/viewjob?jk=92eb36308738b7df", "https://www.indeed.com/viewjob?jk=92eb36308738b7df")</f>
        <v/>
      </c>
      <c r="F315">
        <f>HYPERLINK("https://www.amazon.jobs/jobs/3061303/applied-scientist-ii-prime-video--personalization-and-discovery-science?cmpid=DA_INAD200785B", "https://www.amazon.jobs/jobs/3061303/applied-scientist-ii-prime-video--personalization-and-discovery-science?cmpid=DA_INAD200785B")</f>
        <v/>
      </c>
      <c r="G315" t="inlineStr">
        <is>
          <t>Seattle, WA, US</t>
        </is>
      </c>
      <c r="H315" s="2" t="n">
        <v>45886</v>
      </c>
      <c r="I3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16">
      <c r="A316" t="inlineStr">
        <is>
          <t>in-d92315ba8c43de1b</t>
        </is>
      </c>
      <c r="B316" t="inlineStr">
        <is>
          <t>Applied Scientist II, Prime Video , Personalization and Discovery Science</t>
        </is>
      </c>
      <c r="C316" t="inlineStr">
        <is>
          <t>Amazon.com</t>
        </is>
      </c>
      <c r="D316" t="inlineStr">
        <is>
          <t>indeed</t>
        </is>
      </c>
      <c r="E316">
        <f>HYPERLINK("https://www.indeed.com/viewjob?jk=d92315ba8c43de1b", "https://www.indeed.com/viewjob?jk=d92315ba8c43de1b")</f>
        <v/>
      </c>
      <c r="F316">
        <f>HYPERLINK("https://www.amazon.jobs/jobs/3061303/applied-scientist-ii-prime-video--personalization-and-discovery-science?cmpid=DA_INAD200785B", "https://www.amazon.jobs/jobs/3061303/applied-scientist-ii-prime-video--personalization-and-discovery-science?cmpid=DA_INAD200785B")</f>
        <v/>
      </c>
      <c r="G316" t="inlineStr">
        <is>
          <t>New York, NY, US</t>
        </is>
      </c>
      <c r="H316" s="2" t="n">
        <v>45886</v>
      </c>
      <c r="I3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317">
      <c r="A317" t="inlineStr">
        <is>
          <t>in-3298319ddea114d3</t>
        </is>
      </c>
      <c r="B317" t="inlineStr">
        <is>
          <t>Sr. Applied Scientist, Prime Video - Personalization and Discovery Science</t>
        </is>
      </c>
      <c r="C317" t="inlineStr">
        <is>
          <t>Amazon.com</t>
        </is>
      </c>
      <c r="D317" t="inlineStr">
        <is>
          <t>indeed</t>
        </is>
      </c>
      <c r="E317">
        <f>HYPERLINK("https://www.indeed.com/viewjob?jk=3298319ddea114d3", "https://www.indeed.com/viewjob?jk=3298319ddea114d3")</f>
        <v/>
      </c>
      <c r="F317">
        <f>HYPERLINK("https://www.amazon.jobs/jobs/3059256/sr-applied-scientist-prime-video--personalization-and-discovery-science?cmpid=DA_INAD200785B", "https://www.amazon.jobs/jobs/3059256/sr-applied-scientist-prime-video--personalization-and-discovery-science?cmpid=DA_INAD200785B")</f>
        <v/>
      </c>
      <c r="G317" t="inlineStr">
        <is>
          <t>Seattle, WA, US</t>
        </is>
      </c>
      <c r="H317" s="2" t="n">
        <v>45881</v>
      </c>
      <c r="I3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in-3302990840ee13d6</t>
        </is>
      </c>
      <c r="B318" t="inlineStr">
        <is>
          <t>Sr. Applied Scientist, Prime Video - Personalization and Discovery Science</t>
        </is>
      </c>
      <c r="C318" t="inlineStr">
        <is>
          <t>Amazon.com</t>
        </is>
      </c>
      <c r="D318" t="inlineStr">
        <is>
          <t>indeed</t>
        </is>
      </c>
      <c r="E318">
        <f>HYPERLINK("https://www.indeed.com/viewjob?jk=3302990840ee13d6", "https://www.indeed.com/viewjob?jk=3302990840ee13d6")</f>
        <v/>
      </c>
      <c r="F318">
        <f>HYPERLINK("https://www.amazon.jobs/jobs/3059256/sr-applied-scientist-prime-video--personalization-and-discovery-science?cmpid=DA_INAD200785B", "https://www.amazon.jobs/jobs/3059256/sr-applied-scientist-prime-video--personalization-and-discovery-science?cmpid=DA_INAD200785B")</f>
        <v/>
      </c>
      <c r="G318" t="inlineStr">
        <is>
          <t>Sunnyvale, CA, US</t>
        </is>
      </c>
      <c r="H318" s="2" t="n">
        <v>45881</v>
      </c>
      <c r="I3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in-704df06d4609e9cf</t>
        </is>
      </c>
      <c r="B319" t="inlineStr">
        <is>
          <t>Applied Scientist II, Prime Video - Personalization and Discovery Science</t>
        </is>
      </c>
      <c r="C319" t="inlineStr">
        <is>
          <t>Amazon.com</t>
        </is>
      </c>
      <c r="D319" t="inlineStr">
        <is>
          <t>indeed</t>
        </is>
      </c>
      <c r="E319">
        <f>HYPERLINK("https://www.indeed.com/viewjob?jk=704df06d4609e9cf", "https://www.indeed.com/viewjob?jk=704df06d4609e9cf")</f>
        <v/>
      </c>
      <c r="F319">
        <f>HYPERLINK("https://www.amazon.jobs/jobs/3059253/applied-scientist-ii-prime-video--personalization-and-discovery-science?cmpid=DA_INAD200785B", "https://www.amazon.jobs/jobs/3059253/applied-scientist-ii-prime-video--personalization-and-discovery-science?cmpid=DA_INAD200785B")</f>
        <v/>
      </c>
      <c r="G319" t="inlineStr">
        <is>
          <t>Sunnyvale, CA, US</t>
        </is>
      </c>
      <c r="H319" s="2" t="n">
        <v>45881</v>
      </c>
      <c r="I3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in-88a5ed6a235cef5a</t>
        </is>
      </c>
      <c r="B320" t="inlineStr">
        <is>
          <t>Applied Scientist II, Prime Video - Personalization and Discovery Science</t>
        </is>
      </c>
      <c r="C320" t="inlineStr">
        <is>
          <t>Amazon.com</t>
        </is>
      </c>
      <c r="D320" t="inlineStr">
        <is>
          <t>indeed</t>
        </is>
      </c>
      <c r="E320">
        <f>HYPERLINK("https://www.indeed.com/viewjob?jk=88a5ed6a235cef5a", "https://www.indeed.com/viewjob?jk=88a5ed6a235cef5a")</f>
        <v/>
      </c>
      <c r="F320">
        <f>HYPERLINK("https://www.amazon.jobs/jobs/3059253/applied-scientist-ii-prime-video--personalization-and-discovery-science?cmpid=DA_INAD200785B", "https://www.amazon.jobs/jobs/3059253/applied-scientist-ii-prime-video--personalization-and-discovery-science?cmpid=DA_INAD200785B")</f>
        <v/>
      </c>
      <c r="G320" t="inlineStr">
        <is>
          <t>Seattle, WA, US</t>
        </is>
      </c>
      <c r="H320" s="2" t="n">
        <v>45881</v>
      </c>
      <c r="I3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in-65b171ba02ec0f4f</t>
        </is>
      </c>
      <c r="B321" t="inlineStr">
        <is>
          <t>Applied Scientist II, Prime Video - Personalization and Discovery Science</t>
        </is>
      </c>
      <c r="C321" t="inlineStr">
        <is>
          <t>Amazon.com</t>
        </is>
      </c>
      <c r="D321" t="inlineStr">
        <is>
          <t>indeed</t>
        </is>
      </c>
      <c r="E321">
        <f>HYPERLINK("https://www.indeed.com/viewjob?jk=65b171ba02ec0f4f", "https://www.indeed.com/viewjob?jk=65b171ba02ec0f4f")</f>
        <v/>
      </c>
      <c r="F321">
        <f>HYPERLINK("https://www.amazon.jobs/jobs/3059253/applied-scientist-ii-prime-video--personalization-and-discovery-science?cmpid=DA_INAD200785B", "https://www.amazon.jobs/jobs/3059253/applied-scientist-ii-prime-video--personalization-and-discovery-science?cmpid=DA_INAD200785B")</f>
        <v/>
      </c>
      <c r="G321" t="inlineStr">
        <is>
          <t>New York, NY, US</t>
        </is>
      </c>
      <c r="H321" s="2" t="n">
        <v>45881</v>
      </c>
      <c r="I3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in-641f2019eba47d7c</t>
        </is>
      </c>
      <c r="B322" t="inlineStr">
        <is>
          <t>Sr. Applied Scientist, Prime Video - Personalization and Discovery Science</t>
        </is>
      </c>
      <c r="C322" t="inlineStr">
        <is>
          <t>Amazon.com</t>
        </is>
      </c>
      <c r="D322" t="inlineStr">
        <is>
          <t>indeed</t>
        </is>
      </c>
      <c r="E322">
        <f>HYPERLINK("https://www.indeed.com/viewjob?jk=641f2019eba47d7c", "https://www.indeed.com/viewjob?jk=641f2019eba47d7c")</f>
        <v/>
      </c>
      <c r="F322">
        <f>HYPERLINK("https://www.amazon.jobs/jobs/3059256/sr-applied-scientist-prime-video--personalization-and-discovery-science?cmpid=DA_INAD200785B", "https://www.amazon.jobs/jobs/3059256/sr-applied-scientist-prime-video--personalization-and-discovery-science?cmpid=DA_INAD200785B")</f>
        <v/>
      </c>
      <c r="G322" t="inlineStr">
        <is>
          <t>New York, NY, US</t>
        </is>
      </c>
      <c r="H322" s="2" t="n">
        <v>45881</v>
      </c>
      <c r="I3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in-13c37722a9d35932</t>
        </is>
      </c>
      <c r="B323" t="inlineStr">
        <is>
          <t>Applied Scientist III, StoreGen</t>
        </is>
      </c>
      <c r="C323" t="inlineStr">
        <is>
          <t>Amazon.com</t>
        </is>
      </c>
      <c r="D323" t="inlineStr">
        <is>
          <t>indeed</t>
        </is>
      </c>
      <c r="E323">
        <f>HYPERLINK("https://www.indeed.com/viewjob?jk=13c37722a9d35932", "https://www.indeed.com/viewjob?jk=13c37722a9d35932")</f>
        <v/>
      </c>
      <c r="F323">
        <f>HYPERLINK("https://www.amazon.jobs/jobs/3065534/applied-scientist-iii-storegen?cmpid=DA_INAD200785B", "https://www.amazon.jobs/jobs/3065534/applied-scientist-iii-storegen?cmpid=DA_INAD200785B")</f>
        <v/>
      </c>
      <c r="G323" t="inlineStr">
        <is>
          <t>Seattle, WA, US</t>
        </is>
      </c>
      <c r="H323" s="2" t="n">
        <v>45868</v>
      </c>
      <c r="I323"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in-e0d62e2dedbb015d</t>
        </is>
      </c>
      <c r="B324" t="inlineStr">
        <is>
          <t>Applied Scientist III, StoreGen</t>
        </is>
      </c>
      <c r="C324" t="inlineStr">
        <is>
          <t>Amazon.com</t>
        </is>
      </c>
      <c r="D324" t="inlineStr">
        <is>
          <t>indeed</t>
        </is>
      </c>
      <c r="E324">
        <f>HYPERLINK("https://www.indeed.com/viewjob?jk=e0d62e2dedbb015d", "https://www.indeed.com/viewjob?jk=e0d62e2dedbb015d")</f>
        <v/>
      </c>
      <c r="F324">
        <f>HYPERLINK("https://www.amazon.jobs/jobs/3065534/applied-scientist-iii-storegen?cmpid=DA_INAD200785B", "https://www.amazon.jobs/jobs/3065534/applied-scientist-iii-storegen?cmpid=DA_INAD200785B")</f>
        <v/>
      </c>
      <c r="G324" t="inlineStr">
        <is>
          <t>Sunnyvale, CA, US</t>
        </is>
      </c>
      <c r="H324" s="2" t="n">
        <v>45868</v>
      </c>
      <c r="I324"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in-2d4bafa74cfba844</t>
        </is>
      </c>
      <c r="B325" t="inlineStr">
        <is>
          <t>Sr. Applied Scientist, Amazon Advertising</t>
        </is>
      </c>
      <c r="C325" t="inlineStr">
        <is>
          <t>Amazon.com</t>
        </is>
      </c>
      <c r="D325" t="inlineStr">
        <is>
          <t>indeed</t>
        </is>
      </c>
      <c r="E325">
        <f>HYPERLINK("https://www.indeed.com/viewjob?jk=2d4bafa74cfba844", "https://www.indeed.com/viewjob?jk=2d4bafa74cfba844")</f>
        <v/>
      </c>
      <c r="F325">
        <f>HYPERLINK("https://www.amazon.jobs/jobs/3035686/sr-applied-scientist-amazon-advertising?cmpid=DA_INAD200785B", "https://www.amazon.jobs/jobs/3035686/sr-applied-scientist-amazon-advertising?cmpid=DA_INAD200785B")</f>
        <v/>
      </c>
      <c r="G325" t="inlineStr">
        <is>
          <t>New York, NY, US</t>
        </is>
      </c>
      <c r="H325" s="2" t="n">
        <v>45851</v>
      </c>
      <c r="I3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in-7d38c4246f947e68</t>
        </is>
      </c>
      <c r="B326" t="inlineStr">
        <is>
          <t>Sr. Applied Scientist, Amazon Advertising</t>
        </is>
      </c>
      <c r="C326" t="inlineStr">
        <is>
          <t>Amazon.com</t>
        </is>
      </c>
      <c r="D326" t="inlineStr">
        <is>
          <t>indeed</t>
        </is>
      </c>
      <c r="E326">
        <f>HYPERLINK("https://www.indeed.com/viewjob?jk=7d38c4246f947e68", "https://www.indeed.com/viewjob?jk=7d38c4246f947e68")</f>
        <v/>
      </c>
      <c r="F326">
        <f>HYPERLINK("https://www.amazon.jobs/jobs/3035686/sr-applied-scientist-amazon-advertising?cmpid=DA_INAD200785B", "https://www.amazon.jobs/jobs/3035686/sr-applied-scientist-amazon-advertising?cmpid=DA_INAD200785B")</f>
        <v/>
      </c>
      <c r="G326" t="inlineStr">
        <is>
          <t>Palo Alto, CA, US</t>
        </is>
      </c>
      <c r="H326" s="2" t="n">
        <v>45851</v>
      </c>
      <c r="I3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in-480560ced040e07e</t>
        </is>
      </c>
      <c r="B327" t="inlineStr">
        <is>
          <t>Sr. Applied Scientist, Amazon Advertising</t>
        </is>
      </c>
      <c r="C327" t="inlineStr">
        <is>
          <t>Amazon.com</t>
        </is>
      </c>
      <c r="D327" t="inlineStr">
        <is>
          <t>indeed</t>
        </is>
      </c>
      <c r="E327">
        <f>HYPERLINK("https://www.indeed.com/viewjob?jk=480560ced040e07e", "https://www.indeed.com/viewjob?jk=480560ced040e07e")</f>
        <v/>
      </c>
      <c r="F327">
        <f>HYPERLINK("https://www.amazon.jobs/jobs/3035686/sr-applied-scientist-amazon-advertising?cmpid=DA_INAD200785B", "https://www.amazon.jobs/jobs/3035686/sr-applied-scientist-amazon-advertising?cmpid=DA_INAD200785B")</f>
        <v/>
      </c>
      <c r="G327" t="inlineStr">
        <is>
          <t>West Hollywood, CA, US</t>
        </is>
      </c>
      <c r="H327" s="2" t="n">
        <v>45851</v>
      </c>
      <c r="I3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in-7bdeaafa8d63ee51</t>
        </is>
      </c>
      <c r="B328" t="inlineStr">
        <is>
          <t>Sr. Applied Scientist, Amazon Advertising</t>
        </is>
      </c>
      <c r="C328" t="inlineStr">
        <is>
          <t>Amazon.com</t>
        </is>
      </c>
      <c r="D328" t="inlineStr">
        <is>
          <t>indeed</t>
        </is>
      </c>
      <c r="E328">
        <f>HYPERLINK("https://www.indeed.com/viewjob?jk=7bdeaafa8d63ee51", "https://www.indeed.com/viewjob?jk=7bdeaafa8d63ee51")</f>
        <v/>
      </c>
      <c r="F328">
        <f>HYPERLINK("https://www.amazon.jobs/jobs/3035686/sr-applied-scientist-amazon-advertising?cmpid=DA_INAD200785B", "https://www.amazon.jobs/jobs/3035686/sr-applied-scientist-amazon-advertising?cmpid=DA_INAD200785B")</f>
        <v/>
      </c>
      <c r="G328" t="inlineStr">
        <is>
          <t>Los Angeles, CA, US</t>
        </is>
      </c>
      <c r="H328" s="2" t="n">
        <v>45851</v>
      </c>
      <c r="I3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in-cf43ac3ba76f7e91</t>
        </is>
      </c>
      <c r="B329" t="inlineStr">
        <is>
          <t>Sr. Applied Scientist, Amazon Advertising</t>
        </is>
      </c>
      <c r="C329" t="inlineStr">
        <is>
          <t>Amazon.com</t>
        </is>
      </c>
      <c r="D329" t="inlineStr">
        <is>
          <t>indeed</t>
        </is>
      </c>
      <c r="E329">
        <f>HYPERLINK("https://www.indeed.com/viewjob?jk=cf43ac3ba76f7e91", "https://www.indeed.com/viewjob?jk=cf43ac3ba76f7e91")</f>
        <v/>
      </c>
      <c r="F329">
        <f>HYPERLINK("https://www.amazon.jobs/jobs/3035686/sr-applied-scientist-amazon-advertising?cmpid=DA_INAD200785B", "https://www.amazon.jobs/jobs/3035686/sr-applied-scientist-amazon-advertising?cmpid=DA_INAD200785B")</f>
        <v/>
      </c>
      <c r="G329" t="inlineStr">
        <is>
          <t>Austin, TX, US</t>
        </is>
      </c>
      <c r="H329" s="2" t="n">
        <v>45851</v>
      </c>
      <c r="I3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in-9888e27bd5b3956f</t>
        </is>
      </c>
      <c r="B330" t="inlineStr">
        <is>
          <t>Sr. Applied Scientist, Amazon Advertising</t>
        </is>
      </c>
      <c r="C330" t="inlineStr">
        <is>
          <t>Amazon.com</t>
        </is>
      </c>
      <c r="D330" t="inlineStr">
        <is>
          <t>indeed</t>
        </is>
      </c>
      <c r="E330">
        <f>HYPERLINK("https://www.indeed.com/viewjob?jk=9888e27bd5b3956f", "https://www.indeed.com/viewjob?jk=9888e27bd5b3956f")</f>
        <v/>
      </c>
      <c r="F330">
        <f>HYPERLINK("https://www.amazon.jobs/jobs/3035686/sr-applied-scientist-amazon-advertising?cmpid=DA_INAD200785B", "https://www.amazon.jobs/jobs/3035686/sr-applied-scientist-amazon-advertising?cmpid=DA_INAD200785B")</f>
        <v/>
      </c>
      <c r="G330" t="inlineStr">
        <is>
          <t>Seattle, WA, US</t>
        </is>
      </c>
      <c r="H330" s="2" t="n">
        <v>45851</v>
      </c>
      <c r="I3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in-ac74c07430f19d22</t>
        </is>
      </c>
      <c r="B331" t="inlineStr">
        <is>
          <t>Sr. Applied Scientist, Amazon Advertising</t>
        </is>
      </c>
      <c r="C331" t="inlineStr">
        <is>
          <t>Amazon.com</t>
        </is>
      </c>
      <c r="D331" t="inlineStr">
        <is>
          <t>indeed</t>
        </is>
      </c>
      <c r="E331">
        <f>HYPERLINK("https://www.indeed.com/viewjob?jk=ac74c07430f19d22", "https://www.indeed.com/viewjob?jk=ac74c07430f19d22")</f>
        <v/>
      </c>
      <c r="F331">
        <f>HYPERLINK("https://www.amazon.jobs/jobs/3035686/sr-applied-scientist-amazon-advertising?cmpid=DA_INAD200785B", "https://www.amazon.jobs/jobs/3035686/sr-applied-scientist-amazon-advertising?cmpid=DA_INAD200785B")</f>
        <v/>
      </c>
      <c r="G331" t="inlineStr">
        <is>
          <t>Arlington, VA, US</t>
        </is>
      </c>
      <c r="H331" s="2" t="n">
        <v>45851</v>
      </c>
      <c r="I3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in-8564e481818f10be</t>
        </is>
      </c>
      <c r="B332" t="inlineStr">
        <is>
          <t>Sr. Applied Scientist, Amazon Advertising</t>
        </is>
      </c>
      <c r="C332" t="inlineStr">
        <is>
          <t>Amazon.com</t>
        </is>
      </c>
      <c r="D332" t="inlineStr">
        <is>
          <t>indeed</t>
        </is>
      </c>
      <c r="E332">
        <f>HYPERLINK("https://www.indeed.com/viewjob?jk=8564e481818f10be", "https://www.indeed.com/viewjob?jk=8564e481818f10be")</f>
        <v/>
      </c>
      <c r="F332">
        <f>HYPERLINK("https://www.amazon.jobs/jobs/3035686/sr-applied-scientist-amazon-advertising?cmpid=DA_INAD200785B", "https://www.amazon.jobs/jobs/3035686/sr-applied-scientist-amazon-advertising?cmpid=DA_INAD200785B")</f>
        <v/>
      </c>
      <c r="G332" t="inlineStr">
        <is>
          <t>Simi Valley, CA, US</t>
        </is>
      </c>
      <c r="H332" s="2" t="n">
        <v>45851</v>
      </c>
      <c r="I3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in-afc94bf450110fd5</t>
        </is>
      </c>
      <c r="B333" t="inlineStr">
        <is>
          <t>Sr. Applied Scientist, Sales AI</t>
        </is>
      </c>
      <c r="C333" t="inlineStr">
        <is>
          <t>Amazon.com</t>
        </is>
      </c>
      <c r="D333" t="inlineStr">
        <is>
          <t>indeed</t>
        </is>
      </c>
      <c r="E333">
        <f>HYPERLINK("https://www.indeed.com/viewjob?jk=afc94bf450110fd5", "https://www.indeed.com/viewjob?jk=afc94bf450110fd5")</f>
        <v/>
      </c>
      <c r="F333">
        <f>HYPERLINK("https://www.amazon.jobs/jobs/3020528/sr-applied-scientist-sales-ai?cmpid=DA_INAD200785B", "https://www.amazon.jobs/jobs/3020528/sr-applied-scientist-sales-ai?cmpid=DA_INAD200785B")</f>
        <v/>
      </c>
      <c r="G333" t="inlineStr">
        <is>
          <t>Sunnyvale, CA, US</t>
        </is>
      </c>
      <c r="H333" s="2" t="n">
        <v>45830</v>
      </c>
      <c r="I33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in-ed9e4b36af9d365c</t>
        </is>
      </c>
      <c r="B334" t="inlineStr">
        <is>
          <t>Sr. Applied Scientist, Sales AI</t>
        </is>
      </c>
      <c r="C334" t="inlineStr">
        <is>
          <t>Amazon.com</t>
        </is>
      </c>
      <c r="D334" t="inlineStr">
        <is>
          <t>indeed</t>
        </is>
      </c>
      <c r="E334">
        <f>HYPERLINK("https://www.indeed.com/viewjob?jk=ed9e4b36af9d365c", "https://www.indeed.com/viewjob?jk=ed9e4b36af9d365c")</f>
        <v/>
      </c>
      <c r="F334">
        <f>HYPERLINK("https://www.amazon.jobs/jobs/3020528/sr-applied-scientist-sales-ai?cmpid=DA_INAD200785B", "https://www.amazon.jobs/jobs/3020528/sr-applied-scientist-sales-ai?cmpid=DA_INAD200785B")</f>
        <v/>
      </c>
      <c r="G334" t="inlineStr">
        <is>
          <t>New York, NY, US</t>
        </is>
      </c>
      <c r="H334" s="2" t="n">
        <v>45830</v>
      </c>
      <c r="I33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in-4b517d242b81d7a8</t>
        </is>
      </c>
      <c r="B335" t="inlineStr">
        <is>
          <t>Sr. Applied Scientist, Sales AI</t>
        </is>
      </c>
      <c r="C335" t="inlineStr">
        <is>
          <t>Amazon.com</t>
        </is>
      </c>
      <c r="D335" t="inlineStr">
        <is>
          <t>indeed</t>
        </is>
      </c>
      <c r="E335">
        <f>HYPERLINK("https://www.indeed.com/viewjob?jk=4b517d242b81d7a8", "https://www.indeed.com/viewjob?jk=4b517d242b81d7a8")</f>
        <v/>
      </c>
      <c r="F335">
        <f>HYPERLINK("https://www.amazon.jobs/jobs/3020528/sr-applied-scientist-sales-ai?cmpid=DA_INAD200785B", "https://www.amazon.jobs/jobs/3020528/sr-applied-scientist-sales-ai?cmpid=DA_INAD200785B")</f>
        <v/>
      </c>
      <c r="G335" t="inlineStr">
        <is>
          <t>Seattle, WA, US</t>
        </is>
      </c>
      <c r="H335" s="2" t="n">
        <v>45830</v>
      </c>
      <c r="I33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in-491726b00ac07c4e</t>
        </is>
      </c>
      <c r="B336" t="inlineStr">
        <is>
          <t>Senior Applied Scientist, Delivery Foundation Model</t>
        </is>
      </c>
      <c r="C336" t="inlineStr">
        <is>
          <t>Amazon.com</t>
        </is>
      </c>
      <c r="D336" t="inlineStr">
        <is>
          <t>indeed</t>
        </is>
      </c>
      <c r="E336">
        <f>HYPERLINK("https://www.indeed.com/viewjob?jk=491726b00ac07c4e", "https://www.indeed.com/viewjob?jk=491726b00ac07c4e")</f>
        <v/>
      </c>
      <c r="F336">
        <f>HYPERLINK("https://www.amazon.jobs/jobs/2998435/senior-applied-scientist-delivery-foundation-model-?cmpid=DA_INAD200785B", "https://www.amazon.jobs/jobs/2998435/senior-applied-scientist-delivery-foundation-model-?cmpid=DA_INAD200785B")</f>
        <v/>
      </c>
      <c r="G336" t="inlineStr">
        <is>
          <t>Bellevue, WA, US</t>
        </is>
      </c>
      <c r="H336" s="2" t="n">
        <v>45806</v>
      </c>
      <c r="I3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in-78f6c0898f2a0d53</t>
        </is>
      </c>
      <c r="B337" t="inlineStr">
        <is>
          <t>Senior Applied Scientist, Delivery Foundation Model</t>
        </is>
      </c>
      <c r="C337" t="inlineStr">
        <is>
          <t>Amazon.com</t>
        </is>
      </c>
      <c r="D337" t="inlineStr">
        <is>
          <t>indeed</t>
        </is>
      </c>
      <c r="E337">
        <f>HYPERLINK("https://www.indeed.com/viewjob?jk=78f6c0898f2a0d53", "https://www.indeed.com/viewjob?jk=78f6c0898f2a0d53")</f>
        <v/>
      </c>
      <c r="F337">
        <f>HYPERLINK("https://www.amazon.jobs/jobs/2998435/senior-applied-scientist-delivery-foundation-model-?cmpid=DA_INAD200785B", "https://www.amazon.jobs/jobs/2998435/senior-applied-scientist-delivery-foundation-model-?cmpid=DA_INAD200785B")</f>
        <v/>
      </c>
      <c r="G337" t="inlineStr">
        <is>
          <t>New York, NY, US</t>
        </is>
      </c>
      <c r="H337" s="2" t="n">
        <v>45806</v>
      </c>
      <c r="I3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in-04511d7342630999</t>
        </is>
      </c>
      <c r="B338" t="inlineStr">
        <is>
          <t>Senior Applied Scientist, Delivery Foundation Model</t>
        </is>
      </c>
      <c r="C338" t="inlineStr">
        <is>
          <t>Amazon.com</t>
        </is>
      </c>
      <c r="D338" t="inlineStr">
        <is>
          <t>indeed</t>
        </is>
      </c>
      <c r="E338">
        <f>HYPERLINK("https://www.indeed.com/viewjob?jk=04511d7342630999", "https://www.indeed.com/viewjob?jk=04511d7342630999")</f>
        <v/>
      </c>
      <c r="F338">
        <f>HYPERLINK("https://www.amazon.jobs/jobs/2998435/senior-applied-scientist-delivery-foundation-model-?cmpid=DA_INAD200785B", "https://www.amazon.jobs/jobs/2998435/senior-applied-scientist-delivery-foundation-model-?cmpid=DA_INAD200785B")</f>
        <v/>
      </c>
      <c r="G338" t="inlineStr">
        <is>
          <t>Santa Clara, CA, US</t>
        </is>
      </c>
      <c r="H338" s="2" t="n">
        <v>45806</v>
      </c>
      <c r="I3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in-514f0c548f5b7a16</t>
        </is>
      </c>
      <c r="B339" t="inlineStr">
        <is>
          <t>Sr. Applied Scientist - Privacy, Privacy Engineering</t>
        </is>
      </c>
      <c r="C339" t="inlineStr">
        <is>
          <t>Amazon.com</t>
        </is>
      </c>
      <c r="D339" t="inlineStr">
        <is>
          <t>indeed</t>
        </is>
      </c>
      <c r="E339">
        <f>HYPERLINK("https://www.indeed.com/viewjob?jk=514f0c548f5b7a16", "https://www.indeed.com/viewjob?jk=514f0c548f5b7a16")</f>
        <v/>
      </c>
      <c r="F339">
        <f>HYPERLINK("https://www.amazon.jobs/jobs/2997657/sr-applied-scientist--privacy-privacy-engineering?cmpid=DA_INAD200785B", "https://www.amazon.jobs/jobs/2997657/sr-applied-scientist--privacy-privacy-engineering?cmpid=DA_INAD200785B")</f>
        <v/>
      </c>
      <c r="G339" t="inlineStr">
        <is>
          <t>Seattle, WA, US</t>
        </is>
      </c>
      <c r="H339" s="2" t="n">
        <v>45787</v>
      </c>
      <c r="I33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in-6ee2b8247bc9214a</t>
        </is>
      </c>
      <c r="B340" t="inlineStr">
        <is>
          <t>Sr. Applied Scientist - Privacy, Privacy Engineering</t>
        </is>
      </c>
      <c r="C340" t="inlineStr">
        <is>
          <t>Amazon.com</t>
        </is>
      </c>
      <c r="D340" t="inlineStr">
        <is>
          <t>indeed</t>
        </is>
      </c>
      <c r="E340">
        <f>HYPERLINK("https://www.indeed.com/viewjob?jk=6ee2b8247bc9214a", "https://www.indeed.com/viewjob?jk=6ee2b8247bc9214a")</f>
        <v/>
      </c>
      <c r="F340">
        <f>HYPERLINK("https://www.amazon.jobs/jobs/2997657/sr-applied-scientist--privacy-privacy-engineering?cmpid=DA_INAD200785B", "https://www.amazon.jobs/jobs/2997657/sr-applied-scientist--privacy-privacy-engineering?cmpid=DA_INAD200785B")</f>
        <v/>
      </c>
      <c r="G340" t="inlineStr">
        <is>
          <t>Santa Clara, CA, US</t>
        </is>
      </c>
      <c r="H340" s="2" t="n">
        <v>45787</v>
      </c>
      <c r="I34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in-f9d9d25807b9c6ec</t>
        </is>
      </c>
      <c r="B341" t="inlineStr">
        <is>
          <t>Sr. Applied Scientist - Privacy, Privacy Engineering</t>
        </is>
      </c>
      <c r="C341" t="inlineStr">
        <is>
          <t>Amazon.com</t>
        </is>
      </c>
      <c r="D341" t="inlineStr">
        <is>
          <t>indeed</t>
        </is>
      </c>
      <c r="E341">
        <f>HYPERLINK("https://www.indeed.com/viewjob?jk=f9d9d25807b9c6ec", "https://www.indeed.com/viewjob?jk=f9d9d25807b9c6ec")</f>
        <v/>
      </c>
      <c r="F341">
        <f>HYPERLINK("https://www.amazon.jobs/jobs/2997657/sr-applied-scientist--privacy-privacy-engineering?cmpid=DA_INAD200785B", "https://www.amazon.jobs/jobs/2997657/sr-applied-scientist--privacy-privacy-engineering?cmpid=DA_INAD200785B")</f>
        <v/>
      </c>
      <c r="G341" t="inlineStr">
        <is>
          <t>Sunnyvale, CA, US</t>
        </is>
      </c>
      <c r="H341" s="2" t="n">
        <v>45787</v>
      </c>
      <c r="I34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in-fe74fcb05ebae649</t>
        </is>
      </c>
      <c r="B342" t="inlineStr">
        <is>
          <t>Sr. Applied Scientist - Privacy, Privacy Engineering</t>
        </is>
      </c>
      <c r="C342" t="inlineStr">
        <is>
          <t>Amazon.com</t>
        </is>
      </c>
      <c r="D342" t="inlineStr">
        <is>
          <t>indeed</t>
        </is>
      </c>
      <c r="E342">
        <f>HYPERLINK("https://www.indeed.com/viewjob?jk=fe74fcb05ebae649", "https://www.indeed.com/viewjob?jk=fe74fcb05ebae649")</f>
        <v/>
      </c>
      <c r="F342">
        <f>HYPERLINK("https://www.amazon.jobs/jobs/2997657/sr-applied-scientist--privacy-privacy-engineering?cmpid=DA_INAD200785B", "https://www.amazon.jobs/jobs/2997657/sr-applied-scientist--privacy-privacy-engineering?cmpid=DA_INAD200785B")</f>
        <v/>
      </c>
      <c r="G342" t="inlineStr">
        <is>
          <t>San Francisco, CA, US</t>
        </is>
      </c>
      <c r="H342" s="2" t="n">
        <v>45787</v>
      </c>
      <c r="I34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in-297d4ca9403f9828</t>
        </is>
      </c>
      <c r="B343" t="inlineStr">
        <is>
          <t>Sr. AI Engineer - Bellevue, WA HQ – Hybrid (3 days/week) / Remote</t>
        </is>
      </c>
      <c r="C343" t="inlineStr">
        <is>
          <t>AHU Technologies</t>
        </is>
      </c>
      <c r="D343" t="inlineStr">
        <is>
          <t>indeed</t>
        </is>
      </c>
      <c r="E343">
        <f>HYPERLINK("https://www.indeed.com/viewjob?jk=297d4ca9403f9828", "https://www.indeed.com/viewjob?jk=297d4ca9403f9828")</f>
        <v/>
      </c>
      <c r="F343">
        <f>HYPERLINK("https://ahu-technologies-inc.careerplug.com/j/02w33hc", "https://ahu-technologies-inc.careerplug.com/j/02w33hc")</f>
        <v/>
      </c>
      <c r="G343" t="inlineStr">
        <is>
          <t>Washington, DC, US</t>
        </is>
      </c>
      <c r="H343" s="2" t="n">
        <v>46069</v>
      </c>
      <c r="I343" t="inlineStr">
        <is>
          <t>**Senior AI Engineer – Real Estate Tech**  
We’re building an innovative product in the real estate space and seeking a Senior AI Engineer to join our founding AI team. This role involves turning generative AI concepts into production\-ready features and shaping intelligent software experiences.  
**Key Responsibilities:**  
* **AI Agent Development:** Build autonomous and conversational AI agents to enhance productivity and automate workflows.
* **AI/ML System Development:** Architect scalable AI systems using AWS AI services and open\-source frameworks.
* **Full\-Stack Integration:** Collaborate with Ruby on Rails backend and React frontend teams for AI feature integration.
* **Data Pipeline Management:** Design robust pipelines for real estate datasets to support model training and inference.
* **Performance \&amp; Monitoring:** Optimize deployed models, APIs, and agents for reliability, accuracy, and cost efficiency.
* **Innovation \&amp; Research:** Apply LLMs, RAG, and agentic AI to solve complex problems.
* **Technical Leadership:** Mentor peers, contribute to coding standards, and influence AI strategy.
* **Lifecycle Ownership:** Handle AI development from concept to deployment and iteration.
**Required Skills \&amp; Qualifications:**  
5\+ years in AI, ML, or software engineering with production AI experience  
* 
* Proficient in **Python**; experience with **PyTorch, TensorFlow, LangChain**
* Hands\-on cloud deployment (**AWS preferred**)
* Strong understanding of **LLMs, Generative AI, RAG, data structures, algorithms, distributed systems**
Excellent collaboration and cross\-functional teamwork  
* 
**Preferred Skills:**  
* Experience with **Ruby on Rails** and **React** integration
* Knowledge of **vector databases** (Pinecone, FAISS, Weaviate)
* Familiarity with **MLOps tools** (SageMaker, MLflow)
* Interest in **real estate technology**</t>
        </is>
      </c>
    </row>
    <row r="344">
      <c r="A344" t="inlineStr">
        <is>
          <t>in-4d0c1e9b3f023b44</t>
        </is>
      </c>
      <c r="B344" t="inlineStr">
        <is>
          <t>Generative AI Engineer</t>
        </is>
      </c>
      <c r="C344" t="inlineStr"/>
      <c r="D344" t="inlineStr">
        <is>
          <t>indeed</t>
        </is>
      </c>
      <c r="E344">
        <f>HYPERLINK("https://www.indeed.com/viewjob?jk=4d0c1e9b3f023b44", "https://www.indeed.com/viewjob?jk=4d0c1e9b3f023b44")</f>
        <v/>
      </c>
      <c r="F344">
        <f>HYPERLINK("http://www.indeed.com/job/generative-ai-engineer-4d0c1e9b3f023b44", "http://www.indeed.com/job/generative-ai-engineer-4d0c1e9b3f023b44")</f>
        <v/>
      </c>
      <c r="G344" t="inlineStr">
        <is>
          <t>Panama City, FL, US</t>
        </is>
      </c>
      <c r="H344" s="2" t="n">
        <v>46069</v>
      </c>
      <c r="I344" t="inlineStr">
        <is>
          <t>**Position Overview**
**Role Overview**
This position is focused on designing, building, and deploying enterprise\-ready GenAI applications — not traditional data science or model training. The engineer will take solutions from concept through architecture, implementation, and production deployment.
The ideal candidate operates independently and can translate business needs into scalable, production\-ready AI systems.
**Key Responsibilities**
* Design and deliver generative AI applications from concept to production
* Translate business requirements into GenAI system architectures
* Build and maintain full\-stack applications (frontend \+ backend)
* Implement LLM integrations using RAG, prompt engineering, tool calling, and API workflows
* Develop LLM\-powered tools, internal platforms, and APIs
* Apply DevOps best practices (CI/CD, containerization, monitoring, deployment automation)
* Ensure enterprise\-grade reliability, security, and governance
* Collaborate cross\-functionally while owning technical execution
* Evaluate and prototype emerging GenAI tools and platforms
**Required Qualifications**
* Bachelor’s degree in CS, IT, Engineering, or related field (ABET\-accredited preferred)
* 3–5\+ years of professional experience in AI/software engineering
* Strong proficiency in **Python**
* Full\-stack development experience
* Experience building and shipping production software systems
* Cloud experience (AWS, Azure, or GCP)
* DevOps experience (CI/CD pipelines, containerization, deployment automation)
* API design and integration experience
* Proficiency with GitHub or similar source control tools
* Strong communication and problem\-solving skills
**Preferred Qualifications**
* Hands\-on experience building **LLM\-powered applications**
* Experience with agentic/orchestration frameworks (LangChain, LangGraph, AutoGen, or similar)
* Experience in **energy, utilities, or industrial systems** (solar PV, energy storage, transmission, wind is a plus)
Job Type: Contract
Pay: $35\.00 \- $40\.00 per hour
Work Location: Hybrid remote in Panama City, FL 32405</t>
        </is>
      </c>
    </row>
    <row r="345">
      <c r="A345" t="inlineStr">
        <is>
          <t>in-0e9b797c1c049aaa</t>
        </is>
      </c>
      <c r="B345" t="inlineStr">
        <is>
          <t>Robotics Perception AI Engineer</t>
        </is>
      </c>
      <c r="C345" t="inlineStr">
        <is>
          <t>Tata Consultancy Services (TCS)</t>
        </is>
      </c>
      <c r="D345" t="inlineStr">
        <is>
          <t>indeed</t>
        </is>
      </c>
      <c r="E345">
        <f>HYPERLINK("https://www.indeed.com/viewjob?jk=0e9b797c1c049aaa", "https://www.indeed.com/viewjob?jk=0e9b797c1c049aaa")</f>
        <v/>
      </c>
      <c r="F345">
        <f>HYPERLINK("https://ibegin.tcsapps.com/candidate/jobs/shared-job/Mzk2OTc2Sg==", "https://ibegin.tcsapps.com/candidate/jobs/shared-job/Mzk2OTc2Sg==")</f>
        <v/>
      </c>
      <c r="G345" t="inlineStr">
        <is>
          <t>Warren, MI, US</t>
        </is>
      </c>
      <c r="H345" s="2" t="n">
        <v>46068</v>
      </c>
      <c r="I345" t="inlineStr">
        <is>
          <t>Must Have Technical/Functional Skills
* Passionate about robotics, with a strong desire to accelerate the application of robotics with AI.
* Master’s, or Ph.D. in Computer Science, Electrical Engineering, Robotics, or a related field (or bachelor’s degree with exceptional track record)
* 3\+ years of experience with a proven track record of developing and deploying AI/ML, perception, computer vision (e.g. mono and stereo cameras, RGB\-D, event camera, LiDAR, etc) on robotic systems
* Proficiency in Python or C\+\+ with hands\-on experience on deep learning frameworks such as TensorFlow and PyTorch
* Solid understanding of robotics fundamentals, perception and navigation methods (e.g. SLAM, planning) and their typical strengths \&amp; shortcomings
* Consistently seeking opportunities and embracing challenges to drive self\-growth and improvement
What Will Give a Competitive Edge (Preferred Qualifications):
* PhD in Computer Science, Machine Learning, Robotics, Computer Vision or a related research field
* Hands\-on robotics experience, such as autonomous vehicles (AV), ADAS, or industrial automation systems in manufacturing environments.
* Experience with robotics frameworks such as ROS/ROS2, (e.g., Nav2, MoveIt).
* Understanding of CI/CD pipelines and modern software development practices
Roles \&amp; Responsibilities
* Design, develop, and implement perception algorithms for segmentation, scene understanding, object detection and localization, classification, dynamic tracking, etc
* Integrate AI and computer vision algorithms with ROS (Robot Operating System) for real\-time deployment on autonomous robots, e.g. mobile manipulators.
* Design and maintain cloud\-based pipelines for data collection, annotation, preprocessing, model training, and evaluation
* Collaborate with high\-caliber teams of hardware engineers, software engineers, and domain experts to integrate with mapping, motion planning and controls
* Develop offline tools to test and validate perception models in both simulation and real\-world environments.
* Stay updated with emerging technologies and best practices in robotic perception and lead and participate academic/industrial collaborations.
* Generate intellectual property, document results and publish papers
Base Salary Range : $100,000 to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\&lt; /div\&gt;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Warren, MI
**Job Function**
TECHNOLOGY
**Role**
Engineer
**Job Id**
396976
**Desired Skills**
Robotics
**Salary Range**
$100,000\-$130,000 a year
Desired Candidate Profile
**Qualifications** : BACHELOR OF COMPUTER SCIENCE</t>
        </is>
      </c>
    </row>
    <row r="346">
      <c r="A346" t="inlineStr">
        <is>
          <t>in-7abcdeab0fc68655</t>
        </is>
      </c>
      <c r="B346" t="inlineStr">
        <is>
          <t>AI Engineer</t>
        </is>
      </c>
      <c r="C346" t="inlineStr"/>
      <c r="D346" t="inlineStr">
        <is>
          <t>indeed</t>
        </is>
      </c>
      <c r="E346">
        <f>HYPERLINK("https://www.indeed.com/viewjob?jk=7abcdeab0fc68655", "https://www.indeed.com/viewjob?jk=7abcdeab0fc68655")</f>
        <v/>
      </c>
      <c r="F346">
        <f>HYPERLINK("https://jobs.ashbyhq.com/fastino-ai/d0fe2e39-6cf2-4972-8266-461bd447468a?utm_source=VD9zb23Nyk", "https://jobs.ashbyhq.com/fastino-ai/d0fe2e39-6cf2-4972-8266-461bd447468a?utm_source=VD9zb23Nyk")</f>
        <v/>
      </c>
      <c r="G346" t="inlineStr">
        <is>
          <t>US</t>
        </is>
      </c>
      <c r="H346" s="2" t="n">
        <v>46068</v>
      </c>
      <c r="I346" t="inlineStr">
        <is>
          <t>*Full\-time \| Remote*
**Introduction:**
* Join us at Fastino as we build the next generation of LLMs. Our team, boasting alumni from Google Research, Apple, Stanford, and Cambridge is on a mission to develop specialized, efficient AI.
* Fastino's GLiNER family of open source models has been downloaded more than 5 million times and is used by companies such as NVIDIA, Meta, and Airbnb
* Fastino has raised $25M (as featured in TechCrunch) through our seed round and is backed by leading investors including Microsoft, Khosla Ventures, Insight Partners, Github CEO Thomas Dohmke, Docker CEO Scott Johnston, and others.
### **What You’ll Work On**
* Innovate at the edge of efficiency by designing and deploying high\-performance agentic systems that leverage Fastino’s optimized model architectures to outperform traditional LLM benchmarks.
* Bridge the gap between research and production by collaborating with engineering teams to turn novel architectural breakthroughs into scalable, low\-latency solutions for enterprise customers.
* Drive rapid, iterative prototyping of AI functionalities, refining model performance and task\-accuracy based on real\-world telemetry to ensure specialized models meet rigorous developer standards.
* Own the stability and throughput of inference pipelines, proactively solving scalability bottlenecks to ensure models deliver consistent, reliable performance under massive operational loads.
* Architect large\-scale data and fine\-tuning strategies to continuously improve the precision and domain\-specific reliability of the Fastino models.
**What We’re Looking For:**
* Required:2\+ years of hands\-on experience in AI/ML engineering roles
* Required: Demonstrated proficiency with LLMs and a track record of applying AI/ML techniques to solve complex, unstructured problems
* Required: You are comfortable working across the stack from prompt engineering and vector DB tuning to Kubernetes deployment and API design.
* Optional: Experience building microservices that handle high\-concurrency agentic workloads.
* Optional: Familiarity with GLiNER or other information extraction architectures.</t>
        </is>
      </c>
    </row>
    <row r="347">
      <c r="A347" t="inlineStr">
        <is>
          <t>in-6c5461ca58b7fa37</t>
        </is>
      </c>
      <c r="B347" t="inlineStr">
        <is>
          <t>ML Engineer - Small Language Models</t>
        </is>
      </c>
      <c r="C347" t="inlineStr"/>
      <c r="D347" t="inlineStr">
        <is>
          <t>indeed</t>
        </is>
      </c>
      <c r="E347">
        <f>HYPERLINK("https://www.indeed.com/viewjob?jk=6c5461ca58b7fa37", "https://www.indeed.com/viewjob?jk=6c5461ca58b7fa37")</f>
        <v/>
      </c>
      <c r="F347">
        <f>HYPERLINK("https://jobs.ashbyhq.com/fastino-ai/478213e2-8cf8-4b68-9be3-9b0523119702?utm_source=VD9zb23Nyk", "https://jobs.ashbyhq.com/fastino-ai/478213e2-8cf8-4b68-9be3-9b0523119702?utm_source=VD9zb23Nyk")</f>
        <v/>
      </c>
      <c r="G347" t="inlineStr">
        <is>
          <t>US</t>
        </is>
      </c>
      <c r="H347" s="2" t="n">
        <v>46068</v>
      </c>
      <c r="I347" t="inlineStr">
        <is>
          <t>*ML Engineer \- Small Language Models*
*Full\-time \| Hybrid or Remote \| Reports to Founders*
**Introduction:**
* Join us at Fastino as we build **the next generation of LLMs**. Our team, boasting alumni from Google Research, Apple, Stanford, and Cambridge is on a mission to develop specialized, efficient AI.
* **Fastino's GLiNER family of open source models** has been downloaded more than 5 million times and is used by companies such as NVIDIA, Meta, and Airbnb
* **Fastino has raised $25M** (as featured in TechCrunch) through our seed round and is backed by leading investors including Microsoft, Khosla Ventures, Insight Partners, Github CEO Thomas Dohmke, Docker CEO Scott Johnston, and others.
**What You’ll Work On:**
* Design, build, and deploy the critical small language models that are foundational to Fastino’s product
* As an engineer on our team, you will own the full lifecycle of our state of the art models, from prototyping and data analysis to deployment, monitoring, and the continuous improvement of models in production
* Drive the data strategy to continuously improve model performance by analyzing distribution gaps, contributing to synthetic data pipelines, and creating automated annotation systems
* Experiment with novel language model architectures, helping drive and execute Fastino's research roadmap
* Implement reinforcement learning techniques including Direct Preference Optimization and Generalized Reward Preference Optimization to align model outputs with human preferences and quality standards
* Build robust and real\-world motivated evaluations
* Partner with Fastino engineering team to ship model updates directly to customers
* Establish best practices for code health and documentation on the team, to facilitate collaboration and reliable development
**What We’re Looking For:**
* Advanced degree (Bachelors or Masters) in Computer Science, Artificial Intelligence, Machine Learning, or related technical discipline with concentrated study in deep learning or computer vision methodologies
* Demonstrated ability to do independent research in Academic or Industry settings
* Substantial industry experience in large\-scale deep learning model training, with demonstrated expertise in at least one of Large Language Models, Vision\-Language Models, Diffusion Models, or comparable generative AI architectures
* Comprehensive technical proficiency and practical experience with leading deep learning frameworks, including advanced competency in one of PyTorch, JAX, TensorFlow, or equivalent platforms for model development and optimization</t>
        </is>
      </c>
    </row>
    <row r="348">
      <c r="A348" t="inlineStr">
        <is>
          <t>in-dd869f4e8b1fc769</t>
        </is>
      </c>
      <c r="B348" t="inlineStr">
        <is>
          <t>Senior AI/ML Engineer - Remote</t>
        </is>
      </c>
      <c r="C348" t="inlineStr">
        <is>
          <t>Optum</t>
        </is>
      </c>
      <c r="D348" t="inlineStr">
        <is>
          <t>indeed</t>
        </is>
      </c>
      <c r="E348">
        <f>HYPERLINK("https://www.indeed.com/viewjob?jk=dd869f4e8b1fc769", "https://www.indeed.com/viewjob?jk=dd869f4e8b1fc769")</f>
        <v/>
      </c>
      <c r="F348">
        <f>HYPERLINK("https://uhg.taleo.net/careersection/10000/jobdetail.ftl?job=2345103&amp;lang=en", "https://uhg.taleo.net/careersection/10000/jobdetail.ftl?job=2345103&amp;lang=en")</f>
        <v/>
      </c>
      <c r="G348" t="inlineStr">
        <is>
          <t>Seattle, WA, US</t>
        </is>
      </c>
      <c r="H348" s="2" t="n">
        <v>46068</v>
      </c>
      <c r="I348"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In healthcare, evolution doesn't just happen. It takes innovation, imagination, and a passion for solving problems in new and better ways. And innovation is taking place at a lightning\-fast pace every day at Optum.
As the fastest growing part of the UnitedHealth Group family of businesses, we're expanding our team and creating excellent opportunities for those who want greater purpose and more impact in their work. We'll provide the investment, support, and resources to advance your career. You'll provide the talent, ambition, and drive.
As a Senior AI/ML Engineer, you will harness cutting\-edge AI and machine learning technologies to enhance and transform current operations at Optum. This role is crucial for driving initiatives such as real\-time settlement, medical chart processing, autonomous medical code generation, and medical image processing. You will collaborate closely with business and operations teams to understand their requirements and translate abstract concepts into practical AI solutions. Your contributions will play a vital role in significant AI initiatives that will positively impact healthcare systems. You will thrive in a challenging yet supportive environment that not only defines success for your current role but also offers opportunities for growth in areas of your interest.
 **Schedule:** Full\-time position with standard working hours of Monday \- Friday, 9am \- 5pm.
You'll enjoy the flexibility to work remotely\* from anywhere within the U.S. as you take on some tough challenges. For all hires in the Minneapolis or Washington, D.C. area, you will be required to work in the office a minimum of four days per week.
 **Primary Responsibilities:**
* Leverage AI/ML technologies to transform and improve current Optum operations. This includes, but is not limited to, projects such as smart revenue management, intelligent payment platforms, medical chart processing, automated medical code generation, and medical image processing
* Collaborate closely with business and operations teams to grasp the requirements and translate vague concepts into tangible AI solutions. Possess solid implementation skills to bring these solutions to life and work with engineering teams to build scalable, flexible product pipelines
* Adapt to an agile, fast\-paced environment, and maintain a passion for exploring and integrating cutting\-edge AI technologies to support future projects
* Your contributions will be recognized in a challenging yet supportive environment that not only defines success for your current role but also provides opportunities for development in areas you're interested in
You'll be rewarded and recognized for your performance in an environment that will challenge you and give you clear direction on what it takes to succeed in your role as well as provide development for other roles you may be interested in.
**Required Qualifications:**
* Master's Degree (or higher) in Computer Science, Math/Statistics, Electrical Engineering, Industrial Engineering, Bioinformatics, or another technical field that provides mathematical training
* 2\+ years of experience in Data Science or AI/ML Engineering
* 2\+ years of advanced level proficiency in at least one scripting language, such as Java, Python, SQL, PySpark, or C\+\+
* 2\+ years of advanced level proficiency with AI/ML technologies
* 2\+ years of advanced level proficiency working with predictive analytics, NLP, image processing, Generative AI, or related technologies
* 1\+ years of advanced level proficiency in analyzing business challenges and designing AI\-driven solutions
 **Preferred Qualifications:**
* PhD in Computer Science, Math/Statistics, Electrical Engineering, Industrial Engineering, Bioinformatics, or another technical field that provides solid mathematical training
* Hands\-on experience with GenAI tools, LLMs (GPT, LLaMA, Gemini) and RAG pipelines
* Ability to find AI solutions for undefined problems
 **Soft Skills:**
* Ability to be a fast learner and self\-driven
* Ability to work independently on complex AI projects
 **Please note you must currently be eligible to work and remain indefinitely without any restrictions in the country to which you are making an application. Proof will be required to support your application.**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349">
      <c r="A349" t="inlineStr">
        <is>
          <t>in-b33ca4f89091743f</t>
        </is>
      </c>
      <c r="B349" t="inlineStr">
        <is>
          <t>Sr. Machine Learning Engineer, WWPS ProServe Data and Machine Learning</t>
        </is>
      </c>
      <c r="C349" t="inlineStr">
        <is>
          <t>Amazon Web Services</t>
        </is>
      </c>
      <c r="D349" t="inlineStr">
        <is>
          <t>indeed</t>
        </is>
      </c>
      <c r="E349">
        <f>HYPERLINK("https://www.indeed.com/viewjob?jk=b33ca4f89091743f", "https://www.indeed.com/viewjob?jk=b33ca4f89091743f")</f>
        <v/>
      </c>
      <c r="F349">
        <f>HYPERLINK("https://www.amazon.jobs/jobs/3181063/sr-machine-learning-engineer-wwps-proserve-data-and-machine-learning?cmpid=DA_INAD200785B", "https://www.amazon.jobs/jobs/3181063/sr-machine-learning-engineer-wwps-proserve-data-and-machine-learning?cmpid=DA_INAD200785B")</f>
        <v/>
      </c>
      <c r="G349" t="inlineStr">
        <is>
          <t>Herndon, VA, US</t>
        </is>
      </c>
      <c r="H349" s="2" t="n">
        <v>46062</v>
      </c>
      <c r="I349"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350">
      <c r="A350" t="inlineStr">
        <is>
          <t>in-ca326c203262ce19</t>
        </is>
      </c>
      <c r="B350" t="inlineStr">
        <is>
          <t>Sr. Machine Learning Engineer, WWPS ProServe Data and Machine Learning</t>
        </is>
      </c>
      <c r="C350" t="inlineStr">
        <is>
          <t>Amazon Web Services</t>
        </is>
      </c>
      <c r="D350" t="inlineStr">
        <is>
          <t>indeed</t>
        </is>
      </c>
      <c r="E350">
        <f>HYPERLINK("https://www.indeed.com/viewjob?jk=ca326c203262ce19", "https://www.indeed.com/viewjob?jk=ca326c203262ce19")</f>
        <v/>
      </c>
      <c r="F350">
        <f>HYPERLINK("https://www.amazon.jobs/jobs/3181063/sr-machine-learning-engineer-wwps-proserve-data-and-machine-learning?cmpid=DA_INAD200785B", "https://www.amazon.jobs/jobs/3181063/sr-machine-learning-engineer-wwps-proserve-data-and-machine-learning?cmpid=DA_INAD200785B")</f>
        <v/>
      </c>
      <c r="G350" t="inlineStr">
        <is>
          <t>Arlington, VA, US</t>
        </is>
      </c>
      <c r="H350" s="2" t="n">
        <v>46062</v>
      </c>
      <c r="I350" t="inlineStr">
        <is>
          <t>**DESCRIPTION**
---------------
This position requires that the candidate selected be a US Citizen and must currently possess and maintain an active TS/SCI security clearance with polygraph.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a quantitative field such as statistics, mathematics, data science, business analytics, economics, finance, engineering, or computer science
* 5\+ years of data querying languages (e.g. SQL), scripting languages (e.g. Python) or statistical/mathematical software (e.g. R, SAS, Matlab, etc.) experience
* Experience in data applications using large scale distributed systems (e.g., EMR, Spark, Elasticsearch, Hadoop, Pig, and Hive)
* Knowledge of professional software engineering \&amp; best practices for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in a quantitative field such as statistics, mathematics, data science, business analytics, economics, finance, engineering, or computer science
* 2\+ years of data visualization using AWS QuickSight, Tableau, R Shiny, etc. experience
* Experience managing data pipelines
* Knowledge of machine learning approaches and algorithms
* Experience working on multi\-team, cross\-disciplinary projects
* Experience applying quantitative analysis to solve business problems and making data\-driven business decisions
* Experience in developing and deploying LLMs in production on GPUs, Neuron, TPU or other AI acceleration hardware, or experience with Machine Learning and Large Language Model fundamentals, including architecture, training/inference lifecycles, and optimization of model execution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\- 159,200\.00 \- 215,300\.00 USD annually  
USA, VA, Herndon \- 159,200\.00 \- 215,300\.00 USD annually</t>
        </is>
      </c>
    </row>
    <row r="351">
      <c r="A351" t="inlineStr">
        <is>
          <t>in-c5b933640d20dcb0</t>
        </is>
      </c>
      <c r="B351" t="inlineStr">
        <is>
          <t>Data and Machine Learning Engineer - Vision Language Models, Data &amp; Machine Learning (DML)</t>
        </is>
      </c>
      <c r="C351" t="inlineStr">
        <is>
          <t>Amazon Web Services</t>
        </is>
      </c>
      <c r="D351" t="inlineStr">
        <is>
          <t>indeed</t>
        </is>
      </c>
      <c r="E351">
        <f>HYPERLINK("https://www.indeed.com/viewjob?jk=c5b933640d20dcb0", "https://www.indeed.com/viewjob?jk=c5b933640d20dcb0")</f>
        <v/>
      </c>
      <c r="F351">
        <f>HYPERLINK("https://www.amazon.jobs/jobs/3173014/data-and-machine-learning-engineer--vision-language-models-data--machine-learning-dml?cmpid=DA_INAD200785B", "https://www.amazon.jobs/jobs/3173014/data-and-machine-learning-engineer--vision-language-models-data--machine-learning-dml?cmpid=DA_INAD200785B")</f>
        <v/>
      </c>
      <c r="G351" t="inlineStr">
        <is>
          <t>Herndon, VA, US</t>
        </is>
      </c>
      <c r="H351" s="2" t="n">
        <v>46051</v>
      </c>
      <c r="I351"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2">
      <c r="A352" t="inlineStr">
        <is>
          <t>in-422bbdf712357fdf</t>
        </is>
      </c>
      <c r="B352" t="inlineStr">
        <is>
          <t>Data and Machine Learning Engineer - Vision Language Models, Data &amp; Machine Learning (DML)</t>
        </is>
      </c>
      <c r="C352" t="inlineStr">
        <is>
          <t>Amazon Web Services</t>
        </is>
      </c>
      <c r="D352" t="inlineStr">
        <is>
          <t>indeed</t>
        </is>
      </c>
      <c r="E352">
        <f>HYPERLINK("https://www.indeed.com/viewjob?jk=422bbdf712357fdf", "https://www.indeed.com/viewjob?jk=422bbdf712357fdf")</f>
        <v/>
      </c>
      <c r="F352">
        <f>HYPERLINK("https://www.amazon.jobs/jobs/3173014/data-and-machine-learning-engineer--vision-language-models-data--machine-learning-dml?cmpid=DA_INAD200785B", "https://www.amazon.jobs/jobs/3173014/data-and-machine-learning-engineer--vision-language-models-data--machine-learning-dml?cmpid=DA_INAD200785B")</f>
        <v/>
      </c>
      <c r="G352" t="inlineStr">
        <is>
          <t>Arlington, VA, US</t>
        </is>
      </c>
      <c r="H352" s="2" t="n">
        <v>46051</v>
      </c>
      <c r="I352" t="inlineStr">
        <is>
          <t>**DESCRIPTION**
---------------
This position requires that the candidate selected be a US Citizen and currently possess and maintain an active Top Secret security clearance.  
Join a sizeable team of data scientists, research scientists, and machine learning engineers that develop vision language models (VLMs) on overhead imagery for a high\-impact government customer. We own the entire machine learning development life cycle, developing models on customer data:
* Exploring the data and brainstorming and prioritizing ideas for model development
* Implementing new features
* Training models in support of experimental or performance goals
* T\&amp;E\-ing, packaging, and delivering models
We perform this work on both unclassified and classified networks, with portions of our team working on each network.
We seek a new team member to work on the classified networks. You would work collaboratively with teammates to develop and use a python codebase for fine\-tuning VLMs.
You would have great opportunities to learn from team members and technical leads, while also having opportunities for ownership of important project workflows. You would work with Jupyter Notebooks, the Linux command line, GitLab, and Visual Studio Code.
Key job responsibilities  
With support from technical leads, carry out tasking across the entire machine learning development lifecycle to fine\-tune VLMs on overhead imagery:
* Run data conversion pipelines to transform customer data into the structure needed by models for training
* Perform EDA on the customer data
* Train VLMs on overhead imagery
* Develop and implement hyper\-parameter optimization strategies
* Test and Evaluate models and analyze results
* Package and deliver models to the customer
* Implement new features to the code base
* Collaborate with the rest of the team on long term strategy and short\-medium term implementation.
* Contribute to presentations to the customer regarding the team’s work.
**BASIC QUALIFICATIONS**
------------------------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Bachelor's degree or above in computer science, machine learning, engineering, or related fields
* Current, active US Government Security Clearance of Top Secret or above
**PREFERRED QUALIFICATIONS**
----------------------------
* Experience in a ML or data scientist role with a large technology company
* Experience working on multi\-team, cross\-disciplinary projects
* Master's degree or above in computer science, machine learning, engineering, or related fields
* Knowledge of Linux, PyTorch, and Git workflows for computer vision requirements
* Experience developing visual language models leveraging satellite imagery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3">
      <c r="A353" t="inlineStr">
        <is>
          <t>in-4c182e0cfa4df4f8</t>
        </is>
      </c>
      <c r="B353" t="inlineStr">
        <is>
          <t>Machine Learning Engineer, WWPS ProServe Data and Machine Learning</t>
        </is>
      </c>
      <c r="C353" t="inlineStr">
        <is>
          <t>Amazon Web Services</t>
        </is>
      </c>
      <c r="D353" t="inlineStr">
        <is>
          <t>indeed</t>
        </is>
      </c>
      <c r="E353">
        <f>HYPERLINK("https://www.indeed.com/viewjob?jk=4c182e0cfa4df4f8", "https://www.indeed.com/viewjob?jk=4c182e0cfa4df4f8")</f>
        <v/>
      </c>
      <c r="F353">
        <f>HYPERLINK("https://www.amazon.jobs/jobs/3168182/machine-learning-engineer-wwps-proserve-data-and-machine-learning?cmpid=DA_INAD200785B", "https://www.amazon.jobs/jobs/3168182/machine-learning-engineer-wwps-proserve-data-and-machine-learning?cmpid=DA_INAD200785B")</f>
        <v/>
      </c>
      <c r="G353" t="inlineStr">
        <is>
          <t>Arlington, VA, US</t>
        </is>
      </c>
      <c r="H353" s="2" t="n">
        <v>46044</v>
      </c>
      <c r="I353"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4">
      <c r="A354" t="inlineStr">
        <is>
          <t>in-9d17e079bb2000de</t>
        </is>
      </c>
      <c r="B354" t="inlineStr">
        <is>
          <t>Machine Learning Engineer, WWPS ProServe Data and Machine Learning</t>
        </is>
      </c>
      <c r="C354" t="inlineStr">
        <is>
          <t>Amazon Web Services</t>
        </is>
      </c>
      <c r="D354" t="inlineStr">
        <is>
          <t>indeed</t>
        </is>
      </c>
      <c r="E354">
        <f>HYPERLINK("https://www.indeed.com/viewjob?jk=9d17e079bb2000de", "https://www.indeed.com/viewjob?jk=9d17e079bb2000de")</f>
        <v/>
      </c>
      <c r="F354">
        <f>HYPERLINK("https://www.amazon.jobs/jobs/3168182/machine-learning-engineer-wwps-proserve-data-and-machine-learning?cmpid=DA_INAD200785B", "https://www.amazon.jobs/jobs/3168182/machine-learning-engineer-wwps-proserve-data-and-machine-learning?cmpid=DA_INAD200785B")</f>
        <v/>
      </c>
      <c r="G354" t="inlineStr">
        <is>
          <t>Herndon, VA, US</t>
        </is>
      </c>
      <c r="H354" s="2" t="n">
        <v>46044</v>
      </c>
      <c r="I35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355">
      <c r="A355" t="inlineStr">
        <is>
          <t>in-77342bbd3b611e17</t>
        </is>
      </c>
      <c r="B355" t="inlineStr">
        <is>
          <t>Applied Scientist, Alexa Smart Home</t>
        </is>
      </c>
      <c r="C355" t="inlineStr">
        <is>
          <t>Amazon.com</t>
        </is>
      </c>
      <c r="D355" t="inlineStr">
        <is>
          <t>indeed</t>
        </is>
      </c>
      <c r="E355">
        <f>HYPERLINK("https://www.indeed.com/viewjob?jk=77342bbd3b611e17", "https://www.indeed.com/viewjob?jk=77342bbd3b611e17")</f>
        <v/>
      </c>
      <c r="F355">
        <f>HYPERLINK("https://www.amazon.jobs/jobs/3169205/applied-scientist-alexa-smart-home?cmpid=DA_INAD200785B", "https://www.amazon.jobs/jobs/3169205/applied-scientist-alexa-smart-home?cmpid=DA_INAD200785B")</f>
        <v/>
      </c>
      <c r="G355" t="inlineStr">
        <is>
          <t>Sunnyvale, CA, US</t>
        </is>
      </c>
      <c r="H355" s="2" t="n">
        <v>46033</v>
      </c>
      <c r="I35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56">
      <c r="A356" t="inlineStr">
        <is>
          <t>in-5a1e6110117a48d0</t>
        </is>
      </c>
      <c r="B356" t="inlineStr">
        <is>
          <t>Applied Scientist, Alexa Smart Home</t>
        </is>
      </c>
      <c r="C356" t="inlineStr">
        <is>
          <t>Amazon.com</t>
        </is>
      </c>
      <c r="D356" t="inlineStr">
        <is>
          <t>indeed</t>
        </is>
      </c>
      <c r="E356">
        <f>HYPERLINK("https://www.indeed.com/viewjob?jk=5a1e6110117a48d0", "https://www.indeed.com/viewjob?jk=5a1e6110117a48d0")</f>
        <v/>
      </c>
      <c r="F356">
        <f>HYPERLINK("https://www.amazon.jobs/jobs/3169205/applied-scientist-alexa-smart-home?cmpid=DA_INAD200785B", "https://www.amazon.jobs/jobs/3169205/applied-scientist-alexa-smart-home?cmpid=DA_INAD200785B")</f>
        <v/>
      </c>
      <c r="G356" t="inlineStr">
        <is>
          <t>Seattle, WA, US</t>
        </is>
      </c>
      <c r="H356" s="2" t="n">
        <v>46033</v>
      </c>
      <c r="I3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57">
      <c r="A357" t="inlineStr">
        <is>
          <t>in-9fe95166e8d361fa</t>
        </is>
      </c>
      <c r="B357" t="inlineStr">
        <is>
          <t>ML Engineer, GO-AI Technology &amp; Development Team</t>
        </is>
      </c>
      <c r="C357" t="inlineStr">
        <is>
          <t>Amazon.com</t>
        </is>
      </c>
      <c r="D357" t="inlineStr">
        <is>
          <t>indeed</t>
        </is>
      </c>
      <c r="E357">
        <f>HYPERLINK("https://www.indeed.com/viewjob?jk=9fe95166e8d361fa", "https://www.indeed.com/viewjob?jk=9fe95166e8d361fa")</f>
        <v/>
      </c>
      <c r="F357">
        <f>HYPERLINK("https://www.amazon.jobs/jobs/3173298/ml-engineer-goai-technology--development-team?cmpid=DA_INAD200785B", "https://www.amazon.jobs/jobs/3173298/ml-engineer-goai-technology--development-team?cmpid=DA_INAD200785B")</f>
        <v/>
      </c>
      <c r="G357" t="inlineStr">
        <is>
          <t>Boston, MA, US</t>
        </is>
      </c>
      <c r="H357" s="2" t="n">
        <v>45998</v>
      </c>
      <c r="I35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58">
      <c r="A358" t="inlineStr">
        <is>
          <t>in-1d538cd444eb57df</t>
        </is>
      </c>
      <c r="B358" t="inlineStr">
        <is>
          <t>ML Engineer, GO-AI Technology &amp; Development Team</t>
        </is>
      </c>
      <c r="C358" t="inlineStr">
        <is>
          <t>Amazon.com</t>
        </is>
      </c>
      <c r="D358" t="inlineStr">
        <is>
          <t>indeed</t>
        </is>
      </c>
      <c r="E358">
        <f>HYPERLINK("https://www.indeed.com/viewjob?jk=1d538cd444eb57df", "https://www.indeed.com/viewjob?jk=1d538cd444eb57df")</f>
        <v/>
      </c>
      <c r="F358">
        <f>HYPERLINK("https://www.amazon.jobs/jobs/3173298/ml-engineer-goai-technology--development-team?cmpid=DA_INAD200785B", "https://www.amazon.jobs/jobs/3173298/ml-engineer-goai-technology--development-team?cmpid=DA_INAD200785B")</f>
        <v/>
      </c>
      <c r="G358" t="inlineStr">
        <is>
          <t>Reading, MA, US</t>
        </is>
      </c>
      <c r="H358" s="2" t="n">
        <v>45998</v>
      </c>
      <c r="I35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59">
      <c r="A359" t="inlineStr">
        <is>
          <t>in-f7d72b98c3bd4b75</t>
        </is>
      </c>
      <c r="B359" t="inlineStr">
        <is>
          <t>ML Engineer, GO-AI Technology &amp; Development Team</t>
        </is>
      </c>
      <c r="C359" t="inlineStr">
        <is>
          <t>Amazon.com</t>
        </is>
      </c>
      <c r="D359" t="inlineStr">
        <is>
          <t>indeed</t>
        </is>
      </c>
      <c r="E359">
        <f>HYPERLINK("https://www.indeed.com/viewjob?jk=f7d72b98c3bd4b75", "https://www.indeed.com/viewjob?jk=f7d72b98c3bd4b75")</f>
        <v/>
      </c>
      <c r="F359">
        <f>HYPERLINK("https://www.amazon.jobs/jobs/3173298/ml-engineer-goai-technology--development-team?cmpid=DA_INAD200785B", "https://www.amazon.jobs/jobs/3173298/ml-engineer-goai-technology--development-team?cmpid=DA_INAD200785B")</f>
        <v/>
      </c>
      <c r="G359" t="inlineStr">
        <is>
          <t>Westborough, MA, US</t>
        </is>
      </c>
      <c r="H359" s="2" t="n">
        <v>45998</v>
      </c>
      <c r="I35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360">
      <c r="A360" t="inlineStr">
        <is>
          <t>in-787b3f8040c1f87d</t>
        </is>
      </c>
      <c r="B360" t="inlineStr">
        <is>
          <t>ML Engineer, GO-AI Technology &amp; Development Team</t>
        </is>
      </c>
      <c r="C360" t="inlineStr">
        <is>
          <t>Amazon.com</t>
        </is>
      </c>
      <c r="D360" t="inlineStr">
        <is>
          <t>indeed</t>
        </is>
      </c>
      <c r="E360">
        <f>HYPERLINK("https://www.indeed.com/viewjob?jk=787b3f8040c1f87d", "https://www.indeed.com/viewjob?jk=787b3f8040c1f87d")</f>
        <v/>
      </c>
      <c r="F360">
        <f>HYPERLINK("https://www.amazon.jobs/jobs/3173298/ml-engineer-goai-technology--development-team?cmpid=DA_INAD200785B", "https://www.amazon.jobs/jobs/3173298/ml-engineer-goai-technology--development-team?cmpid=DA_INAD200785B")</f>
        <v/>
      </c>
      <c r="G360" t="inlineStr">
        <is>
          <t>Seattle, WA, US</t>
        </is>
      </c>
      <c r="H360" s="2" t="n">
        <v>45998</v>
      </c>
      <c r="I360"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li-4372363953</t>
        </is>
      </c>
      <c r="B2" t="inlineStr">
        <is>
          <t>Senior Machine Learning Engineer</t>
        </is>
      </c>
      <c r="C2" t="inlineStr">
        <is>
          <t>A1</t>
        </is>
      </c>
      <c r="D2" t="inlineStr">
        <is>
          <t>linkedin</t>
        </is>
      </c>
      <c r="E2" t="inlineStr"/>
      <c r="F2" t="inlineStr"/>
      <c r="G2" t="inlineStr">
        <is>
          <t>Palo Alto, CA</t>
        </is>
      </c>
      <c r="H2" t="inlineStr"/>
      <c r="I2" t="inlineStr">
        <is>
          <t>**About the Role** 
 A1 is building a proactive AI system that carries work forward across conversations, tools, and time.
 You will be a core owner of significant ML systems in production. This role is for engineers who can independently drive complex ML problems from idea to deployment and make strong trade\-offs along the way.
**Focus** 
* Build core ML systems that power a proactive, long\-horizon AI product.
* Own work end\-to\-end: data preparation, training, evaluation, inference, and iteration.
* Turn research ideas into working systems that run reliably in production.
* Debug model failures and system issues using real production signals.
* Iterate quickly: ship, measure outcomes, refine, and repeat.
* Collaborate closely with research, product, and engineering to deliver real user impact.
* Mentor and review work from other ML engineers through example and technical judgment.
* Work under real production constraints: latency, cost, reliability, and safety
**Tech Stack** 
* Python
* PyTorch / JAX
* GPU\-based training and inference systems
**Ideal Experience** 
* You have built and shipped ML systems used by real users.
* You understand how modern ML models behave — and misbehave — in production.
* You write strong, production\-quality code and think in systems, not scripts.
* You take ownership, work independently, and push work across the finish line.
* You learn fast, communicate clearly, and improve through iteration.
**Compensation Range** 
 $250K – $555K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3">
      <c r="A3" t="inlineStr">
        <is>
          <t>li-4359476900</t>
        </is>
      </c>
      <c r="B3" t="inlineStr">
        <is>
          <t>Machine Learning Engineer</t>
        </is>
      </c>
      <c r="C3" t="inlineStr">
        <is>
          <t>Monarch Recruiters</t>
        </is>
      </c>
      <c r="D3" t="inlineStr">
        <is>
          <t>linkedin</t>
        </is>
      </c>
      <c r="E3" t="inlineStr"/>
      <c r="F3" t="inlineStr"/>
      <c r="G3" t="inlineStr"/>
      <c r="H3" t="inlineStr"/>
      <c r="I3" t="inlineStr">
        <is>
          <t>Our Client is building the taste layer for AI \- teaching models what
 *"great"* 
 feels like across subjective domains. They lead research with creative experts and AI labs to develop the methods, data, and evaluations that teach models to understand quality, style, and emotion.
 As a Machine Learning Research Engineer, you’ll drive research that teaches models across domains such as model personality and behavior, UI design, multimodal generation, and writing tone.
**Qualifications** 
* Degree in relevant Computer Science, Machine Learning, or Computer Engineering
* 2\+ years of work experience in post\- training/ML research/ML engineering
* Experience in ML research, Applied ML, or ML research engineering, especially in post\-training/fine\-tuning large models (SFT, RLHF, DPO).
* Experience with LLM/diffusion models
* Experience working at or with a data provider for model training
* Proficiency in Python and PyTorch for software engineering
**What You'll Do** 
* Train reward models, classifiers, and verifiers for subjective domains (e.g., design, writing, visual style).
* Develop frontier evaluations and benchmarks for subjective domains.
* Run post\-training experiments on open\-source models to test new data formats and pos training techniques.
* Collaborate with AI labs and creative experts to design pilots and experiments around taste.
* Own the end\-to\-end pipeline.
* Publish blogs and whitepapers.
**What Sets You Apart** 
* Thinks like a researcher, moves like an engineer
* Creative, intellectually curious, and passionate about art, fashion, or writing
* 0 to 1 startup experience or startup mindset (move quickly, iterative research cycles)</t>
        </is>
      </c>
    </row>
    <row r="4">
      <c r="A4" t="inlineStr">
        <is>
          <t>li-4372379011</t>
        </is>
      </c>
      <c r="B4" t="inlineStr">
        <is>
          <t>Principal Machine Learning Engineer</t>
        </is>
      </c>
      <c r="C4" t="inlineStr">
        <is>
          <t>A1</t>
        </is>
      </c>
      <c r="D4" t="inlineStr">
        <is>
          <t>linkedin</t>
        </is>
      </c>
      <c r="E4" t="inlineStr"/>
      <c r="F4" t="inlineStr"/>
      <c r="G4" t="inlineStr">
        <is>
          <t>Palo Alto, CA</t>
        </is>
      </c>
      <c r="H4" t="inlineStr"/>
      <c r="I4" t="inlineStr">
        <is>
          <t>**About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**Focus** 
* Build and own end\-to\-end ML pipelines spanning data, training, evaluation, inference, and deployment.
* Fine\-tune and adapt models using state\-of\-the\-art methods such as LoRA, QLoRA, SFT, DPO, and distillation.
* Architect and operate scalable inference systems, balancing latency, cost, and reliability.
* Design and maintain data systems for high\-quality synthetic and real\-world training data.
* Implement evaluation pipelines covering performance, robustness, safety, and bias, in partnership with research leadership.
* Own production deployment, including GPU optimization, memory efficiency, latency reduction, and scaling policies.
* Collaborate closely with application engineering to integrate ML systems cleanly into backend, mobile, and desktop products.
* Make pragmatic trade\-offs and ship improvements quickly, learning from real usage.
* Work under real production constraints: latency, cost, reliability, and safety
**Requirements** 
* Strong background in deep learning and transformer\-based architectures.
* Hands\-on experience training, fine\-tuning, or deploying large\-scale ML models in production.
* Proficiency with at least one modern ML framework (e.g. PyTorch, JAX), and ability to learn others quickly.
* Experience with distributed training and inference frameworks (e.g. DeepSpeed, FSDP, Megatron, ZeRO, Ray).
* Strong software engineering fundamentals – you write robust, maintainable, production\-grade systems.
* Experience with GPU optimization, including memory efficiency, quantization, and mixed precision.
* Comfort owning ambiguous, zero\-to\-one ML systems end\-to\-end.
* A bias toward shipping, learning fast, and improving systems through iteration.
**Ideal Experience** 
* Experience with LLM inference frameworks such as vLLM, TensorRT\-LLM, or FasterTransformer.
* Contributions to open\-source ML or systems libraries.
* Background in scientific computing, compilers, or GPU kernels.
* Experience with RLHF pipelines (PPO, DPO, ORPO).
* Experience training or deploying multimodal or diffusion models.
* Experience with large\-scale data processing (Apache Arrow, Spark, Ray).
**Compensation Range** 
 $347K – $490K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5">
      <c r="A5" t="inlineStr">
        <is>
          <t>li-4372343900</t>
        </is>
      </c>
      <c r="B5" t="inlineStr">
        <is>
          <t>AI/ML Engineer</t>
        </is>
      </c>
      <c r="C5" t="inlineStr">
        <is>
          <t>Tata Consultancy Services</t>
        </is>
      </c>
      <c r="D5" t="inlineStr">
        <is>
          <t>linkedin</t>
        </is>
      </c>
      <c r="E5" t="inlineStr"/>
      <c r="F5" t="inlineStr"/>
      <c r="G5" t="inlineStr">
        <is>
          <t>North Chicago, IL</t>
        </is>
      </c>
      <c r="H5" t="inlineStr"/>
      <c r="I5" t="inlineStr">
        <is>
          <t>**Job Description**
 Must Have Technical/Functional Skills
 Python, API, AI, ML, LLM, Data Analysis \&amp; Mining, Pandas
 Prompt Engineering, RAG Framework, LangChain
 Knowledge of machine learning algorithms, deep learning, and statistics.
 Understand ML Frameworks (TensorFlow, PyTorch, scikit\-learn).
 Roles \&amp; Responsibilities
 Designing, developing, and deploying machine learning models.
 Implementing and optimizing algorithms for various applications.
 Evaluating model performance and making improvements.
 Staying updated with latest AI/ML technologies and research.
 Generate actionable insights from data having good communication and presentation skills.
 Ability to learn and adapt new technologies or skill set with changing market dynamics.
 Salary Range $120,000\-$140,000year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6">
      <c r="A6" t="inlineStr">
        <is>
          <t>li-4372379018</t>
        </is>
      </c>
      <c r="B6" t="inlineStr">
        <is>
          <t>Staff Machine Learning Engineer</t>
        </is>
      </c>
      <c r="C6" t="inlineStr">
        <is>
          <t>A1</t>
        </is>
      </c>
      <c r="D6" t="inlineStr">
        <is>
          <t>linkedin</t>
        </is>
      </c>
      <c r="E6" t="inlineStr"/>
      <c r="F6" t="inlineStr"/>
      <c r="G6" t="inlineStr">
        <is>
          <t>Palo Alto, CA</t>
        </is>
      </c>
      <c r="H6" t="inlineStr"/>
      <c r="I6" t="inlineStr">
        <is>
          <t>**About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**What You'll Do** 
* Build and own end\-to\-end ML pipelines spanning data, training, evaluation, inference, and deployment.
* Fine\-tune and adapt models using state\-of\-the\-art methods such as LoRA, QLoRA, SFT, DPO, and distillation.
* Architect and operate scalable inference systems, balancing latency, cost, and reliability.
* Design and maintain data systems for high\-quality synthetic and real\-world training data.
* Implement evaluation pipelines covering performance, robustness, safety, and bias, in partnership with research leadership.
* Own production deployment, including GPU optimization, memory efficiency, latency reduction, and scaling policies.
* Collaborate closely with application engineering to integrate ML systems cleanly into backend, mobile, and desktop products.
* Make pragmatic trade\-offs and ship improvements quickly, learning from real usage.
* Work under real production constraints: latency, cost, reliability, and safety
**Tech Stack** 
* Python
* PyTorch / JAX
* GPU\-based training and inference system
**Ideal Experience** 
* You have built or shipped real ML systems used by people, not just demos.
* You are comfortable working with large models and understanding their failure modes.
* You write strong, production\-grade code and care about system correctness.
* You are self\-directed, pragmatic, and take full ownership of outcomes.
* You communicate clearly and collaborate well in small, high\-trust teams.
**Compensation Range** 
 $450K – $670K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7">
      <c r="A7" t="inlineStr">
        <is>
          <t>li-4358410293</t>
        </is>
      </c>
      <c r="B7" t="inlineStr">
        <is>
          <t>Sr. Machine Learning Engineer, GAI Search Platform</t>
        </is>
      </c>
      <c r="C7" t="inlineStr">
        <is>
          <t>Moveworks</t>
        </is>
      </c>
      <c r="D7" t="inlineStr">
        <is>
          <t>linkedin</t>
        </is>
      </c>
      <c r="E7" t="inlineStr"/>
      <c r="F7" t="inlineStr"/>
      <c r="G7" t="inlineStr">
        <is>
          <t>Mountain View, CA</t>
        </is>
      </c>
      <c r="H7" t="inlineStr"/>
      <c r="I7" t="inlineStr">
        <is>
          <t>What You Will Do
 We are looking for senior/staff engineers to join our
 *GenAI Search Platform* 
 team to improve our search\-based question answering systems, utilizing both traditional machine learning and cutting\-edge generative AI technologies. At Moveworks, we build conversational search systems to provide instant answers to enterprise users’ questions. We deliver business intelligence support by combining modern information retrieval with the latest advancement in natural language understanding, including LLMs (large language models). By accurately retrieving, matching, ranking, and summarizing text snippets grounded in heterogeneous knowledge sources, our search products are reshaping the enterprise search experience for millions of our customers’ employees.
 For the
 *Search Platform* 
 , we are looking for passionate leaders who can provide technical direction and thoughtful coaching to our team of search and machine\-learning engineers. The search platform team works closely with the ranking, product, design, infrastructure and data science teams to drive our agentic search products to the next generation of capabilities focusing on performance and enterprise readiness.
 We’re building a team that thrives on moving fast, solving challenging product and engineering problems, and providing value to our customers. To be successful, you'll be partnering with product, user experience, customer success and other engineering teams to identify, define and build elegant solutions.
* Architect powerful, elegant abstractions to enable ranking and product teams to contribute safely and easily to the codebase.
* Develop algorithm frameworks to support diverse conversational search applications such as multi\-turn multi\-hop question answering systems.
* Drive the development of our search platform with new LLM\-enabled generative AI features in a fast\-paced environment. This platform would enable product teams to build new applications and features quickly, ship new prototypes to customers at scale, evaluate and iterate on ranking improvements in a systematic manner, and enforce guarantees on quality, security, privacy and scalability.
* Develop systematic evaluation metrics and methodology for our search models, leveraging LLMs to address unique challenges in the enterprise such as security and privacy.
* As a technical leader, you will help build a high\-performing team with an inclusive and positive team culture.
* As a technical leader, you will iterate on our interview processes, and close candidates to help grow the team. You will also coach and mentor engineers at different levels to achieve their career goals.
 What You Bring To The Table
* 5\+ years of engineering with 2\+ years of experience as a senior engineer (technical lead) leading a team of software engineers.
* Passionate about helping product and ranking teams move faster and scale their solutions better in an environment where everyone cares deeply about customer impact and success.
* First\-hand experience relevant to search platforms such as traditional information retrieval, search ranking and relevance, recommendation systems, or question answering systems.
* Background in text processing, information retrieval, natural language understanding, or machine learning.
 Nice to Have
* Experience with (or desire to learn) large language models, retrieval augmented generation (RAG), and agents.
* Experience in Python. Contributing to mature python libraries or platform code, including open\-source repositories is a nice to have.
* Experience in Golang (not required).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8">
      <c r="A8" t="inlineStr">
        <is>
          <t>li-4364595971</t>
        </is>
      </c>
      <c r="B8" t="inlineStr">
        <is>
          <t>Senior Machine Learning Engineer, AI Automation</t>
        </is>
      </c>
      <c r="C8" t="inlineStr">
        <is>
          <t>Unity South APAC (SEA, ANZ, IND Subcont.)</t>
        </is>
      </c>
      <c r="D8" t="inlineStr">
        <is>
          <t>linkedin</t>
        </is>
      </c>
      <c r="E8" t="inlineStr"/>
      <c r="F8" t="inlineStr"/>
      <c r="G8" t="inlineStr">
        <is>
          <t>New York, NY</t>
        </is>
      </c>
      <c r="H8" t="inlineStr"/>
      <c r="I8" t="inlineStr">
        <is>
          <t>The opportunity
 At Unity, we are building a world\-class ad\-tech ecosystem that connects billions of users with games and experiences they love. The Advertiser Growth team is at the heart of this mission, owning the online ads delivery stack, including auction, pacing, and bidding systems.
 As a Senior Machine Learning Engineer, you will be a key contributor to modernizing our core infrastructure and building the backend systems for next\-generation AI agents that revolutionize campaign experience. This role offers the chance to solve complex system challenges at massive scale while directly influencing Unity’s revenue growth.
 What you'll be doing
* Design and deploy intelligent agentic systems that integrate large language models (LLMs) with enterprise data, tools, and workflows using frameworks like LangChain, LlamaIndex, and Semantic Kernel.
* Develop Retrieval\-Augmented Generation (RAG) applications using tools like Azure AI Search, vector databases, and secure enterprise connectors to deliver contextual insights.
* Build and iterate on conversational agents that solve real\-world problems, meet stakeholder needs, and deliver measurable business value.
* Deliver high\-impact features by collaborating across teams, leading through ambiguity, and aligning technical solutions with business goals.
* Drive quality and performance through automated testing, monitoring, and data\-driven evaluation of success criteria, user adoption, and operational efficiency.
* Mentor teammates and contribute to a culture of innovation, technical excellence, and continuous learning.
 What we're looking for
* You have a Bachelor’s/Master’s level degree in computer science or relevant engineering\-related field or equivalent experience.
* You have 8\-10\+ years of software engineering experience, including 1\-2\+ years working on AI\-powered systems or products.
* You have a good foundational knowledge of or hands\-on experience with LLM orchestration frameworks (e.g., LangChain, LlamaIndex, Semantic Kernel) and prompt engineering using LLM APIs.
* Deep GenAI Knowledge: Expertise in LLM integration, prompt engineering, and the technical trade\-offs of different model architectures for specific ad\-tech use cases.
* RAG \&amp; Data Engineering: Hands\-on experience with vector stores (e.g., Pinecone, Milvus, Weaviate), embedding models, and data orchestration for context\-aware AI.
* MCP Protocol Mastery: Familiarity with the Model Context Protocol (MCP) to build interoperable "plug\-and\-play" connections between AI models and local or remote data sources.
* Scalable Backend Foundations: Strong proficiency in Java, Go, or Python, with a background in building large\-scale distributed systems and real\-time data pipelines (Kafka, Flink, or Spark).
* Experimental Mindset: A "zero\-to\-one" approach to engineering, comfortable with rapid prototyping and iterative testing in a fast\-paced environment.
 You might also have
* Ad\-Tech Domain Context: Understanding of auction mechanics, bidding algorithms, or advertiser delivery funnels.
 Additional information
*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salary$148,700—$223,100 USD</t>
        </is>
      </c>
    </row>
    <row r="9">
      <c r="A9" t="inlineStr">
        <is>
          <t>li-4373535912</t>
        </is>
      </c>
      <c r="B9" t="inlineStr">
        <is>
          <t>AI/ML Engineer/Architect</t>
        </is>
      </c>
      <c r="C9" t="inlineStr">
        <is>
          <t>General Dynamics Information Technology</t>
        </is>
      </c>
      <c r="D9" t="inlineStr">
        <is>
          <t>linkedin</t>
        </is>
      </c>
      <c r="E9" t="inlineStr"/>
      <c r="F9" t="inlineStr"/>
      <c r="G9" t="inlineStr"/>
      <c r="H9" t="inlineStr"/>
      <c r="I9" t="inlineStr">
        <is>
          <t>****Job Description:****
**Type of Requisition:**
 Regular
****Clearance Level Must Currently Possess:****
 Secret
****Clearance Level Must Be Able To Obtain:****
 Top Secret/SCI
****Public Trust/Other Required:****
 None
****Job Family:****
 Data Science and Data Engineering
****Skills:****
**Job Qualifications:**
 Artificial Intelligence (AI), Container Orchestration, Machine Learning (ML), Python (Programming Language), Solution Architecture
****Certifications:****
 None
****Experience:****
 8 \+ years of related experience
****US Citizenship Required:****
 Yes
****Job Description:****
 Own your opportunity to turn data into measurable outcomes for our customers’ most complex challenges. As an
 **AI/ML Engineer Architect** 
 . Here, you’ll see the bigger picture on mission initiatives and where your program management career can go at GDIT.
**MEANINGFUL WORK AND PERSONAL IMPACT**
 As an AI/ML Engineer/Architect, your work at GDIT will be directly aligned with the mission of GDIT's Defense sector. You will play a pivotal role in designing and delivering AI/ML solutions that enable faster decision‑making, enhanced situational awareness, and improved operational readiness.
* Lead/Manage/Support the development of AI/ML architectures for fleet operations, cyber defense, and logistics, ensuring scalability, security, and compliance with DoD standards.
* Collaborate with cross‑functional teams—including data scientists, systems engineers, and enterprise architects—to translate complex requirements into robust, deployable solutions.
* Drive key outcomes such as reduced data processing times, increased predictive accuracy, and accelerated AI model deployment across command networks.
* Utilize cutting‑edge technologies such as TensorFlow, PyTorch, Kubernetes, and secure multi‑party computation to meet the Defense sector's stringent security and performance requirements.
* Design and implement agentic AI systems leveraging Crew AI, LangChain, LangGraph, OpenAI, Model Context Protocol (MCP) to enable tool use, memory, and multi\-step autonomous task execution.
****WHAT YOU’LL NEED TO SUCCEED****
 Bring your expertise and drive for innovation to GDIT. The AI Engineer/ Architect must have:
* Education: Bachelor of Science in Artificial Intelligence, Data Science, Computer Science, or another STEM field.
* Experience: 8\+ years of related experience in AI/ML engineering, solution architecture, and system integration, with a proven track record in defense or federal government environments.
* Technical skills:
* Proficiency in AI/ML frameworks (e.g., TensorFlow, PyTorch, Scikit‑Learn).
* Strong background in cloud platforms (AWS, Azure, GCP) and container orchestration (Kubernetes).
* Experience with secure data pipelines, encryption, and compliance with DoD security controls.
* Ability to develop and present AI proposals, including feasibility studies, cost estimates, and implementation roadmaps.
* Security clearance level: Active Secret clearance to start with the ability to obtain a TOP SECRET/SCI
* US citizenship required
* Role requirements:
* Excellent consultative selling skills; ability to engage stakeholders, identify new opportunities, and articulate the value of AI/ML solutions.
* Strong communication and leadership skills; ability to distill complex requirements into actionable deliverables and guide multidisciplinary teams.
* Willingness to travel (up to 25%) and work on\-site at GDIT facilities as needed.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$148,750 \- $201,250\. This is not, however, a guarantee of compensation or salary. Rather, salary will be set based on experience, geographic location and possibly contractual requirements and could fall outside of this range.
****Scheduled Weekly Hours:****
 40
****Travel Required:****
 10\-25%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0">
      <c r="A10" t="inlineStr">
        <is>
          <t>li-4372363649</t>
        </is>
      </c>
      <c r="B10" t="inlineStr">
        <is>
          <t>Data &amp; AI Engineer</t>
        </is>
      </c>
      <c r="C10" t="inlineStr">
        <is>
          <t>Tata Consultancy Services</t>
        </is>
      </c>
      <c r="D10" t="inlineStr">
        <is>
          <t>linkedin</t>
        </is>
      </c>
      <c r="E10" t="inlineStr"/>
      <c r="F10" t="inlineStr"/>
      <c r="G10" t="inlineStr">
        <is>
          <t>Bellevue, WA</t>
        </is>
      </c>
      <c r="H10" t="inlineStr"/>
      <c r="I10" t="inlineStr">
        <is>
          <t>**Job Description**
**Must Have Technical/Functional Skills:**
* CCore Data Engineering Competencies; Data Concepts \&amp; Data Modelling; Digital: Big Data Platforms; data pipelines design; Microsoft fabric data agents; Azure AI Services; AI and ML Integration; Analytical and problem solving skills; Performance tuning and monitoring; Digital: PySpark; ecommerce domain knowledge
**Roles \&amp; Responsibilities**
* Data Engineering
* AI Engineering
* Analysis \&amp; Optimization
* Collaboration \&amp; Documentation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$64,000\-$100,000 a year</t>
        </is>
      </c>
    </row>
    <row r="11">
      <c r="A11" t="inlineStr">
        <is>
          <t>li-4373546036</t>
        </is>
      </c>
      <c r="B11" t="inlineStr">
        <is>
          <t>Senior Machine Learning Engineer I/II</t>
        </is>
      </c>
      <c r="C11" t="inlineStr">
        <is>
          <t>PSC by Rocket Lab</t>
        </is>
      </c>
      <c r="D11" t="inlineStr">
        <is>
          <t>linkedin</t>
        </is>
      </c>
      <c r="E11" t="inlineStr"/>
      <c r="F11" t="inlineStr"/>
      <c r="G11" t="inlineStr">
        <is>
          <t>Chantilly, VA</t>
        </is>
      </c>
      <c r="H11" t="inlineStr"/>
      <c r="I11"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MACHINE LEARNING ENGINEER I/II**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Machine Learning Engineer I/II based at our Optical Systems sites in Chantilly, VA, you will have the opportunity to support Tranche 3 of the U.S. Space Development Agency's (SDA) Proliferated Warfighter Space Architecture (PWSA) by building deep learning neural networks for advanced Electro\-Optical (EO/IR) technology.
**What You’ll Get To Do**
* Collaborate with researchers on artificial intelligence, machine learning, and computer vision.
* Preform rapid prototyping and enhanced development to be integrated into operational systems.
* Contribute programming ability and experience to develop solutions for real\-world problems.
* Validate, tune, test, and deploy advanced neural networks and algorithms.
* Perform troubleshooting, bug fixes, and maintenance of existing and new code to ensure stability.
* Ability to support travel or off\-site work, as needed
 (Please note: this position can be hired at the Senior Machine Learning Engineer II or Senior Machine Learning Engineer I level)
**YOU’LL BRING THESE QUALIFICATIONS AS SENIOR MACHINE LEARNING ENGINEER I:**
* Bachelor’s degree in physics, astronomy, mathematics, computer science, electrical engineering, mechanical engineering or equivalent discipline with 5\-8 years of experience
* Experience in building deep learning neural network for computer vision, image processing, or video analysis
* Ability to obtain and maintain an U.S. Government Security Clearance
**YOU’LL BRING THESE QUALIFICATIONS AS SENIOR MACHINE LEARNING ENGINEER II:**
* Bachelor’s degree in physics, astronomy, mathematics, computer science, electrical engineering, mechanical engineering or equivalent discipline with 8\-12 years of experience
* Experience in building deep learning neural network for computer vision, image processing, or video analysis
* Ability to obtain and maintain an U.S. Government Security Clearance
**These Qualifications Would Be Nice To Have**
* Proficiency in C\+\+ or Python 3
* Experience with deep learning libraries (PyTorch and TensorFlow)
* Experience across the deep learning life cycle, including model selection, training, validation, testing, and deployment.
* Understanding of computer vision approaches, such as object detection, image segmentation, re\-Identification, tracking, and super resolution
* Machine learning experience with 3\-D data.
* Experience curating quality, real\-world datasets for training deep learning models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2">
      <c r="A12" t="inlineStr">
        <is>
          <t>li-4324614002</t>
        </is>
      </c>
      <c r="B12" t="inlineStr">
        <is>
          <t>Principal Gen AI Engineer</t>
        </is>
      </c>
      <c r="C12" t="inlineStr">
        <is>
          <t>Toyota North America</t>
        </is>
      </c>
      <c r="D12" t="inlineStr">
        <is>
          <t>linkedin</t>
        </is>
      </c>
      <c r="E12" t="inlineStr"/>
      <c r="F12" t="inlineStr"/>
      <c r="G12" t="inlineStr">
        <is>
          <t>Plano, TX</t>
        </is>
      </c>
      <c r="H12" t="inlineStr"/>
      <c r="I12"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*To save time applying, Toyota does not offer sponsorship of job applicants for employment\-based visas or any other work authorization for this position at this time.*
**Who We’re Looking For**
 Toyota Financial Services is looking for a passionate and highly\-motivated Principal/Senior Lead Gen AI Engineer. The primary responsibility of this role is to drive the design of secure, scalable, and modern applications, with a strong emphasis on AI and GenAI\-enabling technologies.
 Reporting to the National Manager, Domain Architecture Leader, this is a senior\-level individual contributor role within the Architecture organization, focused on delivering hands\-on solution designs and proofs of concept that bring innovative ideas to life. You will work closely with Domain Architects, product teams, and engineers to solve real business problems by developing good scalable GenAI Solutions.
**What You’ll Be Doing**
* Design scalable and robust GenAI architectures using LLMs, multimodal models, and retrieval\-augmented generation (RAG).
* Fine\-tune foundation models using domain\-specific data.
* Implement prompt engineering, instruction tuning, and reinforcement learning from human feedback (RLHF).
* Integrate GenAI capabilities into enterprise platforms using APIs, SDKs, and orchestration tools.
* Implement responsible AI practices including bias detection, hallucination mitigation, and explainability.
* Monitor and optimize model performance, latency, and cost.
* Use techniques like quantization, distillation, and caching to improve efficiency.
* Stay ahead of GenAI trends and emerging technologies.
* Drive experimentation with new models, agents, and frameworks (e.g., LangChain, LlamaIndex, OpenAI, Anthropic, etc.).
* Ensure compliance with data privacy, security, and regulatory standards.
* Evaluate and select appropriate model types (open\-source vs proprietary) based on business needs.
* Lead hands\-on solution evaluations, prototypes, and proofs of concept, especially for initiatives involving AI, GenAI, and emerging technologies
* Make informed architectural trade\-offs based on business needs, performance, cost, and long\-term maintainability
* Contribute reusable patterns and documentation that support solution delivery across teams
* Stay informed on trends in cloud services, architecture frameworks, and GenAI tooling
**What You Bring**
* 10\+ years of software engineering and development experience
* Proven experience in building and deploying GenAI applications in production.
* Strong programming skills in Python and familiarity with GenAI libraries (Transformers, LangChain, Hugging Face, etc.).
* Deep understanding of LLMs, embeddings, vector databases (e.g., FAISS, Pinecone, Weaviate).
* Experience with cloud platforms (AWS, Azure, GCP) and containerization (Docker, Kubernetes).
* Familiarity with CI/CD for ML workflows and versioning tools like MLflow or DVC.
* Knowledge of prompt engineering, few\-shot learning, and agent\-based systems.
* Hands\-on experience designing and building cloud\-native solutions (preferably on AWS)
* Experience with modern architecture styles: microservices, APIs, event\-driven systems
* Strong ability to articulate technical solutions, trade\-offs, and system behavior to both technical and non\-technical stakeholders
**Added bonus if you have**
* Exposure to GenAI tools and frameworks (e.g., LLMs, vector databases, prompt orchestration, LangChain, Bedrock)
* Familiarity with AWS AI/ML services (e.g., SageMaker, Bedrock, Comprehend, Lex)
* AWS AI certification
* Financial Services experience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13">
      <c r="A13" t="inlineStr">
        <is>
          <t>li-4373545236</t>
        </is>
      </c>
      <c r="B13" t="inlineStr">
        <is>
          <t>Lead Machine Learning Engineer</t>
        </is>
      </c>
      <c r="C13" t="inlineStr">
        <is>
          <t>Innovative Refrigeration Systems, Inc.</t>
        </is>
      </c>
      <c r="D13" t="inlineStr">
        <is>
          <t>linkedin</t>
        </is>
      </c>
      <c r="E13" t="inlineStr"/>
      <c r="F13" t="inlineStr"/>
      <c r="G13" t="inlineStr">
        <is>
          <t>Waynesboro, VA</t>
        </is>
      </c>
      <c r="H13" t="inlineStr"/>
      <c r="I13" t="inlineStr">
        <is>
          <t>Innovative Refrigeration Systems, Inc. is looking for a results\-oriented Lead Machine Learning Engineer to join our Software Engineering Department full\-time onsite in Waynesboro, VA. This role is pivotal in developing advanced machine learning models that optimize energy efficiency across large\-scale industrial refrigeration and cold storage facilities.
 Our aim is to create a more sustainable future for our Fortune 1000 clients powering America’s food supply chain. This is an extremely rewarding and impactful greenfield initiative with a company uniquely positioned to challenge the status quo.
**Job Role:** 
 The Lead Machine Learning Engineer will design, develop, and deploy ML\-driven optimization systems that integrate with industrial PLC and IoT data streams. This role bridges mechanical and data science disciplines to enhance performance and sustainability of refrigeration systems.
**Key Duties**
* Build physics\-based and reinforcement learning models to improve energy efficiency and temperature safety in industrial refrigeration systems.
* Fine\-tune, test, and deploy machine learning models to production environments.
* Collaborate with product, energy, and software teams to influence platform architecture and features.
* Analyze large datasets from industrial sensors, controls, and process systems.
* Develop predictive models for maintenance and performance optimization.
* Document algorithms, workflows, and performance metrics for ongoing improvement.
**Requirements**
* Bachelor’s degree in Computer Science, Computer Information Systems, Data Science, Mechanical, Chemical, or Electrical Engineering (or equivalent experience).
* Minimum 2 years of hands\-on experience building and optimizing ML systems.
* Strong understanding of machine learning theory and practical model deployment.
* Experience working in cloud ML environments (AWS, Azure, or GCP).
* Proficient in ML tools such as Python, TensorFlow, Scikit\-learn, or R.
* Excellent problem\-solving and collaboration skills.
* Self\-starter with the ability to learn mechanical engineering principles related to refrigeration and thermodynamics. Must be able to remain in a stationary position (seated or standing) for extended periods.
* Occasionally may need to lift or carry items up to 25 pounds (e.g., office supplies, small equipment).
**Preferences**
* Master’s or PhD in Computer Science, Mathematics, or Engineering.
* Background in energy optimization, predictive maintenance, thermodynamics, or industrial refrigeration.
* Prior software engineering experience building backend systems around ML models.</t>
        </is>
      </c>
    </row>
    <row r="14">
      <c r="A14" t="inlineStr">
        <is>
          <t>li-4373528616</t>
        </is>
      </c>
      <c r="B14" t="inlineStr">
        <is>
          <t>Senior Software Engineer I/II - AI Engineering</t>
        </is>
      </c>
      <c r="C14" t="inlineStr">
        <is>
          <t>PSC by Rocket Lab</t>
        </is>
      </c>
      <c r="D14" t="inlineStr">
        <is>
          <t>linkedin</t>
        </is>
      </c>
      <c r="E14" t="inlineStr"/>
      <c r="F14" t="inlineStr"/>
      <c r="G14" t="inlineStr">
        <is>
          <t>Littleton, CO</t>
        </is>
      </c>
      <c r="H14" t="inlineStr"/>
      <c r="I14" t="inlineStr">
        <is>
          <t>**About The Role**
**ABOUT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SOFTWARE ENGINEER I/II – AI Engineering**
 Are you passionate about advancing aerospace technology through cutting\-edge software solutions? We're looking for a driven
 **Senior Software Engineer I/II** 
 to join our AI Engineering team, based out of our Littleton, CO site. You will play a pivotal role in developing AI\-driven tools and applications, including those leveraging Large Language Models (LLMs) and advanced machine learning techniques. This role offers the opportunity to work on innovative projects that integrate AI applications to enhance aerospace systems, including simulation accuracy, decision\-making, and automation.
 You’ll be part of a collaborative team, contributing to all phases of AI\-driven software development—from requirements definition and design to coding, testing, and deployment. Our projects focus on applying AI and machine learning to solve complex aerospace challenges.
**What You’ll Get To Do**
* Build AI\-driven applications and integrate Large Language Models (LLMs) to enhance simulation accuracy, decision\-making, and automation.
* Develop and deploy machine learning models using frameworks like TensorFlow or PyTorch.
* Collaborate with cross\-functional teams to identify opportunities for AI integration into aerospace systems.
* Optimize AI applications for performance, scalability, and reliability in large\-scale simulations and data processing.
* Conduct research and development to apply LLMs for aerospace\-specific use cases, such as simulation, predictive modeling, or automated system configuration.
* Participate in design reviews (e.g., PDR, CDR) and contribute to the refinement of system requirements and technical specifications.
* Conduct code reviews to ensure adherence to company coding standards and best practices.
**(Please note: This position can be hired at the Senior Software Engineer I or Senior Software Engineer II level.)**
**Qualifications You’ll Bring As Senior Software Engineer i**
* Bachelor's degree in Computer Science, Computer Engineering, or a related technical discipline.
* 5\+ years of professional experience in software development, with a focus on AI applications or machine learning.
* Familiarity with machine learning frameworks (e.g., TensorFlow, PyTorch) and integrating ML models into software systems.
* Experience working with Large Language Models (LLMs) and AI applications for natural language processing, automation, or decision support.
* Proficiency in C\#/.NET and Angular (or similar frontend frameworks like React or Vue).
* Strong understanding of relational databases (e.g., MySQL, SQL Server, SQLite).
* Solid grasp of object\-oriented programming principles and design patterns.
* U.S citizenship is required, due to program requirements
**Qualifications You’ll Bring As Senior Software Engineer Ii**
* Bachelor's degree in Computer Science, Computer Engineering, or a related technical discipline.
* 8\+ years of professional experience in software development, with a focus on AI applications or machine learning.
* Familiarity with machine learning frameworks (e.g., TensorFlow, PyTorch) and integrating ML models into software systems.
* Experience working with Large Language Models (LLMs) and AI applications for natural language processing, automation, or decision support.
* Proficiency in C\#/.NET and Angular (or similar frontend frameworks like React or Vue).
* Strong understanding of relational databases (e.g., MySQL, SQL Server, SQLite).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Familiarity with Git and modern version control workflows.
* Experience working in Agile/Scrum environments and contributing to iterative development cycles.
* Advanced knowledge of Angular NgRx or other state management libraries.
* Experience applying LLMs for aerospace\-specific use cases, such as simulation, predictive modeling, or automated system configuration.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$130,000—$195,000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15">
      <c r="A15" t="inlineStr">
        <is>
          <t>li-4373577532</t>
        </is>
      </c>
      <c r="B15" t="inlineStr">
        <is>
          <t>AI Engineering Architect</t>
        </is>
      </c>
      <c r="C15" t="inlineStr">
        <is>
          <t>Mogi I/O : OTT/Podcast/Short Video Apps for you</t>
        </is>
      </c>
      <c r="D15" t="inlineStr">
        <is>
          <t>linkedin</t>
        </is>
      </c>
      <c r="E15" t="inlineStr"/>
      <c r="F15" t="inlineStr"/>
      <c r="G15" t="inlineStr">
        <is>
          <t>Plano, TX</t>
        </is>
      </c>
      <c r="H15" t="inlineStr"/>
      <c r="I15" t="inlineStr">
        <is>
          <t>**Role Location ; Texas, USA
 Work Model: Hybrid (In\-office / Remote)
 Employment Type: Full\-Time
 Compensation Range: USD 130000 \- 180000
 Experience 7 to 9 Years**
**Job Overview**
 We are seeking an experienced and innovative AI/ML Architect to design, lead, and deliver scalable artificial intelligence and machine learning solutions aligned with business objectives. This role will be responsible for defining end\-to\-end AI/ML architectures, selecting the right technologies, and guiding cross\-functional teams to build high\-impact, AI\-driven products.The ideal candidate brings deep technical expertise, strong architectural vision, and the ability to translate complex business requirements into robust AI/ML solutions.
**Key Responsibilities**
* Design and define end\-to\-end AI/ML system architectures, including data ingestion, pipelines, model development, deployment, and performance monitoring.Collaborate closely with business stakeholders to understand objectives and convert them into scalable technical AI/ML solutions.
* Evaluate, recommend, and standardize AI/ML frameworks, tools, and platforms based on business and technical needs.
* Establish best practices, governance standards, and architectural guidelines for AI/ML model development, testing, deployment, and lifecycle management.
* Lead, mentor, and provide technical guidance to data scientists, ML engineers, and software developers throughout solution implementation.
* Ensure AI/ML solutions are scalable, secure, reliable, and maintainable across environments.
* Oversee seamless integration of AI/ML models with existing enterprise systems, applications, and IT infrastructure.
* Monitor solution performance and drive continuous improvements in model efficiency, accuracy, and operational stability.
**Qualifications \&amp; Experience**
**Required Qualifications**
* Bachelor’s or Master’s degree in Computer Science, Data Science, Artificial Intelligence, or a related field.
* Proven experience working as an AI/ML Architect, Machine Learning Engineer, or Senior Data Scientist.
* Strong hands\-on expertise in machine learning algorithms, deep learning, natural language processing (NLP), and computer vision.
**Technical Skills**
* Proficiency in AI/ML frameworks and libraries such as TensorFlow, PyTorch, Scikit\-learn, or equivalent.
* Experience with cloud\-based AI/ML platforms including AWS SageMaker, Google AI Platform, or Azure Machine Learning.
* Strong understanding of data engineering concepts, big data technologies, and data pipeline architecture.
* Advanced programming skills in Python, R, or Java.
* Practical experience with containerization and orchestration tools such as Docker and Kubernetes.
* Familiarity with CI/CD pipelines and MLOps practices for model deployment and lifecycle management.
 Soft Skills \&amp; Competencies
* Strong analytical thinking and problem\-solving capabilities.
* Excellent communication skills with the ability to explain complex technical concepts to non\-technical stakeholders.
* Proven leadership and mentoring abilities in cross\-functional technical teams.
* Ability to manage multiple priorities and deliver solutions in a fast\-paced environment.
* High standards of professionalism, accountability, and technical integrity.
 Benefits \&amp; Rewards
* Full\-time employees are eligible for a comprehensive benefits package, including:
* Paid vacation, sick leave, and company\-recognized holidays
* 401(k) retirement plan with employer matching
* Medical, dental, and vision insurance coverage
* Life insurance, disability coverage, and voluntary benefit options
* Health Savings Account (HSA) and Flexible Spending Accounts (FSA)
* Benefits may vary based on employment type and location.</t>
        </is>
      </c>
    </row>
    <row r="16">
      <c r="A16" t="inlineStr">
        <is>
          <t>li-4373800764</t>
        </is>
      </c>
      <c r="B16" t="inlineStr">
        <is>
          <t>Applied AI Engineer</t>
        </is>
      </c>
      <c r="C16" t="inlineStr">
        <is>
          <t>The Value Maximizer</t>
        </is>
      </c>
      <c r="D16" t="inlineStr">
        <is>
          <t>linkedin</t>
        </is>
      </c>
      <c r="E16" t="inlineStr"/>
      <c r="F16" t="inlineStr"/>
      <c r="G16" t="inlineStr">
        <is>
          <t>New York, NY</t>
        </is>
      </c>
      <c r="H16" t="inlineStr"/>
      <c r="I16" t="inlineStr">
        <is>
          <t>About the CompanySquad is using AI to accelerate how the world's best talent finds the right problems to solve.The bottleneck in recruiting isn't sourcing. It's data. Candidate data is poor and getting noisier (self\-reported, outdated, now AI\-inflated). But recruiters hold high\-quality, real\-time signal because they talk to candidates every day. That's why
 **companies spend \&gt;$800B/year on recruiting** 
 . The problem is this signal is fragmented and unusable at scale.Squad's first product aggregates signals from hundreds of recruiters and uses AI to instantly match their candidates to roles, giving companies unprecedented reach without the usual pain of managing external partners.We give recruiters a business\-in\-a\-box that lets them earn more while doing what they do best: building relationships and knowing their candidates deeply. In return, we get proprietary data. Our AI structures signal from real recruiter\-candidate context that doesn't exist on LinkedIn or resumes. Every submission, every rejection, every hire feeds a
 **self\-improving AI matchmaking engine** 
 .We believe the future of recruiting is human authenticity paired with AI efficiency. Great recruiters have a critical role to play, and Squad is built to empower them.
 Long\-term, Squad becomes the infrastructure layer for how talent meets opportunity.
 **Why you should join us** 
 Squad is a generational opportunity to rethink how recruiting works, and our path to doing so is significantly de\-risked. We have:
* Exponential growth: We have product\-market fit and are growing rapidly. Squad supports hundreds of candidates, recruiters, and employers every day. We've grown 10x in under a year with a 3\-person team
* AI\-first business model. Our approach is distinctly enabled by AI, and our business gets stronger as foundation models improve. We're building durability through cross\-sided network effects that compound over time. Every submission, rejection, and hire feeds a self\-improving matchmaking engine
* Real ownership. It's still ‘day 0'. You'll shape what Squad looks like and how far we get. Your input will define our vision, product, team, and execution. What you build now becomes the foundation for everything that follows
* Top tier investors: We've raised over $5M from FJ Labs (Airbnb, Uber, Dropbox), Link Ventures (Mercor, Liquid AI), Golden Ventures (Faire, Boardy), and angels
* Massive ceiling: The recruiting industry is \&gt;$800B and broken. We're building the infrastructure layer for how talent meets opportunity. The scope is as big as you want it to be
 Market demand is pulling us forward. We're looking for people who are excited about high ownership, high velocity, and high impact.There's an enormous amount to build \- and the scope only gets bigger. You will never be bored.If we succeed, every company finds the right people the moment they need them. Every person finds meaningful work without friction. And the pace of innovation changes forever.
**About the Role** 
 As the first engineer at Squad, you'll own one of the hardest challenges in tech: predicting which humans will thrive where.We've already solved the cold start problem. We have hundreds of users generating thousands of data points every day. The foundation is there. Now comes the fun part: endless room to build, and you'll shape what that looks like.You'll take full ownership of anything AI at Squad \- technical vision, execution, and the decisions that shape what this company becomes. This isn't a role where you inherit a roadmap. You'll collaborate directly with the founder to figure out what to build, how to build it, and who else we need on the team.Predicting human fit is one of the hardest recommendation problems out there \- sparse feedback, subjective preferences, high stakes. Most hiring AI trains on the same public data everyone else has. We have proprietary signal from both sides of the market that no one else sees. No one has built on a foundation like this before.
 Key ResponsibilitiesBuilding recommendation systems that predict candidate\-job fit \- and get smarter with every hire, rejection, and feedback loopDesigning AI agents that automate end\-to\-end recruiter and ops workflowsFine\-tuning models on proprietary hiring data no one else has access toEvaluation and simulation environments to measure and improve match qualityAnd much more which you'll define, across matching, automation, and infrastructure.
**Requirements**
* A
 4\+ years of engineering experience, with meaningful time spent shipping AI/LLM features in production
* B
 Experience driving AI projects end\-to\-end \- from model selection and data pipelines to deployment and real\-world iteration
* C
 Proficiency with modern AI/ML technologies (LLM APIs, embeddings, vector databases, fine\-tuning) and a strong foundation in full\-stack or backend web development</t>
        </is>
      </c>
    </row>
    <row r="17">
      <c r="A17" t="inlineStr">
        <is>
          <t>li-4372537799</t>
        </is>
      </c>
      <c r="B17" t="inlineStr">
        <is>
          <t>AI Engineer</t>
        </is>
      </c>
      <c r="C17" t="inlineStr">
        <is>
          <t>Gonzaga University</t>
        </is>
      </c>
      <c r="D17" t="inlineStr">
        <is>
          <t>linkedin</t>
        </is>
      </c>
      <c r="E17" t="inlineStr"/>
      <c r="F17" t="inlineStr"/>
      <c r="G17" t="inlineStr">
        <is>
          <t>Spokane, WA</t>
        </is>
      </c>
      <c r="H17" t="inlineStr"/>
      <c r="I17" t="inlineStr">
        <is>
          <t>* Title:\*\* AI Engineer
* VP Area:\*\* Inst for Informatics \&amp; Applied Tech
* Department:\*\* Inst for Informatics \&amp; Applied Tech
* Work Schedule: \*\*Fixed daytime hours Monday\-Friday
* Telework Availability: \*\*Occasional Telework Available
* FLSA Status: \*\*Exempt
* Employee Classification: \*\*Regular full\-time (staff 30\+ hours)
* Hours per week: \*\*40
* Months per year: \*\*12
**Job Purpose**
 The Institute for Informatics and Applied Technology (IIAT) aims to drive faculty, students, and community innovations via responsible artificial intelligence and data science practices. Through rigorous academic offerings, collaboration with industry and interdisciplinary research, IIAT prepares students and professionals across disciplines for leadership with technical expertise in informatics while critically examining the ethical and societal implications of emerging technologies. The Institute provides opportunities for collaborative, experiential learning through ideation, problem solving and entrepreneurial exploration, supporting student\-led innovation and industry and community partnerships to drive AI\-enabled advances for the benefit of humanity.
 This position will responsibly explore, develop, and use technology advances in AI and machine learning, to help elevate the GU and partners' knowledge and competency in these technological areas and consequently innovate for responsible learning, teaching, and business operations. This position will work closely with the IIAT Director and other staff members to continue advance their own knowledge and skillset in these areas and how they connect to humanity and society for responsible technology innovation. This position will focus primarily on AI\-powered visual analytics for various application domains.
**Essential Functions**
 35% \- Investigate and Develop AI and ML software, specifically for generative AI enabled visual analytics
* Actively work with GU faculty, students, staff, and external partners to investigate and develop specialized AI/ML systems, including generative AI technologies, for teaching, research, and business operations.
* Independently develop custom AI technology and systems that fit partner's needs.
* Assist partners to acquire necessary knowledge and skills to use the developed system.
 30% \- Research and report AI/ML and visualization technology advances
* Proactively and independently explore and attain specialized AI advances and technologies, including but not limited to LLM architecture, prompt engineering, fine\-tuning/alignment, and guard rails, from a variety of sources.
* Independently apply attained technology advances to support partners' teaching, research, and business operation needs.
* Independently and regularly investigate advances in generative AI, and report and discuss such advances with the Director and the other IIAT staff.
* Work closely with the Director and partners to disseminate findings through paper writing, blog posting, git release, and assess commercialization viability to prepare IP documentation if deemed viable.
 15% \- Develop training and learning material
* Independently design AI/ML exercises that will provide experiential learning experience for the learners who might have diverse background in different instances.
* Collaborate with the Director and other IIAT staff to develop visualization for training exercises and material for faculty, students, staff, and extended partners.
* Assist in delivery and assessment of the training and learning sessions.
 10% \- Assist the IIA</t>
        </is>
      </c>
    </row>
    <row r="18">
      <c r="A18" t="inlineStr">
        <is>
          <t>li-4364785068</t>
        </is>
      </c>
      <c r="B18" t="inlineStr">
        <is>
          <t>AI/ML Engineer – Model Training &amp; Fine-Tuning (Robotics)</t>
        </is>
      </c>
      <c r="C18" t="inlineStr">
        <is>
          <t>ndimensions labs</t>
        </is>
      </c>
      <c r="D18" t="inlineStr">
        <is>
          <t>linkedin</t>
        </is>
      </c>
      <c r="E18" t="inlineStr"/>
      <c r="F18" t="inlineStr"/>
      <c r="G18" t="inlineStr">
        <is>
          <t>Boston, MA</t>
        </is>
      </c>
      <c r="H18" t="inlineStr"/>
      <c r="I18" t="inlineStr">
        <is>
          <t>**Company Overview** 
 Ndimensions Labs is a group of technologists from MIT, the University of Waterloo, and the University of Washington, focused on building the infrastructure and learning systems behind next\-generation robotics AI. Our focus is not only on deploying models, but on training, adapting, and scaling them for real\-world embodied intelligence.
 We are developing agents that learn from large\-scale multimodal data and improve through iterative fine\-tuning, evaluation, and feedback. This role centers on the model training stack: foundation model adaptation, large\-scale training pipelines, alignment, and continual learning for robotics.
**Position Summary** 
 We are hiring an AI/ML Engineer focused on model training and fine\-tuning for robotics AI systems. You will work at the intersection of ML training, multimodal learning, and robotics data systems. The emphasis is on model quality, adaptation, robustness, and generalization.
 This position is dedicated to:
* Training multimodal models from scratch or from pretrained checkpoints
* Fine\-tuning foundation models (vision, language, and vision\-language\-action) for embodied tasks
* Designing scalable training and evaluation pipelines
* Improving data quality and alignment methods
**Responsibilities** 
* Train and adapt multimodal/foundation models (ViTs, VLMs/VLAs, diffusion policies, world models) for embodied robotics.
* Build scalable training and fine\-tuning pipelines (distributed multi\-GPU/multi\-node; parameter\-efficient fine\-tuning such as LoRA/adapters, distillation, QAT).
* Own data and iteration loops: curation, filtering, augmentation, and tight feedback with data and systems teams.
* Improve policies via learning methods (imitation, offline RL, RL) and rigorous evaluation/ablations (robustness, generalization, failure modes).
**Required Qualifications** 
* Strong background in machine learning and deep learning.
* Hands\-on experience training or fine\-tuning large transformer\-based models.
* Experience with distributed training (e.g., PyTorch DDP, FSDP, DeepSpeed).
* Understanding of multimodal learning (vision\-language, vision\-action, or similar).
* Experience working with large datasets and building reproducible ML pipelines.
* Strong Python skills and familiarity with ML tooling ecosystems.
**Preferred Qualifications (Not Required)** 
* Experience training or fine\-tuning models for robotics, embodied AI, or control.
* Background in reinforcement learning, imitation learning, or policy optimization.
* Publications in top ML or robotics venues.
**Job Details** 
* Employment type: Full\-time, long\-term contract
* Location: Boston, MA
* Salary range: $100,000 – $300,000 per year, based on qualifications and experience
* Equal Opportunity Statement: Ndimensions Labs is an equal opportunity employer and welcomes applicants from all backgrounds.
**Application Instructions** 
 Apply via LinkedIn or careers@ndimensions.xyz with:
* CV
* Links to relevant work (papers, repositories, training logs, experiments, demos)</t>
        </is>
      </c>
    </row>
    <row r="19">
      <c r="A19" t="inlineStr">
        <is>
          <t>li-4372558220</t>
        </is>
      </c>
      <c r="B19" t="inlineStr">
        <is>
          <t>CV / ML Engineer, Automated Officiating</t>
        </is>
      </c>
      <c r="C19" t="inlineStr">
        <is>
          <t>National Basketball Association (NBA)</t>
        </is>
      </c>
      <c r="D19" t="inlineStr">
        <is>
          <t>linkedin</t>
        </is>
      </c>
      <c r="E19" t="inlineStr"/>
      <c r="F19" t="inlineStr"/>
      <c r="G19" t="inlineStr">
        <is>
          <t>New York, NY</t>
        </is>
      </c>
      <c r="H19" t="inlineStr"/>
      <c r="I19" t="inlineStr">
        <is>
          <t>WORK OPTION: The NBA currently provides eligible employees the option of working remotely one day per week.
 \_\_\_\_\_\_\_\_\_\_\_\_\_\_\_\_\_
**Group Summary**
 The Basketball Strategy \&amp; Growth department is responsible for data collection, analysis and technology pertaining to all on\-court activities. The group, in partnership with Referee Operations, oversees the Game Review Program to help drive improvements in referee performance and rules clarification initiatives. Basketball Strategy \&amp; Growth also leads pivotal initiatives focused on innovating and improving the NBA game, such as rules changes, improvements to the competition format and implementation of technologies to improve player health, game integrity and fan engagement.
 The Automated Officiating team is a new function within the Basketball Strategy \&amp; Growth department. This team is focused on innovating the on\-court product through internally developed and deployed technologies. They spearhead key officiating technology initiatives from concept to launch, leveraging their cross\-discipline expertise in real\-time perception and sensing, computer vision, machine learning, and data analytics. The primary near\-term focus of this team is deploying a system that can automatically detect and determine objective calls (e.g., out\-of\-bounds) in real\-time during live NBA games.
**Position Summary**
 The NBA is seeking an experienced machine learning software engineer to be a key contributor to the Automated Officiating team. This team sits within Basketball Strategy \&amp; Growth, and its primary goal is to develop advanced, multi\-modal officiating capabilities to enhance call accuracy, streamline game flow, and provide decision\-making consistency and transparency. This is a small team that works like a startup within the NBA and provides significant opportunities for ownership and accelerated learning and growth.
 The ideal candidate will bring considerable expertise building and owning modern vision models and ML pipelines in production and are able to contribute to all aspects of a real\-world perception system, from sensor processing pipelines to scalable ML data, training, modeling and evaluation pipelines. This role will report to the Engineering Lead and play a critical role in taking our product from 0 to 1, leveraging expertise typically found in autonomous vehicles, robotics, AR/VR or other real\-time ML\-driven systems.
**Major Responsibilities**
* Make technical contributions across the automated officiating system, e.g. sensor pipelines, ML data pipelines, training, model development and evaluation pipelines etc.
* Designing, implementing, and deploying state\-of\-the\-art tracking, 3D reconstruction and geometry estimation, scene understanding and visual recognition systems.
* Build and maintain efficient, scalable end\-to\-end pipelines to manage petabyte\-scale multi\-modal datasets and model training throughout the entire ML lifecycle.
* Profile, debug and implement tooling to understand bottlenecks and optimize system performance.
* Collaborate with the broader Basketball R\&amp;D team on various initiatives, such as sensing research and development, KPI development and measurement, product road mapping, etc.
* Provide technical guidance and mentorship to other engineers on the team.
* Have a strong sense of ownership and be excited to wear many hats.
* Be a guardian of the codebase and push for clean, well\-tested and highly extensible code.
**Required Education/Professional Experience**
* Bachelor’s degree in Computer Science, Electrical Engineering, Math or related field (or equivalent experience).
**Required Skills/Knowledge Attributes**
* Experience working with ML data pipelines and large datasets (TB or PB scale) in a production environment.
* Demonstrated proficiency building and deploying machine learning solutions to production.
* Familiarity with containerization and orchestration frameworks like Kubernetes, Docker.
* Proficiency in Python and prior experience building machine learning data pipelines.
* Proficiency with at least one deep learning framework (Pytorch, TensorFlow, JAX etc).
* Exposure to the entire ML stack, from data pipelines to model inference.
* Excellent problem\-solving skills and adaptability in a fast\-paced environment.
* Excellent communication and interpersonal skills.
**Bonus Qualifications**
* Proven experience delivering solutions for real\-world perception challenges (e.g., AR/VR, autonomous vehicles, robotics, drones).
* Strong C\+\+ programming skills (or another equivalent compiled on\-board language), with a history of optimizing and deploying performance\-critical systems.
* Familiar with ML training frameworks and prior experience building ML training and evaluation pipelines.
* Experience with production ML systems, including scalable data pipelines, training infrastructure, model evaluation or deployment.
* Familiarity with computer vision libraries, model deployment (TensorRT, ONNX) and GPU acceleration frameworks.
* Strong grasp of low\-latency, high\-throughput system design, distributed task management systems and scalable model serving \&amp; deployment architectures.
* Exposure to CUDA, parallel computing, or high\-performance programming on GPUs.
* Passion for basketball and familiarity with officiating rules.
**Full Time Benefits**
*Employees currently are eligible to receive an annual discretionary performance bonus, awarded at the sole discretion of the Company and subject to any terms and conditions set by the Company. Employees and/or eligible dependents may be eligible to participate in the following Company\-sponsored employee benefit programs: medical; dental; vision; life/AD\&amp;D insurance; short\- and long\-term disability; fertility and family\-forming assistance; wellbeing allowance; educational assistance; mental health coaching/therapy; tax advantaged accounts such as HSA and healthcare/dependent care FSAs; a 401(k) retirement plan; and time off benefits that include vacation, sick time, and personal days.*
**Salary Range**
 $175,000 \- $225,000
**Job Posting Title**
 Senior Manager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20">
      <c r="A20" t="inlineStr">
        <is>
          <t>li-4372522992</t>
        </is>
      </c>
      <c r="B20" t="inlineStr">
        <is>
          <t>AI ML Engineer (7+ Years)</t>
        </is>
      </c>
      <c r="C20" t="inlineStr">
        <is>
          <t>InApp</t>
        </is>
      </c>
      <c r="D20" t="inlineStr">
        <is>
          <t>linkedin</t>
        </is>
      </c>
      <c r="E20" t="inlineStr"/>
      <c r="F20" t="inlineStr"/>
      <c r="G20" t="inlineStr"/>
      <c r="H20" t="inlineStr"/>
      <c r="I20" t="inlineStr">
        <is>
          <t>* Notice Period: Immediate joiners Number of Openings: 1 Working hours : 3 PM – 12 AM IST
**Job Summary**
 We are seeking a Senior Python Developer who excels at building scalable, AI\-integrated systems using modern tools and frameworks. The ideal candidate embraces AI\-assisted development (GitHub Copilot, ChatGPT, AutoGen, etc.) to boost productivity, improve code quality, and drive innovation across our application stack. This role combines backend expertise, cloud\-native architecture, and hands\-on AI integration to deliver intelligent, high\-performance solutions.
 Key Responsibilities
**AI Model Integration \&amp; Optimization**
* Integrate APIs from multiple AI platforms (OpenAI, Anthropic, Gemini, Llama, Mistral, etc.) into scalable backend systems.
* Build multi\-model orchestration layers balancing cost, latency, and accuracy.
* Fine\-tune prompts, manage context windows, and implement RAG (Retrieval\-Augmented Generation) solutions for domain\-specific use cases.
* Optimize token usage, caching, and filtering strategies to enhance system efficiency and user experience.
**Application \&amp; System Development**
* Design and implement AI\-enabled workflows seamlessly integrated with web, mobile, or enterprise ecosystems.
* Develop Python\-based backends and APIs using frameworks like FastAPI, Flask, or Django.
* Build and deploy microservices and cloud\-native services leveraging Docker, Kubernetes, and serverless architectures
* Collaborate with frontend, DevOps, and product teams to ensure smooth feature delivery and deployment.
* Monitor and evaluate AI responses through metrics, evaluation frameworks, or RLHF\-inspired feedback loops.
* Implement AI guardrails for responsible usage including bias detection, toxicity filtering, and compliance enforcement.
* Debug and resolve performance or reliability issues in AI\-powered production systems.
**Innovation \&amp; Collaboration**
* Stay up to date with the evolving AI model landscape, exploring new models, APIs, and orchestration frameworks.
* Experiment with multi\-modal AI (vision, text, speech) for applicability in client scenarios.
* Work closely with cross\-functional teams to translate business goals into intelligent, automated features.
**Primary Skills**
* Python backend expert: FastAPI, async I/O, API design, testing.
* Production LLM integration: OpenAI/Anthropic/Gemini/Mistral; prompt and context strategies; RAG with a vector DB.
* Cloud\-native delivery: Docker, AWS (preferred), CI/CD, IaC basics (Terraform or Pulumi).
* Data layer: SQL (PostgreSQL), caching/queues (Redis \+ Celery/RQ/SQS/Kafka).
* Daily AI\-assisted development (Copilot/Others) for coding and tests.
**Required Skills \&amp; Qualifications**
* Expert in Python backend development with hands\-on experience integrating AI models, building cloud\-native microservices, and using AI\-assisted coding tools for faster, smarter development.
* Proven hands\-on experience integrating LLM APIs (OpenAI, Claude, Gemini, Llama, etc.).
* Strong expertise in AI/ML frameworks (TensorFlow, PyTorch, scikit\-learn, Hugging Face, etc.)” as essential qualification
* Practical knowledge of LangChain, LlamaIndex, Codium or similar frameworks for AI workflow orchestration.
* Understanding of prompt engineering, embeddings, vector databases (Pinecone, Weaviate, FAISS, pgvector), and RAG pipelines.
* Strong background in cloud platforms (AWS, GCP, Azure), containerization, and orchestration.
* Deep understanding of REST/GraphQL APIs, async programming, task queues, and caching mechanisms.
* Familiarity with SQL/NoSQL databases (PostgreSQL, MongoDB, Redis).
* Experience using AI\-assisted tools such as GitHub Copilot, ChatGPT API, AutoGen, or OpenDevin for coding and testing automation.
* Exposure to CI/CD pipelines and Infrastructure as Code (Terraform, Pulumi).
* Knowledge of data preprocessing, NLP/NLU, and model evaluation techniques.
* Data Engineering \&amp; Processing, Data pipeline development , ETL/ELT processes, Batch processing and stream processing frameworks, Large\-scale data handling with pandas, NumPy, Dask
**Preferred Skills**
* Hands\-on with multi\-modal AI (vision, text\-to\-speech, speech\-to\-text).
* Experience with MLOps practices including CI/CD for AI pipelines, model monitoring, and drift detection.
* Background in fine\-tuning, reinforcement learning, or custom model training.
* Familiarity with enterprise security standards (GDPR, HIPAA, SOC2\).
* Contributions to open\-source or personal AI\-assisted coding initiatives.
 Soft Skills
* Excellent problem\-solving and analytical thinking ability.
* Strong cross\-functional collaboration and communication skills.
* Clear technical documentation habits.
* Curious, experimental mindset with a drive to explore the next frontier in AI\-driven development.</t>
        </is>
      </c>
    </row>
    <row r="21">
      <c r="A21" t="inlineStr">
        <is>
          <t>li-4372546093</t>
        </is>
      </c>
      <c r="B21" t="inlineStr">
        <is>
          <t>AI Engineer</t>
        </is>
      </c>
      <c r="C21" t="inlineStr">
        <is>
          <t>Tandym Group</t>
        </is>
      </c>
      <c r="D21" t="inlineStr">
        <is>
          <t>linkedin</t>
        </is>
      </c>
      <c r="E21" t="inlineStr"/>
      <c r="F21" t="inlineStr"/>
      <c r="G21" t="inlineStr">
        <is>
          <t>New York, NY</t>
        </is>
      </c>
      <c r="H21" t="inlineStr"/>
      <c r="I21" t="inlineStr">
        <is>
          <t>A recognized media services organization in New York City is currently seeking an AI Engineer.
***\*\*\****
*This is a Hybrid opportunity requiring the qualified professional to work onsite at least 4 day a week.* 
***\*\*\****
**Responsibilities**
* Conduct R\&amp;D on AI/ML technologies and architectures
* Deploy AI/LLM and Agentic Applications for proof\-of\-concept demonstrations and assist in scaling or deploying successful solutions into production systems.
* Push boundaries of what is possible with AI (Traditional AI, Gen AI, Agentic AI)
* Evaluate and pilot third\-party AI solutions for fit, scalability, and business value
* Prototype solutions that inform future productization
* Collaborate on data preparation and synthetic data generation strategies to support experimentation
* Validate AI (model) performance, safety and operational readiness before hand\-off to production teams
* Contribute to AI system architecture and deploy and manage AI workflows in cloud environments
* Perform other duties, as needed
**Qualifications:**
* Experience with Programming \&amp; Frameworks \- Python, APIs, ML frameworks, AI tools (Coding Assistant \- any of GitHub Copilot/Codex/Claude Code etc, LangChain, ADK, ChatGPT, MSCopilot)
* Experience with AI/ML systems \- LLMs (OpenAI GPTs, Google AI, Claude), embeddings, vector databases
* Experience with Building and managing APIs and integrations
* Prompt Engineering experience
* Experience with Model Evaluation \&amp; Design
* Experience with AI Architecture Design
* Data Preparation \&amp; Generation experience
* Experience with Cloud services (AWS, GCP)</t>
        </is>
      </c>
    </row>
    <row r="22">
      <c r="A22" t="inlineStr">
        <is>
          <t>li-4337407786</t>
        </is>
      </c>
      <c r="B22" t="inlineStr">
        <is>
          <t>AI Engineer</t>
        </is>
      </c>
      <c r="C22" t="inlineStr">
        <is>
          <t>Provenir</t>
        </is>
      </c>
      <c r="D22" t="inlineStr">
        <is>
          <t>linkedin</t>
        </is>
      </c>
      <c r="E22" t="inlineStr"/>
      <c r="F22" t="inlineStr"/>
      <c r="G22" t="inlineStr">
        <is>
          <t>New York, NY</t>
        </is>
      </c>
      <c r="H22" t="inlineStr"/>
      <c r="I22" t="inlineStr">
        <is>
          <t>**Who We Are**
 Provenir is a global fintech company with offices across North America, the UK, and Singapore backed by talented teams across APAC, EMEA, and LATAM.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AI Engineer to join our team. You will design, develop, and deploy machine learning models and AI systems that solve real\-world problems. You’ll work closely with data scientists, engineers, and product teams to turn data into actionable insights and intelligent solutions.
 This role can be performed remotely; however, candidates located in or able to travel to the NYC metro area are preferred and should expect to attend in\-person meetings at our NJ office approximately once a month.
*We are only considering candidates who are authorized to work in the United States without the need for current or future visa sponsorship.*
**Key Responsibilities And Experience**
* Holds 5 Years of experience as AI Engineer
* Strong Python development skills, including experience with modern frameworks (FastAPI preferred) and testing practices (pytest, unittest)
* Proven ability to take ML/LLM models from prototype to production in containerized, cloud\-native environments
* Hands\-on experience with deploying and managing services on Kubernetes (EKS) and Docker\-based workflows
* Expertise with AWS services: Bedrock, SageMaker, Lambda, EKS, S3, IAM, CloudWatch
* Familiarity with Generative AI frameworks (LangChain, LlamaIndex) and Agent development (tool integration, RAG workflows)
* Knowledge of vector databases and embeddings (e.g., Pinecone, FAISS, OpenSearch)
* Experience with CI/CD pipelines (GitHub Actions preferred) and Infrastructure as Code (Terraform, CloudFormation)
* Solid foundation in object\-oriented programming with a language such as Java, C\#, or C\+\+ (in addition to Python)
* Understanding of MLOps practices including monitoring, logging, scaling, and secure deployment in production
**What You’ll Be Doing**
* Designing and developing APIs and reusable components for ML and GenAI deployment
* Building and scaling ML/GenAI pipelines on AWS (Bedrock, SageMaker, Step Functions, Argo, Kubeflow on EKS)
* Productionising LLMs, generative AI applications, and predictive models on Amazon Bedrock
* Developing and integrating AI Agents with frameworks like LangChain for orchestration and tool use
* Writing robust, testable, and maintainable Python code for backend services, SDKs, and ML workflows
* Packaging and deploying containerized services on Kubernetes (EKS) with attention to scalability, resilience, and observability
* Working in a modern MLOps environment with CI/CD, monitoring, and version control best practices
*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is>
      </c>
    </row>
    <row r="23">
      <c r="A23" t="inlineStr">
        <is>
          <t>li-4373599710</t>
        </is>
      </c>
      <c r="B23" t="inlineStr">
        <is>
          <t>Machine Learning Engineer</t>
        </is>
      </c>
      <c r="C23" t="inlineStr">
        <is>
          <t>Wiraa</t>
        </is>
      </c>
      <c r="D23" t="inlineStr">
        <is>
          <t>linkedin</t>
        </is>
      </c>
      <c r="E23" t="inlineStr"/>
      <c r="F23" t="inlineStr"/>
      <c r="G23" t="inlineStr"/>
      <c r="H23" t="inlineStr"/>
      <c r="I23" t="inlineStr">
        <is>
          <t>**About The Company**
 At Angi®, we have dedicated over 30 years to our mission of ensuring jobs are done well by connecting homeowners with reliable professionals who possess the necessary skills. Our platform has become a trusted marketplace where homeowners can find skilled service providers for more than 300 million projects across various categories. With a global workforce of over 2,800 employees and more than 1,000 home service tasks covered, Angi continues to lead the home services industry by fostering a reliable, efficient, and customer\-centric environment. Our commitment to innovation and excellence has positioned us as a key player in transforming how home services are delivered and experienced worldwide.
**About The Role**
 We are seeking an exceptional Staff Machine Learning Engineer to join our Data Science and Machine Learning team. This role is pivotal in driving our transformation into a world\-class online marketplace by developing and deploying advanced machine learning models that enhance user experience, improve homeowner\-pro matching, and optimize search ranking algorithms. As a technical leader, you will leverage cutting\-edge AI techniques, including large language models and neural rankers, to analyze both structured and unstructured data. Your expertise will enable us to deploy scalable, low\-latency models that serve our customers dynamically and reliably. This position offers the opportunity to work on impactful projects that directly influence customer engagement, retention, and overall business success, all while fostering innovation and mentorship within the team.
**Qualifications**
* Master's or Ph.D. in Computer Science, Statistics, Mathematics, or a related quantitative field
* 7\+ years of experience in data science and machine learning, with a focus on real\-time ML models
* Proficiency in machine learning, deep learning, and large language models
* Proven track record of deploying impactful ML models into production environments
* Strong skills in SQL and Python programming
* Experience with cloud\-based ML solutions and MLOps practices
* Excellent communication skills, capable of conveying complex technical concepts to non\-technical stakeholders
**Responsibilities**
* Lead the development of machine learning models and algorithms to enhance search ranking and consumer\-pro matching processes
* Design and implement scalable MLOps practices for model deployment, automation, versioning, monitoring, and maintenance
* Collaborate closely with engineers, data scientists, product managers, and designers to integrate data\-driven solutions into our platform
* Explore and implement innovative approaches and techniques to solve complex business challenges
* Mentor junior team members, fostering a culture of continuous learning, technical excellence, and knowledge sharing
* Ensure models are optimized for low latency and high reliability to serve our customers effectively
* Monitor and evaluate model performance, iterating to improve accuracy and efficiency
**Benefits**
* Competitive salary range from $200,000 to $280,000, commensurate with experience and performance
* Eligibility for a year\-end performance bonus and equity package
* Comprehensive medical, dental, and vision insurance plans tailored to your needs
* Flexible vacation policy to promote work\-life balance
* Pet discount plans and a retirement plan with company matching (401K)
* Opportunity to work with motivated, talented teammates on innovative and impactful projects
 Equal Opportunity
 Angi® is an equal opportunity employer. We celebrate diversity and are committed to creating an inclusive environment for all employees. We believe that diverse perspectives and backgrounds foster innovation and improve our ability to serve our customers effectively. We encourage applicants from all backgrounds to apply and welcome individuals regardless of race, ethnicity, gender, age, sexual orientation, disability, or any other characteristic protected by law.</t>
        </is>
      </c>
    </row>
    <row r="24">
      <c r="A24" t="inlineStr">
        <is>
          <t>li-4354643662</t>
        </is>
      </c>
      <c r="B24" t="inlineStr">
        <is>
          <t>AI / ML Engineer - REMOTE</t>
        </is>
      </c>
      <c r="C24" t="inlineStr">
        <is>
          <t>E Source</t>
        </is>
      </c>
      <c r="D24" t="inlineStr">
        <is>
          <t>linkedin</t>
        </is>
      </c>
      <c r="E24" t="inlineStr"/>
      <c r="F24" t="inlineStr"/>
      <c r="G24" t="inlineStr"/>
      <c r="H24" t="inlineStr"/>
      <c r="I24" t="inlineStr">
        <is>
          <t>Joining E Source as a Senior AI/ML Engineer is an exciting opportunity to work with a dynamic and talented team, leveraging your skills to drive meaningful impact in the utility industry. You’ll contribute to the next generation of AI and ML solutions that blend predictive modeling, optimization, and generative reasoning to empower sustainable decisions.
 If you are a self\-motivated engineer who thrives in a collaborative, innovative environment, and if you’re passionate about building intelligent, scalable AI/ML systems, we invite you to apply and help shape the future of utilities.
 As a Senior AI/ML Engineer at E Source, you’ll play a crucial role in our machine learning engineering team. Collaborating with data scientists and software engineers, you’ll contribute to the development of cutting\-edge ML and AI products that support our mission of building a sustainable future with utilities.
 Your expertise will be instrumental in building tools and pipelines for developing and scaling machine\-learning models, including emerging AI system design components and agentic architectures. You’ll work across a range of use cases—like electrification, network reliability, geospatial analysis, time series forecasting, image and text processing, and AI\-driven decision systems—using both traditional ML and modern generative AI approaches.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**How You’ll Help**
* Collaborate with cross\-functional teams to design, develop, and deploy scalable software products that incorporate machine learning and AI models.
* Build reusable Python packages to support the implementation of ML/AI algorithms and data\-processing pipelines.
* Contribute to the design of AI systems, including components for retrieval\-augmented generation (RAG), LLM integration, and agent\-based workflows.
* Develop agentic evaluation and monitoring frameworks to assess model reasoning, consistency, and fairness.
* Evaluate database design and create optimized performance queries for efficient data processing and retrieval.
* Break down complex MLE and AI tasks into manageable user and technical stories, ensuring efficient and effective implementation.
* Ensure high\-quality test coverage of ML code and participate in peer reviews to provide valuable recommendations.
* Stay updated on the latest advances in machine learning engineering, generative AI, and AI system orchestration, and incorporate relevant practices into our workflows.
* Contribute to continuous delivery and Agile development processes, adhering to best practices in ML and AI engineering.
**What Will Make You a Great Fit**
* Master’s degree in computer science, software engineering, data science, or a related field (PhD preferred).
* Minimum of 7 years of professional experience designing, developing, and deploying machine learning software products independently and collaboratively.
* Strong programming skills in Python, with experience developing reusable packages and automation tools.
* Familiarity with Databricks for scalable data processing and collaborative analytics.
* Solid understanding of machine learning systems design concepts, including model lifecycle management, MLOps, and scalable inference.
* Hands\-on experience with cloud infrastructure (Azure, AWS, or GCP), containerization, and CI/CD pipelines.
* Proficiency with distributed computing frameworks, machine learning packages, and both relational and nonrelational databases.
* Familiarity with generative AI tools and frameworks (e.g., AutoGen, Hugging Face, LangChain, LangGraph, LlamaIndex) and their integration into enterprise pipelines.
* Experience developing or evaluating agentic AI systems, AI orchestration, or AI\-assisted decision\-making workflows is an asset.
* Excellent problem\-solving and analytical skills, with the ability to break down complex tasks into actionable steps.
* Strong communication and collaboration skills, with a track record of working effectively in cross\-functional teams.
* Knowledge or experience in the utility, power, or energy sectors is a plus.
* Deep knowledge in Databricks tech stack for AI and data engineering is a plus.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you need, with manager approval, while fulfilling your work obligations and ensuring proper coverage of your responsibilities.
* Flexible schedules, flexible work locations, and a paid parental leave benefit.
* A 401(k)/RRSP plan with a 3% employer match.
**The Budgeted Salary For This Position Is**
* $115,000–$130,000 USD \+ annual bonus.
 Actual pay will be adjusted based on experience.
 This role will be 100% remote, with infrequent travel (generally 1–2 times per year).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If you are interested in similar job opportunities in the future, visit the E Source careers page for a listing of all open positions and contact Human Resources.
 We contact applicants directly via email using only our designated company email addresses with the domain of @esource.com. Please do not provide personal information to anyone over email and be wary of other accounts impersonating businesses.</t>
        </is>
      </c>
    </row>
    <row r="25">
      <c r="A25" t="inlineStr">
        <is>
          <t>li-4373580721</t>
        </is>
      </c>
      <c r="B25" t="inlineStr">
        <is>
          <t>AI/ML Engineer</t>
        </is>
      </c>
      <c r="C25" t="inlineStr">
        <is>
          <t>micro1</t>
        </is>
      </c>
      <c r="D25" t="inlineStr">
        <is>
          <t>linkedin</t>
        </is>
      </c>
      <c r="E25" t="inlineStr"/>
      <c r="F25" t="inlineStr"/>
      <c r="G25" t="inlineStr"/>
      <c r="H25" t="inlineStr"/>
      <c r="I25"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6">
      <c r="A26" t="inlineStr">
        <is>
          <t>li-4373814176</t>
        </is>
      </c>
      <c r="B26" t="inlineStr">
        <is>
          <t>AI Engineer</t>
        </is>
      </c>
      <c r="C26" t="inlineStr">
        <is>
          <t>Kforce Inc</t>
        </is>
      </c>
      <c r="D26" t="inlineStr">
        <is>
          <t>linkedin</t>
        </is>
      </c>
      <c r="E26" t="inlineStr"/>
      <c r="F26" t="inlineStr"/>
      <c r="G26" t="inlineStr">
        <is>
          <t>Pittsburgh, PA</t>
        </is>
      </c>
      <c r="H26" t="inlineStr"/>
      <c r="I26" t="inlineStr">
        <is>
          <t>**Responsibilities**
 Kforce has a client that is seeking an AI Engineer on a direct hire basis in Pittsburgh, PA. Summary: The AI Engineer will be tasked with designing and implementing reusable AI frameworks, prompt templates, reference architecture, and reference architectures to accelerate AI solution delivery across teams. The AI Engineer will also be tasked with evolving the organization's AI approach with a strong emphasis on identifying high\- value opportunities, defining technical roadmaps, prioritizing use cases, and supporting for responsible, extensible, and scalable IA adoption.
**Requirements**
* Bachelor's degree in Data Science, or related field or an equivalent combination of education and work experience
* 10 years of overall experience in software engineering, data science, or related technical roles
* 1\-2 years of hands\-on experience building and deploying generative AI solutions in enterprise environments
* Proficient in backend development using AI algorithms. Python, Java, Shell, Linux, or Node.js, MCP, APIs, knowledge graphs, vector databases, and data structures
* Demonstrated knowledge of MLOps, model lifecycle, and (CI/CD) practices
* Designed and implemented full\-stack AI solutions using modern MLOps and AI frameworks (e.g RAG) and platforms such as GitHub Agent, Snowflake agents, Copilot Studio and AWS Bedrock
* Created reusable frameworks, prompt templates, and reference architectures to accelerate AI solution delivery across teams
* Knowledge of Bank business applications is a plus
* Ability to manage multiple priorities, work independently, coordinate work assignments
* Excellent verbal and written communication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7">
      <c r="A27" t="inlineStr">
        <is>
          <t>li-4373599072</t>
        </is>
      </c>
      <c r="B27" t="inlineStr">
        <is>
          <t>Software AI Engineer</t>
        </is>
      </c>
      <c r="C27" t="inlineStr">
        <is>
          <t>micro1</t>
        </is>
      </c>
      <c r="D27" t="inlineStr">
        <is>
          <t>linkedin</t>
        </is>
      </c>
      <c r="E27" t="inlineStr"/>
      <c r="F27" t="inlineStr"/>
      <c r="G27" t="inlineStr"/>
      <c r="H27" t="inlineStr"/>
      <c r="I27" t="inlineStr">
        <is>
          <t>**Job Title:** 
 Software AI Engineer
**Job Type:** 
 Full\-time, Contractual
**Job Summary** 
 Join our customer's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 Design, build, and deploy advanced AI/ML solutions for government clients, ensuring robust and secure implementation at scale.
* Collaborate with internal and external teams to architect and enhance AI\-driven platforms, focusing on RAG, LLM orchestration, and multi\-agent workflows.
* Develop and maintain APIs, SDK integrations, and scalable pipelines, utilizing Python and RESTful best practices.
* Leverage cloud platforms such as AWS GovCloud, Vertex AI, and AWS Bedrock to deliver secure, enterprise\-grade solutions.
* Implement data ontologies, metadata catalogs, and ETL pipelines to support advanced AI and analytics use cases.
* Apply best practices in prompt engineering, LangGraph/LangChain, and tool integration for agentic AI systems.
* Ensure clear, concise, and effective written and verbal communication across all collaborative efforts.
**Required Skills and Qualifications** 
* Proven experience with large language models (LLMs), retrieval\-augmented generation (RAG), and agentic AI techniques.
* Expertise in Python development, REST API design, and secure coding principles.
* Hands\-on knowledge of AWS, and familiarity with other government cloud offerings (e.g., Google GovCloud, Azure IL5\+).
* Demonstrated ability to work with AI platforms such as Anthropic for Gov, OpenAI Enterprise, Gemini Enterprise, and Grok Enterprise.
* Strong background in building and maintaining robust data pipelines and ontologies.
* Proficiency in CI/CD practices for deploying production AI/ML systems.
* Exceptional written and verbal communication skills, with the ability to articulate complex concepts to both technical and non\-technical stakeholders.
**Preferred Qualifications** 
* Experience with advanced agent orchestration frameworks such as LangGraph and LangChain.
* Background in secure, scalable government or enterprise deployments of AI/ML solutions.
* Knowledge of metadata catalogs, MCP, and multi\-cloud environments.</t>
        </is>
      </c>
    </row>
    <row r="28">
      <c r="A28" t="inlineStr">
        <is>
          <t>li-4358196515</t>
        </is>
      </c>
      <c r="B28" t="inlineStr">
        <is>
          <t>AI Engineer - Robotics</t>
        </is>
      </c>
      <c r="C28" t="inlineStr">
        <is>
          <t>Harrison Clarke</t>
        </is>
      </c>
      <c r="D28" t="inlineStr">
        <is>
          <t>linkedin</t>
        </is>
      </c>
      <c r="E28" t="inlineStr"/>
      <c r="F28" t="inlineStr"/>
      <c r="G28" t="inlineStr"/>
      <c r="H28" t="inlineStr"/>
      <c r="I28"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29">
      <c r="A29" t="inlineStr">
        <is>
          <t>li-4373804403</t>
        </is>
      </c>
      <c r="B29" t="inlineStr">
        <is>
          <t>Machine Learning Engineer, vLLM</t>
        </is>
      </c>
      <c r="C29" t="inlineStr">
        <is>
          <t>Wiraa</t>
        </is>
      </c>
      <c r="D29" t="inlineStr">
        <is>
          <t>linkedin</t>
        </is>
      </c>
      <c r="E29" t="inlineStr"/>
      <c r="F29" t="inlineStr"/>
      <c r="G29" t="inlineStr"/>
      <c r="H29" t="inlineStr"/>
      <c r="I29" t="inlineStr">
        <is>
          <t>**About The Company**
 Red Hat is the world’s leading provider of enterprise open source software solutions, renowned for its community\-powered approach to delivering high\-performing Linux, cloud, container, and Kubernetes technologies. With a presence spanning over 40 countries, Red Hat fosters a flexible work environment that includes in\-office, office\-flex, and fully remote options, enabling associates to contribute their best regardless of location. The company’s culture emphasizes transparency, collaboration, and inclusion, encouraging innovation through diverse perspectives and ideas. As a pioneer in open source, Red Hat values creativity, passion, and the drive to solve complex problems, making it a dynamic and impactful place to build a career.
**About The Role**
 Red Hat is seeking an experienced Machine Learning Engineer to join its AI Inference Engineering team, focusing on distributed vLLM infrastructure within the llm\-d project. This role places you at the forefront of AI innovation, working on scalable inference systems and Kubernetes\-native deployments to accelerate enterprise AI solutions. You will be responsible for architecting and implementing new features, leading open\-source community efforts, and developing system components in languages such as Go and Rust. Your work will directly influence the development of cutting\-edge AI deployment platforms, optimizing large\-scale inference workloads and resource utilization. This position offers an exciting opportunity to solve complex problems at the intersection of deep learning, distributed systems, and cloud\-native infrastructure, contributing to the future of AI technology in a collaborative and innovative environment.
**Qualifications**
* Proficiency in Python, GoLang, and at least one of the following: Rust, C, or C\+\+
* Experience with cloud\-native Kubernetes service mesh technologies such as Istio, Cilium, Envoy, and CNI
* Strong understanding of Layer 7 networking, HTTP/2, gRPC, API gateways, and reverse proxies
* Knowledge of serving runtime technologies for hosting LLMs, including vLLM, SGLang, TensorRT\-LLM
* Excellent written and verbal communication skills for effective stakeholder interaction
* Experience leading technical initiatives within global teams and delivering on strategic visions
* Ability to work autonomously in a fast\-paced, dynamic environment
**Responsibilities**
* Architect and lead the implementation of new features and solutions for Red Hat AI Inference
* Foster and lead a healthy upstream open\-source community
* Design, develop, and maintain distributed inference infrastructure utilizing Kubernetes APIs, operators, and Gateway Inference Extension API
* Develop system components in Go and/or Rust to integrate with vLLM and manage distributed inference workloads
* Create KV cache\-aware routing and scoring algorithms to optimize memory and request distribution
* Enhance resource utilization, fault tolerance, and stability of the inference stack
* Design and test inference optimization algorithms for performance improvements
* Lead technical design discussions and propose innovative solutions for complex challenges
* Share technical knowledge and best practices within the team to promote continuous improvement
* Collaborate with product management and cross\-functional teams to analyze business requirements
* Communicate project progress and technical details effectively to stakeholders
* Mentor and coach a distributed team of engineers to foster growth and expertise
* Conduct code reviews to ensure quality and adherence to best practices
* Represent Red Hat AI in industry events, customer meetings, and open\-source communities
**Benefits**
* Comprehensive medical, dental, and vision coverage
* Flexible Spending Account (FSA) for healthcare and dependent care
* Health Savings Account (HSA) for high deductible medical plans
* Retirement 401(k) plan with employer matching contributions
* Paid time off and holidays
* Paid parental leave for all new parents
* Additional leave benefits including disability, family medical leave, and military leave
* Employee stock purchase plan, tuition reimbursement, family planning reimbursement, transportation expense account, and employee assistance program
 Equal Opportunity
 Red Hat is committed to fostering an inclusive and diverse workplace. We are proud to be an equal opportunity employer and do not discriminate based on race, color, religion, sex, sexual orientation, gender identity, national origin, ancestry, citizenship, age, veteran status, genetic information, physical or mental disability, medical condition, marital status, or any other legally protected status. We encourage applicants from all backgrounds to join our team and contribute to our culture of transparency, collaboration, and innovation.</t>
        </is>
      </c>
    </row>
    <row r="30">
      <c r="A30" t="inlineStr">
        <is>
          <t>li-4373585632</t>
        </is>
      </c>
      <c r="B30" t="inlineStr">
        <is>
          <t>AI Engineer</t>
        </is>
      </c>
      <c r="C30" t="inlineStr">
        <is>
          <t>Haystack</t>
        </is>
      </c>
      <c r="D30" t="inlineStr">
        <is>
          <t>linkedin</t>
        </is>
      </c>
      <c r="E30" t="inlineStr"/>
      <c r="F30" t="inlineStr"/>
      <c r="G30" t="inlineStr">
        <is>
          <t>California, United States</t>
        </is>
      </c>
      <c r="H30" t="inlineStr"/>
      <c r="I30" t="inlineStr">
        <is>
          <t>**AI Engineer, AI.x \| California \| Hybrid**
 We're working with Charles Schwab on this exciting opportunity.
 Join Charles Schwab's AI Strategy \&amp; Transformation team (AI.x) to design and deliver innovative AI solutions that will redefine the financial industry. This is a unique opportunity to build cutting\-edge GenAI applications, impacting millions of clients and shaping the future of AI at Schwab.
**The Role**
* Design, develop, and deliver GenAI applications that enhance client experience and create business value.
* Collaborate with architects, engineers, and business leaders to align solutions with enterprise strategy.
* Solve complex technical challenges in distributed systems, adhering to best engineering standards.
* Contribute to an innovative team, fostering continuous learning and mentoring peers.
* Drive iterations from concept to production, bringing curiosity and creativity to AI development.
**What You'll Need**
* 5\+ years of software development experience, with 3\+ years as a hands\-on engineer.
* 1\+ years developing applications using Artificial Intelligence (AI) models for business impact.
* 2\+ years of experience with applications or data pipelines interfacing with large datasets.
* 2\+ years working with containers and cloud\-native applications, deploying in public cloud using infrastructure as code.
* Bachelor's degree in Computer Science or a related field.
**What's On Offer**
* Competitive benefits package including 401(k) with company match and employee stock purchase plan.
* Paid time for vacation, volunteering, and a 28\-day sabbatical after every 5 years of service.
* Opportunities for continuous learning, growth, and a culture of trust and collaboration.
* Paid parental leave, family building benefits, and tuition reimbursement.
**Apply via Haystack today!**</t>
        </is>
      </c>
    </row>
    <row r="31">
      <c r="A31" t="inlineStr">
        <is>
          <t>li-4303045626</t>
        </is>
      </c>
      <c r="B31" t="inlineStr">
        <is>
          <t>Staff Machine Learning Engineer - Search</t>
        </is>
      </c>
      <c r="C31" t="inlineStr">
        <is>
          <t>Warner Bros. Discovery</t>
        </is>
      </c>
      <c r="D31" t="inlineStr">
        <is>
          <t>linkedin</t>
        </is>
      </c>
      <c r="E31" t="inlineStr"/>
      <c r="F31" t="inlineStr"/>
      <c r="G31" t="inlineStr">
        <is>
          <t>San Francisco, CA</t>
        </is>
      </c>
      <c r="H31" t="inlineStr"/>
      <c r="I3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**Staff MLE
 , Personalization, Content Discovery**
**Location:
 Seattle,
 San Francisco Bay Area, New York**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Motivate,
 inspire
 and create a culture of experimentation and data\-driven innovation while constantly striving to be an advocate for doing what is right for our customers
**Requirements:**
* 8
 \+ years of industry experience, with 4\+ years as tech lead experience (preferred)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5\+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32">
      <c r="A32" t="inlineStr">
        <is>
          <t>li-4302873000</t>
        </is>
      </c>
      <c r="B32" t="inlineStr">
        <is>
          <t>Staff Machine Learning Engineer - Search</t>
        </is>
      </c>
      <c r="C32" t="inlineStr">
        <is>
          <t>Warner Bros. Discovery</t>
        </is>
      </c>
      <c r="D32" t="inlineStr">
        <is>
          <t>linkedin</t>
        </is>
      </c>
      <c r="E32" t="inlineStr"/>
      <c r="F32" t="inlineStr"/>
      <c r="G32" t="inlineStr">
        <is>
          <t>Bellevue, WA</t>
        </is>
      </c>
      <c r="H32" t="inlineStr"/>
      <c r="I3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**Staff MLE
 , Personalization, Content Discovery**
**Location:
 Seattle,
 San Francisco Bay Area, New York**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Motivate,
 inspire
 and create a culture of experimentation and data\-driven innovation while constantly striving to be an advocate for doing what is right for our customers
**Requirements:**
* 8
 \+ years of industry experience, with 4\+ years as tech lead experience (preferred)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5\+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33">
      <c r="A33" t="inlineStr">
        <is>
          <t>li-4373815477</t>
        </is>
      </c>
      <c r="B33" t="inlineStr">
        <is>
          <t>Senior AI Engineer</t>
        </is>
      </c>
      <c r="C33" t="inlineStr">
        <is>
          <t>Capgemini</t>
        </is>
      </c>
      <c r="D33" t="inlineStr">
        <is>
          <t>linkedin</t>
        </is>
      </c>
      <c r="E33" t="inlineStr"/>
      <c r="F33" t="inlineStr"/>
      <c r="G33" t="inlineStr">
        <is>
          <t>Atlanta, GA</t>
        </is>
      </c>
      <c r="H33" t="inlineStr"/>
      <c r="I33"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Google Cloud team offers extensive career opportunities and provides mentoring and coaching for teammates. The Senior AI Engineer role is for an experinrced professional with expertise in Vertex AI MLOps, Traditional ML and supervised learning models.
 Your role
* The core of the project relies on Google Cloud Platform (GCP) and specifically Vertex AI
* Self\-directed, disciplined, and self\-aware to balance project development and support activities with a commitment to excellence in quality and communication
* Builds effective relationships and communicates with business partners and vendors to collect and clarify business requirements
**Your Skills And Experience**
* Senior candidate with 8 plus years relevant experience in Cloud Platform \&amp; AI Services (Google Cloud/Vertex AI).
* Vertex AI Capabilities: Using built\-in features for predictive and generative AI, as well as the Model Garden to discover and customize models.
* Vertex AI Pipelines: Building and executing steps in Vertex Pipelines, including understanding how to use Kubeflow to build pipeline templates for interoperability,.
* Core GCP Services: Configuring and enabling APIs for BigQuery, Google Cloud Storage, and managed Vertex AI notebooks.
* Good experience in MLOps \&amp; Automation \- A major focus of the engagement is establishing Machine Learning Operations (MLOps) maturity.
* CI/CD Integration: Implementing Continuous Integration/Continuous Delivery workflows using Cloud Build or GitHub to deploy pipeline components,.
* Model Lifecycle Management: Managing models through the Vertex AI Model Registry, using Artifact Registry for Docker images, and setting up Vertex AI Experiments for tracking pipeline runs.
* Infrastructure as Code (IaC): Developing automation scripts (likely Terraform, though 'IaC' is the term used) to manage the lifecycle of AI/ML sandbox projects and environments.
 The base compensation range for this role in the posted location is: $76,200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4">
      <c r="A34" t="inlineStr">
        <is>
          <t>li-4372555539</t>
        </is>
      </c>
      <c r="B34" t="inlineStr">
        <is>
          <t>Python, AI/ML engineer</t>
        </is>
      </c>
      <c r="C34" t="inlineStr">
        <is>
          <t>Jobs via Dice</t>
        </is>
      </c>
      <c r="D34" t="inlineStr">
        <is>
          <t>linkedin</t>
        </is>
      </c>
      <c r="E34" t="inlineStr"/>
      <c r="F34" t="inlineStr"/>
      <c r="G34" t="inlineStr">
        <is>
          <t>New York, NY</t>
        </is>
      </c>
      <c r="H34" t="inlineStr"/>
      <c r="I34" t="inlineStr">
        <is>
          <t>Dice is the leading career destination for tech experts at every stage of their careers. Our client, GAC Solutions Inc., is seeking the following. Apply via Dice today!
 Job Title: AI/ML Engineer
 Location: USA Remote
 Description:
 Design AI\-assisted language generation for producing clear, plain\-language draft messages. Implement draft message generation service within the validation pipeline. Auto\-generate draft text at the end of each validation run. In short \- Generative AI Integration (specifically text generation/RAG), Serverless Compute (Cloud Run/Functions), Document Processing, and API Integration.</t>
        </is>
      </c>
    </row>
    <row r="35">
      <c r="A35" t="inlineStr">
        <is>
          <t>li-4343791185</t>
        </is>
      </c>
      <c r="B35" t="inlineStr">
        <is>
          <t>Staff Machine Learning Engineer</t>
        </is>
      </c>
      <c r="C35" t="inlineStr">
        <is>
          <t>Cisco</t>
        </is>
      </c>
      <c r="D35" t="inlineStr">
        <is>
          <t>linkedin</t>
        </is>
      </c>
      <c r="E35" t="inlineStr"/>
      <c r="F35" t="inlineStr"/>
      <c r="G35" t="inlineStr">
        <is>
          <t>San Francisco, CA</t>
        </is>
      </c>
      <c r="H35" t="inlineStr"/>
      <c r="I35"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 Provide technical leadership and mentorship within the team, establishing leading practices for development, testing, and artifact management.
**Minimum Qualifications**
* Master's degree in computer science or related field and 6\+ years of software engineering experience, or bachelor's degree with 8\+ years of experience.
* Experience designing and building scalable cloud\-based systems (AWS, Azure, or GCP), including container orchestration (e.g., Kubernetes, Docker).
* Proven experience in technical leadership, architecture design, and end\-to\-end feature ownership in AI/ML or platform domains.
* Experience with API design and frameworks (e.g. OpenAPI, GraphQL, gRPC, REST, etc.)
* Prior working experience in delivering RAG and Agentic products into production
* Expert at using vibe coding tools (Claude Code, Codex, Copilot, Windsurf, Cursor) is a must
* Up To Date knowledge on the latest Agentic and Generative AI industry trend and framework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$183,800\.00 to $263,600\.00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$183,800\.00 \- $303,100\.00
**Non\-Metro New York State \&amp; Washington State**
 $163,600\.00 \- $269,800\.00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
      <c r="A36" t="inlineStr">
        <is>
          <t>li-4373817722</t>
        </is>
      </c>
      <c r="B36" t="inlineStr">
        <is>
          <t>Full Stack AI Engineer – Healthcare</t>
        </is>
      </c>
      <c r="C36" t="inlineStr">
        <is>
          <t>Artificial Generalized Intelligence Solutions (AGIS)</t>
        </is>
      </c>
      <c r="D36" t="inlineStr">
        <is>
          <t>linkedin</t>
        </is>
      </c>
      <c r="E36" t="inlineStr"/>
      <c r="F36" t="inlineStr"/>
      <c r="G36" t="inlineStr">
        <is>
          <t>Jacksonville, FL</t>
        </is>
      </c>
      <c r="H36" t="inlineStr"/>
      <c r="I36" t="inlineStr">
        <is>
          <t>**Location:** 
 Remote with limited travel
**Job Type:** 
 Full\-time
**Experience Level:** 
 Mid\+
**Overview**
 We're looking for a talented and detail\-oriented full stack engineer with strong experience in AI and web development. You'll work closely with and be the bridge between the product management team and clients to build AI assisted healthcare solutions.
**Responsibilities**
* Integrate AI services (LLMs, OCR, document processing, STT \&amp; TTS, or classification systems) into new and existing application architectures
* Adjust, refine, and version AI prompts and workflows to improve accuracy, reliability, and real\-world performance in production systems
* Develop high\-quality, reusable UI components using modern JavaScript frameworks
* Collaborate with designers, peers, and product management to deliver consistent, elegant experiences
* Thoroughly test and debug code, participate in code reviews, provide documentation, and ensure systems meet healthcare\-grade requirements
**Requirements**
* At least 3â6\+ years of experience as a full\-stack engineer
* Hands\-on experience integrating AI or ML services into applications, including prompt design and iteration for LLM\-based systems
* Strong proficiency with Node.js, Express, etc and building RESTful and event\-driven backend services
* Experience with modern web development (HTML, CSS, JavaScript, and at least one modern frontend framework or jQuery\-based production stacks)
* Comfort working across multiple codebases and projects simultaneously
* Familiarity with databases (SQL and/or NoSQL) and data modeling for real\-world applications
* Attention to detail and strong testing experience
***Nice to Have***
* Familiarity with automated, testing frameworks (e.g., Jest, Cypress)
* Knowledge of authentication/authorization patterns (JWT, role\-based access control)
* Experience with monitoring, logging, and production debugging
**What We Offer**
**About Us**
 AGIS is a cutting\-edge, rapidly growing artificial intelligence company delivering proven, real\-world AI solutions across healthcare, gaming, retail, government, and education. We partner with forward\-thinking organizations to deploy intelligent systems that drive efficiency, insight, and measurable impact. At AGIS, you will work alongside a highly technical, execution\-focused team in a fast\-paced environment where ownership, initiative, and results matter. If you want to help shape the future of applied AI, this role offers a unique opportunity to grow with a company at the forefront of the industry.
**You'll Experience**
* Competitive salary \+ compensation structure
* Flexible working hours and with remote work options
* Opportunity to grow within a fast\-growing scale\-up</t>
        </is>
      </c>
    </row>
    <row r="37">
      <c r="A37" t="inlineStr">
        <is>
          <t>li-4354035194</t>
        </is>
      </c>
      <c r="B37" t="inlineStr">
        <is>
          <t>Machine Learning Engineer - Autonomy Lab - 2024072</t>
        </is>
      </c>
      <c r="C37" t="inlineStr">
        <is>
          <t>Software Engineering Institute | Carnegie Mellon University</t>
        </is>
      </c>
      <c r="D37" t="inlineStr">
        <is>
          <t>linkedin</t>
        </is>
      </c>
      <c r="E37" t="inlineStr"/>
      <c r="F37" t="inlineStr"/>
      <c r="G37" t="inlineStr">
        <is>
          <t>Pittsburgh, PA</t>
        </is>
      </c>
      <c r="H37" t="inlineStr"/>
      <c r="I37" t="inlineStr">
        <is>
          <t>**This position can be based in Pittsburgh, PA or Arlington, VA.** 
 What We Do
 At the SEI AI Division, we conduct research in applied artificial intelligence and the engineering questions related to the practical design and implementation of Artificial Intelligence (AI) technologies and systems. We currently lead a community\-wide movement to mature the discipline of AI Engineering for Defense and National Security.
 As our government customers adopt AI and machine learning (ML) to provide leap\-ahead mission capabilities, we:
* build real\-world, mission\-scale AI capabilities through solving practical engineering problems.
* discover and define the processes, practices, and tools to support operationalizing AI for robust, secure, scalable, and human\-centered mission capabilities.
* prepare our customers to be ready for the unique challenges of adopting, deploying, using, and maintaining AI capabilities.
* identify and investigate emerging AI and AI\-adjacent technologies that are rapidly transforming the technology landscape.
 Are you creative, curious, and collaborative? Do you enjoy doing meaningful and complex work? Are you interested in making a difference by bringing innovation to government organizations and beyond? Apply to join our team today!
**Position Summary:** 
 As a machine learning engineer in the AI for Autonomy Lab, you will identify, shape, apply, conduct, and lead engineering research that matches critical U.S. government needs. The AI for Autonomy Lab researches and demonstrates the application of AI\-related technologies for improving the performance of autonomy systems.
 Duties:
* **Solution Development:** 
 You’ll work with and lead interdisciplinary teams to turn research results into prototype operational capabilities for government customers and stakeholders.
* **Hands\-on Prototyping:** 
 You’ll conduct and lead novel prototyping in applied artificial intelligence with a focus on machine learning in autonomy and uncrewed systems (multi\-domain).
* **Strategy:** 
 You’ll work with AI Division leaders and colleagues to plan, develop, and carry out an overall research and engineering strategy, and to influence the national research and engineering agenda regarding future technology.
* **Collaboration:** 
 You'll actively participate on teams of software developers, researchers, designers, and technical leads. You'll build relationships and collaborate with researchers, government customers, and other stakeholders to understand challenges, needs, possible solutions, and research and engineering directions.
* **Mentoring:** 
 You'll contribute to improving the overall technical capabilities of the team by mentoring and teaching others, participating in design (software and otherwise) sessions, and sharing insights and wisdom across the SEI AI Division.
 Requirements:
* BS in Computer Science or related discipline with eight (8\) years of experience; MS in the same fields with five (5\) years of experience; PhD in Computer Science with two (2\) years of experience.
* 
* You must be able and willing to work onsite at an SEI office in Pittsburgh, PA or Arlington, VA 5 days per week.
* Flexible to travel to other SEI offices, sponsor sites, conferences, and offsite meetings on occasion. Moderate (25%) travel outside of your home location.
* You will be subject to a background investigation and must be eligible to obtain and maintain a Department of War security clearance.
**Knowledge, Skills, and Abilities:** 
* **Deep Technical Knowledge:** 
 You have performed extensive research or engineering activities in applied machine learning and artificial intelligence. You have worked with tools, techniques, algorithms, software, and programming languages for deep learning, reinforcement learning, statistics, sensors and sensor fusion, planning, computer vision, or related areas. In addition, you have demonstrated applying systems engineering principles and collaborated across multi\-disciplinary project teams. You have supported multiple phases of the engineering lifecycle and understand the requirements for successful deployment and operation of complex systems.
* **Machine Learning:** 
 You have profound understanding of machine learning principles and have experience in applying machine learning techniques to real\-world problems, showcasing a track record of successful implementations. You have designed and implemented complex machine learning functions and architectures tailored to specific autonomous systems. You are familiar with simulation environments and their role in training and testing machine learning models.
* **Robotics \&amp; Autonomy:** 
 You have a strong understanding of robotics principles and design techniques for air, sea, or land\-based vehicles. You have experience applying machine learning within these domains and understand the related implications and challenges. Your experience includes areas such as sensor fusion, navigation, object search/tracking, collision avoidance, multi\-agent collaboration, and human\-machine teaming.
* **Test \&amp; Evaluation:** 
 You have designed and conducted test and evaluation activities for ML components to assess operational fit and readiness. You have experience working with model experimentation software, such as MLFlow or Weights \&amp; Biases for rigorous model development and selection.
* **Applied Full\-Stack Implementation:** 
 You have strong development experience and can design and implement software and systems resources for packaging and managing requirements for AI and ML prototypes. You frequently use tools like Docker to manage software resources and pipeline orchestration. You may have experience building applications in cloud platforms (Azure, AWS, Google Cloud Platform).
*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 **Dedication:** 
 You can meet deadlines while multi\-tasking–sometimes under pressure and with shifting priorities.
* **Creativity and Innovation:** 
 You are creative and curious, and you are inspired by the prospect of collaborating with premier members of the technical staff and other visionaries at Carnegie Mellon and other universities and organizations. You quickly learn new procedures, techniques, and approaches. You are forward\-looking and can connect research and engineering with practical challenges.
* **Knowledge and Learning:** 
 You possess broad technical interests along with a deep knowledge of a particular field such as machine learning, autonomy and adaptive systems, or data analytics.
**Preferred Experience:** 
* **Thought Leadership and Publications:** 
 You have a track record of synthesizing lessons learned from research or engineering activities for publication. You have a reputation for the highest level of research and engineering integrity. You have demonstrated contributions and have published research, code (e.g., models, data, software applications), or technical perspectives.
* **Familiarity with Emerging Trends and Opportunities:** 
 You are familiar with technical challenges and emerging trends in computing and information science, and you are aware of opportunities in industry and government.
* **Technical Leadership:** 
 You have led technical projects and have experience collaborating across research teams and mentoring other researchers.
* **Proposals:** 
 You have formulated and delivered successful research and engineering proposals to funding agencies and led the resulting projects.
* **Government Projects:** 
 You have worked or are familiar with Navy, Marine, Air Force, Army, Space Force, DARPA, IARPA, Service Labs, or other government research sponsors.</t>
        </is>
      </c>
    </row>
    <row r="38">
      <c r="A38" t="inlineStr">
        <is>
          <t>li-4373805318</t>
        </is>
      </c>
      <c r="B38" t="inlineStr">
        <is>
          <t>Remote RAG AI Engineer - Remote</t>
        </is>
      </c>
      <c r="C38" t="inlineStr">
        <is>
          <t>Kforce Inc</t>
        </is>
      </c>
      <c r="D38" t="inlineStr">
        <is>
          <t>linkedin</t>
        </is>
      </c>
      <c r="E38" t="inlineStr"/>
      <c r="F38" t="inlineStr"/>
      <c r="G38" t="inlineStr">
        <is>
          <t>San Diego, CA</t>
        </is>
      </c>
      <c r="H38" t="inlineStr"/>
      <c r="I38" t="inlineStr">
        <is>
          <t>**Responsibilities**
 Kforce has a client in need of a Remote RAG AI Engineer. Responsibilities:
* Build and integrate AI solutions, including MCPs, to connect agents with tools and systems
* Source, prepare, and manage data for machine learning and AI applications
* Design, test, deploy, and optimize ML models to meet business and performance goals
* Integrate AI models into applications using APIs and cloud platforms
* Monitor, troubleshoot, and improve AI systems for reliability and scalability
* Apply ethical AI principles, ensuring fairness, privacy, and transparency
* Collaborate across technical and business teams to align AI solutions with objectives
* Document architectures, share best practices, and mentor team members
* Support stakeholders with AI expertise, reporting, and participation in design and review sessions
**Requirements**
* Bachelor's or Master's degree in Computer Science, AI, Data Science, Engineering, or related field
* 3\+ years of relevant experience in AI/ML development
* Strong understanding of RAG architectures, including semantic chunking, filtering, and evaluation strategies
* Experience evaluating and iteratively improving RAG model performance over time
* Advanced proficiency in Python; working knowledge of Java, R, or Scala
* Hands\-on experience with ML frameworks (TensorFlow, PyTorch, Keras, or similar)
* Solid foundation in algorithms, data structures, and core AI concepts (NLP, neural networks, computer vision)
* Experience with cloud AI services (Azure, AWS, GCP)
* Strong problem\-solving, prioritization, and critical\-thinking skills in fast\-paced environments
* Excellent communication, collaboration, and leadership capabilities; Adaptable self\-starter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39">
      <c r="A39" t="inlineStr">
        <is>
          <t>li-4372514609</t>
        </is>
      </c>
      <c r="B39" t="inlineStr">
        <is>
          <t>AI Engineer II - Backend</t>
        </is>
      </c>
      <c r="C39" t="inlineStr">
        <is>
          <t>Jobs via Dice</t>
        </is>
      </c>
      <c r="D39" t="inlineStr">
        <is>
          <t>linkedin</t>
        </is>
      </c>
      <c r="E39" t="inlineStr"/>
      <c r="F39" t="inlineStr"/>
      <c r="G39" t="inlineStr">
        <is>
          <t>Redmond, WA</t>
        </is>
      </c>
      <c r="H39" t="inlineStr"/>
      <c r="I39" t="inlineStr">
        <is>
          <t>**Overview**
 The Security AI Platform team builds and operates production infrastructure that powers AI\-native security capabilities at Microsoft scale. The Platform \+ Apps group develops the core product, including microservices, ML inference pipelines, APIs, and user interfaces. We work closely with the AI Operations team who handles deployments, pipelines, and production reliability.
 We are seeking an AI Engineer II \- Backend to implement features across our backend services. In this role, you will build microservice components, API endpoints, and data pipelines within established architectures. You will work with senior engineers who will guide your technical growth while you take ownership of features within the platform.
**Responsibilities**
* Implement backend microservices and API endpoints using C\#/.NET and Python within established architectures, deployed on Azure Kubernetes Service (AKS)
* Build features across ML inference pipelines: integrate with rule engines, LLM serving platforms, and various model runtime services
* Implement data pipelines and storage integrations: Event Hub connectors, Kusto queries, Redis caching layers, and configuration management
* Add observability to services: OpenTelemetry instrumentation, logging, metrics collection, and health check endpoints
* Optimize service performance: implement caching strategies, batching, and response streaming under guidance from senior engineers
* Write comprehensive automated tests: unit tests, integration tests, and API contract tests
* Participate in design discussions and code reviews; learn architectural patterns and best practices from senior engineers
* Document APIs, service behaviors, and operational procedures
* Deploy and debug services in development environments; coordinate with AI Operations for production deployments
* Fix bugs and address issues; participate in incident triage with guidance from senior engineers
* Collaborate with frontend engineers to understand API requirements and deliver endpoints they need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2\+ years software engineering experience building backend services
* 2\+ years proficiency in C\#/.NET or similar languages with solid API design practices
* 1\+ years hands\-on experience with ML/AI systems (coursework, projects, or production)
* Experience building on Azure: AKS, Event Hub, Cosmos DB, Redis, Key Vault, Managed Identity
* Exposure to ML inference technologies: model serving frameworks, inference runtimes, or ML pipelines
* Distributed systems fundamentals: concurrency, messaging patterns, caching, and basic performance optimization
* Experience with gRPC and Protocol Buffers in addition to REST APIs
* CI/CD and containerization experience: Docker, Kubernetes basics, Azure DevOps or GitHub Actions
* Observability experience: logging, metrics, tracing, and basic debugging in distributed systems
* Security domain exposure: threat detection concepts, attack patterns, or security tooling
* Track record shipping backend features used by other teams or customers
 \#MSFT Security \#SentinelPlatform \#MSECAI \#MSECAINEXT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0">
      <c r="A40" t="inlineStr">
        <is>
          <t>li-4372544729</t>
        </is>
      </c>
      <c r="B40" t="inlineStr">
        <is>
          <t>AI Engineer - Dallas, TX(Onsite)</t>
        </is>
      </c>
      <c r="C40" t="inlineStr">
        <is>
          <t>Jobs via Dice</t>
        </is>
      </c>
      <c r="D40" t="inlineStr">
        <is>
          <t>linkedin</t>
        </is>
      </c>
      <c r="E40" t="inlineStr"/>
      <c r="F40" t="inlineStr"/>
      <c r="G40" t="inlineStr">
        <is>
          <t>Dallas, TX</t>
        </is>
      </c>
      <c r="H40" t="inlineStr"/>
      <c r="I40" t="inlineStr">
        <is>
          <t>Dice is the leading career destination for tech experts at every stage of their careers. Our client, TechniPros, LLC, is seeking the following. Apply via Dice today!
**Role: AI Engineer
 Location: Dallas, TX(Onsite)**
**Looking For W2 No C2C**
**Software Engineering \&amp; System Design** 
 :
* Write, test, and deploy production\-quality code with a strong focus on scalability and performance.
* Design and implement end\-to\-end systems including API, database, and application layers.
* Consider memory usage, performance optimization, and modular architecture in code design.
* Follow modern DevOps practices for deployment and environment management.
* Python Development
* Write clean, modular Python code with proper environment management (virtualenv, poetry, conda).
* Build and deploy RESTful APIs using frameworks like FastAPI or Flask.
* Connect applications to relational and NoSQL databases.
* Containerize applications using Docker and deploy in Kubernetes / cloud environments.
**Database Skills:**
* Write and optimize SQL and PL/SQL queries for data retrieval and transformation.
* Integrate database logic effectively into application workflows.
* Generative AI Development
* Understand how Large Language Models (LLMs) work \- architecture, limitations, and tuning methods.
**Design and implement RAG (Retrieval\-Augmented Generation) systems:**
* Build pipelines connecting vector databases, LLMs, and application layers.
* Optimize retrieval and response accuracy through prompt engineering and context management.
* Apply best practices and advanced RAG techniques (chunking strategies, caching, query re\-ranking).
* Develop and manage prompt templates, parameter configurations, and evaluation metrics.
* Agentic AI Systems
* Understand AI agents, their lifecycle, and how they integrate with tools and APIs.
* Implement tool calling and human\-in\-the\-loop workflows.
* Design multi\-agent architectures using frameworks such as LangChain or LangGraph.
* Apply agent orchestration best practices, ensuring reliability, observability, and control.
**Required Skills \&amp; Qualifications:**
* Strong understanding of software design principles and ability to think like a developer (language agnostic).
* Proficiency in Python with good exposure to building APIs, database integration, and container\-based deployment.
* Working knowledge of SQL / PL\-SQL for querying and joining data.
* Experience in developing or integrating GenAI or RAG\-based systems using OpenAI, Anthropic, or similar models.
* Familiarity with LangChain, LangGraph, or similar frameworks for AI workflow orchestration.
* Any experience with Servicenow background or platform like ITSM, CMDB, CSA, CAD, CIS.
* Strong debugging, optimization, and analytical skills.
* Excellent communication and collaboration abilities in a fast\-paced environment.
**Nice to Have:**
* Exposure to cloud platforms (AWS, Google Cloud Platform, Azure) for AI workload deployment.
* Experience with vector databases (FAISS, Pinecone, Weaviate, or Chroma).
* Knowledge of monitoring and observability tools for AI systems.
* Familiarity with CI/CD pipelines, GitOps, and infrastructure automation.
**Best Regards:**
**Peerbhi SK**
 Phone:
 Email:</t>
        </is>
      </c>
    </row>
    <row r="41">
      <c r="A41" t="inlineStr">
        <is>
          <t>li-4372542730</t>
        </is>
      </c>
      <c r="B41" t="inlineStr">
        <is>
          <t>Agentic AI Engineer</t>
        </is>
      </c>
      <c r="C41" t="inlineStr">
        <is>
          <t>Jobs via Dice</t>
        </is>
      </c>
      <c r="D41" t="inlineStr">
        <is>
          <t>linkedin</t>
        </is>
      </c>
      <c r="E41" t="inlineStr"/>
      <c r="F41" t="inlineStr"/>
      <c r="G41" t="inlineStr">
        <is>
          <t>Auburn Hills, MI</t>
        </is>
      </c>
      <c r="H41" t="inlineStr"/>
      <c r="I41" t="inlineStr">
        <is>
          <t>Dice is the leading career destination for tech experts at every stage of their careers. Our client, Talent Groups, is seeking the following. Apply via Dice today!
**This role focuses on building sophisticated AI agents that can reason, plan, and execute complex tasks with minimal human intervention**
**As a Senior Agentic AI Engineer, you will design and implement intelligent agent systems using state\-of\-the\-art frameworks and technologies. You'll work at the intersection of large language models, knowledge graphs, and distributed systems to create AI solutions that can autonomously handle complex workflows and decision\-making processes.**
**Required Technical Skills**
* Core AI/ML Frameworks\*\*
+ Expert\-level proficiency with LangGraph for agent workflow orchestration
+ Deep experience with LangChain for LLM application development
+ Hands\-on experience with Google Cloud AI services (Vertex AI, Gemini, PaLM)
+ Strong understanding of prompt engineering and LLM optimization techniques
* Data \&amp; Storage\*\*
+ Proficiency with vector databases (Pinecone, Weaviate, Chroma, or similar)
+ Experience with traditional databases (PostgreSQL, MongoDB)
+ Knowledge of data ingestion frameworks and ETL pipelines
+ Understanding of embedding models and semantic search optimization
* Python Development\*\*
+ Advanced Python programming skills with 10\+ years of experience
+ Expert\-level FastAPI development for building scalable APIs
+ Proficiency with async/await patterns and concurrent programming
+ Experience with Python ML libraries (NumPy, Pandas, scikit\-learn)
+ Knowledge of testing frameworks (pytest, unittest) and CI/CD practices
* Cloud \&amp; Infrastructure\*\*
+ Hands\-on experience with Google Cloud Platform (Google Cloud Platform)
+ Proficiency with containerization (Docker) and orchestration (Kubernetes)
+ Experience with cloud storage solutions and data pipelines
+ Understanding of microservices architecture and distributed systems</t>
        </is>
      </c>
    </row>
    <row r="42">
      <c r="A42" t="inlineStr">
        <is>
          <t>li-4372542713</t>
        </is>
      </c>
      <c r="B42" t="inlineStr">
        <is>
          <t>AI Engineer (Chinese Speaking) at Santa Clara, CA Onsite</t>
        </is>
      </c>
      <c r="C42" t="inlineStr">
        <is>
          <t>Jobs via Dice</t>
        </is>
      </c>
      <c r="D42" t="inlineStr">
        <is>
          <t>linkedin</t>
        </is>
      </c>
      <c r="E42" t="inlineStr"/>
      <c r="F42" t="inlineStr"/>
      <c r="G42" t="inlineStr">
        <is>
          <t>Santa Clara, CA</t>
        </is>
      </c>
      <c r="H42" t="inlineStr"/>
      <c r="I42" t="inlineStr">
        <is>
          <t>Dice is the leading career destination for tech experts at every stage of their careers. Our client, TeamSuccess LLC DBA HiEd Success, is seeking the following. Apply via Dice today!
**Position: AI Engineer** 
**(Chinese Speaking)**
**Location: Santa Clara, CA Onsite**
**Job Description:**
 We are looking for an AI Engineer who can build and support AI/ML solutions.
**The candidate must speak Chinese and English.**
**Responsibilities:**
* Develop AI and Machine Learning models
* Work with data and improve model performance
* Support deployment of AI solutions
* Communicate with Chinese\-speaking clients and teams
**Requirements:**
* Experience with Python
* Knowledge of Machine Learning basics
* Mandarin and English fluency
* Good communication skills</t>
        </is>
      </c>
    </row>
    <row r="43">
      <c r="A43" t="inlineStr">
        <is>
          <t>li-4372555545</t>
        </is>
      </c>
      <c r="B43" t="inlineStr">
        <is>
          <t>Senior AI Engineer (Generative AI &amp; AWS Bedrock)</t>
        </is>
      </c>
      <c r="C43" t="inlineStr">
        <is>
          <t>Jobs via Dice</t>
        </is>
      </c>
      <c r="D43" t="inlineStr">
        <is>
          <t>linkedin</t>
        </is>
      </c>
      <c r="E43" t="inlineStr"/>
      <c r="F43" t="inlineStr"/>
      <c r="G43" t="inlineStr">
        <is>
          <t>Chicago, IL</t>
        </is>
      </c>
      <c r="H43" t="inlineStr"/>
      <c r="I43" t="inlineStr">
        <is>
          <t>Dice is the leading career destination for tech experts at every stage of their careers. Our client, Evolutyz Corp, is seeking the following. Apply via Dice today!
 Job Title: Senior AI Engineer (Generative AI \&amp; AWS Bedrock)
 Location: Naperville, IL
 Duration: Contract
 We want someone who implemented a multimodal RAG system (at least worked with one type of RAG). A real hands\-on engineer. Also, should be able to code in python. We are also evaluating in terms of clarity in thought process.
 Must\-Have Qualifications (All Required):
 Strong Python engineering background with production experience in cloud\-native services.
 Extensive hands\-on experience with AWS services: Amazon Bedrock (FMs \+ embeddings) and Bedrock Guardrails, AWS Lambda, CloudWatch, DynamoDB (schema and access patterns), S3 (bucket architecture, automation, event\-driven ingestion), Amazon Kendra (enterprise search / hybrid retrieval patterns), AWS Agent Core / Bedrock Agents (agent orchestration and tool use)
 Proven expertise in:
 LLMs (prompting patterns, context management, hallucination mitigation)
 RAG (chunking, metadata, hybrid retrieval, reranking, citations)
 Data engineering on AWS (pipelines, quality checks, lineage, versioning)
 Database schema awareness and designing data access patterns for scalable retrieval Production delivery skills:
 API Gateway, Step Functions, EventBridge, SQS/SNS
 OpenSearch / vector database patterns (as applicable)
 IAM least privilege, KMS, Secrets Manager/SSM, CloudTrail
 CI/CD and IaC (Terraform/CloudFormation/CDK)
 Reliability patterns (rate limiting, caching, retries, circuit breakers, DR awareness)
 AI certification required (AWS ML SClientialty or equivalent recognized AI/ML certification) and strong depth across AWS services.
**Thankyou**
**Gaurav M Dubey**
 Technical Lead \- Talent Acquisition
**Evolutyz Corp**
 1560 Wall Street, Naperville, IL, 60563
**Email:** 
 ;
 **Desk:** 
 Ext.341
 \|\| \|\| \|\|</t>
        </is>
      </c>
    </row>
    <row r="44">
      <c r="A44" t="inlineStr">
        <is>
          <t>li-4373860713</t>
        </is>
      </c>
      <c r="B44" t="inlineStr">
        <is>
          <t>Senior Machine Learning Engineer</t>
        </is>
      </c>
      <c r="C44" t="inlineStr">
        <is>
          <t>Shipt</t>
        </is>
      </c>
      <c r="D44" t="inlineStr">
        <is>
          <t>linkedin</t>
        </is>
      </c>
      <c r="E44">
        <f>HYPERLINK("https://www.linkedin.com/jobs/view/4373860713", "https://www.linkedin.com/jobs/view/4373860713")</f>
        <v/>
      </c>
      <c r="F44">
        <f>HYPERLINK("https://shipt.wd1.myworkdayjobs.com/Shipt_External/job/San-Francisco-CA/Senior-Machine-Learning-Engineer_R4075?source=LinkedIn&amp;urlHash=DTQp", "https://shipt.wd1.myworkdayjobs.com/Shipt_External/job/San-Francisco-CA/Senior-Machine-Learning-Engineer_R4075?source=LinkedIn&amp;urlHash=DTQp")</f>
        <v/>
      </c>
      <c r="G44" t="inlineStr">
        <is>
          <t>San Francisco, CA</t>
        </is>
      </c>
      <c r="H44" t="inlineStr"/>
      <c r="I44" t="inlineStr">
        <is>
          <t>**Impact**
 As a Senior Data Scientist on the Foundations team at Shipt, you will be responsible for implementing cutting edge models, and designing and analyzing advanced experiments in collaboration with product, business, and engineering teams to solve key challenges across multiple pricing domains at Shipt.
 On this highly visible team, you will be the subject matter expert in a machine learning domain or experimentation with a focus on building cutting edge ML solutions and validating the impact of algorithmic changes to key business metrics and presenting recommendations to key stakeholders.
****What You’ll Need to Be Successful****
* 4\+ years of experience in applying machine learning and statistics in an industry setting, with a track record of delivering impactful results
* PhD or Masters in Computer Science, Statistics, or a related field
* Experience with building and deploying machine learning models
* Experience with experiment design, rollout, analysis and reporting
* 4\+ years Python development
* Experience presenting to stakeholders
* Experience leading key technical projects and substantially influencing the scope and output of others
**Skills \&amp; Education**
 This list includes key skills used in this job but is not inclusive of all skills needed for the role. Please see any required education below.
 AI Programming, Artificial Intelligence (AI), Machine Learning (ML), Machine Learning Algorithms, Python (Programming Language)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t>
        </is>
      </c>
    </row>
    <row r="45">
      <c r="A45" t="inlineStr">
        <is>
          <t>li-4373851249</t>
        </is>
      </c>
      <c r="B45" t="inlineStr">
        <is>
          <t>AI/ML Engineer</t>
        </is>
      </c>
      <c r="C45" t="inlineStr">
        <is>
          <t>Node.Digital LLC</t>
        </is>
      </c>
      <c r="D45" t="inlineStr">
        <is>
          <t>linkedin</t>
        </is>
      </c>
      <c r="E45">
        <f>HYPERLINK("https://www.linkedin.com/jobs/view/4373851249", "https://www.linkedin.com/jobs/view/4373851249")</f>
        <v/>
      </c>
      <c r="F45" t="inlineStr"/>
      <c r="G45" t="inlineStr">
        <is>
          <t>Herndon, VA</t>
        </is>
      </c>
      <c r="H45" t="inlineStr"/>
      <c r="I45"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46">
      <c r="A46" t="inlineStr">
        <is>
          <t>li-4373838943</t>
        </is>
      </c>
      <c r="B46" t="inlineStr">
        <is>
          <t>ML Engineer - Small Language Models</t>
        </is>
      </c>
      <c r="C46" t="inlineStr">
        <is>
          <t>Fastino Labs</t>
        </is>
      </c>
      <c r="D46" t="inlineStr">
        <is>
          <t>linkedin</t>
        </is>
      </c>
      <c r="E46">
        <f>HYPERLINK("https://www.linkedin.com/jobs/view/4373838943", "https://www.linkedin.com/jobs/view/4373838943")</f>
        <v/>
      </c>
      <c r="F46">
        <f>HYPERLINK("https://jobs.ashbyhq.com/fastino-ai/478213e2-8cf8-4b68-9be3-9b0523119702/application?utm_source=v0MXnMyo03&amp;urlHash=tddq", "https://jobs.ashbyhq.com/fastino-ai/478213e2-8cf8-4b68-9be3-9b0523119702/application?utm_source=v0MXnMyo03&amp;urlHash=tddq")</f>
        <v/>
      </c>
      <c r="G46" t="inlineStr"/>
      <c r="H46" t="inlineStr"/>
      <c r="I46" t="inlineStr">
        <is>
          <t>*Full\-time \| Hybrid or Remote \| Reports to Founders*
**Introduction:**
* Join us at Fastino as we build the next generation of LLMs. Our team, boasting alumni from Google Research, Apple, Stanford, and Cambridge is on a mission to develop specialized, efficient AI.
* Fastino's GLiNER family of open source models has been downloaded more than 5 million times and is used by companies such as NVIDIA, Meta, and Airbnb
* Fastino has raised $25M (as featured in TechCrunch) through our seed round and is backed by leading investors including Microsoft, Khosla Ventures, Insight Partners, Github CEO Thomas Dohmke, Docker CEO Scott Johnston, and others.
**What You’ll Work On:**
* Design, build, and deploy the critical small language models that are foundational to Fastino’s product
* As an engineer on our team, you will own the full lifecycle of our state of the art models, from prototyping and data analysis to deployment, monitoring, and the continuous improvement of models in production
* Drive the data strategy to continuously improve model performance by analyzing distribution gaps, contributing to synthetic data pipelines, and creating automated annotation systems
* Experiment with novel language model architectures, helping drive and execute Fastino's research roadmap
* Implement reinforcement learning techniques including Direct Preference Optimization and Generalized Reward Preference Optimization to align model outputs with human preferences and quality standards
* Build robust and real\-world motivated evaluations
* Partner with Fastino engineering team to ship model updates directly to customers
* Establish best practices for code health and documentation on the team, to facilitate collaboration and reliable development
**What We’re Looking For:**
* Advanced degree (Bachelors or Masters) in Computer Science, Artificial Intelligence, Machine Learning, or related technical discipline with concentrated study in deep learning or computer vision methodologies
* Demonstrated ability to do independent research in Academic or Industry settings
* Substantial industry experience in large\-scale deep learning model training, with demonstrated expertise in at least one of Large Language Models, Vision\-Language Models, Diffusion Models, or comparable generative AI architectures
* Comprehensive technical proficiency and practical experience with leading deep learning frameworks, including advanced competency in one of PyTorch, JAX, TensorFlow, or equivalent platforms for model development and optimization</t>
        </is>
      </c>
    </row>
    <row r="47">
      <c r="A47" t="inlineStr">
        <is>
          <t>li-4373847425</t>
        </is>
      </c>
      <c r="B47" t="inlineStr">
        <is>
          <t>AI Engineer</t>
        </is>
      </c>
      <c r="C47" t="inlineStr">
        <is>
          <t>Fastino Labs</t>
        </is>
      </c>
      <c r="D47" t="inlineStr">
        <is>
          <t>linkedin</t>
        </is>
      </c>
      <c r="E47">
        <f>HYPERLINK("https://www.linkedin.com/jobs/view/4373847425", "https://www.linkedin.com/jobs/view/4373847425")</f>
        <v/>
      </c>
      <c r="F47" t="inlineStr"/>
      <c r="G47" t="inlineStr"/>
      <c r="H47" t="inlineStr"/>
      <c r="I47" t="inlineStr">
        <is>
          <t>*Full\-time \| Remote*
**Introduction:**
* Join us at Fastino as we build the next generation of LLMs. Our team, boasting alumni from Google Research, Apple, Stanford, and Cambridge is on a mission to develop specialized, efficient AI.
* Fastino's GLiNER family of open source models has been downloaded more than 5 million times and is used by companies such as NVIDIA, Meta, and Airbnb
* Fastino has raised $25M (as featured in TechCrunch) through our seed round and is backed by leading investors including Microsoft, Khosla Ventures, Insight Partners, Github CEO Thomas Dohmke, Docker CEO Scott Johnston, and others.
 What You’ll Work On
* Innovate at the edge of efficiency by designing and deploying high\-performance agentic systems that leverage Fastino’s optimized model architectures to outperform traditional LLM benchmarks.
* Bridge the gap between research and production by collaborating with engineering teams to turn novel architectural breakthroughs into scalable, low\-latency solutions for enterprise customers.
* Drive rapid, iterative prototyping of AI functionalities, refining model performance and task\-accuracy based on real\-world telemetry to ensure specialized models meet rigorous developer standards.
* Own the stability and throughput of inference pipelines, proactively solving scalability bottlenecks to ensure models deliver consistent, reliable performance under massive operational loads.
* Architect large\-scale data and fine\-tuning strategies to continuously improve the precision and domain\-specific reliability of the Fastino models.
**What We’re Looking For:**
* Required:2\+ years of hands\-on experience in AI/ML engineering roles
* Required: Demonstrated proficiency with LLMs and a track record of applying AI/ML techniques to solve complex, unstructured problems
* Required: You are comfortable working across the stack from prompt engineering and vector DB tuning to Kubernetes deployment and API design.
* Optional: Experience building microservices that handle high\-concurrency agentic workloads.
* Optional: Familiarity with GLiNER or other information extraction architectures.</t>
        </is>
      </c>
    </row>
    <row r="48">
      <c r="A48" t="inlineStr">
        <is>
          <t>li-4373853482</t>
        </is>
      </c>
      <c r="B48" t="inlineStr">
        <is>
          <t>Machine Learning Engineer</t>
        </is>
      </c>
      <c r="C48" t="inlineStr">
        <is>
          <t>HireTalent - Staffing &amp; Recruiting Firm</t>
        </is>
      </c>
      <c r="D48" t="inlineStr">
        <is>
          <t>linkedin</t>
        </is>
      </c>
      <c r="E48">
        <f>HYPERLINK("https://www.linkedin.com/jobs/view/4373853482", "https://www.linkedin.com/jobs/view/4373853482")</f>
        <v/>
      </c>
      <c r="F48" t="inlineStr"/>
      <c r="G48" t="inlineStr">
        <is>
          <t>New York, NY</t>
        </is>
      </c>
      <c r="H48" t="inlineStr"/>
      <c r="I48" t="inlineStr">
        <is>
          <t>**Job Title: Machine Learning Engineer** 
**Contract Length: Direct Placement** 
**Location: Hybrid – Financial District, New York, NY** 
**Goal:** 
 Turn cutting\-edge research into production systems that generate professional\-grade creative content.
**You will:** 
* Scale models from “cool demo” to assets used in real ads, films, and design work.
* Chase small wins that matter (a 0\.01% improvement can be the line between amateur and pro).
* Build multi\-stage inference pipelines for video, text, images, audio, and 3D – with real\-time feedback and human\-in\-the\-loop refinement.
* Serve large multimodal models with sub\-second latency and progressive rendering.
* Apply quantization, distributed serving, and memory optimizations to run at a billion\-request scale.
**Candidate Background:** 
* Deep knowledge of modern deep learning architectures, optimization, and tooling.
* Proficiency in PyTorch or JAX.
* Experience designing, training, and evaluating deep learning systems.
* Breadth across ML literature (beyond just generative models).</t>
        </is>
      </c>
    </row>
    <row r="49">
      <c r="A49" t="inlineStr">
        <is>
          <t>li-4373854061</t>
        </is>
      </c>
      <c r="B49" t="inlineStr">
        <is>
          <t>AI/ML Engineer - Remote</t>
        </is>
      </c>
      <c r="C49" t="inlineStr">
        <is>
          <t>Jobgether</t>
        </is>
      </c>
      <c r="D49" t="inlineStr">
        <is>
          <t>linkedin</t>
        </is>
      </c>
      <c r="E49">
        <f>HYPERLINK("https://www.linkedin.com/jobs/view/4373854061", "https://www.linkedin.com/jobs/view/4373854061")</f>
        <v/>
      </c>
      <c r="F49" t="inlineStr"/>
      <c r="G49" t="inlineStr">
        <is>
          <t>New York, United States</t>
        </is>
      </c>
      <c r="H49" t="inlineStr"/>
      <c r="I49"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li-4333355314</t>
        </is>
      </c>
      <c r="B50" t="inlineStr">
        <is>
          <t>Machine Learning Engineer</t>
        </is>
      </c>
      <c r="C50" t="inlineStr">
        <is>
          <t>Robert Half</t>
        </is>
      </c>
      <c r="D50" t="inlineStr">
        <is>
          <t>linkedin</t>
        </is>
      </c>
      <c r="E50">
        <f>HYPERLINK("https://www.linkedin.com/jobs/view/4333355314", "https://www.linkedin.com/jobs/view/4333355314")</f>
        <v/>
      </c>
      <c r="F50" t="inlineStr"/>
      <c r="G50" t="inlineStr">
        <is>
          <t>El Segundo, CA</t>
        </is>
      </c>
      <c r="H50" t="inlineStr"/>
      <c r="I50" t="inlineStr">
        <is>
          <t>**Title:** 
 3D Machine Learning Engineer
**Location:** 
 Hybrid – El Segundo, CA
**Compensation:** 
 Up to $190,000 DOE \+ benefits
 We’re seeking a
 **3D Machine Learning Engineer** 
 to join our innovative R\&amp; D team developing cutting\-edge vision systems and AI\-driven 3D modeling solutions. This hybrid role in
 **El Segundo** 
 offers the opportunity to work on challenging projects at the intersection of
 **computer vision, deep learning, and image processing** 
 .
**Responsibilities** 
* Design, train, and optimize deep learning models using
 **TensorFlow** 
 and
 **Python** 
 for 2D and 3D visual data.
* Develop algorithms for
 **3D reconstruction** 
 ,
 **object recognition** 
 , and
 **scene understanding** 
 .
* Implement and evaluate models for
 **image segmentation** 
 ,
 **depth estimation** 
 , and
 **motion tracking** 
 .
* Collaborate with multidisciplinary teams of engineers and researchers to deploy models into production environments.
* Contribute to data preprocessing, augmentation, and model performance evaluation.
 For immediate consideration, direct message Reid Gormly on LinkedIN Today and Apply now
**Qualifications** 
* **Bachelor’s degree** 
 in Computer Science, Engineering, Mathematics, or related STEM field.
* **2\+ years** 
 of professional experience in
 **machine learning** 
 or
 **computer vision** 
 .
* Strong programming skills in
 **Python** 
 and experience with
 **TensorFlow** 
 (PyTorch a plus).
* Hands\-on experience with
 **2D/3D image processing** 
 ,
 **feature extraction** 
 , and
 **geometric modeling** 
 .
* Familiarity with 3D data formats (e.g., point clouds, meshes, depth maps) and visualization tools.
* Excellent problem\-solving skills and ability to work in a collaborative environment.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Robert Half will consider for employment qualified applicants with arrest or conviction records in accordance with the Los Angeles County Fair Chance Ordinance for Employers and the California Fair Chance Act.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51">
      <c r="A51" t="inlineStr">
        <is>
          <t>li-4372599378</t>
        </is>
      </c>
      <c r="B51" t="inlineStr">
        <is>
          <t>Machine Learning Engineer - Early Career</t>
        </is>
      </c>
      <c r="C51" t="inlineStr">
        <is>
          <t>Jobright.ai</t>
        </is>
      </c>
      <c r="D51" t="inlineStr">
        <is>
          <t>linkedin</t>
        </is>
      </c>
      <c r="E51">
        <f>HYPERLINK("https://www.linkedin.com/jobs/view/4372599378", "https://www.linkedin.com/jobs/view/4372599378")</f>
        <v/>
      </c>
      <c r="F51" t="inlineStr"/>
      <c r="G51" t="inlineStr"/>
      <c r="H51" t="inlineStr"/>
      <c r="I51"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52">
      <c r="A52" t="inlineStr">
        <is>
          <t>li-4372801576</t>
        </is>
      </c>
      <c r="B52" t="inlineStr">
        <is>
          <t>Senior AI/ML Engineer</t>
        </is>
      </c>
      <c r="C52" t="inlineStr">
        <is>
          <t>Suniksha Technologies LLC</t>
        </is>
      </c>
      <c r="D52" t="inlineStr">
        <is>
          <t>linkedin</t>
        </is>
      </c>
      <c r="E52">
        <f>HYPERLINK("https://www.linkedin.com/jobs/view/4372801576", "https://www.linkedin.com/jobs/view/4372801576")</f>
        <v/>
      </c>
      <c r="F52" t="inlineStr"/>
      <c r="G52" t="inlineStr">
        <is>
          <t>Dallas, TX</t>
        </is>
      </c>
      <c r="H52" t="inlineStr"/>
      <c r="I52" t="inlineStr">
        <is>
          <t>**Experience:** 
 9 \- 15 Years
**Location:** 
 Dallas, Texas, ONSITE
**Interview: Need to come to office for F2F round and 3 Days work from office once selected.** 
**Job Description**
* We’re hiring hands\-on strong AI/ML engineering skills to help design and build AI/ML solutions across cloud platforms.
* You’ll work with business and engineering partners to translate business problems into measurable, scalable AI/ML services — including GenAI agents, production ML models, and lightweight internal apps.
**Key Responsibilities**
* Partner with business and engineering teams to translate problems into measurable AI/ML solutions and success metrics.
* Design, train, validate, and deploy models for classification, regression, recommendation, and time\-series forecasting; pick algorithms, features, and evaluation strategies that match business goals.
* Develop and evaluate GenAI agent applications using frameworks like Langchain and Google ADK, leveraging techniques such as RAG, prompt engineering, and vector DB integration.
* Build and operate reliable data pipelines and model inference endpoints across GCP and AWS (BigQuery, Vertex AI, Cloud Run, S3, Lambda, SageMaker, etc.).
* Implement CI/CD, automated testing, and monitoring for ML/data projects (GitHub Actions, Cloud Build, CodeBuild/CodePipeline).
* Create lightweight dashboards and internal apps (Streamlit, Plotly Dash) to deliver models and insights to stakeholders.
* Write clear model documentation: problem formulation, modeling approach, validation, data needs, and deployment steps.
* Advocate for coding best practices, reproducibility, and shared documentation across a global data science organization.
**Required Qualifications**
* Master’s or a PhD in Data Science, Computer Science, Applied Math/Statistics, Econometrics, or related quantitative fields.
* Strong Python and SQL skills; experience with scikit\-learn, XGBoost/LightGBM, and a deep learning framework (PyTorch or TensorFlow).
* Hands\-on experience building GenAI/LLM applications and agentic workflows.
* Practical experience building reliable data pipelines and ensuring data quality/lineage on GCP (BigQuery).
* CI/CD experience for ML/data projects (e.g., GitHub Actions, Cloud Build, AWS CodeBuild/CodePipeline, etc).
* Practical experience building internal dashboards/apps with Streamlit and/or Plotly Dash.
* Cloud experience with GCP (BigQuery, Vertex AI, Cloud Run, Gemini Enterprise) and AWS (S3, Lambda, ECS, SageMaker).
* Solid comprehension of the mechanisms behind widely used AI/ML algorithms \- including their intuition, assumptions, statistical theory, computational complexity, strengths/weaknesses, and when to use each.</t>
        </is>
      </c>
    </row>
    <row r="53">
      <c r="A53" t="inlineStr">
        <is>
          <t>li-4373830971</t>
        </is>
      </c>
      <c r="B53" t="inlineStr">
        <is>
          <t>AI/ML Engineer - REMOTE</t>
        </is>
      </c>
      <c r="C53" t="inlineStr">
        <is>
          <t>Jobgether</t>
        </is>
      </c>
      <c r="D53" t="inlineStr">
        <is>
          <t>linkedin</t>
        </is>
      </c>
      <c r="E53">
        <f>HYPERLINK("https://www.linkedin.com/jobs/view/4373830971", "https://www.linkedin.com/jobs/view/4373830971")</f>
        <v/>
      </c>
      <c r="F53" t="inlineStr"/>
      <c r="G53" t="inlineStr">
        <is>
          <t>Idaho, United States</t>
        </is>
      </c>
      <c r="H53" t="inlineStr"/>
      <c r="I53"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4">
      <c r="A54" t="inlineStr">
        <is>
          <t>li-4373599710</t>
        </is>
      </c>
      <c r="B54" t="inlineStr">
        <is>
          <t>Machine Learning Engineer</t>
        </is>
      </c>
      <c r="C54" t="inlineStr">
        <is>
          <t>Wiraa</t>
        </is>
      </c>
      <c r="D54" t="inlineStr">
        <is>
          <t>linkedin</t>
        </is>
      </c>
      <c r="E54">
        <f>HYPERLINK("https://www.linkedin.com/jobs/view/4373599710", "https://www.linkedin.com/jobs/view/4373599710")</f>
        <v/>
      </c>
      <c r="F54" t="inlineStr"/>
      <c r="G54" t="inlineStr"/>
      <c r="H54" t="inlineStr"/>
      <c r="I54" t="inlineStr">
        <is>
          <t>**About The Company**
 At Angi®, we have dedicated over 30 years to our mission of ensuring jobs are done well by connecting homeowners with reliable professionals who possess the necessary skills. Our platform has become a trusted marketplace where homeowners can find skilled service providers for more than 300 million projects across various categories. With a global workforce of over 2,800 employees and more than 1,000 home service tasks covered, Angi continues to lead the home services industry by fostering a reliable, efficient, and customer\-centric environment. Our commitment to innovation and excellence has positioned us as a key player in transforming how home services are delivered and experienced worldwide.
**About The Role**
 We are seeking an exceptional Staff Machine Learning Engineer to join our Data Science and Machine Learning team. This role is pivotal in driving our transformation into a world\-class online marketplace by developing and deploying advanced machine learning models that enhance user experience, improve homeowner\-pro matching, and optimize search ranking algorithms. As a technical leader, you will leverage cutting\-edge AI techniques, including large language models and neural rankers, to analyze both structured and unstructured data. Your expertise will enable us to deploy scalable, low\-latency models that serve our customers dynamically and reliably. This position offers the opportunity to work on impactful projects that directly influence customer engagement, retention, and overall business success, all while fostering innovation and mentorship within the team.
**Qualifications**
* Master's or Ph.D. in Computer Science, Statistics, Mathematics, or a related quantitative field
* 7\+ years of experience in data science and machine learning, with a focus on real\-time ML models
* Proficiency in machine learning, deep learning, and large language models
* Proven track record of deploying impactful ML models into production environments
* Strong skills in SQL and Python programming
* Experience with cloud\-based ML solutions and MLOps practices
* Excellent communication skills, capable of conveying complex technical concepts to non\-technical stakeholders
**Responsibilities**
* Lead the development of machine learning models and algorithms to enhance search ranking and consumer\-pro matching processes
* Design and implement scalable MLOps practices for model deployment, automation, versioning, monitoring, and maintenance
* Collaborate closely with engineers, data scientists, product managers, and designers to integrate data\-driven solutions into our platform
* Explore and implement innovative approaches and techniques to solve complex business challenges
* Mentor junior team members, fostering a culture of continuous learning, technical excellence, and knowledge sharing
* Ensure models are optimized for low latency and high reliability to serve our customers effectively
* Monitor and evaluate model performance, iterating to improve accuracy and efficiency
**Benefits**
* Competitive salary range from $200,000 to $280,000, commensurate with experience and performance
* Eligibility for a year\-end performance bonus and equity package
* Comprehensive medical, dental, and vision insurance plans tailored to your needs
* Flexible vacation policy to promote work\-life balance
* Pet discount plans and a retirement plan with company matching (401K)
* Opportunity to work with motivated, talented teammates on innovative and impactful projects
 Equal Opportunity
 Angi® is an equal opportunity employer. We celebrate diversity and are committed to creating an inclusive environment for all employees. We believe that diverse perspectives and backgrounds foster innovation and improve our ability to serve our customers effectively. We encourage applicants from all backgrounds to apply and welcome individuals regardless of race, ethnicity, gender, age, sexual orientation, disability, or any other characteristic protected by law.</t>
        </is>
      </c>
    </row>
    <row r="55">
      <c r="A55" t="inlineStr">
        <is>
          <t>li-4372800592</t>
        </is>
      </c>
      <c r="B55" t="inlineStr">
        <is>
          <t>Founding ML Engineer (In-Office SF)</t>
        </is>
      </c>
      <c r="C55" t="inlineStr">
        <is>
          <t>Aimhire</t>
        </is>
      </c>
      <c r="D55" t="inlineStr">
        <is>
          <t>linkedin</t>
        </is>
      </c>
      <c r="E55">
        <f>HYPERLINK("https://www.linkedin.com/jobs/view/4372800592", "https://www.linkedin.com/jobs/view/4372800592")</f>
        <v/>
      </c>
      <c r="F55" t="inlineStr"/>
      <c r="G55" t="inlineStr"/>
      <c r="H55" t="inlineStr"/>
      <c r="I55" t="inlineStr">
        <is>
          <t>Founding ML Engineer (In\-Office SF)
**Location:** 
 San Francisco (5 days/week)
**Comp:** 
 Competitive salary \+ meaningful equity
**Stage:** 
 Early\-stage, VC\-backed
**About the Role** 
 We’re partnering with a high\-conviction, early\-stage AI startup building the next generation of developer tools.
* AI is generating more code than ever — but code review, merge conflicts, and diff comprehension haven’t evolved. This team is rethinking how developers understand and ship changes, using production\-grade ML systems that operate at low latency and real\-world scale.
* This is not a research role.
* This is about
 **taking models from fine\-tuning → deployment → inference optimization → real user impact.**
* You’ll be one of the first 2–3 engineers shaping both the ML architecture and product direction.
**What You’ll Do** 
* Design, fine\-tune, and deploy models that help developers understand code changes and reviews
* Build ML\-assisted merge conflict resolution systems
* Combine retrieval \+ code\-aware modeling \+ small\-model techniques for fast, cost\-efficient inference
* Lead offline \+ online evaluation (labeled datasets, ranking metrics, A/B experiments)
* Implement optimization techniques like LoRA, distillation, quantization
* Ship real ML systems used daily by developers
**What We’re Looking For** 
* 3\+ years of experience post BS/MS building and shipping production ML systems
* Strong Python experience
* Experience with PyTorch or JAX
* Familiarity with modern architectures (Transformers, MoE, reasoning models)
* Experience with MLOps / model deployment (ONNX, TensorRT, serving infra, inference optimization)
* Strong product sense — you think about end\-users, not just models
* BS/MS in Computer Science/related field
**Huge plus:** 
 Experience building developer tools, working with code intelligence systems, or ML at companies with core ranking/recommendation systems.
**Why This Role Is Different** 
* Founding\-level ownership
* Mission\-critical ML systems
* Backed by top\-tier VCs and legendary operators
* Perfect timing: AI\-generated code is exploding — and review tooling hasn’t caught up
**If you’re excited about owning ML systems end\-to\-end — and shipping to real users — we’d love to talk.**</t>
        </is>
      </c>
    </row>
    <row r="56">
      <c r="A56" t="inlineStr">
        <is>
          <t>li-4372584358</t>
        </is>
      </c>
      <c r="B56" t="inlineStr">
        <is>
          <t>ML Engineer</t>
        </is>
      </c>
      <c r="C56" t="inlineStr">
        <is>
          <t>Keystone Cooperative</t>
        </is>
      </c>
      <c r="D56" t="inlineStr">
        <is>
          <t>linkedin</t>
        </is>
      </c>
      <c r="E56">
        <f>HYPERLINK("https://www.linkedin.com/jobs/view/4372584358", "https://www.linkedin.com/jobs/view/4372584358")</f>
        <v/>
      </c>
      <c r="F56">
        <f>HYPERLINK("https://keystone.wd5.myworkdayjobs.com/Keystone/job/Indianapolis-IN/ML-Engineer_JR102777?source=LinkedIn&amp;urlHash=KBAy", "https://keystone.wd5.myworkdayjobs.com/Keystone/job/Indianapolis-IN/ML-Engineer_JR102777?source=LinkedIn&amp;urlHash=KBAy")</f>
        <v/>
      </c>
      <c r="G56" t="inlineStr">
        <is>
          <t>Indianapolis, IN</t>
        </is>
      </c>
      <c r="H56" t="inlineStr"/>
      <c r="I56" t="inlineStr">
        <is>
          <t>**Job Description**
**Overview:** 
 Our company is seeking a detail\-oriented and highly analytical ML Engineer who will assist in driving our AI\-driven product development initiatives. The successful candidate will possess a strong understanding of data analysis, along with the ability to apply AI and ML methodologies to enhance our products. Must be authorized to work in the United States now and in the future, without company sponsorship. Must be about to work onsite in the corporate office in Indianapolis, Indiana. (This role is not hybrid or remote).
 Must be authorized to work in the United States of America, now and in the future, without company sponsorship.
**Duties And Responsibilities**
 Include but are not limited to:
* Collaborate with cross\-functional teams to understand business requirements and develop data\-driven solutions tailored to those needs.
* Utilize Snowflake Cortex and other AI/ML development tools to design, implement, and optimize data models and algorithms.
* Conduct exploratory data analysis to uncover trends, patterns, and insights that can inform business decisions.
* Analyze complex datasets to extract actionable insights that inform product development strategies.
* Conduct complex statistical analyses, including regression modeling, hypothesis testing, and predictive analytics, to forecast trends and inform strategic decisions.
* Assist in developing machine learning models and algorithms to solve complex business problems and improve operational efficiency.
* Create and maintain detailed documentation of data analysis processes and AI/ML model development.
* Monitor and evaluate the effectiveness of AI/ML models in production and refine them as needed.
* Provide training and support to team members and stakeholders on data analysis tools and techniques.
**Skills And Qualifications**
* Proven experience as a Data Analyst or Data Engineer, preferably with experience incorporating AI/ML methodologies.
* Strong expertise in data analysis tools and languages (e.g., Python, R, SQL).
* Experience with machine learning frameworks and tools (e.g., TensorFlow, PyTorch).
* Excellent problem\-solving skills and attention to detail.
* Ability to communicate complex findings in a clear and concise manner.
* Strong teamwork and collaboration skills.
**Education And Experience**
* Bachelor’s degree in Data Science, Statistics, Computer Science, or related field. Master’s degree preferred.</t>
        </is>
      </c>
    </row>
    <row r="57">
      <c r="A57" t="inlineStr">
        <is>
          <t>li-4372809162</t>
        </is>
      </c>
      <c r="B57" t="inlineStr">
        <is>
          <t>AI Engineer, Entry Level</t>
        </is>
      </c>
      <c r="C57" t="inlineStr">
        <is>
          <t>Jobright.ai</t>
        </is>
      </c>
      <c r="D57" t="inlineStr">
        <is>
          <t>linkedin</t>
        </is>
      </c>
      <c r="E57">
        <f>HYPERLINK("https://www.linkedin.com/jobs/view/4372809162", "https://www.linkedin.com/jobs/view/4372809162")</f>
        <v/>
      </c>
      <c r="F57">
        <f>HYPERLINK("https://jobright.ai/jobs/info/b2b_1770936109040_2?utm_source=5012&amp;utm_campaign=b2b_1770936109040_2&amp;urlHash=PvRu", "https://jobright.ai/jobs/info/b2b_1770936109040_2?utm_source=5012&amp;utm_campaign=b2b_1770936109040_2&amp;urlHash=PvRu")</f>
        <v/>
      </c>
      <c r="G57" t="inlineStr"/>
      <c r="H57" t="inlineStr"/>
      <c r="I57"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58">
      <c r="A58" t="inlineStr">
        <is>
          <t>li-4372580807</t>
        </is>
      </c>
      <c r="B58" t="inlineStr">
        <is>
          <t>Senior Machine Learning Engineer (MLOps)</t>
        </is>
      </c>
      <c r="C58" t="inlineStr">
        <is>
          <t>Fintal Partners</t>
        </is>
      </c>
      <c r="D58" t="inlineStr">
        <is>
          <t>linkedin</t>
        </is>
      </c>
      <c r="E58">
        <f>HYPERLINK("https://www.linkedin.com/jobs/view/4372580807", "https://www.linkedin.com/jobs/view/4372580807")</f>
        <v/>
      </c>
      <c r="F58" t="inlineStr"/>
      <c r="G58" t="inlineStr"/>
      <c r="H58" t="inlineStr"/>
      <c r="I58" t="inlineStr">
        <is>
          <t>We are building a dedicated Machine Learning Infrastructure group to support and scale advanced research and trading models across the firm. This team designs and owns the core ML platform that enables researchers and trading teams to train, deploy, and iterate on models at massive scale and under extreme performance constraints.
 Engineers are embedded with trading and research pods on a project\-based basis, building shared infrastructure that powers multiple strategies across the firm.
**What You’ll Do** 
* Design, build, and maintain end\-to\-end ML infrastructure for training, evaluation, and production inference
* Develop scalable systems for distributed training, model serving, and experiment management
* Optimize GPU\-based pipelines for high\-throughput and low\-latency workloads
* Partner closely with ML Researchers to productionize models efficiently and reliably
* Build tooling for model lifecycle management: data ingestion, feature pipelines, versioning, monitoring, and retraining
* Ensure systems meet the latency, reliability, and scalability requirements of high\-frequency trading
**Requirements** 
* Strong experience building ML infrastructure or large\-scale data/compute systems
* Deep knowledge of GPU systems, distributed computing, and performance optimization
* Hands\-on experience supporting deep learning models in production at scale
* Expertise in Python and systems\-level languages (e.g. C\+\+, Rust, Go)
* Strong understanding of modern ML frameworks (e.g. PyTorch, JAX) from an infrastructure perspective
* Background from top\-tier trading firms or large\-scale tech companies
* Strong computer science fundamentals (systems, networking, concurrency)
**Nice to Have** 
* Experience building low\-latency or real\-time systems
* Exposure to LLMs or large transformer\-based models at scale
* Familiarity with Kubernetes, custom schedulers, or internal compute platforms
* Experience working alongside research\-heavy ML teams</t>
        </is>
      </c>
    </row>
    <row r="59">
      <c r="A59" t="inlineStr">
        <is>
          <t>li-4373858826</t>
        </is>
      </c>
      <c r="B59" t="inlineStr">
        <is>
          <t>Principal AI Engineer - AI/ML Engineer</t>
        </is>
      </c>
      <c r="C59" t="inlineStr">
        <is>
          <t>TekVizor</t>
        </is>
      </c>
      <c r="D59" t="inlineStr">
        <is>
          <t>linkedin</t>
        </is>
      </c>
      <c r="E59">
        <f>HYPERLINK("https://www.linkedin.com/jobs/view/4373858826", "https://www.linkedin.com/jobs/view/4373858826")</f>
        <v/>
      </c>
      <c r="F59" t="inlineStr"/>
      <c r="G59" t="inlineStr"/>
      <c r="H59" t="inlineStr"/>
      <c r="I59" t="inlineStr">
        <is>
          <t>**Principal Lead AI Engineer – Agentic AI** 
 📍
 **Pittsburgh, PA (On‑site)** 
 🕒
 **Full\-Time** 
 🌍
 **U.S. Citizenship Required** 
 ✈️ Up to 10% Travel
 📈 Pre\-IPO
 We are seeking an experienced Lead
 **AI Engineer** 
 to join our Agentic AI team as we scale agentic capabilities. Our bespoke platform and suite of AI\-enabled applications accelerate the decision\-making process in real\-time, all in one place.
 We’re looking for someone who has
 **built real projects using LLMs** 
 that demonstrate the ability to make them interact with frontend interfaces agentically, through tool use, state modeling, workflows, and robust orchestration.
**What You’ll Do** 
* Design and build
 **multi\-agent systems** 
 ,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Partner with Product and Implementation teams to solve complex customer problems using agentic systems.
**Required Skills \&amp; Experience** 
* Bachelor’s, Master’s, or PhD in Computer Science, Computer Engineering, Data Science, or related field.
* **5\+ years** 
 building and deploying ML or LLM\-powered systems in production environments.
* Hands\-on experience designing autonomous multi\-agent workflows that include state/action models for AI\-driven interaction (agent\-controlled UI, tool invocation, deterministic flows).
* Experience integrating and working with
 **LLMs** 
 , with strong understanding of strengths, weaknesses, and operational constraints.
* Experience with agent frameworks such as
 **Claude Agent SDK** 
 or
 **OpenAI Agent SDK** 
 .
* Strong Python engineering skills.
* Experience productionizing ML/LLM systems.
* Experience developing
 **observability and feedback loops** 
 (telemetry, prompt evaluation, regression testing, reliability metrics).
* Ability to operate in highly ambiguous, fast\-moving environments.
* A passion for
 **coding agents** 
 and exploring new technologies.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 with occasional travel (up to 10%). You’ll be joining a high\-velocity team building the next generation of agentic AI system. If you thrive in ambiguity, love building real agentic systems, and want to shape how LLMs interact with software interfaces at scale, this role is for you!
 \#AIJobs \#AgenticAI \#LLMEngineering \#AIEngineer \#Hiring \#MachineLearning \#GenerativeAI \#TechJobs \#Pittsburgh</t>
        </is>
      </c>
    </row>
    <row r="60">
      <c r="A60" t="inlineStr">
        <is>
          <t>li-4373835798</t>
        </is>
      </c>
      <c r="B60" t="inlineStr">
        <is>
          <t>Remote AI/ML Engineer</t>
        </is>
      </c>
      <c r="C60" t="inlineStr">
        <is>
          <t>Jobgether</t>
        </is>
      </c>
      <c r="D60" t="inlineStr">
        <is>
          <t>linkedin</t>
        </is>
      </c>
      <c r="E60">
        <f>HYPERLINK("https://www.linkedin.com/jobs/view/4373835798", "https://www.linkedin.com/jobs/view/4373835798")</f>
        <v/>
      </c>
      <c r="F60" t="inlineStr"/>
      <c r="G60" t="inlineStr">
        <is>
          <t>Indiana, United States</t>
        </is>
      </c>
      <c r="H60" t="inlineStr"/>
      <c r="I60"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1">
      <c r="A61" t="inlineStr">
        <is>
          <t>li-4373833738</t>
        </is>
      </c>
      <c r="B61" t="inlineStr">
        <is>
          <t>AI Engineer</t>
        </is>
      </c>
      <c r="C61" t="inlineStr">
        <is>
          <t>TalentAlly</t>
        </is>
      </c>
      <c r="D61" t="inlineStr">
        <is>
          <t>linkedin</t>
        </is>
      </c>
      <c r="E61">
        <f>HYPERLINK("https://www.linkedin.com/jobs/view/4373833738", "https://www.linkedin.com/jobs/view/4373833738")</f>
        <v/>
      </c>
      <c r="F61" t="inlineStr"/>
      <c r="G61" t="inlineStr"/>
      <c r="H61" t="inlineStr"/>
      <c r="I61" t="inlineStr">
        <is>
          <t>**Position Type:** 
 Regular
 Your opportunity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Required Qualifications
*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
 PDN\-a1180593\-d4a4\-472d\-b91d\-03513a4594f9</t>
        </is>
      </c>
    </row>
    <row r="62">
      <c r="A62" t="inlineStr">
        <is>
          <t>li-4372572532</t>
        </is>
      </c>
      <c r="B62" t="inlineStr">
        <is>
          <t>Staff Machine Learning Engineer</t>
        </is>
      </c>
      <c r="C62" t="inlineStr">
        <is>
          <t>Apple</t>
        </is>
      </c>
      <c r="D62" t="inlineStr">
        <is>
          <t>linkedin</t>
        </is>
      </c>
      <c r="E62">
        <f>HYPERLINK("https://www.linkedin.com/jobs/view/4372572532", "https://www.linkedin.com/jobs/view/4372572532")</f>
        <v/>
      </c>
      <c r="F62">
        <f>HYPERLINK("https://jobs.apple.com/en-us/details/200641072?board_id=17682&amp;urlHash=AUfp", "https://jobs.apple.com/en-us/details/200641072?board_id=17682&amp;urlHash=AUfp")</f>
        <v/>
      </c>
      <c r="G62" t="inlineStr">
        <is>
          <t>New York, NY</t>
        </is>
      </c>
      <c r="H62" t="inlineStr"/>
      <c r="I62" t="inlineStr">
        <is>
          <t>**Summary**
 At Apple, we work every day to create products that enrich people’s lives. Apple Ads makes it possible for people around the world to easily access informative and imaginative content on their devices while helping publishers and developers promote and monetize their work. Today, our technology and services power advertising in Search Ads, App Store, and Apple News. Our platforms are highly\-performant, deployed at scale, and setting new standards for enabling effective advertising while protecting user privacy.
 The Machine Learning Platform team’s mission is to empower teams at Apple Ads to build and scale the innovative ML systems that deliver highly optimized advertising content to consumers. Are you a results\-oriented and versatile engineer who can excel in an Agile environment? You will work closely with engineers and data scientists to design, develop, and build world\-class platform capabilities that will enable Apple Ads teams to improve and scale our ML features, models, and applications.
**Description**
 The ML Platform team is responsible for bringing numerous features to advertisers and consumers while simultaneously supporting scalable modeling and continuous experimentation by all Apple Ads teams. As a key contributor to this team, you will design and develop secure and scalable back\-end systems. You will enjoy building high\-performing, elegant machine learning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**Minimum Qualifications**
* 10\+ years of experience applying ML at scale in ads, recommender systems, content ranking, or related domains.
* Strong expertise in deep learning architectures (Transformers, LLMs, DNNs) and training frameworks (TensorFlow, PyTorch).
* Experience with privacy\-preserving ML (federated learning, differential privacy, homomorphic encryption, secure multiparty computation) is preferred.
* Familiarity with machine learning libraries and frameworks
* Experience writing machine learning applications and mission\-critical code for production machine learning systems
* Experience building and scaling cloud\-based architectures
* Experience building AI/ML tooling and/or infrastructure
* Experience working on distributed systems where scalability and performance are critical
* Prior experience in model optimization is a huge plus
* Understanding of software engineering principles for maintainable code development
* Ability to communicate effectively, both written and verbal, with technical and non\-technical multi\-functional teams
* Ability to set technical direction and deliver business impact.
* Results oriented with a desire to work in a fast\-paced and collaborative work environment
* Prior experience in advertising industry is a huge plus
**Preferred Qualifications**
* Education \&amp; Experience
* PhD/MS/BS in Computer Science or related field with 9\+ years of industry experience in building large\-scale distributed software systems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3">
      <c r="A63" t="inlineStr">
        <is>
          <t>li-4372590799</t>
        </is>
      </c>
      <c r="B63" t="inlineStr">
        <is>
          <t>AI Engineer (Agents)</t>
        </is>
      </c>
      <c r="C63" t="inlineStr">
        <is>
          <t>Jobright.ai</t>
        </is>
      </c>
      <c r="D63" t="inlineStr">
        <is>
          <t>linkedin</t>
        </is>
      </c>
      <c r="E63">
        <f>HYPERLINK("https://www.linkedin.com/jobs/view/4372590799", "https://www.linkedin.com/jobs/view/4372590799")</f>
        <v/>
      </c>
      <c r="F63" t="inlineStr"/>
      <c r="G63" t="inlineStr">
        <is>
          <t>Santa Clara, CA</t>
        </is>
      </c>
      <c r="H63" t="inlineStr"/>
      <c r="I6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64">
      <c r="A64" t="inlineStr">
        <is>
          <t>li-4372582177</t>
        </is>
      </c>
      <c r="B64" t="inlineStr">
        <is>
          <t>Applied AI Engineer</t>
        </is>
      </c>
      <c r="C64" t="inlineStr">
        <is>
          <t>Randstad Digital Americas</t>
        </is>
      </c>
      <c r="D64" t="inlineStr">
        <is>
          <t>linkedin</t>
        </is>
      </c>
      <c r="E64">
        <f>HYPERLINK("https://www.linkedin.com/jobs/view/4372582177", "https://www.linkedin.com/jobs/view/4372582177")</f>
        <v/>
      </c>
      <c r="F64">
        <f>HYPERLINK("https://www.randstadusa.com/jobs/4/1323640/applied-ai-engineer_new-york/&amp;urlHash=KSK4", "https://www.randstadusa.com/jobs/4/1323640/applied-ai-engineer_new-york/&amp;urlHash=KSK4")</f>
        <v/>
      </c>
      <c r="G64" t="inlineStr">
        <is>
          <t>New York, NY</t>
        </is>
      </c>
      <c r="H64" t="inlineStr"/>
      <c r="I64" t="inlineStr">
        <is>
          <t>**Job Summary**
 We are seeking a Senior Applied AI Engineer to drive enterprise\-level AI solutions across multiple departments, focusing on workflow optimization and intelligent system development.
 location: New York, New York
 job type: Contract
 salary: $75 \- 85 per hour
 work hours: 9am to 5pm
 education: Bachelors
**Responsibilities**
* Develop AI\-powered solutions for finance, marketing, and sales teams
* Build agent systems using MCP servers
* Integrate third\-party LLMs from Open AI, Anthropic, and Google
* Create workflows that solve complex enterprise problems
* Work with text and numerical data
* Experiment with emerging AI technologies
**Qualifications**
 8\-12 years of software engineering experience; ideally in Python
 1\-2 years of recent LLM and AI technology experience
 Strong understanding of traditional enterprise systems
 Proficiency in AI integration and workflow design
 Experience with agent\-to\-agent protocols
 Demonstrated ability to be a self\-starter who can build solutions independently, is not reliant on being hand\-held, and can effectively communicate and resolve issues.
 Proven capacity to work dynamically across different teams and move seamlessly across multiple projects.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5">
      <c r="A65" t="inlineStr">
        <is>
          <t>li-4371931834</t>
        </is>
      </c>
      <c r="B65" t="inlineStr">
        <is>
          <t>ML Engineer Sr</t>
        </is>
      </c>
      <c r="C65" t="inlineStr">
        <is>
          <t>Aurora Health Care</t>
        </is>
      </c>
      <c r="D65" t="inlineStr">
        <is>
          <t>linkedin</t>
        </is>
      </c>
      <c r="E65">
        <f>HYPERLINK("https://www.linkedin.com/jobs/view/4371931834", "https://www.linkedin.com/jobs/view/4371931834")</f>
        <v/>
      </c>
      <c r="F65" t="inlineStr"/>
      <c r="G65" t="inlineStr">
        <is>
          <t>Allenton, WI</t>
        </is>
      </c>
      <c r="H65" t="inlineStr"/>
      <c r="I65" t="inlineStr">
        <is>
          <t>**Major Responsibilities**
* Transform data science prototypes to production quality tools.
* Ensure that machine learning (ML) models generate accurate results for end users.
* Assist with managing ML software and platforms used for computing and model deployment.
* Run tests on ML models and interpret the results. Use those results to improve the models as needed.
* Identify changes in data inputs that can affect model performance.
* Communicates effectively with both internal and external clients, explaining highly technical methods and processes to audiences of varying technical backgrounds.
* Continuously studying and researching new ML tools and technologies.
* Participates in evaluation of vendor artificial intelligence solutions, acting as the data science subject matter expert on behalf of the enterprise.
**Minimum Education And Experience Required**
**Level of Education:** 
 Bachelor’s degree in computer science, data science, mathematics, statistics, or other related field requiring advanced analytics.
**Years of Experience:** 
 5 years in deploying, monitoring, and iterating upon machine learning models in production.
**Minimum Knowledge, Skills And Abilities (ksa)**
* Strong analytical thinker, able discern business needs.
* Advanced proficiency in Python code writing. Knowledge of R a plus.
* Extensive knowledge of ML libraries, frameworks, and data structures.
* Proficiency in SQL or other database language.
* Experience with version control systems such as Git, and ML packaging solutions such as Docker.
* Demonstrated self\-directed, results oriented and creative approach to problem identification and solving.
* Demonstrated ability to work independently with little supervision.
 \#Remote
**Preferred remote locations in IL, WI, NC, GA**
 Fully Remote Role from these states: AL, AK, AR, AZ, DE, FL, GA, IA, ID, IL, IN, LA, KS, KY, ME, MI, MO, MS, MT, NC, ND, NE, NH, NM, NV, OH, OK, PA, SC, SD, TN, TX, UT, VA, WI, WV, WY.
**No relocation, No Sponsorship or transfer of visa for this position.**
**Physical Requirements And Working Conditions**
* Requires extensive amounts of time working at a computer.
* Operates all equipment necessary to perform the job.
* Work can be performed in an office environment or remotely.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t>
        </is>
      </c>
    </row>
    <row r="66">
      <c r="A66" t="inlineStr">
        <is>
          <t>li-4372553632</t>
        </is>
      </c>
      <c r="B66" t="inlineStr">
        <is>
          <t>Machine Learning Engineer Manager, TikTok - Trust and Safety</t>
        </is>
      </c>
      <c r="C66" t="inlineStr">
        <is>
          <t>TikTok</t>
        </is>
      </c>
      <c r="D66" t="inlineStr">
        <is>
          <t>linkedin</t>
        </is>
      </c>
      <c r="E66">
        <f>HYPERLINK("https://www.linkedin.com/jobs/view/4372553632", "https://www.linkedin.com/jobs/view/4372553632")</f>
        <v/>
      </c>
      <c r="F66" t="inlineStr"/>
      <c r="G66" t="inlineStr">
        <is>
          <t>San Jose, CA</t>
        </is>
      </c>
      <c r="H66" t="inlineStr"/>
      <c r="I66" t="inlineStr">
        <is>
          <t>**Responsibilities**
 Our Trust and Safety RD team is fast\-growing and responsible for building machine learning models and systems to identify and defend internet abuse and fraud on our platform. Our mission is to protect billions of users and publishers across the globe every day. We embrace state\-of\-the\-art machine learning technologies and scale them to detect and improve the tremendous amount of data generated on the platform. With the continuous efforts of our team, TikTok can provide the best user experience and bring joy to everyone in the world.
 We are looking for people like you with solid experience in designing and deploying state\-of\-the\-art models in the combination of NLP and CV\-related areas. This position will work with a team of excellent research scientists and machine learning engineers who can take initiative, design and develop advanced machine learning solutions, and deploy them directly to TikTok's global platform.
 Responsibilities \- What You'II Do
 Job Responsibilities
 1\. Build efficient content recognition models for critical scenarios such as CSAM (Child Safety), CBS (Cross\-border Sync), and Misinformation, to enhance the automation capability of content moderation.
 2\. Address challenges in cross\-lingual, multimodal, and low\-resource environments to improve model generalization under complex compliance constraints.
 3\. Collaborate with Recommendation, Policy, and Product teams to develop joint safety strategies, enabling flexible governance from content recognition to traffic control.
 4\. Participate in the full\-stack development process—from data curation and strategy modeling to model deployment—to continuously improve system response speed and compliance granularity.
**Qualifications**
 Minimum Qualifications:
 1\. Experience in multimodal algorithm development, with exposure to large model applications in real\-world scenarios; familiarity with content moderation tasks; modeling experience in safety or compliance domains is preferred.
 2\. Strong understanding of compliance\-driven requirements, with the ability to abstract policy needs and translate them into practical technical solutions.
 3\. Skilled in cross\-functional collaboration, capable of driving joint policy design and integrated system implementation.
 Preferred Qualifications:
 \- Publications in top conferences (e.g., NeurIPS, ICML, ICLR, CVPR, ICCV) or experience in competitive AI challenges.
 \- Highly responsible and self\-motivated, with a strong interest in content safety technology and the ability to adapt to the fast\-evolving landscape of risk governance.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$208800 \- $438000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7">
      <c r="A67" t="inlineStr">
        <is>
          <t>li-4372593120</t>
        </is>
      </c>
      <c r="B67" t="inlineStr">
        <is>
          <t>Sr. Applied AI Engineer</t>
        </is>
      </c>
      <c r="C67" t="inlineStr">
        <is>
          <t>AssetWatch®</t>
        </is>
      </c>
      <c r="D67" t="inlineStr">
        <is>
          <t>linkedin</t>
        </is>
      </c>
      <c r="E67">
        <f>HYPERLINK("https://www.linkedin.com/jobs/view/4372593120", "https://www.linkedin.com/jobs/view/4372593120")</f>
        <v/>
      </c>
      <c r="F67">
        <f>HYPERLINK("https://job-boards.greenhouse.io/assetwatch/jobs/4662993005?gh_src=346570ea5us&amp;urlHash=3uwj", "https://job-boards.greenhouse.io/assetwatch/jobs/4662993005?gh_src=346570ea5us&amp;urlHash=3uwj")</f>
        <v/>
      </c>
      <c r="G67" t="inlineStr"/>
      <c r="H67" t="inlineStr"/>
      <c r="I67" t="inlineStr">
        <is>
          <t>AssetWatch serves global manufacturers by powering manufacturing uptime through the delivery of an unparalleled condition monitoring experience, with a passion to care about the assets our customers care for every day. We are a devoted and capable team that includes world\-renowned engineers and distinguished business leaders united by a common goal – To build the future of predictive maintenance. As we enter the next phase of rapid growth, we are seeking people to help lead the journey.
 We are hiring a
 **Senior Applied AI Engineer** 
 to design and build reusable AI systems that accelerate innovation across the organization. This is a senior individual contributor role focused on rapidly prototyping LLM and agent\-based workflows, architecting clean and reusable patterns, and partnering closely with our specialty data science team and Head of AI.
 You will translate strategy and ideas into structured, modular systems that can be handed off to production engineering teams or integrated via well\-defined APIs.
 We expect end\-to\-end ownership, pragmatic tradeoffs, and a bias for action.
**Key Responsibilities**
 AI Prototyping \&amp; Workflow Development
* Design and build end\-to\-end LLM\-powered workflows, including RAG pipelines, tool\-calling systems, and agent architectures
* Rapidly prototype internal AI assistants and automation tools across business functions
* Integrate data science models into agent\-based workflows
* Translate ambiguous ideas into practical, working systems
 Reusable Architecture \&amp; Enablement
* Develop shared connectors to major LLM providers and internal data sources
* Create reusable agent templates and AI development patterns
* Design modular systems with clean API boundaries for production handoff
* Implement lightweight evaluation, logging, and tracing patterns appropriate for internal deployment
 Cross\-Functional Collaboration
* Partner deeply with specialty data science teams to operationalize models
* Work closely with the Head of AI to shape technical direction and AI strategy
* Communicate architectural decisions and tradeoffs clearly to technical and non\-technical stakeholders
**Qualifications**
**Education**
* BS in Computer Science, Engineering, Mathematics, or related field required; MS/PhD preferred but not required if experience demonstrates equivalent capability.
**Technical \&amp; Professional Experience**
* 6\+ years of professional software or machine learning engineering experience building backend or distributed systems
* Strong proficiency in Python, including experience building modular, testable, and well\-structured codebases.
* Proficiency in SQL expected, including intermediate querying and basic ETL jobs
* Hands\-on experience developing LLM\-powered applications, including RAG pipelines, prompt orchestration, structured outputs, and tool\-calling workflows
* Experience working with vector databases and designing retrieval strategies
* Experience designing and exposing RESTful or event\-driven APIs for internal or external consumption
* Familiarity with agent frameworks or orchestration libraries (e.g., LangChain, LlamaIndex, Semantic Kernel, or similar)
* Experience integrating ML or statistical model outputs into production\-oriented systems
* Understanding of evaluation concepts for LLM systems (prompt versioning, offline evals, feedback loops, or guardrails)
* Comfortable operating in ambiguity and driving initiatives end\-to\-end with minimal oversight
**Preferred**
* Worked in rapid prototyping and deployment ecosystems
* Experience building internal AI tooling, SDKs, or developer enablement frameworks
* Familiarity with cloud environments (AWS preferred), containerization (Docker), and basic deployment patterns
* Experience working with streaming or ETL pipelines for ingesting structured and unstructured data
* Exposure to observability practices (logging, tracing, metrics) in application systems
* Experience handing off prototypes to production engineering teams in a clean, scalable manner
**What We Offer**
 AssetWatch is a remote\-first company that puts people at the center of everything we do. We want our team members to thrive \- that’s why we offer a range of benefits and perks designed to support your well\-being, growth, and work\-life balance.
* Competitive compensation package including stock options
* Flexible work schedule
* Comprehensive benefits including retirement plan match
* Opportunity to make a real impact every day
* Work with a dynamic and growing team
* Unlimited PTO
 We have a distributed team that works remotely across locations in the United States and Ontario, Canada. Collaboration within core working hours is required.</t>
        </is>
      </c>
    </row>
    <row r="68">
      <c r="A68" t="inlineStr">
        <is>
          <t>li-4372571228</t>
        </is>
      </c>
      <c r="B68" t="inlineStr">
        <is>
          <t>AI Engineer</t>
        </is>
      </c>
      <c r="C68" t="inlineStr">
        <is>
          <t>RemoteHunter</t>
        </is>
      </c>
      <c r="D68" t="inlineStr">
        <is>
          <t>linkedin</t>
        </is>
      </c>
      <c r="E68">
        <f>HYPERLINK("https://www.linkedin.com/jobs/view/4372571228", "https://www.linkedin.com/jobs/view/4372571228")</f>
        <v/>
      </c>
      <c r="F68" t="inlineStr"/>
      <c r="G68" t="inlineStr"/>
      <c r="H68" t="inlineStr"/>
      <c r="I68"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9">
      <c r="A69" t="inlineStr">
        <is>
          <t>li-4372596500</t>
        </is>
      </c>
      <c r="B69" t="inlineStr">
        <is>
          <t>Applied AI Engineer</t>
        </is>
      </c>
      <c r="C69" t="inlineStr">
        <is>
          <t>Jobs via Dice</t>
        </is>
      </c>
      <c r="D69" t="inlineStr">
        <is>
          <t>linkedin</t>
        </is>
      </c>
      <c r="E69">
        <f>HYPERLINK("https://www.linkedin.com/jobs/view/4372596500", "https://www.linkedin.com/jobs/view/4372596500")</f>
        <v/>
      </c>
      <c r="F69">
        <f>HYPERLINK("https://click.appcast.io/t/e-f3W0RcG5ljo8iqG5PdZEUHGScUBuVihQCPcDJeTLQ=&amp;urlHash=cIjE", "https://click.appcast.io/t/e-f3W0RcG5ljo8iqG5PdZEUHGScUBuVihQCPcDJeTLQ=&amp;urlHash=cIjE")</f>
        <v/>
      </c>
      <c r="G69" t="inlineStr">
        <is>
          <t>New York, NY</t>
        </is>
      </c>
      <c r="H69" t="inlineStr"/>
      <c r="I69" t="inlineStr">
        <is>
          <t>job summary:
 We are seeking a Senior Applied AI Engineer to drive enterprise\-level AI solutions across multiple departments, focusing on workflow optimization and intelligent system development.
 location: New York, New York
 job type: Contract
 salary: $75 \- 85 per hour
 work hours: 9am to 5pm
 education: Bachelors
 responsibilities:
* Develop AI\-powered solutions for finance, marketing, and sales teams
* Build agent systems using MCP servers
* Integrate third\-party LLMs from Open AI, Anthropic, and Google
* Create workflows that solve complex enterprise problems
* Work with text and numerical data
* Experiment with emerging AI technologies
 qualifications:
 8\-12 years of software engineering experience; ideally in Python
 1\-2 years of recent LLM and AI technology experience
 Strong understanding of traditional enterprise systems
 Proficiency in AI integration and workflow design
 Experience with agent\-to\-agent protocols
 Demonstrated ability to be a self\-starter who can build solutions independently, is not reliant on being hand\-held, and can effectively communicate and resolve issues.
 Proven capacity to work dynamically across different teams and move seamlessly across multiple projects.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70">
      <c r="A70" t="inlineStr">
        <is>
          <t>li-4372543735</t>
        </is>
      </c>
      <c r="B70" t="inlineStr">
        <is>
          <t>AI Developer/Agnetic AI Engineer</t>
        </is>
      </c>
      <c r="C70" t="inlineStr">
        <is>
          <t>Jobs via Dice</t>
        </is>
      </c>
      <c r="D70" t="inlineStr">
        <is>
          <t>linkedin</t>
        </is>
      </c>
      <c r="E70">
        <f>HYPERLINK("https://www.linkedin.com/jobs/view/4372543735", "https://www.linkedin.com/jobs/view/4372543735")</f>
        <v/>
      </c>
      <c r="F70">
        <f>HYPERLINK("https://click.appcast.io/t/tYTezSfe_BbfJKL68QM9Zhp3PzwZ591TK0TJMsRIB5k=&amp;urlHash=IyHL", "https://click.appcast.io/t/tYTezSfe_BbfJKL68QM9Zhp3PzwZ591TK0TJMsRIB5k=&amp;urlHash=IyHL")</f>
        <v/>
      </c>
      <c r="G70" t="inlineStr">
        <is>
          <t>Charlotte, NC</t>
        </is>
      </c>
      <c r="H70" t="inlineStr"/>
      <c r="I70" t="inlineStr">
        <is>
          <t>Dice is the leading career destination for tech experts at every stage of their careers. Our client, RIIM, is seeking the following. Apply via Dice today!
 Hands\-on experience building with LLMs and modern Al app stack (agents, RAG, tool/function calling).
 Strong proficiency in Python and building back\-end services/APls.
 Experience with at least one: LangChain/ LangGraph, Llamalndex, Semantic Kernel or equivalent frameworks.
 Experience with vector databases and search (e.g., Pinecone, Weaviate, Milvus, OpenSearch/Elastic,</t>
        </is>
      </c>
    </row>
    <row r="71">
      <c r="A71" t="inlineStr">
        <is>
          <t>li-4355318603</t>
        </is>
      </c>
      <c r="B71" t="inlineStr">
        <is>
          <t>Sr ML Engineer - Reinsurance &amp; Insurance Finance</t>
        </is>
      </c>
      <c r="C71" t="inlineStr">
        <is>
          <t>NextEra Energy, Inc.</t>
        </is>
      </c>
      <c r="D71" t="inlineStr">
        <is>
          <t>linkedin</t>
        </is>
      </c>
      <c r="E71">
        <f>HYPERLINK("https://www.linkedin.com/jobs/view/4355318603", "https://www.linkedin.com/jobs/view/4355318603")</f>
        <v/>
      </c>
      <c r="F71" t="inlineStr"/>
      <c r="G71" t="inlineStr">
        <is>
          <t>North Palm Beach, FL</t>
        </is>
      </c>
      <c r="H71" t="inlineStr"/>
      <c r="I71" t="inlineStr">
        <is>
          <t>**Requisition ID:** 
 93060
 At PALMS Insurance, a NextEra Energy company, we specialize in offering customized insurance solutions that address the unique needs of our clients. Our commitment to excellence, reliability, and customer satisfaction sets us apart as a trusted provider in the insurance industry. Are you ready to make a meaningful difference? Become a part of our team today.
**Position Specific Description**
 As a Senior ML Engineer at Palms Insurance, you will architect AI and data engineering solutions that directly enhance underwriting profitability, claims accuracy, reinsurance optimization, and operational efficiency across our P\&amp;C portfolio. This strategic role requires deep expertise in insurance data ecosystems—policy administration, claims management, reinsurance structures (assumed and ceded), and insurance financial accounting—combined with advanced ML capabilities to address property risks, casualty exposures, and regulatory compliance challenges.
**AI Engineering \&amp; P\&amp;C Data Integration**
* Build robust ETL/ELT pipelines using AWS (Glue, Redshift, S3, Lambda, Aurora) integrating P\&amp;C data including policy bordereaux, claims transactions, loss runs, exposure data, and reinsurance bordereaux
* Implement data quality frameworks validating P\&amp;C metrics: loss ratios, combined ratios, reserve adequacy, IBNR estimates, exposure accumulation, ceded premium reconciliation, and sliding scale commission calculations
* Design LLM\-based ingestion workflows automating data mapping for MGAs, carriers, reinsurers, and program administrators
* Create semantic layers translating raw data into standardized P\&amp;C schemas (ISO classifications, territory mappings, treaty types, attachment points)
* Oversee production deployments with A/B testing frameworks for ML\-driven underwriting and claims decisioning
* Handle ad\-hoc reporting, data anomaly resolution, and AWS job\-aid refactoring
**Reinsurance Financial Accounting \&amp; Reconciliation**
* Develop automated reconciliation pipelines matching ceding company statements, reinsurer statements, and internal records with exception workflows
* Build ML\-driven anomaly detection identifying premium discrepancies, commission errors, and loss allocation mismatches
* Create predictive cash flow models for reinsurance recoverable forecasting collection timing and dispute impacts
* Implement actuarial support for Schedule F preparation, collectability assessments, unauthorized reinsurer collateral tracking, and NAIC regulatory reporting
* Engineer financial pipelines supporting SAP and GAAP requirements including DAC, UPR, loss reserve discounting, and contingent commission accruals
**Data Strategy \&amp; Governance**
* Co\-develop data strategy with the VP of Data Analytics \&amp; Technology aligned with actuarial, underwriting, claims, and finance objectives
* Implement data governance standards ensuring compliance with state insurance regulations, NAIC reporting requirements, Solvency II (for international operations), credit for reinsurance regulations, and SOC 2 controls
* Maintain CI/CD processes via GitHub with peer review protocols, comprehensive code documentation, and model validation frameworks meeting actuarial and reinsurance accounting standards
* Deep understanding of P\&amp;C insurance concepts: combined ratio mechanics, loss triangles, IBNR methodologies, cat modeling, treaty reinsurance structures, and regulatory reporting (Schedule P, Annual Statement)
* Lead peer\-review processes to ensure high\-quality and reliable data science work.
**Ideal Skills And Qualifications**
* Master's or Ph.D. in Physics, Mathematics, Computer Science, or related field
* 7\+ years in data engineering and ML with 5\+ years in P\&amp;C insurance and 3\+ years in reinsurance operations
* 7\+ years hands\-on AWS experience (Glue, Redshift, S3, Lambda, CloudWatch)
* Extensive knowledge of reinsurance treaty types: quota share, surplus share, excess of loss, stop loss, facultative, finite risk
* Demonstrated expertise in reinsurance financial accounting: premium and loss ceding calculations, commission settlements (flat, sliding scale, profit commission), reinstatement premium accounting, experience refunds, loss portfolio transfers, and retroactive reinsurance.
* Expertise in reinsurance accounting: premium/loss ceding, commission settlements, reinstatement premium, experience refunds, commutations
* Strong database architecture, data warehousing, and ETL experience
* Experience with Power BI, Grafana, and web app tools
* Strong Scrum project management skills
* ARe/CRe (Reinsurance Fellowship/Chartership), or progress toward reinsurance credentials is highly desirable
* CPA, CFA, or advanced coursework in insurance accounting and financial reporting is a strong plus
* Insurance experience in Commercial or Specialty (Property \&amp; Casualty)
**Job Overview**
 This position is responsible for developing algorithms, modeling techniques, and optimization methods that support many aspects of NextEra and FPL business. Employees in this role use knowledge of machine learning, optimization, statistics, and applied mathematics along with abilities in software engineering with a focus on distributed computing and data storage infrastructure (i.e., “Big Data”).
**Job Duties \&amp; Responsibilities**
* Develops machine learning, optimization and other modeling solutions
* Prepares comprehensive documented observations, analyses and interpretations of results including technical reports, summaries, protocols and quantitative analyses
* Works with big data and distributed computing platforms
* Develops software and contributes to product development
* Performs other job\-related duties as assigned
**Required Qualifications**
* Bachelor’s Degree
* Experience: 4\+ years
**Preferred Qualifications**
* Master’s Degree
* Doctoral Degree
 NextEra Energy offers a wide range of benefits to support our employees and their eligible family members. Click
 **here** 
 to learn more.
**Employee Group:** 
 Exempt
**Employee Type:** 
 Full Time
**Job Category:** 
 Science, Research, and Technology
**Organization:** 
 Palms Management Services, LLC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72">
      <c r="A72" t="inlineStr">
        <is>
          <t>li-4361669356</t>
        </is>
      </c>
      <c r="B72" t="inlineStr">
        <is>
          <t>Lead AI Engineer</t>
        </is>
      </c>
      <c r="C72" t="inlineStr">
        <is>
          <t>MITRE</t>
        </is>
      </c>
      <c r="D72" t="inlineStr">
        <is>
          <t>linkedin</t>
        </is>
      </c>
      <c r="E72">
        <f>HYPERLINK("https://www.linkedin.com/jobs/view/4361669356", "https://www.linkedin.com/jobs/view/4361669356")</f>
        <v/>
      </c>
      <c r="F72" t="inlineStr"/>
      <c r="G72" t="inlineStr">
        <is>
          <t>Honolulu, HI</t>
        </is>
      </c>
      <c r="H72" t="inlineStr"/>
      <c r="I72"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for career growth, and a culture of innovation that embraces adaptability, collaboration, technical excellence, and people in partnership. If this sounds like the choice you want to make, then choose MITRE \- and make a difference with us.
 The Indo\-Pacific Regional Operations Department (N554\) works with the U.S. Indo\-Pacific Command (USINDOPACOM) and the Military Service Components on\-island to inform warfighter requirements and Concepts of Operation (CONOPS), and provides Command, Control, Communications, Computers, and Intelligence (C4I) systems acquisition, engineering, and integration support to the Department of Defense (DOD) and U.S. Allies in the Pacific Theater.
 N554 is a dynamic and forward leaning organization that provides direct connections to warfighters. These direct connections allow staff to monitor and participate in current operations and exercises. A key output of this access is the ability to inform technology innovation and capability analysis with operational domain expertise. N554 operational depth and warfighter access has generated considerable expertise in the development and analysis of CONOPS, mission threads, use cases, and operational requirements. The Department establishes links between DoD sponsors and Coalition Partner development activities. N554 is on the cutting edge of current operations and is a major thought leader in force modernization.
**Roles and Responsibilities:**
 The Indo\-Pacific Regional Operations Department (N554\) is seeking to fill a Lead Artificial Intelligence (AI) Engineer position supporting MITRE’s project with USINDOPACOM in Honolulu, Hawaii. MITRE aims to deliver quantifiable mission value and operational impact to the warfighter – primarily by accelerating technical innovation of new ideas and solutions to emerging operational problems. We collaborate with acquisition stakeholders, technology innovators, operational analysts, and other mission partners to help accelerate the delivery of needed capabilities to operational and tactical level warfighters across the naval, joint, and combined force.
 This Lead AI Engineer position will lead and support MITRE efforts to rapidly tailor and integrate industry AI and machine learning (AI/ML) capabilities and tools across INDOPACOM directorates, the Chief Data Office (CDO), and theater service components. While experience or expertise across the AI domain is very beneficial, the focus for this position is on driving integration, adoption, and training for existing capabilities. Thus, successful candidates will have demonstratable experience working directly with Department of Defense (DoD) or other US Government departments/agencies integrating data and/or AI/ML solutions.
 Specific responsibilities include:
* Working across Industry and Headquarters (HQ) INDOPACOM directorates to identify, assess, prioritize and implement warfighting AI/ML efforts and for the Headquarters
* Developing and experimenting with novel applications of AI to enhance USINDOPACOM operations, activities, and investments (OAIs)
* Facilitating the integration of AI/ML solutions into Headquarters HQ INDOPACOM operations
* Coordinating across HQ INDOPACOM directorates and Special Staff to ensure AI/ML efforts and strategic engagements across the Command are aligned and avoiding duplication of effort
* Partnering with DoD service providers to identify and develop a regional infrastructure framework of offerings that support scale, resilience, and prioritized operational/tactical use cases
* Developing staff and leadership curriculums comprised of industry best offerings for required AI/ML skillsets
**Basic Qualifications:**
* Typically requires a minimum of 8 years of related experience with a B.S degree in Engineering, Computer Science, Math, Physics, or 6 years and a Master’s degree; or a PhD with 3 years’ experience; or equivalent combination of related education and work experience
* Strong Familiarity with DoD military missions
* Strong familiarity with DoD message standards
* Prior experience working day\-to\-day in government\-controlled DoD spaces
* Demonstratable experience building, deploying, implementing and/or integrating AI or data applications, tools, and technologies
* Prior experience with US Department of Defense systems of systems integration
* Deep understanding and prior experience with cross domain solutions
* Prior experience with Agentic AI as it applies to military tasks
* Effective and influential oral communications skills
* Strong written and oral communications skills
* Active Top\-Secret Clearance with the ability to obtain and maintain a TS/SCI
* U.S. Citizenship required
* This position requires a minimum of 50% hybrid on\-site presence.
**Preferred Qualifications** 
 :
* Current knowledge of emerging technology being adopted into acquisition programs and/or the INDOPACOM theater
* Demonstrated capability for strategic planning and ability to provide actionable plans to government sponsors
* Experience with and/or future interest in project and department leadership roles including project leader, task leader, and group leader
* Active TS/SCI
 As part of MITRE’s Push to the Pacific initiative, employees hired to this requisition will be on the Hawaii Rotational Incentive program, implemented to attract talent for select positions with high demand and difficult to fill skill sets. As part of the Hawaii Rotation Program, the candidate selected for this position will receive an annual incentive as a lump sum payment each year for 3 years. This rotation program can be extended for a maximum of 5 years.
**This requisition requires the candidate to have a minimum of the following clearance(s):**
 Top Secret
**This requisition requires the hired candidate to have or obtain, within one year from the date of hire, the following clearance(s):**
 Top Secret/SCI
**Salary compensation range and midpoint:**
 $174,000 \- $217,500 \- $261,000 Annual
**Work Location Type:**
 Hybrid
**Commitment to Non\-Discrimination**
 All qualified applicants will receive consideration for employment without regard to disability, status as a protected veteran or any other status protected by applicable federal, state, local or international law.
 MITRE intends to maintain a website that is fully accessible to all individuals. If you are unable to search or apply for jobs and would like to request a reasonable accommodation for any part of MITRE’s employment process, please email recruitinghelp@mitre.org for general support and collegerecruiting@mitre.org for intern positions. This service is for individuals requiring reasonable accommodation requests. Please note that vendor solicitations will not receive a reply.
 Benefits information may be found here.
 Copyright © 1997\-2026, The MITRE Corporation. All rights reserved. MITRE is a registered trademark of The MITRE Corporation. Material on this site may be copied and distributed with permission only.</t>
        </is>
      </c>
    </row>
    <row r="73">
      <c r="A73" t="inlineStr">
        <is>
          <t>li-4372591706</t>
        </is>
      </c>
      <c r="B73" t="inlineStr">
        <is>
          <t>AI/ML Engineer - Cognitive Architecture / Neuro-Symbolic AI</t>
        </is>
      </c>
      <c r="C73" t="inlineStr">
        <is>
          <t>Jobs via Dice</t>
        </is>
      </c>
      <c r="D73" t="inlineStr">
        <is>
          <t>linkedin</t>
        </is>
      </c>
      <c r="E73">
        <f>HYPERLINK("https://www.linkedin.com/jobs/view/4372591706", "https://www.linkedin.com/jobs/view/4372591706")</f>
        <v/>
      </c>
      <c r="F73" t="inlineStr"/>
      <c r="G73" t="inlineStr"/>
      <c r="H73" t="inlineStr"/>
      <c r="I73" t="inlineStr">
        <is>
          <t>Dice is the leading career destination for tech experts at every stage of their careers. Our client, HL Solutions LLC, is seeking the following. Apply via Dice today!
**Role Overview**
 We are seeking an AI Engineer to design and build intelligent agent systems based on cognitive architecture principles and neuro\-symbolic reasoning. You will work on next\-generation AI that combines LLMs, reasoning engines, memory systems, and planning modules — moving beyond pure deep learning toward explainable and controllable intelligence.
**Key Responsibilities**
 Cognitive \&amp; Agent Architecture
* Design AI agent frameworks incorporating perception, memory, reasoning, planning, and action loops
* Implement structured memory (episodic, semantic, working memory) for long\-running AI agents
* Build tool\-using agents with multi\-step decision making and task decomposition
* Develop evaluation frameworks for reasoning correctness and controllability
 Neuro\-Symbolic AI Development
* Combine neural models (LLMs/transformers) with symbolic reasoning (rules, graphs, constraints)
* Implement knowledge graphs, ontologies, and rule engines
* Build reasoning pipelines integrating logic solvers and neural inference
* Improve explainability, traceability, and reliability of AI outputs
 LLM \&amp; ML Engineering
* Build retrieval\-augmented systems (RAG), planning chains, and memory\-aware prompting
* Implement fine\-tuning, alignment, and evaluation workflows
* Optimize latency, cost, and reliability of inference pipelines
* Deploy AI services in scalable production environments
 Platform \&amp; Collaboration
* Work closely with product and research teams to convert prototypes into production systems
* Participate in architecture reviews and experimentation cycles
* Write clean, testable, and well\-documented code
**Required Qualifications**
* Strong programming skills in Python
* Experience building AI/ML or LLM\-based applications in production
* Understanding of reasoning, planning, and agent design patterns
* Knowledge of search algorithms, graphs, and probabilistic reasoning
* Experience with distributed systems and APIs
**Preferred Qualifications (Highly Desired)**
* Hands\-on experience with neuro\-symbolic AI approaches
* Knowledge of cognitive architectures such as ACT\-R or Soar
* Experience with knowledge representation (ontologies, semantic graphs)
* Familiarity with constraint solvers or logic programming
* Background in reinforcement learning or planning systems
* Research publications or open\-source contributions in AI agents.
 We are proud to be an Equal Employment Opportunity (EEO) and Affirmative Action employer. We at HL Solutions do not discriminate based on Race, Religion, Color, National origin, Sex, Sexual orientation, Gender identity, Gender expression, Age, and Disability status.</t>
        </is>
      </c>
    </row>
    <row r="74">
      <c r="A74" t="inlineStr">
        <is>
          <t>li-4372809257</t>
        </is>
      </c>
      <c r="B74" t="inlineStr">
        <is>
          <t>AI Engineer ll</t>
        </is>
      </c>
      <c r="C74" t="inlineStr">
        <is>
          <t>Jobs via Dice</t>
        </is>
      </c>
      <c r="D74" t="inlineStr">
        <is>
          <t>linkedin</t>
        </is>
      </c>
      <c r="E74">
        <f>HYPERLINK("https://www.linkedin.com/jobs/view/4372809257", "https://www.linkedin.com/jobs/view/4372809257")</f>
        <v/>
      </c>
      <c r="F74" t="inlineStr"/>
      <c r="G74" t="inlineStr">
        <is>
          <t>Juno Beach, FL</t>
        </is>
      </c>
      <c r="H74" t="inlineStr"/>
      <c r="I74" t="inlineStr">
        <is>
          <t>RESPONSIBILITIES:
 Kforce has a client in Juno Beach, FL that is seeking an AI Engineer II who will design, build, and deliver production\-grade generative AI applications that solve real business problems across innovation and pilot initiatives. This role is highly hands\-on and ownership\-driven, with responsibility spanning concept, architecture, implementation, and production deployment.
 Summary:
 The AI Engineer will operate with a high degree of independence, acting as an end\-to\-end engineer who translates business needs into scalable GenAI solutions. This role emphasizes application engineering, system design, and enterprise readiness, rather than traditional data science or model training. Technologies of interest include (but are not limited to): large language models (LLMs), automation, cloud platforms, agentic workflows, solar PV, energy storage, transmission, and wind.
 Key Responsibilities:
* Design and deliver generative AI applications that address real operational and business challenges, from concept through production
* Translate business requirements into GenAI system architectures, selecting appropriate models, tools, and integration patterns
* Build and maintain full\-stack applications, including LLM\-powered tools, internal platforms, and APIs
* Implement LLM integrations using approaches such as RAG, prompt engineering, tool calling, and API\-based workflows
* Balance rapid experimentation with enterprise\-grade reliability, security, and governance
* Apply DevOps best practices to support CI/CD, monitoring, and scalable cloud deployments
* Collaborate with engineering, IT, and business stakeholders while owning technical execution independently
* Evaluate and prototype emerging GenAI tools and platforms for potential business impact
* Clearly communicate technical concepts, tradeoffs, and recommendations to non\-technical stakeholders
* Stay current with evolving GenAI capabilities, internal initiatives, and industry trends
 REQUIREMENTS:
* Bachelor's degree in Computer Science, Information Technology, Engineering, or a related field from an ABET\-accredited program
* 3\-5\+ years of professional experience in software engineering, AI engineering, or related roles
* Strong proficiency in Python
* Experience building and shipping production software systems
* Full\-stack development experience (frontend and backend)
* Experience with cloud platforms (AWS, Azure, or Google Cloud Platform) and modern cloud architectures
* DevOps experience, including CI/CD pipelines, containerization, and deployment automation
* Experience designing and consuming APIs following industry best practices
* Proficiency with source control and collaboration tools (e.g., GitHub)
* Strong problem\-solving, communication, and systems\-thinking skills
* Ability to operate effectively and independently within a large, complex enterprise environment
 Preferred:
* Hands\-on experience building LLM\-powered applications
* Experience with agentic or orchestration frameworks (e.g., LangChain, LangGraph, AutoGen, or similar)
* Experience with the energy sector, utilities, or industrial system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75">
      <c r="A75" t="inlineStr">
        <is>
          <t>li-4372575805</t>
        </is>
      </c>
      <c r="B75" t="inlineStr">
        <is>
          <t>GenAI Engineer</t>
        </is>
      </c>
      <c r="C75" t="inlineStr">
        <is>
          <t>Evolver</t>
        </is>
      </c>
      <c r="D75" t="inlineStr">
        <is>
          <t>linkedin</t>
        </is>
      </c>
      <c r="E75">
        <f>HYPERLINK("https://www.linkedin.com/jobs/view/4372575805", "https://www.linkedin.com/jobs/view/4372575805")</f>
        <v/>
      </c>
      <c r="F75">
        <f>HYPERLINK("https://grnh.se/ft0aopw09us&amp;urlHash=zgxl", "https://grnh.se/ft0aopw09us&amp;urlHash=zgxl")</f>
        <v/>
      </c>
      <c r="G75" t="inlineStr">
        <is>
          <t>Palo Alto, CA</t>
        </is>
      </c>
      <c r="H75" t="inlineStr"/>
      <c r="I75" t="inlineStr">
        <is>
          <t>**About Us:** 
 We’re an innovative tech startup on a mission to change the game in professional services through Generative AI. By blending deep industry expertise with powerful AI\-driven automation, we’re building tools that make complex tasks easier, faster, and more accurate. As a new team member, you’ll have the chance to learn, grow, and make a meaningful impact on our projects and products.
**Role Overview:** 
 We’re looking for a motivated Software Developer who’s ready to jump into the world of Generative AI! This is an amazing opportunity for a recent graduate with a passion for Python and a strong interest in AI development. You'll work alongside a supportive team to develop, test, and refine products that use cutting\-edge AI technology to automate complex tasks in the professional services industry.
**Key Responsibilities:** 
* Hands\-on Development: Work with our team to develop and test AI\-powered software solutions.
* Collaborate: Partner with product managers, senior developers, and industry experts to understand project goals and deliver effective solutions.
* Problem\-Solving: Support the team in troubleshooting challenges, brainstorming solutions, and refining features to improve performance.
* Learn and Grow: Gain experience with AI tools, frameworks, and cloud platforms under the guidance of senior team members.
* Stay Updated: Keep learning about AI, machine learning, and software development to grow your skills.
 ‍
 ‍
 **Qualifications:** 
* **Education:** 
 Bachelor’s or Master’s degree in Computer Science, Engineering, or a related field.
* **Technical Skills:** 
 Proficiency in Python and libraries such as PyTorch, Pandas, NumPy, or similar.
* Familiarity with fundamental concepts in data structures and algorithms.
* **Preferred:** 
 Experience with LLMs from OpenAI, Anthropic, Google, or Meta and their application in chatbots, RAG systems, and agents
* Experience with Cloud development, preferably Azure (e.g., Azure App Service, Azure Functions, Azure Database Services, Azure AI services, and Azure Search).
* **Soft Skills:** 
 Ability to communicate and work well in a team.
* Attention to detail and a proactive approach to problem\-solving.
* Enthusiasm for technology and a passion for innovation.
* Willingness to learn and adapt quickly.
 ‍
 **What We Offer:** 
* Competitive Entry\-Level Salary: Reflecting your skills and potential.
* Flexible Work: Work options to support your lifestyle.
* Growth Opportunities: Hands\-on experience and professional development.
* Cutting\-Edge Environment: Work at the forefront of AI and technology.</t>
        </is>
      </c>
    </row>
    <row r="76">
      <c r="A76" t="inlineStr">
        <is>
          <t>li-4373838825</t>
        </is>
      </c>
      <c r="B76" t="inlineStr">
        <is>
          <t>Lead AI/ML Engineer (Remote)</t>
        </is>
      </c>
      <c r="C76" t="inlineStr">
        <is>
          <t>Jobgether</t>
        </is>
      </c>
      <c r="D76" t="inlineStr">
        <is>
          <t>linkedin</t>
        </is>
      </c>
      <c r="E76">
        <f>HYPERLINK("https://www.linkedin.com/jobs/view/4373838825", "https://www.linkedin.com/jobs/view/4373838825")</f>
        <v/>
      </c>
      <c r="F76">
        <f>HYPERLINK("https://jobs.lever.co/jobgether/16b04ddf-76cb-4990-8cb3-ca0d950302c5/apply?source=LinkedIn&amp;urlHash=hJyE", "https://jobs.lever.co/jobgether/16b04ddf-76cb-4990-8cb3-ca0d950302c5/apply?source=LinkedIn&amp;urlHash=hJyE")</f>
        <v/>
      </c>
      <c r="G76" t="inlineStr">
        <is>
          <t>Iowa, United States</t>
        </is>
      </c>
      <c r="H76" t="inlineStr"/>
      <c r="I76" t="inlineStr">
        <is>
          <t>This position is posted by Jobgether on behalf of a partner company. We are currently looking for a Senior AI/ML Software Engineer \- REMOTE. In this role, you will play a crucial part in designing, building, and deploying secure software and data systems that enhance mission operations, analytics, and simulation environments. This hands\-on position is perfect for someone who enjoys writing code and solving complex technical challenges. Your expertise will help in developing scalable solutions and integrating various technologies to meet mission objectives effectively.
**Accountabilities**
* Design and implement APIs and data pipelines for mission applications.
* Develop software using Java, Python, C\+\+, or TypeScript/Angular.
* Write clean and maintainable code following secure coding practices.
* Build modular microservices to enhance scalability and interoperability.
* Deploy containerized cloud\-native services using Docker and Kubernetes.
* Contribute to secure deployments across hybrid or disconnected environments.
* Develop distributed systems using message buses like Kafka or Redis.
* Collaborate to ensure interoperability across software ecosystems.
* Manage databases and model complex data relationships.
* Integrate AI/ML outputs into runtime systems.
**Requirements**
* 6\-10\+ years of professional software engineering experience.
* 3\+ years of experience with DevSecOps or ATO/RMF processes.
* Strong full\-stack or systems engineering background.
* Proficiency in languages like Java, Python, C\+\+, or TypeScript/Angular.
* Experience using Docker, Kubernetes, and CI/CD pipelines.
* In\-depth understanding of distributed systems and message buses.
* Experience integrating analytics and AI models into production systems.
* Must be a U.S. citizen and willing to obtain a security clearance.
**Benefits**
* Flexible work environment with remote opportunities.
* Access to ongoing training and professional development.
* Collaborative and innovative team culture.
* Competitive salary and performance\-based bonuses.
* Health, dental, and retirement benefits.
* Opportunities for career advancement.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2026-02-17T01:46:52Z</dcterms:created>
  <dcterms:modified xsi:type="dcterms:W3CDTF">2026-02-17T01:46:52Z</dcterms:modified>
</cp:coreProperties>
</file>