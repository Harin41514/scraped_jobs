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in-34194c1fb689e71d</t>
        </is>
      </c>
      <c r="B2" t="inlineStr">
        <is>
          <t>Data Engineer</t>
        </is>
      </c>
      <c r="C2" t="inlineStr">
        <is>
          <t>Aristotle</t>
        </is>
      </c>
      <c r="D2" t="inlineStr">
        <is>
          <t>indeed</t>
        </is>
      </c>
      <c r="E2" t="inlineStr"/>
      <c r="F2" t="inlineStr"/>
      <c r="G2" t="inlineStr">
        <is>
          <t>Provo, UT, US</t>
        </is>
      </c>
      <c r="H2" s="2" t="n">
        <v>46030</v>
      </c>
      <c r="I2" t="inlineStr">
        <is>
          <t>Aristotle’s Integrity division delivers industry\-leading identity and age verification solutions to help organizations meet critical regulatory requirements, including AML, KYC, and age verification. Our technology is trusted by major brands across multiple industries to prevent fraud, protect users, and ensure compliance.
As a Data Engineer, you will help scale our identity data platform, including identity linking across datasets and powers fraud and risk signals. You will work across US and international data sources in a modern Azure environment.
Please visit https://integrity.aristotle.com for more information about this division.
### **Responsibilities**
* Build and operate data pipelines for ingesting, normalizing, and delivering identity data (SQL Server, SSIS, and Azure services).
* Lead data engineering for identity linking and unified ID across sources using clear match rules and auditable logic.
* Develop fraud and risk signals from identity data (for example velocity, duplication, inconsistency, and relationship based indicators).
* Build and maintain reporting for operational and business metrics using Power BI and SSRS, including dashboards for volume, match rates, and error trends.
* Support international data processing including multi country identifiers, name formats, and address and phone normalization.
* Document workflows and implement testing to ensure reliability.
**Requirements**
* Bachelor’s in Computer Science or a related field.
* 3\-5\+ years as a Data Engineer or similar role
* Strong T\-SQL and SQL Server performance tuning experience.
* Experience with SSIS and/or Azure data tooling (ADF, Synapse, Databricks, ADLS, Functions).
* Experience building reporting solutions with **Power BI and/or SSRS**.
* Comfortable working with large datasets, data quality checks, and production troubleshooting.
**Desired Requirements**
* Entity resolution, MDM, record linkage, or identity graph experience.
* Building fraud, risk, or compliance signals from identity and behavioral data.
* Familiarity with AI assisted workflows (including Azure OpenAI) and developer productivity tools like GitHub Copilot.
* Exposure to privacy and data governance concepts for international datasets.
* Familiarity with ASP.NET 2\.0, C\#, and Traditional ASP (Active Server Pages).
**Benefits**
All positions are Full\-Time, with competitive compensation, medical benefits, paid vacation, 401k plan and stock options. Casual dress code and a non\-corporate atmosphere make this a fun place to work and learn in a team environment. Please visit our website at www.aristotle.com.</t>
        </is>
      </c>
    </row>
    <row r="3">
      <c r="A3" t="inlineStr">
        <is>
          <t>in-a2c87902043adbcc</t>
        </is>
      </c>
      <c r="B3" t="inlineStr">
        <is>
          <t>Data Engineer</t>
        </is>
      </c>
      <c r="C3" t="inlineStr">
        <is>
          <t>Credence</t>
        </is>
      </c>
      <c r="D3" t="inlineStr">
        <is>
          <t>indeed</t>
        </is>
      </c>
      <c r="E3" t="inlineStr"/>
      <c r="F3" t="inlineStr"/>
      <c r="G3" t="inlineStr">
        <is>
          <t>Warner Robins, GA, US</t>
        </is>
      </c>
      <c r="H3" s="2" t="n">
        <v>46030</v>
      </c>
      <c r="I3" t="inlineStr">
        <is>
          <t>**Overview**
Join a team where innovation meets mission. Our AI, cloud, cyber, and modernization solutions save agencies thousands of hours, safeguard national security, and strengthen health and humanitarian missions worldwide. With 1,700\+ team members, 1,500\+ AI/data experts, and 100\+ prime contracts, we deliver at scale and with purpose.
We’ve been recognized as a Top Workplace by the Washington Post for six straight years and named to the Inc. 5000 Fastest Growing Private Companies 13 of the past 14 years. Credence is a welcoming home for those looking to grow and contribute to positive change. We encourage all employees to expand beyond their boundaries, dive into important world\-changing Federal challenges.
**Position Summary**
Credence has an immediate need for a **Mid\-Level AI Data Engineer** to join our growing AI and Automation practice. You will be a technical anchor in our AI and Automation practice. You’ll apply foundational AI skills to build and deploy data\-driven solutions. Under mentorship from senior AI leaders, you’ll drive agentic AI development lifecycles and collaborate across engineering, data, and stakeholder teams to deliver high\-impact, cloud\-native AI capabilities that advance federal missions.
**Responsibilities include, but are not limited to the duties listed below**
* **Data Integrations for Generative AI \&amp; LLM Usage**  
Build and optimize data pipelines that prepare, clean, and structure data for generative AI and LLM usage.
* **Data Lake \&amp; Warehouse Engineering**  
Manage and organize large datasets across cloud platforms (e.g., AWS, Azure, GCP) using data lake and warehouse technologies. Implement medallion architecture (Bronze/Silver/Gold layers) to ensure data quality, lineage, and accessibility.
* **Database Management \&amp; Performance**  
Work with both SQL and NoSQL systems to model, query, and load large\-scale datasets. Monitor, tune, and maintain high\-performance data stores supporting analytics and reporting.
* **Collaborative Engineering**  
Work alongside data engineers, software engineers, and data scientists to develop operational agentic AI systems.
* **Cloud Enablement**  
Help automate model deployment workflows using Infrastructure as Code (IaC), CI/CD pipelines, and container orchestration tools.
* **Production Monitoring \&amp; Optimization**  
Monitor AI systems post\-deployment, perform performance tuning, and apply best practices for reliability and scalability.
* **Technical Rigor \&amp; Documentation**  
Write clean, well\-documented code following industry and federal guidelines, support reproducible development.
* **Professional Growth**  
Stay current on AI/ML trends and tools and actively learn from senior team members through mentorship and technical design reviews.
**Requirements**
* U.S. Citizenship with eligibility for DoD Secret clearance.
* Bachelor’s or Master’s in Computer Science, Data/AI/ML, or a related field.
* **3–7 years** of hands\-on experience delivering Data/AI/ML solutions.
* Strong understanding of ETL, ELT, and other similar data pipeline processes, as well as Enterprise Data and Storage Systems, such as experience with OpenSearch/Elastic Search, Kafka, Bedrock, Glue, DataBricks, Snowflake, AWS S3, RDS, EBS, or Glacier
* Experience with vector databases, embeddings, and their affiliated data structures, file formats, services, APIs, etc (e.g. FAISS, PGVector, OpenSearch/Elasticsearch, Hugging face with Pinecone, Bedrock Knowledge Base)
* Experience in generative AI, working with LLMs, adding tool calls (MCP) and agents (A2A).
* Understanding of leading AI APIs such as OpenAI, Anthropic, Gemini, Bedrock, Vertex for use with LLMs and RAG search.
* Familiarity with CI/CD pipelines (GitLab/GitHub/Jenkins)
* Experience with VS Code and AI extensions such as Cline and Claude Code.
* Strong communication skills and client\-oriented mindset.
**Preferred**
* Curious and experimental about the latest innovations in AI with an orientation toward the relentless pursuit of delivering mission impact.
* Python proficiency and familiarity with libraries and frameworks (Pyspark, Pandas, uv, Pydantic, FastAPI, CrewAI, LangChain, LangGraph, Unstructured).
* Experience with IaC tools such as Terraform, Open Tofu, AWS CDK, or CloudFormation to deploy cloud native applications.
* Experience with agentic frameworks such as Agent2Agent Protocol, AWS Bedrock Agents, Mastra, CrewAI, Strands, or AgentCore.
* Exposure to adjacent skillsets such as data science, UI/UX, cloud engineering, and platform engineering to understand the entire software ecosystem.
* Knowledge of federal cybersecurity, RMF, FedRAMP, or regulatory frameworks.
**Why This Role Matters**
* **Real\-World Impact** — Your work will support defense and health agencies where AI solutions directly contribute to national security and public well\-being.
* **Growth\-Oriented Environment** — Learn from technical leaders, innovate within Agentic AI, and mentor those around you in AI best practices.
* **Culture of Empowerment** — You’ll be part of a team that values innovation, trust, collaboration, and mission success.
**Benefits**
* Health Care Plan (Medical, Dental \&amp; Vision)
* Retirement Plan (401k, IRA)
* Life Insurance (Basic, Voluntary \&amp; AD\&amp;D)
* Paid Time Off (Vacation, Sick \&amp; Public Holidays)
* Family Leave (Maternity, Paternity)
* Short Term \&amp; Long Term Disability
* Training \&amp; Development
* Free Food \&amp; Snacks
* Wellness Resources</t>
        </is>
      </c>
    </row>
    <row r="4">
      <c r="A4" t="inlineStr">
        <is>
          <t>in-5d5f1d569b2dca6c</t>
        </is>
      </c>
      <c r="B4" t="inlineStr">
        <is>
          <t>Principal Data Engineer</t>
        </is>
      </c>
      <c r="C4" t="inlineStr">
        <is>
          <t>Continuus Technologies</t>
        </is>
      </c>
      <c r="D4" t="inlineStr">
        <is>
          <t>indeed</t>
        </is>
      </c>
      <c r="E4" t="inlineStr"/>
      <c r="F4" t="inlineStr"/>
      <c r="G4" t="inlineStr">
        <is>
          <t>Germantown, WI, US</t>
        </is>
      </c>
      <c r="H4" s="2" t="n">
        <v>46030</v>
      </c>
      <c r="I4" t="inlineStr">
        <is>
          <t>### **Role Overview**
The Principal Data Engineer is a senior technical authority responsible for defining the organization's data architecture, setting long\-term technical strategy, and solving the most complex data engineering challenges. This role influences company\-wide data standards, mentors senior engineers, and partners with executive and cross\-functional leaders to ensure data platforms scale with the business.
### **Key Responsibilities**
* Define and evolve the long\-term data architecture and technical vision
* Design highly scalable, resilient data platforms and pipelines
* Set standards for data modeling, reliability, observability, and governance
* Lead complex, high\-risk technical initiatives and migrations
* Serve as the escalation point for critical data incidents and root cause analysis
* Influence tool selection and technology adoption across the data stack
* Mentor Staff and Senior Data Engineers and elevate engineering excellence
* Partner with leadership to align data strategy with business goals
* Ensure data platforms support analytics, ML, and product use cases at scale
### **Qualifications**
* Bachelor's degree in Computer Science, Engineering, or related field (or equivalent experience)
* 10\+ years of experience in data engineering or related disciplines
* Expert\-level SQL and strong proficiency in Python or similar languages
* Deep experience with data warehousing, data lakes, and distributed systems
* Proven track record of designing and operating large\-scale data platforms
* Strong systems thinking and architectural decision\-making skills
### **Preferred Experience**
* Cloud platforms (AWS, Azure, or GCP)
* Streaming and real\-time systems (Kafka, Spark, Flink, etc.)
* Advanced data governance, security, and compliance practices
* Supporting ML, AI, or product\-led data platforms
* Influencing technical direction without direct managerial authority</t>
        </is>
      </c>
    </row>
    <row r="5">
      <c r="A5" t="inlineStr">
        <is>
          <t>in-9e8d5079d3161359</t>
        </is>
      </c>
      <c r="B5" t="inlineStr">
        <is>
          <t>Senior Data Engineer</t>
        </is>
      </c>
      <c r="C5" t="inlineStr">
        <is>
          <t>Continuus Technologies</t>
        </is>
      </c>
      <c r="D5" t="inlineStr">
        <is>
          <t>indeed</t>
        </is>
      </c>
      <c r="E5" t="inlineStr"/>
      <c r="F5" t="inlineStr"/>
      <c r="G5" t="inlineStr">
        <is>
          <t>Germantown, WI, US</t>
        </is>
      </c>
      <c r="H5" s="2" t="n">
        <v>46030</v>
      </c>
      <c r="I5" t="inlineStr">
        <is>
          <t>### **Role Overview**
The Senior Data Engineer designs, builds, and maintains scalable data pipelines and data platforms that support analytics, reporting, and data\-driven products. This role plays a key part in technical decision\-making, reliability, and mentoring while partnering closely with analytics, product, and engineering teams.
### **Key Responsibilities**
* Design, build, and optimize scalable ETL/ELT data pipelines
* Develop and maintain data models in data warehouses and lakes
* Ensure data reliability, quality, and performance across systems
* Collaborate with analysts and stakeholders to deliver analytics\-ready data
* Lead technical design reviews and contribute to architectural decisions
* Monitor and troubleshoot pipeline failures and performance issues
* Implement best practices for testing, version control, and documentation
* Mentor junior data engineers and review code
* Contribute to data platform roadmap and continuous improvement
### **Qualifications**
* Bachelor's degree in Computer Science, Engineering, or related field (or equivalent experience)
* 5\+ years of experience in data engineering or related roles
* Advanced SQL and strong proficiency in Python (or similar language)
* Experience with data warehousing and data modeling techniques
* Proven experience building production\-grade data pipelines
* Strong understanding of cloud\-based data architectures
### **Preferred Experience**
* Cloud platforms (AWS, Azure, or GCP)
* Orchestration and transformation tools (Airflow, dbt, Spark, Kafka, etc.)
* Experience with streaming or near\-real\-time data systems
* Familiarity with data governance, observability, and security best practices</t>
        </is>
      </c>
    </row>
    <row r="6">
      <c r="A6" t="inlineStr">
        <is>
          <t>in-8a06f35f5e573be0</t>
        </is>
      </c>
      <c r="B6" t="inlineStr">
        <is>
          <t>Staff Data Engineer</t>
        </is>
      </c>
      <c r="C6" t="inlineStr">
        <is>
          <t>Continuus Technologies</t>
        </is>
      </c>
      <c r="D6" t="inlineStr">
        <is>
          <t>indeed</t>
        </is>
      </c>
      <c r="E6" t="inlineStr"/>
      <c r="F6" t="inlineStr"/>
      <c r="G6" t="inlineStr">
        <is>
          <t>Germantown, WI, US</t>
        </is>
      </c>
      <c r="H6" s="2" t="n">
        <v>46030</v>
      </c>
      <c r="I6" t="inlineStr">
        <is>
          <t>### **Role Overview**
The Staff Data Engineer is a senior technical leader responsible for designing, scaling, and governing the organization's data platform and pipelines. This role sets data engineering standards, drives architectural decisions, and mentors engineers while partnering closely with analytics, product, and business leaders to enable reliable, high\-impact data solutions.
### **Key Responsibilities**
* Architect and own scalable, resilient data pipelines and platforms
* Lead design decisions for data ingestion, transformation, and storage
* Establish best practices for data modeling, testing, observability, and reliability
* Drive data quality, lineage, and governance frameworks
* Serve as a technical mentor for junior and mid\-level data engineers
* Partner with analytics, product, and business stakeholders to translate needs into data solutions
* Evaluate and implement modern data tools and cloud technologies
* Lead incident response, root cause analysis, and long\-term remediation
* Contribute to roadmap planning and long\-term data strategy
### **Qualifications**
* Bachelor's degree in Computer Science, Engineering, or related field (or equivalent experience)
* 7\+ years of experience in data engineering or related roles
* Advanced SQL and strong proficiency in Python (or similar language)
* Deep experience with data warehousing and data modeling
* Proven experience designing production\-grade ETL/ELT pipelines
* Strong understanding of distributed systems and data architecture
### **Preferred Experience**
* Cloud data platforms (AWS, Azure, or GCP)
* Orchestration and transformation tools (Airflow, dbt, Spark, Kafka, etc.)
* Data observability, monitoring, and reliability tooling
* Experience supporting analytics, BI, ML, or product data use cases
* Prior experience influencing technical strategy without direct authority</t>
        </is>
      </c>
    </row>
    <row r="7">
      <c r="A7" t="inlineStr">
        <is>
          <t>in-9b23f2fa566c3dfb</t>
        </is>
      </c>
      <c r="B7" t="inlineStr">
        <is>
          <t>Jr. Data Engineer</t>
        </is>
      </c>
      <c r="C7" t="inlineStr">
        <is>
          <t>Continuus Technologies</t>
        </is>
      </c>
      <c r="D7" t="inlineStr">
        <is>
          <t>indeed</t>
        </is>
      </c>
      <c r="E7" t="inlineStr"/>
      <c r="F7" t="inlineStr"/>
      <c r="G7" t="inlineStr">
        <is>
          <t>Germantown, WI, US</t>
        </is>
      </c>
      <c r="H7" s="2" t="n">
        <v>46030</v>
      </c>
      <c r="I7" t="inlineStr">
        <is>
          <t>### **Overview**
The Junior Data Engineer supports the design, development, and maintenance of data pipelines and data infrastructure. This role focuses on building reliable, scalable data solutions that enable analytics, reporting, and data\-driven decision\-making across the organization.
### **Key Responsibilities**
* Assist in building and maintaining data pipelines (ETL/ELT)
* Support data ingestion from internal and external sources
* Help clean, transform, and validate data for analytics use
* Monitor data jobs and troubleshoot data pipeline issues
* Maintain data models, schemas, and documentation
* Partner with data analysts and stakeholders to understand data needs
* Support data quality, reliability, and governance initiatives
* Follow best practices for version control, testing, and deployment
### **Qualifications**
* Bachelor's degree in Computer Science, Data Engineering, Information Systems, or related field (or equivalent experience)
* Experience with SQL and relational databases
* Familiarity with at least one programming language (Python preferred)
* Basic understanding of data warehousing concepts
* Experience with Git or version control tools
* Strong problem\-solving and analytical skills
### **Preferred**
* Exposure to cloud platforms (AWS, Azure, or GCP)
* Familiarity with ETL tools or orchestration frameworks (Airflow, dbt, Fivetran, etc.)
* Understanding of data lakes and modern data stack concepts
* Experience working with large or complex datasets</t>
        </is>
      </c>
    </row>
    <row r="8">
      <c r="A8" t="inlineStr">
        <is>
          <t>in-1147c689f69c8109</t>
        </is>
      </c>
      <c r="B8" t="inlineStr">
        <is>
          <t>Data Engineer</t>
        </is>
      </c>
      <c r="C8" t="inlineStr">
        <is>
          <t>Edgesource Corporation</t>
        </is>
      </c>
      <c r="D8" t="inlineStr">
        <is>
          <t>indeed</t>
        </is>
      </c>
      <c r="E8" t="inlineStr"/>
      <c r="F8" t="inlineStr"/>
      <c r="G8" t="inlineStr">
        <is>
          <t>Chantilly, VA, US</t>
        </is>
      </c>
      <c r="H8" s="2" t="n">
        <v>46030</v>
      </c>
      <c r="I8" t="inlineStr">
        <is>
          <t>We offer many opportunities to work on leading programs in both the federal and commercial sectors. Edgesource has partnered with many organizations working on progressive projects vital to both their continued success and our national security. Edgesource is continually seeking top\-tier professionals to join our ever\-growing diverse teams.  
Edgesource offers competitive salaries and benefits packages across our various business units, please reference within individual job postings on our website for additional information. Edgesource is an Equal Opportunity employer committed to a diverse workforce.
Company Overview:
For over 25 years, Edgesource Corporation has served as an innovative technology service provider for the Department of Defense (DOD), Department of Homeland Security (DHS), Department of State (DOS), the U.S. Intelligence Community, Law Enforcement, and other federal, state, and commercial clients locally, nationally, and abroad. From providing boutique technical solutions in support of the DOD Counter Unmanned Aerial Systems (CUAS) mission set to addressing the most critical Cybersecurity threats facing our nation as a prime contractor with the DHS Cybersecurity \&amp; Infrastructure Security Agency (CISA), a career at Edgesource is an opportunity to do meaningful, interesting, and impactful work.
Position Overview:
* Client is seeking a data engineer to grow our team performing cutting edge client work in mission space. With overwhelming amounts of large data, client is seeking a data engineer to support data structuring for implementation into a larger enterprise system that is being custom developed for client.
Development is performed on client site.
Responsibilities:
* Design, develop, and maintain ETL/ELT pipelines for batch and real\-time processing using Python and SQL.
* Integrate data from multiple sources, including databases, APIs, streaming platforms, PDFs, and MS Office files.
* Build scalable data architectures to support analytics and machine learning workloads.
* Optimize data processing and queries for performance and cost efficiency in AWS S3\.
* Exposure to PySpark or other big data frameworks is a plus for future pipeline scalability.
* Develop and implement web scraping and data ingestion workflows to collect open\-source data, integrating content and producing structured datasets and visualizations for analytics and stakeholder consumption.
Data Management \&amp; Optimization
* Collect, clean, and validate large volumes of structured and unstructured data.
* Track data versions, implement data quality checks, and ensure data reliability.
* Design and optimize data storage in AWS S3, including raw, intermediate, and final datasets.
* Implement data governance practices, including documentation, cataloging, lineage, and security.
* Ensure compliance security standards.
Collaboration with Data Science \&amp; Stakeholders
* Work closely with Data Scientists, Analysts, and stakeholders to understand data requirements.
* Prepare clean, structured, and feature\-ready datasets for analytics and machine learning.
* Support feature engineering, aggregations, and transformations at scale.
* Assist in deploying ML models to production, ensuring monitoring, versioning, and performance optimization.
APIs, Containers \&amp; CI/CD
* Integrate with REST APIs.
* Utilize Docker, Kubernetes, Git, and CI/CD pipelines to deploy and manage workflows.
Documentation \&amp; Communication
* Document pipelines, data schemas, and transformations clearly.
* Communicate technical concepts effectively with cross\-functional teams.
* Participate in code reviews and promote best practices across the team.
Required Qualifications:
* 3–5 years \+ of professional experience in data engineering or related roles.
* Strong collaboration skills to work effectively with Data Scientists, Analysts, and Engineering teams.
* Ability to communicate complex technical concepts to non\-technical stakeholders.
* Detail\-oriented, curious, and committed to data quality.
* Capable of managing multiple priorities in a fast\-paced environment.
Technical Skills
* Python, SQL, and PySpark (highly desired) for data processing and pipeline development.
* Elastic/OpenSearch for search and analytics solutions.
* Experience with AWS cloud services and Linux environments.
* Git for version control and collaborative development.
* Understanding of machine learning workflows and MLOps concepts.
Working at Edgesource:  
As an ISO 9001:2015 certified and CMMI Level 3 appraised small business, Edgesource specializes in providing a variety of technical solutions to include software development, database services, enterprise networking, data center virtualization, and management support. We are always seeking top\-talent to join our team in helping to address the most critical technical challenges facing our nation.
At Edgesource, we understand that our employees are our greatest asset, and as such we offer a wide array of benefits to support the well\-being of our staff to include:
\- Flexible PTO Policy \+ 11 Paid Holidays \-  
\- Flexible Work Schedules (Remote / Hybrid) \-  
\- Medical / Dental / Vision / Flexible Spending Account (FSA) \-  
\- 401k Plan with Match \-  
\- Tuition \&amp; Professional Development Support \-  
\- Commuter Benefits \-  
\- Bonus \&amp; Employee Referral Programs \-  
\- Career Growth Opportunities \-
Disclaimer:
Edgesource Corporation is an affirmative action and equal opportunity employer. All qualified applicants will receive consideration for employment without regard to race, color, religion, sex, disability, age, sexual orientation, gender identity, national origin, veteran status, or genetic information. Edgesource is committed to providing access, equal opportunity and reasonable accommodation for individuals with disabilities in employment, its services, programs, and activities. To request reasonable accommodation, please contact our Recruiting Department by email at recruiting@edgesource.com or by phone at (703\) 837\-0550\.</t>
        </is>
      </c>
    </row>
    <row r="9">
      <c r="A9" t="inlineStr">
        <is>
          <t>in-e796260015ab26e6</t>
        </is>
      </c>
      <c r="B9" t="inlineStr">
        <is>
          <t>Data Engineer</t>
        </is>
      </c>
      <c r="C9" t="inlineStr">
        <is>
          <t>Edgesource Corporation</t>
        </is>
      </c>
      <c r="D9" t="inlineStr">
        <is>
          <t>indeed</t>
        </is>
      </c>
      <c r="E9" t="inlineStr"/>
      <c r="F9" t="inlineStr"/>
      <c r="G9" t="inlineStr">
        <is>
          <t>Chantilly, VA, US</t>
        </is>
      </c>
      <c r="H9" s="2" t="n">
        <v>46030</v>
      </c>
      <c r="I9" t="inlineStr">
        <is>
          <t>We offer many opportunities to work on leading programs in both the federal and commercial sectors. Edgesource has partnered with many organizations working on progressive projects vital to both their continued success and our national security. Edgesource is continually seeking top\-tier professionals to join our ever\-growing diverse teams.  
Edgesource offers competitive salaries and benefits packages across our various business units, please reference within individual job postings on our website for additional information. Edgesource is an Equal Opportunity employer committed to a diverse workforce.
Company Overview:  
For over 25 years, Edgesource Corporation has served as an innovative technology service provider for the Department of Defense (DOD), Department of Homeland Security (DHS), Department of State (DOS), the U.S. Intelligence Community, Law Enforcement, and other federal, state, and commercial clients locally, nationally, and abroad. From providing boutique technical solutions in support of the DOD Counter Unmanned Aerial Systems (CUAS) mission set to addressing the most critical Cybersecurity threats facing our nation as a prime contractor with the DHS Cybersecurity \&amp; Infrastructure Security Agency (CISA), a career at Edgesource is an opportunity to do meaningful, interesting, and impactful work.
Position Overview:
Client is seeking a data engineer to grow our team performing cutting edge client work in mission space. With overwhelming amounts of large data, client is seeking a data engineer to support data structuring for implementation into a larger enterprise system that is being custom developed for client.
Development is performed on client site.
Responsibilities:
* Design, develop, and maintain ETL/ELT pipelines for batch and real\-time processing using Python and SQL.
* Integrate data from multiple sources, including databases, APIs, streaming platforms, PDFs, and MS Office files.
* Build scalable data architectures to support analytics and machine learning workloads.
* Optimize data processing and queries for performance and cost efficiency in AWS S3\.
* Exposure to PySpark or other big data frameworks is a plus for future pipeline scalability.
Data Management \&amp; Optimization
* Collect, clean, and validate large volumes of structured and unstructured data.
* Track data versions, implement data quality checks, and ensure data reliability.
* Design and optimize data storage in AWS S3, including raw, intermediate, and final datasets.
* Implement data governance practices, including documentation, cataloging, lineage, and security.
* Ensure compliance security standards.
Collaboration with Data Science \&amp; Stakeholders
* Work closely with Data Scientists, Analysts, and stakeholders to understand data requirements.
* Prepare clean, structured, and feature\-ready datasets for analytics and machine learning.
* Support feature engineering, aggregations, and transformations at scale.
* Assist in deploying ML models to production, ensuring monitoring, versioning, and performance optimization.
Documentation \&amp; Communication
* Document pipelines, data schemas, and transformations clearly.
* Communicate technical concepts effectively with cross\-functional teams.
* Participate in code reviews and promote best practices across the team.
Required Qualifications:
* 3–5 years \+ of professional experience in data engineering or related roles.
* Strong collaboration skills to work effectively with Data Scientists, Analysts, and Engineering teams.
* Ability to communicate complex technical concepts to non\-technical stakeholders.
* Detail\-oriented, curious, and committed to data quality.
* Capable of managing multiple priorities in a fast\-paced environment.
Technical Skills
* Python, SQL, and PySpark (highly desired) for data processing and pipeline development.
* Elastic/OpenSearch for search and analytics solutions.
* Experience with AWS cloud services and Linux environments.
* Git for version control and collaborative development.
* Understanding of machine learning workflows and MLOps concepts.
Working at Edgesource:  
As an ISO 9001:2015 certified and CMMI Level 3 appraised small business, Edgesource specializes in providing a variety of technical solutions to include software development, database services, enterprise networking, data center virtualization, and management support. We are always seeking top\-talent to join our team in helping to address the most critical technical challenges facing our nation.
At Edgesource, we understand that our employees are our greatest asset, and as such we offer a wide array of benefits to support the well\-being of our staff to include:
\- Flexible PTO Policy \+ 11 Paid Holidays \-  
\- Flexible Work Schedules (Remote / Hybrid) \-  
\- Medical / Dental / Vision / Flexible Spending Account (FSA) \-  
\- 401k Plan with Match \-  
\- Tuition \&amp; Professional Development Support \-  
\- Commuter Benefits \-  
\- Bonus \&amp; Employee Referral Programs \-  
\- Career Growth Opportunities \-
Disclaimer:
Edgesource Corporation is an affirmative action and equal opportunity employer. All qualified applicants will receive consideration for employment without regard to race, color, religion, sex, disability, age, sexual orientation, gender identity, national origin, veteran status, or genetic information. Edgesource is committed to providing access, equal opportunity and reasonable accommodation for individuals with disabilities in employment, its services, programs, and activities. To request reasonable accommodation, please contact our Recruiting Department by email at recruiting@edgesource.com or by phone at (703\) 837\-0550\.</t>
        </is>
      </c>
    </row>
    <row r="10">
      <c r="A10" t="inlineStr">
        <is>
          <t>in-df68b567e3ae19a2</t>
        </is>
      </c>
      <c r="B10" t="inlineStr">
        <is>
          <t>Sr Talend Data Engineer</t>
        </is>
      </c>
      <c r="C10" t="inlineStr">
        <is>
          <t>Citizens</t>
        </is>
      </c>
      <c r="D10" t="inlineStr">
        <is>
          <t>indeed</t>
        </is>
      </c>
      <c r="E10" t="inlineStr"/>
      <c r="F10" t="inlineStr"/>
      <c r="G10" t="inlineStr">
        <is>
          <t>Johnston, RI, US</t>
        </is>
      </c>
      <c r="H10" s="2" t="n">
        <v>46030</v>
      </c>
      <c r="I10" t="inlineStr">
        <is>
          <t>**Description**
**4 Days in the office from any of our locations in RI,****Iselin NJ, MA, Pittsburgh PA, Nashville TN, and couple other locations**
**Role is not relocation eligible.**
At Citizens, we’re more than a bank. Here, you’ll experience new things, create new opportunities, think beyond your role and make an impact!
While in this position, you will work independently while engaging in the design, model and implementation of enterprise data warehousing activities in support of projects and defect remediation process. You will also, participate in and lead segments in the programming and configuration of warehouses on database, and provide independent support to warehouse users. You will also assist with designing, implementing and supporting solutions that meet business requirements related to data warehouses, data marts or operational data stores primarily using ETL. Lastly, you will work with application architects to implement enhancements to systems and remediate existing code.
Most importantly, you’ll feel valued for who you are and supported to achieve what’s important to you, personally and professionally!
**Primary responsibilities include**
* Be a strong contributor in implementing data integration architecture and solutions.
* Conduct source system/data analysis and data profiling.
* Build robust data pipelines to collect, process and compute different metrics from various financial sources, adhering to quality and development standards.
* Design application architecture / technical design and articulate the data pipeline solutions to team members.
* Data mapping from source to target and define transformation rules that meet the models created by data Architects.
* Collaborate with cross functional team members as necessary and come up with optimal solutions that meet data demands.
* Execute unit test of data populated in target data container, validate expected result and ensure quality \&amp; accuracy.
* Coordinate with business users for user acceptance test and with operations team for code deployment to upper environments.
* Follow change management team stipulations on path to production requirements and strictly adhere to the compliance and regulatory needs.
**Qualifications, Education, Certifications and/or Other Professional Credentials**
* *Required Qualifications*
	+ Bachelor's Degree in Analytics, Mathematics, Statistics or Computer Science
	+ Hands on experience in building data solutions in big data / cloud platforms.
	+ Experience with Hadoop ecosystem (HDFS, Hive, PIG, Hbase, Hiveql etc.)
	+ Experienced in ETL/ELT tools such as Talend, Datastage, Informatica, and Sqoop as well as building/enhancing ETL framework.
	+ RDBMS experience in either of Teradata, Oracle, MS\-SQL, DB2, RedShift, Snowflakes, etc.
	+ Scripting language (shell scripting, SQL, PL/SQL, Python, Java , Spark, Scala)
	+ Experience with AWS cloud native services such as S3, RDS, Glue, Athena, etc.
	+ Worked with any of the scheduling tools (Autosys, Tidal, Oozie)
	+ SCM tool such as Bitbucket with Jira, Starteam or SVN.
	+ Experience working with various operating systems (Windows, Unix/Linux, IBM Mainframe)
	+ Strong communicator and collaborator with attention to details.
	+ Performance tuning and optimization of code and peer code reviews.
	+ 5\+ years of professional work experience as described above.
* *Preferred Qualifications*
	+ BigData Technology/AWS/Agile Certifications
	+ Data engineering experience for Data science projects where Machine learning is used (R, SAS, etc.)
	+ Experience in the financial services industry, especially banking.
	+ Business Intelligence/Reporting development experience using tools such as Tableau, Cognos, SAS, etc.
	+ Code commits to any Open source data tools.
	+ Experience with handling structured, semi\-structured and unstructured data.
**Hours \&amp; Work Schedule**
* Hours per Week: 40
* Work Schedule: Monday \- Friday
* Hybrid schedule: 4 days in office, 1 day WFH is required for this role.
**Pay Transparency**
The salary range for this position is $ 105,100 \- $ 157,680 per year plus an opportunity to earn an annual discretionary bonus. Actual pay is based on various factors including but not limited to the work location, and relevant skills and experience.
We offer competitive pay, comprehensive medical, dental and vision coverage, retirement benefits, maternity/paternity leave, flexible work arrangements, education reimbursement, wellness programs and more. Note, Citizens’ paid time off policy exceeds the mandatory, paid sick or paid time\-away policy of very local and state jurisdiction in the United States. For an overview of our benefits, visit https://jobs.citizensbank.com/benefits.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t>
        </is>
      </c>
    </row>
    <row r="11">
      <c r="A11" t="inlineStr">
        <is>
          <t>in-82900cc06a26df4c</t>
        </is>
      </c>
      <c r="B11" t="inlineStr">
        <is>
          <t>Senior Data Engineer</t>
        </is>
      </c>
      <c r="C11" t="inlineStr">
        <is>
          <t>RxSense</t>
        </is>
      </c>
      <c r="D11" t="inlineStr">
        <is>
          <t>indeed</t>
        </is>
      </c>
      <c r="E11" t="inlineStr"/>
      <c r="F11" t="inlineStr"/>
      <c r="G11" t="inlineStr">
        <is>
          <t>San Francisco, CA, US</t>
        </is>
      </c>
      <c r="H11" s="2" t="n">
        <v>46030</v>
      </c>
      <c r="I11" t="inlineStr">
        <is>
          <t>We are a healthcare technology company that provides platforms and solutions to improve the management and access of cost\-effective pharmacy benefits. Our technology helps enterprise and partnership clients simplify their businesses and helps consumers save on prescriptions.
As a leader in SaaS technology for healthcare, we offer innovative solutions with integrated intelligence on a single enterprise platform that connects the pharmacy ecosystem. With our expertise and modern, modular platform, our partners use real\-time data to transform their business performance and optimize their innovative models in the marketplace.
**Position Summary:**
We are looking for a Senior Data Engineer to expedite our Data Platform Stack to support our developers, database architects, data analysts on data initiatives and will ensure optimal data delivery architecture is consistent throughout ongoing projects in a dynamic environment. The ideal candidate will have 8 plus years of hands\-on experience, preferably with Snowﬂake, SQL Server, AWS and Matillion ETL, to build, optimize, and maintain data pipelines and data integration solutions. This role involves working closely with cross\-functional teams to support data\-driven initiatives across the organization.
**Responsibilities**
* Analyze and interpret complex data Ability to identify data anomalies and resolve data issues.
* Understand speciﬁc business processes and domain concepts and relate them to data subject domains.
* Optimize SQL queries, scripts, and stored procedures in Snowﬂake and SQL Server to improve eﬃciency and reduce processing time.
* Integrate and manage data from various sources, ensuring data quality, reliability, and performance
* Design, develop, and maintain scalable and high\-performance ETL pipelines using Matillion ETL to ingest, transform, and load data into Snowﬂake.
* Monitor data pipeline and ETL performance, identifying bottlenecks and making necessary adjustments to ensure optimal system performance.
* Perform troubleshooting and root cause analysis to resolve data issues and prevent future occurrences.
* Develop and implement data models within Snowﬂake to support business intelligence and analytics requirements.
* Collaborate with Data Leads, Product Managers and QA Engineers to validate requirements, participate in user requirement sessions.
* Perform tests and validate data ﬂows and prepare ETL processes according to business requirements.
* Perform ETL tuning and SQL tuning.
* Ability to document data ﬂows representing business logic in ETL routines.
* Design and implement data conversion strategy from legacy to new platforms.
* Perform design validation, reconciliation, and error handling in data load processes.
* Design and prepare technical speciﬁcations and guidelines including ER diagrams and related documents.
Qualifications:
* Must be well versed with Data warehousing concepts including design patterns (Star schemas, Snowﬂake design schemas). Must be aware of data modeling concepts including the data modeling Normal forms.
* Knowledge of AWS Infrastructure including S3, SNS, EC2, CloudWatch and RDS.
* 8\+ years working in ETL/Data transformation projects with one or more related products such as Informatica or Talend or Microsoft SSIS.
* Experience in business intelligence, data warehousing initiatives.
* Advanced working SQL knowledge and experience working with relational databases, query authoring (SQL) as well as working familiarity with a variety of databases like Oracle or MS SQL Server or Snowﬂake.
* Strong SQL and Python skills with experience in query optimization and performance.
* Strong analytical, problem\-solving, and communication skill.
* Bachelor's in mathematics, Computer Science or related technical ﬁeld.
* Experience with additional ETL tools, data transformation methods, or cloud platforms is a plus.
* Healthcare and PBM: PBM\-speciﬁc knowledge and experience with transforming various healthcare data is a plus, but not required.
* Experience with Matillion ELT tool and Snowﬂake Database is preferred
* Experience in building AWS Data Pipelines using Python or Spark, SparkSQL in any of Cloud Environments (AWS / Azure / Google).
Salary Range: 140,000 \- 150,000
RxSense believes that a diverse workforce is a more talented and productive workforce. As such, we are an Equal Opportunity and Affirmative Action employer. Our recruitment process is free from discriminatory hiring practices and all qualified applicants are considered for employment without regard to race, color, religion, sex, gender, sexual orientation, gender identity, ancestry, age, or national origin. Neither will qualified applicants be discriminated against on the basis of disability or protected veteran status. We believe in the strength of the collaboration, creativity and sense of community a diverse workforce brings.</t>
        </is>
      </c>
    </row>
    <row r="12">
      <c r="A12" t="inlineStr">
        <is>
          <t>in-e787774c637e904c</t>
        </is>
      </c>
      <c r="B12" t="inlineStr">
        <is>
          <t>Sr Data Engineer - Project Hire</t>
        </is>
      </c>
      <c r="C12" t="inlineStr">
        <is>
          <t>The Walt Disney Studios</t>
        </is>
      </c>
      <c r="D12" t="inlineStr">
        <is>
          <t>indeed</t>
        </is>
      </c>
      <c r="E12" t="inlineStr"/>
      <c r="F12" t="inlineStr"/>
      <c r="G12" t="inlineStr">
        <is>
          <t>Glendale, CA, US</t>
        </is>
      </c>
      <c r="H12" s="2" t="n">
        <v>46030</v>
      </c>
      <c r="I12" t="inlineStr">
        <is>
          <t>**This is not a remote role \- you must be in the area or willing to relocate**
-------------------------------------------------------------------------------
**Senior Data Engineer**
------------------------
The Studio Technology group at Walt Disney Studios comprises teams providing scalable, secure, and innovative technology solutions to enable the present and future of cinematic storytelling. The Data Platforms store, analyze, report on, and visualize data and insights for everything from the ﬁnancial engines that keep the Studio running to marketing and consumer applications that touch millions of people, to production data that supports the creation of Disney's wide array of ﬁlms and series.
As a Senior Data Engineer at The Walt Disney Studios, you will play a pivotal role in the transformation of data into actionable insights. Collaborate with our dynamic team of technologists to develop cutting\-edge data solutions that drive innovation and fuel business growth. Your responsibilities will include managing complex data structures and delivering scalable and efficient data solutions. Your expertise in data engineering will be crucial in optimizing our data\-driven decision\-making processes. If you're passionate about leveraging data to make a tangible impact, we welcome you to join us in shaping the future of our organization.
Key Responsibilities:
* Contribute to maintaining, updating, and expanding existing Core Data platform data pipelines
* Build tools and services to support data discovery, lineage, governance, and privacy
* Engage with and understand our customers, forming relationships that allow us to understand and prioritize both innovative new offerings and incremental platform improvements
* Collaborate with other software/data engineers and cross\-functional teams
* Tech stack includes Airflow, Spark, Databricks, Delta Lake, Kubernetes and AWS
* Collaborate with product managers, architects, and other engineers to drive the success of the Core Data platform
* Contribute to developing and documenting both internal and external standards and best practices for pipeline configurations, naming conventions, and more
* Ensure high operational efficiency and quality of the Core Data platform datasets to ensure our solutions meet SLAs and project reliability and accuracy to all our stakeholders (Engineering, Data Science, Operations, and Analytics teams)
* Be an active participant and advocate of agile/scrum ceremonies to collaborate and improve processes for our team
* Maintain detailed documentation of your work and changes to support data quality and data governance requirements
Qualifications:
* **Must have 5\+ years of data engineering experience developing large data pipelines**
* **Must have proficiency in at least one major programming language (e.g. Python, Java, Scala)**
* Strong **SQL** skills and ability to create queries to analyze complex datasets
* **Must have hands\-on production environment experience with distributed processing systems such as Spark**
* **Must have hands\-on production experience with data pipeline orchestration systems such as Airflow for creating and maintaining data pipelines**
* **Experience with Databricks**
* **Experience with Snowflake a plus**
* Deep Understanding of AWS or other cloud providers as well as infrastructure as code
* Familiarity with Data Modeling techniques and Data Warehousing standard methodologies and practices
* Strong algorithmic problem\-solving expertise
* Excellent written and verbal communication
* Advance understanding of OLTP vs OLAP environments
* Willingness and ability to learn and pick up new skill sets
* Self\-starting problem solver with an eye for detail and excellent analytical and communication skills
* Familiar with Scrum and Agile methodologies
* Bachelor’s Degree in Computer Science, Information Systems equivalent industry experience
\#DISNEYTECH
The hiring range for this position in Glendale $141,900\.00 to $190,300\.00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3">
      <c r="A13" t="inlineStr">
        <is>
          <t>in-7db8833988824233</t>
        </is>
      </c>
      <c r="B13" t="inlineStr">
        <is>
          <t>Data engineer</t>
        </is>
      </c>
      <c r="C13" t="inlineStr">
        <is>
          <t>Stacklogy</t>
        </is>
      </c>
      <c r="D13" t="inlineStr">
        <is>
          <t>indeed</t>
        </is>
      </c>
      <c r="E13" t="inlineStr"/>
      <c r="F13" t="inlineStr"/>
      <c r="G13" t="inlineStr">
        <is>
          <t>US</t>
        </is>
      </c>
      <c r="H13" s="2" t="n">
        <v>46030</v>
      </c>
      <c r="I13"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14">
      <c r="A14" t="inlineStr">
        <is>
          <t>in-2a74ca7cd1cf1bd8</t>
        </is>
      </c>
      <c r="B14" t="inlineStr">
        <is>
          <t>Lead Data Engineer – Platform</t>
        </is>
      </c>
      <c r="C14" t="inlineStr">
        <is>
          <t>Comcast</t>
        </is>
      </c>
      <c r="D14" t="inlineStr">
        <is>
          <t>indeed</t>
        </is>
      </c>
      <c r="E14" t="inlineStr"/>
      <c r="F14" t="inlineStr"/>
      <c r="G14" t="inlineStr">
        <is>
          <t>West Chester, PA, US</t>
        </is>
      </c>
      <c r="H14" s="2" t="n">
        <v>46030</v>
      </c>
      <c r="I14"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The Data Engineering Platform, Standards \&amp; Enablement team at Comcast is seeking a Lead Data Engineer – Platform to serve as the senior\-most technical authority for our enterprise data platform. This Engineer 4 will architect and evolve the next\-generation data engineering platform that powers Comcast’s data ecosystem across Databricks, AWS, Kafka, and distributed database environments. As a platform leader, you will define strategy, establish standards, and guide global teams to deliver a secure, scalable, and cost\-efficient platform enabling mission\-critical analytics and data workloads.**Job Description**
As the Lead Data Engineer – Platform, you will own the vision and roadmap for Comcast’s enterprise data platform. You will partner with Cloud Engineering, Cybersecurity, Enterprise Architecture, and Product Engineering to shape foundational capabilities that support thousands of data pipelines and analytics workloads. This role requires deep technical expertise, strong leadership skills, and the ability to influence across a large engineering organization. You will lead platform strategy, enforce governance, optimize performance, and ensure resiliency while mentoring senior engineers and driving engineering excellence.  
Due to the nature of the role and the team collaborate, this Engineer 4 role is based in our West Chester, PA office.*This position is ineligible for visa sponsorship. To be considered for this role, you must be legally authorized to work in the United States and not require sponsorship for employment now or in the future*
**Core Responsibilities**
Enterprise Platform Strategy \&amp; Architecture
* Define and evolve Comcast’s enterprise data platform strategy across Databricks, AWS, Kafka, and database ecosystems.
* Develop architectural patterns, reference implementations, reusable frameworks, and platform guardrails.
* Lead decisions on compute orchestration, storage tiering, data access models, and multi\-region resiliency.
* Serve as SME for Databricks architecture, including security model, cluster governance, Unity Catalog, Delta Lake strategy, and optimization frameworks.
Technical Leadership \&amp; Engineering Excellence
* Act as the highest\-level escalation point for complex platform issues.
* Set engineering standards and coding conventions for all data engineering domains.
* Mentor senior engineers and architects; promote best practices and thought leadership.
* Evaluate emerging technologies to enhance scalability and operational efficiency.
Platform Operations, Governance \&amp; Security
* Own platform governance, including workspace lifecycle, cluster policy enforcement, and compliance.
* Drive adoption of monitoring and observability tools (ELK, CloudWatch, Databricks native logging).
* Implement FinOps strategies for cost management and forecasting.
* Ensure platform resilience, disaster recovery readiness, and high availability.
Cross\-Functional Leadership \&amp; Delivery
* Lead globally distributed platform engineering teams (onshore, offshore, vendor partners).
* Partner with Security, Enterprise Architecture, and CloudOps to align standards and governance.
* Drive quarterly planning, roadmap execution, and platform enhancements.
* Communicate risks, KPIs, and modernization opportunities to executive stakeholders.
**Required Experience/Qualifications:**
* 8\-10\+ years of experience in Data Engineering, Platform Engineering, Distributed Systems, or Software Engineering.
* Deep hands\-on expertise in Databricks engineering and administration: Cluster policies \&amp; cost governance; Workspace architecture; Unity Catalog \&amp; data access models; Delta Lake performance tuning; Job orchestration \&amp; pipeline optimization
* Advanced AWS experience with: S3 lifecycle tiers, encryption, cross\-account architectures; MSK provisioning, tuning, scaling, monitoring; EC2, VPC networking, IAM role design; Lambda for serverless automation
* Strong background in backend/datastore technologies (Oracle, MongoDB).
* Expert\-level knowledge of Kafka, Spark, distributed computing, and real\-time ingestion frameworks.
* Proficiency in Python, SQL, and Shell scripting.
* Prior leadership experience managing platform teams and offshore delivery models.
* Proven ability to define and enforce platform standards across large organizations.
* Excellent communication and stakeholder influence skills.
**Preferred Experience:**
* Experience with Databricks Unity Catalog rollout at enterprise scale.
* Experience creating reusable Spark frameworks or platform accelerators.
* Familiarity with Databricks Serverless, DLT, or Photon.
* Knowledge of Kubernetes, container orchestration, and microservices patterns.
* AWS or Databricks professional certifications.
* Telecom or large enterprise digital commerce experience.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Amazon Web Services (AWS); Artificial Intelligence (AI); Collaboration; Databricks Platform; ETL Design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15">
      <c r="A15" t="inlineStr">
        <is>
          <t>in-e1813a5272e55534</t>
        </is>
      </c>
      <c r="B15" t="inlineStr">
        <is>
          <t>Data Engineer</t>
        </is>
      </c>
      <c r="C15" t="inlineStr">
        <is>
          <t>Mayo Clinic</t>
        </is>
      </c>
      <c r="D15" t="inlineStr">
        <is>
          <t>indeed</t>
        </is>
      </c>
      <c r="E15" t="inlineStr"/>
      <c r="F15" t="inlineStr"/>
      <c r="G15" t="inlineStr">
        <is>
          <t>Rochester, MN, US</t>
        </is>
      </c>
      <c r="H15" s="2" t="n">
        <v>46029</v>
      </c>
      <c r="I15" t="inlineStr">
        <is>
          <t>**Why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The Data Engineer gains access to data across the organization and provides ongoing analysis of the data by monitoring, profiling and analyzing databases. Requires a mix of functional, data and technical skills. The right candidate must be able to understand business requirements, translate them into information needs and implement those requirements using data available. The hire will be responsible for expanding and optimizing data architecture, as well as optimizing data flow and collection for cross functional teams. The ideal candidate is an experienced data pipeline builder and data wrangler who enjoys optimizing data systems. The Data Engineer will support our software developers, database architects, and data analysts and data scientists on data initiatives and will ensure optimal data delivery architecture is consistent throughout ongoing projects.  
Core job duties include:  
* Assemble large, complex data sets that meet functional / non\-functional business requirements.
* Strong knowledge of SQL required. Ability to identify sets and subsets of information across multiple joins or unions of tables is preferred in addition to writing and troubleshooting SQL queries for data mining
* Perform complex data analysis and investigation for customer requests to explain results and to make appropriate recommendations.
* Strong understanding of data modeling concepts
* Problem solver with the initiative to think critically to identify improvement opportunities (error detection, error correction, root cause analysis)
* Understand ETL that will aid in verification and testing of data
* Build processes supporting data transformation, data structures, metadata, dependency and workload management.
* A successful history of manipulating, processing and extracting value from large disconnected datasets.
* Analyze business objectives and develop data solutions to meet customer needs.
* Demonstrated ability to effectively participate in multiple, concurrent projects
* Improve and customize current data solutions to meet business functional and non\-functional requirements.
* Research new and existing data sources in order to contribute to new development, improve data management processes, and make recommendations for data quality initiatives.
* Perform periodic data quality reviews for internal and external data.
* Ensure timely resolution of queries and data issues.
* Look for new ways to find and collect data by researching potential new sources of information.
* Work with data and analytics experts to strive for greater functionality in our data systems.
This is a full time, remote position within the United States. Mayo Clinic will not sponsor or transfer visas for this position including F1 OPT STEM. **Qualifications**  
Bachelor's degree in Computer Science, Engineering, or related field from an accredited University or College; OR an Associate’s degree in Computer Science, Engineering, or related field from an accredited University or College with 2 years of experience. Demonstrated ability to analyze and profile data as a means to address various business problems through leveraging advanced data modeling, source system databases, or data mining techniques, is required. May provide consultative services to departments/divisions and committees. Demonstrated application of several problem\-solving methodologies, planning techniques, continuous improvement methods, and analytical tools and methodologies (e.g. data analysis, data profiling, modeling, etc.) required. Incumbent must have ability to manage a varied workload of projects with multiple priorities and stay current on healthcare trends and enterprise changes. Interpersonal skills and time management skills are required. Requires strong analytical skills and the ability to identify and recommend solutions, advanced computer application skills and a commitment to customer service. Experience with data analysis, quality, and profiling; including data exploration tools including but not limited to Rapid SQL, AQT, Information Analyzer, and Informatics.  
Experience with Python, Oracle OCI/FDI/ODI, Automation/AI Experiences, Google Cloud and/or Microsoft Azure data engineering preferred.
 **Exemption Status**  
Exempt  
**Compensation Detail**  
$ 100,339\.20 \- $140,462\.40 / year  
**Benefits Eligible**  
Yes  
**Schedule**  
Full Time  
**Hours/Pay Period**  
80  
**Schedule Details**  
Monday \- Friday, 8am \- 5pm. Rotating on\-call 24x7 schedule.  
**Weekend Schedule**  
As needed for rotating on\-call 24x7 schedule.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Mayo Clinic participates in E\-Verify and may provide the Social Security Administration and, if necessary, the Department of Homeland Security with information from each new employee's Form I\-9 to confirm work authorization.  
**Recruiter**  
Ted Keefe</t>
        </is>
      </c>
    </row>
    <row r="16">
      <c r="A16" t="inlineStr">
        <is>
          <t>in-641df2eb019fc164</t>
        </is>
      </c>
      <c r="B16" t="inlineStr">
        <is>
          <t>Data Engineer</t>
        </is>
      </c>
      <c r="C16" t="inlineStr">
        <is>
          <t>City of McKinney</t>
        </is>
      </c>
      <c r="D16" t="inlineStr">
        <is>
          <t>indeed</t>
        </is>
      </c>
      <c r="E16" t="inlineStr"/>
      <c r="F16" t="inlineStr"/>
      <c r="G16" t="inlineStr">
        <is>
          <t>McKinney, TX, US</t>
        </is>
      </c>
      <c r="H16" s="2" t="n">
        <v>46029</v>
      </c>
      <c r="I16" t="inlineStr">
        <is>
          <t>**Summary**
-----------
**WORKING FOR THE CITY OF MCKINNEY**  
Working for the City of McKinney is more than a job. It is an opportunity to make a meaningful difference in the lives of others. It is also an opportunity to have a hand in the development of one of the fastest growing communities in the nation. Proudly recognized on the Top Workplaces USA list by USA TODAY, our team is dedicated to making McKinney one of the best places to work, live, and raise a family. That’s why we exist. Join us and start making a difference today. **OUR CORE VALUES**  
City of McKinney employees work hard and at a very fast pace. However, we also look after and support one another. All of us are guided by four employee\-inspired values – Respect, Integrity, Service, and Excellence (RISE). We are also supported by servant\-based leaders who foster and support a healthy, family\-oriented culture. All new employees are expected to embrace and live by our core values and commit to helping us sustain our exceptional work environment as a high\-performance organization (HPO). **SUMMARY OF POSITION**  
The Data Engineer is responsible for building, optimizing, and maintaining data pipelines and models that support data\-driven decision making and actionable business insights; identifying, collecting, and analyzing data and workflows to create innovative and advanced solutions that can improve operational and service\-level efficiencies, while also creating and implementing special programs and initiatives that further the goals and objectives of the City. The Data Engineer collaborates with cross\-functional teams, including data architects, analysts, and business stakeholders, to translate business requirements into technical solutions, ensuring data integrity, accessibility, and security.
**Essential Functions/Knowledge, Skills, \&amp; Abilities**
-------------------------------------------------------
**GENERAL EXPECTATIONS FOR ALL EMPLOYEES**  
In order for us to continue to achieve our primary function of making McKinney a better place to live, work, and raise a family, we hold these expectations for all employees.
* Learn and demonstrate an understanding of how team, department, and City goals are interconnected.
* Contribute to a positive work culture.
* Maintain regular and reliable attendance.
* Ability to assess his/her work performance or the work performance of the team.
* Contribute to the development of others and/or the working unit or overall organization.
* Ability and willingness to work as part of a team, to demonstrate team skills, and to perform a fair share of team responsibilities.
* Ability to continuously learn and develop through a mix of internal and external training opportunities, and if applicable, encourage subordinates to do the same.
**ESSENTIAL DUTIES AND RESPONSIBILITIES**  
* Identify, collect, organize, and analyze data and workflows to support advanced solutions that are customer\-focused and lead to improved operational and service\-level efficiencies.
* Collaborate with internal customers to understand data requirements.
* Design and implement scalable and efficient data pipelines from data warehouses or data lakes to the end business user.
* Apply data transformation techniques to cleanse, validate, and enrich incoming data, ensuring its quality, integrity, and consistency.
* Design and construct data warehouse schemas and tables to optimize data storage, retrieval, integration, and analytics performance.
* Develop and maintain data models to support reporting, analytics, and visualization needs.
* Continuously monitor and enhance data pipelines and warehouse performance, identifying and resolving bottlenecks, and optimizing data retrieval and processing times.
* Create and maintain comprehensive documentation for data pipelines, data models, and data dictionaries to facilitate knowledge sharing and support data governance initiatives.
* Maintain an extensive knowledge of the datasets associated with the applications used by the City while maintaining a broad understanding of the services offered by City employees and how the two may correlate.
* Design, develop, and integrate scripts that automate business processes, spatial and non\-spatial tasks, and procedures using tools such as SQL, Python, and/or R.
* Establish and enforce data governance policies, ensuring data accuracy, security, and compliance with industry regulations (e.g., PCI\-DSS, HIPAA, CJIS).
* Assess and recommend tools, technologies, and platforms to support data engineering needs.
* Maintain awareness of new technologies and advances in the profession; reading professional literature; attending workshops and training sessions as appropriate.
* Produce detailed, consistent, error\-free work based on defined parameters.
* Adhere to assigned work schedule and department attendance policies and procedures.
* Travel to meetings, trainings, and City events as necessary.
* Comply with all written City policies and procedures.
**OTHER JOB FUNCTIONS:**  
* Perform other duties as assigned or directed.
**KNOWLEDGE, SKILLS, ABILITIES, AND BEHAVIORS**  
* Ability to embrace and embody the City’s core values of Respect, Integrity, Service, and Excellence (R.I.S.E.).
* Ability to communicate effectively with peers, supervisors, subordinates, and people to whom service is provided.
* Ability to produce desired work outcomes, including quality, quantity, and timeliness.
* Ability to plan and organize work, time, and resources, and if applicable, that of subordinates.
* Ability to forge strong professional relationships with internal staff, in an outgoing and friendly way.
* Proficiency with software tools, applications, and languages including, but not limited to, SQL, Python, Cloud Computing, YAML, Snowflake), Power BI, Shell, and/or JSON.
* Skill to evaluate, audit, deduce, and/or analyze data.
* Skilled and proactive project manager with ability to independentlyplan,coordinate,andorganizework;setpriorities,andmeetcriticaldeadlines.
* Ability to identify and resolve problems in atimely,efficient,andeffectivemanner.
* Ability to summarize complicated technical issues in a brief, common\-sense manner.
* Technical writing experience in relevant areas, including queries, reports, and presentations.
* Ability to quickly gain job knowledge and technical competency through independent learning, collaborative training, and supportive coaching from management and peers.
	+ Ability to learn and effectively communicate about professional fields which may be outside the employee’s previous experience.
* Ability to exercise the independent judgment, decisiveness, and creativity required in situations involving the evaluation of data against measurable or verifiable criteria.
* Skill in facilitating discussions and interaction with potentially large groups of individuals.
* Ability to work in ateamenvironment;contributeasateammemberandtreatco\-workers,subordinates,andcustomerswithrespect.
* Ability to multi\-task in a high activity/energy professional environment that includes multiple and concurrent projects and project deadlines
* Exhibits flexibility and adaptability, especially during times of change.
**Required Qualifications**
---------------------------
**MINIMUM QUALIFICATIONS**  
**Any work related experience resulting in acceptable proficiency levels in the below Minimum Qualifications may be an acceptable substitute.**  
Bachelor’s degree in Computer Science, Information Systems, Software/Computer Engineering, Data Science, or a related field. Three (3\) years of experience in ELT/ETL pipeline development, data warehousing/modeling, data quality and governance.  
**PREFERRED QUALIFICATIONS**
* Master’s degree in Computer Science, Information Systems, Data Science, Data Engineering, or a related field.
* Industry\-recognized certifications such as Cloud Data Engineering Certificates (Data Engineer Associate, AWS Certified Data Engineer Associate, or Google Professional Data Engineer); dbt Developer/Fundamentals; Certified Data Management Professional (CDMP);: Microsoft Power BI Data Analyst.
* Two (2\) years of experience with data lakehouse architectures and tools (e.g., Snowflake, Databricks).
**CONDITIONS OF EMPLOYMENT**  
* Must pass a drug screen and background check.
* Must have Class C Texas Driver’s License.
* Must have or obtain CJIS Certification within 30 days of hire.
* Must obtain Snowflake SnowPro Core within 6 months of hire.
* Must obtain Snowflake SnowPro Advanced: Data Engineer within 12 months of hire.
**Physical Demands/Supplemental**
---------------------------------
**PHYSICAL** **DEMANDS**  
Tasks involve the ability to exert light physical effort in sedentary to light work, but which may involve some lifting, carrying, pushing, and/or pulling of objects and materials of light weight (5\-10 pounds). Tasks may involve extended periods of time at a keyboard or workstation. Some tasks require visual and sound perception and discrimination and oral communications ability. **WORK ENVIRONMENT**  
There is limited exposure to environmental conditions. *The above statements describe the general nature and level of work being performed as of the date of preparation and approval. They are not to be construed as an exhaustive list of all responsibilities, duties, and skills required of the position. Employees holding this position will be required to perform any other job\-related duties as requested by management. The job description does not constitute an employment agreement between the employer and employee, and all requirements are subject to possible modification to reasonably accommodate individuals with disabilities.* *The City of McKinney is an equal opportunity employer (EOE) committed to an alcohol / drug free workplace and to providing equal opportunities regardless of age, race, color, gender, religion, national origin, marital status, veteran status, disability or any other legally protected status.*
The City offers a full complement of benefits:  
**Health Insurance**
* Medical, Dental, Vision Insurance
* Health Savings Account (HSA), Flexible Spending Medical and Childcare Account (FSA)
* Mental Health Care and Employee Assistance Program (EAP)
* City\-paid and Voluntary Life Insurance
* City\-paid and Voluntary Long Term Disability Insurance
* Supplemental Insurance through Aflac
**Additional Benefits*** Legal Services through Legal Shield
* Tuition Reimbursement (up to $10,000 per year)
* Wellness Program (earn up to $600 per year)
**Retirement*** Texas Municipal Retirement System (TMRS)
	+ Mandatory 7% employee contribution
	+ City match 2:1
	+ 5 year vesting
	+ Retire after 20 years of service, or age 60 with 5 years of service
* 457(b) Deferred Compensation Plans
**Paid Time Off (PTO)*** Paid Vacation (80 hours per year for new hires; tiered increases after 2 yrs)
* Sick Leave (135 hours per year for yourself and immediate family)
* Paid Parental Leave (80 hours for birth, adoption, or placement of a child in foster care)
* Ten Paid Holidays
* Personal Day
* Optional compensatory time for hourly employees
* Compensatory time for salaried employees</t>
        </is>
      </c>
    </row>
    <row r="17">
      <c r="A17" t="inlineStr">
        <is>
          <t>in-32f41132a7ddec93</t>
        </is>
      </c>
      <c r="B17" t="inlineStr">
        <is>
          <t>Data Engineer- Full Time Opportunity, NOT C2C</t>
        </is>
      </c>
      <c r="C17" t="inlineStr">
        <is>
          <t>Codoxo</t>
        </is>
      </c>
      <c r="D17" t="inlineStr">
        <is>
          <t>indeed</t>
        </is>
      </c>
      <c r="E17" t="inlineStr"/>
      <c r="F17" t="inlineStr"/>
      <c r="G17" t="inlineStr">
        <is>
          <t>US</t>
        </is>
      </c>
      <c r="H17" s="2" t="n">
        <v>46029</v>
      </c>
      <c r="I17" t="inlineStr">
        <is>
          <t>PLEASE NOTE BEFORE APPLYING:
CODOXO IS NOT ABLE TO OFFER SPONSORSHIP OR ACCOMMODATE ANY CANDIDATES THAT ARE CURRENTLY BEING SPONSORED NOW OR IN THE FUTURE
### **This is for a Full Time Role with Codoxo, NOT C2C**
Of the $3\.8T we spend on healthcare in the United States annually, about a third of it is estimated to be lost due to waste, fraud and abuse. Codoxo is the premier provider of artificial intelligence\-driven solutions and services that help healthcare companies and agencies proactively detect and reduce risks from fraud, waste, and abuse and ensure payment integrity. Codoxo helps clients manage costs across network management, clinical care, provider coding and billing, payment integrity, and special investigation units. Our software\-as\-a service applications are built on our proven Forensic AI Engine, which uses patented AI\-based technology to identify problems and suspicious behavior far faster and earlier than traditional techniques.  
We are venture backed by some of the top investors in the country, with strong financials, and remain one of the fastest growing healthcare AI companies in the industry. ***Position Summary***:
We have built a SaaS application that is supported by large volumes of healthcare data, on which we must frequently perform large queries very efficiently and return results in real\-time to the user.* ***Key Responsibilities****:*
We are seeking a junior to mid level Data Engineer with experience in the following areas:
	+ Ingestion of large volumes of data
	+ Performing Data Validations/Cleansing
	+ Data integration/loading into target Data Objects.
	+ Building large reservoirs of data
	+ Performing efficient queries using SQL**NOTE:** Claims loading experience in healthcare space is desired, but not required. ***Qualifications:***
	+ Bachelor or master's degree in Computer Science, Engineering or related field
	+ At least 2 years of experience in the software industry
	+ Experience using Relational databases (PostgreSQL is preferred)
	+ Prior experience in SQL scripting, including analytical queries
	+ Experience in Python programming
	+ Experience in UNIX Shell Scripting **Beneficial technical skills:**
	+ PL/SQL or PL/pgSQL
	+ PySpark
	+ AWS Glue, S3, Aurora, Data Lake, Sagemaker
	+ Proven experience processing billions of records
	+ Experience processing medical claims or related health care data
	+ Physical Requirements: Work is performed in an office environment (either in our office or work\-from home) and requires the ability to work on a computer, operate standard office equipment, and work at a desk. *Accessibility Notice: If you need reasonable accommodation for any part of the employment process due to a physical or mental disability, please send an email to careers@codoxo.com with the subject*
 **Benefits for You*** Health, Dental, and Vision insurance with 100% employee premium coverage (Starts Day 1\)
* Unlimited PTO
* Annual Professional Development stipend
* Annual home office stipend
* 401K Match (after 90 days)
 **We are an Equal Opportunity Employer**:
Codoxo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t>
        </is>
      </c>
    </row>
    <row r="18">
      <c r="A18" t="inlineStr">
        <is>
          <t>in-eadb6162b4c4d74b</t>
        </is>
      </c>
      <c r="B18" t="inlineStr">
        <is>
          <t>Data Engineer</t>
        </is>
      </c>
      <c r="C18" t="inlineStr">
        <is>
          <t>Amazon.com</t>
        </is>
      </c>
      <c r="D18" t="inlineStr">
        <is>
          <t>indeed</t>
        </is>
      </c>
      <c r="E18" t="inlineStr"/>
      <c r="F18" t="inlineStr"/>
      <c r="G18" t="inlineStr">
        <is>
          <t>Seattle, WA, US</t>
        </is>
      </c>
      <c r="H18" s="2" t="n">
        <v>46001</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in-3de2faead78c8915</t>
        </is>
      </c>
      <c r="B19" t="inlineStr">
        <is>
          <t>Data Engineer</t>
        </is>
      </c>
      <c r="C19" t="inlineStr">
        <is>
          <t>Amazon.com</t>
        </is>
      </c>
      <c r="D19" t="inlineStr">
        <is>
          <t>indeed</t>
        </is>
      </c>
      <c r="E19" t="inlineStr"/>
      <c r="F19" t="inlineStr"/>
      <c r="G19" t="inlineStr">
        <is>
          <t>San Francisco, CA, US</t>
        </is>
      </c>
      <c r="H19" s="2" t="n">
        <v>46001</v>
      </c>
      <c r="I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$118,900/year in our lowest geographic market up to $205,600/year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in-9cc4a11cbb9cd6d5</t>
        </is>
      </c>
      <c r="B20" t="inlineStr">
        <is>
          <t>Delivery Consultant - Data Engineer, Data and Machine Learning, WWPS US Federal</t>
        </is>
      </c>
      <c r="C20" t="inlineStr">
        <is>
          <t>Amazon Web Services</t>
        </is>
      </c>
      <c r="D20" t="inlineStr">
        <is>
          <t>indeed</t>
        </is>
      </c>
      <c r="E20" t="inlineStr"/>
      <c r="F20" t="inlineStr"/>
      <c r="G20" t="inlineStr">
        <is>
          <t>Herndon, VA, US</t>
        </is>
      </c>
      <c r="H20" s="2" t="n">
        <v>45991</v>
      </c>
      <c r="I20"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in-1231701fdd9accc2</t>
        </is>
      </c>
      <c r="B21" t="inlineStr">
        <is>
          <t>Delivery Consultant - Data Engineer, Data and Machine Learning, WWPS US Federal</t>
        </is>
      </c>
      <c r="C21" t="inlineStr">
        <is>
          <t>Amazon Web Services</t>
        </is>
      </c>
      <c r="D21" t="inlineStr">
        <is>
          <t>indeed</t>
        </is>
      </c>
      <c r="E21" t="inlineStr"/>
      <c r="F21" t="inlineStr"/>
      <c r="G21" t="inlineStr">
        <is>
          <t>Arlington, VA, US</t>
        </is>
      </c>
      <c r="H21" s="2" t="n">
        <v>45991</v>
      </c>
      <c r="I21" t="inlineStr">
        <is>
          <t>**DESCRIPTION**
---------------
The Amazon Web Services Professional Services (ProServe) team is seeking a skilled Delivery Consultant to join our team at Amazon Web Services (AWS). 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  
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It is expected to work from one of the above locations (or customer sites) Monday through Friday each week. This is not a remote position. You are expected to be in the office or with customers as needed.
This position requires that the candidate selected be a US Citizen and must currently possess and maintain an active TS/SCI security clearance with polygraph. The position further requires the candidate to opt into a commensurate clearance for each government agency for which they perform AWS work.
10040  
Key job responsibilities  
As an experienced technology professional, you will be responsible for:
* Designing and implementing complex, scalable, and secure AWS solutions tailored to customer needs
* Providing technical guidance and troubleshooting support throughout project delivery
* Collaborating with stakeholders to gather requirements and propose effective migration strategies
* Acting as a trusted advisor to customers on industry trends and emerging technologies
* Sharing knowledge within the organization through mentoring, training, and creating reusable artifacts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cloud architecture and solution implementation experience
* 3\+ years of experience with data warehouse architecture, ETL/ELT tools, data engineering, and large\-scale data manipulation using technologies like Spark, EMR, Hive, Kafka, and Redshift.
* Experience with relational databases, SQL, and performance tuning, as well as software engineering best practices for the development lifecycle, including coding standards, reviews, source control, and testing.
* Current, active US Government Security Clearance of TS/SCI with Polygraph.
**PREFERRED QUALIFICATIONS**
----------------------------
* AWS Professional level certifications (e.g., Solutions Architect Professional, DevOps Engineer Professional) preferred.
* Experience with automation and scripting (e.g., Terraform, Python).
* Knowledge of security and compliance standards (e.g., HIPAA, GDPR).
* Experience leading large\-scale data engineering and analytics projects using AWS technologies like Redshift, S3, Glue, EMR, Kinesis, Firehose, and Lambda.
* Experience with non\-relational databases and implementing data governance solutions.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$118,200/year in our lowest geographic market up to $204,300/year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in-ec3949edcfe31b97</t>
        </is>
      </c>
      <c r="B22" t="inlineStr">
        <is>
          <t>Data Engineer III, ITA</t>
        </is>
      </c>
      <c r="C22" t="inlineStr">
        <is>
          <t>Amazon.com</t>
        </is>
      </c>
      <c r="D22" t="inlineStr">
        <is>
          <t>indeed</t>
        </is>
      </c>
      <c r="E22" t="inlineStr"/>
      <c r="F22" t="inlineStr"/>
      <c r="G22" t="inlineStr">
        <is>
          <t>Seattle, WA, US</t>
        </is>
      </c>
      <c r="H22" s="2" t="n">
        <v>45893</v>
      </c>
      <c r="I22"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in-81eefcf12fee337e</t>
        </is>
      </c>
      <c r="B23" t="inlineStr">
        <is>
          <t>Data Engineer III, ITA</t>
        </is>
      </c>
      <c r="C23" t="inlineStr">
        <is>
          <t>Amazon.com</t>
        </is>
      </c>
      <c r="D23" t="inlineStr">
        <is>
          <t>indeed</t>
        </is>
      </c>
      <c r="E23" t="inlineStr"/>
      <c r="F23" t="inlineStr"/>
      <c r="G23" t="inlineStr">
        <is>
          <t>Arlington, VA, US</t>
        </is>
      </c>
      <c r="H23" s="2" t="n">
        <v>45893</v>
      </c>
      <c r="I23" t="inlineStr">
        <is>
          <t>**DESCRIPTION**
---------------
Do you want a role with deep meaning and the ability to make a major impact? As part of Intelligent Talent Acquisition (ITA), you'll have the opportunity to reinvent the hiring process and deliver unprecedented scale, sophistication, and accuracy for Amazon Talent Acquisition operations. ITA is an industry\-leading people science and technology organization made up of scientists, engineers, analysts, product professionals and more, all with the shared goal of connecting the right people to the right jobs in a way that is fair and precise. Last year we delivered over 6 million online candidate assessments, and helped Amazon deliver billions of packages around the world by making it possible to hire hundreds of thousands of workers in the right quantity, at the right location and at exactly the right time. You’ll work on state\-of\-the\-art research, advanced software tools, new AI systems, and machine learning algorithms, leveraging Amazon's in\-house tech stack to bring innovative solutions to life. Join ITA in using technologies to transform the hiring landscape and make a meaningful difference in people's lives. Together, we can solve the world's toughest hiring problems.  
Key job responsibilities  
Data team builds the foundational data infrastructure and analytics tools that power Amazon's hiring decisions. We create secure, scalable solutions that enable teams across ITA to access and analyze recruitment data effectively while maintaining data integrity.  
Key job responsibilities  
* Architect and implement scalable, reliable data pipelines and infrastructure, supporting analytics at scale
* Design and enforce data modeling standards, lineage, and governance frameworks while ensuring secure, compliant solutions
* Lead technical design/code reviews, evaluate emerging technologies, and drive engineering best practices across development lifecycle
* Work closely with business owners, developers, BI Engineers and Data Scientists to deliver scalable solutions enabling teams to access and analyze data effectively
* Mentor junior engineers, foster technical excellence, and empower team self\-service capabilities for handling complex data tasks independently
**BASIC QUALIFICATIONS**
------------------------
* 5\+ years of data engineering experience
* Experience with data modeling, warehousing and building ETL pipelines
* Experience with SQL
* Experience in at least one modern scripting or programming language, such as Python, Java, Scala, or NodeJS
* Experience mentoring team members on best practices
* Experience building modern cloud based data platforms for AI/ML and analytics usecases
**PREFERRED QUALIFICATIONS**
----------------------------
* Experience with big data technologies such as: Hadoop, Hive, Spark, EMR
* Experience operating large data warehouses
* Knowledge of professional software engineering \&amp; best practices for full software development life cycle, including coding standards, software architectures, code reviews, source control management, continuous deployments, testing, and operational excellence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$139,100/year in our lowest geographic market up to $240,500/year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in-eafc784e90c8db36</t>
        </is>
      </c>
      <c r="B24" t="inlineStr">
        <is>
          <t>Sr. Data Engineer</t>
        </is>
      </c>
      <c r="C24" t="inlineStr">
        <is>
          <t>Expion health</t>
        </is>
      </c>
      <c r="D24" t="inlineStr">
        <is>
          <t>indeed</t>
        </is>
      </c>
      <c r="E24" t="inlineStr"/>
      <c r="F24" t="inlineStr"/>
      <c r="G24" t="inlineStr">
        <is>
          <t>Myrtle Point, OR, US</t>
        </is>
      </c>
      <c r="H24" s="2" t="n">
        <v>46031</v>
      </c>
      <c r="I24" t="inlineStr">
        <is>
          <t>**Job Title**: Senior Data Engineer
**Location**: Remote – Work\-from\-Home
**Reports To:** Solutions Architect
**Join us in powering the future of pharmacy cost containment!**
Expion Health has an exciting opportunity for a Senior Data Engineer. Our team is continuously expanding the boundaries of the healthcare industry through innovations that intersect data and technology and amplify human intelligence to result in better outcomes. We need people like you to join in our commitment to drive pure exponential value for our clients and partners.
**Are you up for the challenge?**
Position Summary The Senior Data Engineer plays a critical role in designing, maintaining, and optimizing the organization's data, infrastructure, and cloud environments. This position is responsible for ensuring the reliability, security, and performance of both onpremises and cloudbased systems while supporting the organization's broader data and technology strategy. The Senior Data Engineer leads complex infrastructure initiatives, oversees system administration across Windows, Linux, and AWS environments, and ensures the integrity and availability of missioncritical data and services.
In this role, the Senior Data Engineer partners closely with IT leadership, crossfunctional teams, and external vendors to deliver secure, scalable, and highperforming solutions. The position also provides technical leadership to help desk staff, contributes to cloud migration efforts, and upholds compliance with industry standards such as SOC 2 and HITRUST. This is a handson, seniorlevel role ideal for a resourceful, analytical professional who thrives in dynamic environments and is committed to operational excellence.
**Essential Functions**
* Install, configure, and support networks, servers, storage, security systems, and related hardware/software in alignment with organizational standards and dataprotection best practices.
* Administer and maintain both Windows and Linux environments.
* Perform system administration tasks across onpremises infrastructure and AWS cloud environments, including supporting cloud migration initiatives.
* Ensure regular application of OS patches, upgrades, and updates to administrative tools and utilities; deploy new services as needed.
* Manage system and network security within AWS, including identity, access, and resource protection.
* Oversee corporate network security and connectivity, ensuring reliable and secure operations.
* Administer cloudbased Active Directory and vendormanaged single signon solutions.
* Manage firewalls, antivirus platforms, webfiltering systems, SSL certificates, and PGP encryption.
* Conduct daily system monitoring to verify the integrity and availability of hardware, networks, servers, storage, and critical processes.
* Review system and application logs and confirm successful completion of scheduled tasks, including backups.
* Perform and qualitycheck daily backup operations to ensure all required file systems and data are properly captured and recoverable.
* Coordinate with thirdparty vendors and service providers to support service delivery, resolve issues, and manage changes.
* Oversee vendormanaged systems such as the Mitel phone platform.
* Manage Office 365 services, including Exchange administration.
* Evaluate and prioritize projects, establish goals and objectives, and ensure compliance with relevant policies, regulations, and standards.
**Required Expertise**
* Bachelor's degree in Computer Science, Information Technology, Information Security, or a related field; equivalent experience or training may be considered.
* At least seven (7\) years of progressively responsible experience supporting the duties outlined in this role.
* Strong knowledge of networking, virtualization technologies, and server administration.
* Hands on experience with AWS cloud services; AWS certifications preferred.
* Ability to administer physical and virtual servers, networks, and security systems.
* Proficiency in network architecture, analysis, and design.
* Experience with performance tuning, hardware upgrades, and resource optimization.
* Ability to develop, maintain, and update technical documentation and process materials.
* Strong communication skills with the ability to keep IT leadership informed of data center and cloud operational issues.
* Ability to work effectively in a remote environment.
* SOC 2 or HITRUST experience preferred.
* Professional certifications such as CCNP, MCSA, MCSE, or AWS Cloud Practitioner are a plus.
**Preferred Skills**
* Proven ability to work both independently and collaboratively in a team environment.
* Flexibility and adaptability in fastchanging technical and business environments.
* Strong interpersonal skills with the ability to build effective working relationships.
* Selfstarter with a goaloriented mindset and the ability to operate with minimal supervision.
* Resourceful, proactive, and highly selfmotivated in a remote work setting.
* Demonstrated problemsolving ability and strong criticalthinking skills.
* Excellent written communication skills, including clear technical writing and copy
* Ability to analyze complex data sets and extract meaningful insights.
* Skilled at communicating technical concepts and analytical findings in a clear, accessible manner.
* Experience managing and prioritizing multiple projects simultaneously.
* Ability to meet tight deadlines while consistently delivering highquality work.
**What It's Like to Work with Us**
Expion Health has been challenging the industry status quo for over 30 years, leading with ground\-breaking innovation in a wide variety of healthcare cost\-management solutions. Embracing the latest opportunities that technology can offer within a rapidly evolving industry, we provide exceptional service, technology, and product innovation to meet greater challenges in healthcare cost management.
We have a distributed workforce so you can work from anywhere in the continental United States. Because of our distributed nature we have cultivated a connected culture that includes town halls, one\-on\-ones with executive leadership, educational forums, and even social clubs
We offer comprehensive benefits package which includes the following:
* Medical, dental, and vision insurance
* GLP\-1 WeightAssist Program
* Short\- and long\-term disability
* Life insurance and AD\&amp;D
* Supplemental life insurance (Employee/Spouse/Child)
* Voluntary Accident, Critical Illness and Hospital Indemnity Insurance
* Healthcare and dependent care Flexible Spending Accounts
* Healthcare Savings Account
* 401(k) Savings and Investment Plan with company match
* Paid time off
* Phone and Internet allowance
*Expion Health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row>
    <row r="25">
      <c r="A25" t="inlineStr">
        <is>
          <t>in-7864b5f3ff03dc9b</t>
        </is>
      </c>
      <c r="B25" t="inlineStr">
        <is>
          <t>Senior Data Engineer - Data Platform</t>
        </is>
      </c>
      <c r="C25" t="inlineStr">
        <is>
          <t>PTMA Financial Solutions</t>
        </is>
      </c>
      <c r="D25" t="inlineStr">
        <is>
          <t>indeed</t>
        </is>
      </c>
      <c r="E25" t="inlineStr"/>
      <c r="F25" t="inlineStr"/>
      <c r="G25" t="inlineStr">
        <is>
          <t>Remote, US</t>
        </is>
      </c>
      <c r="H25" s="2" t="n">
        <v>46031</v>
      </c>
      <c r="I25" t="inlineStr">
        <is>
          <t>PTMA Financial Solutions, provides treasury management, liquidity management, and other financial products and services to the public sector. In addition to more than 12,000 local governments, school districts and other public entities, we also partner with over 1,000 financial institutions to help strengthen communities from coast to coast. Our family of financial services companies offers local government investment pool administration, investment advisory services, term investments, cashflow analysis, bond proceeds management, and public finance services for public entities plus stable deposit funding solutions for financial institutions. Our financial expertise, comprehensive products, and advanced technology help clients achieve more today for a better tomorrow. The firm’s primary operational hubs are in Denver, Colorado, and Naperville, Illinois, with other offices throughout the United States.
**Position Summary**
--------------------
**Work Authorization (Required)**
Candidates must be authorized to work in the United States without employer sponsorship now or in the future. This role is not eligible for visa sponsorship or transfer.
The Senior Data Engineer at PTMA Financial Solutions is a full\-time, long\-term senior role responsible for operating the company’s data platform in a regulated financial services environment. This role focuses on building, maintaining, and scaling a production\-grade Microsoft Fabric\-based data platform that supports analytics, reporting, and operational decision\-making.
This is a permanent W\-2 role intended for a senior engineer seeking long\-term platform ownership, stability, and trusted system access. This is not a contract, consulting, or transitional position.
**Key Responsibilities**
* **Platform Standards, Reliability \&amp; Data Quality:** Establish and maintain data engineering standards that ensure reliability, consistency, and audit readiness. Own data quality controls, validation processes, and reconciliation checks for critical financial datasets.
* **Cross\-Functional Collaboration:** Serve as the primary point of contact for cross\-functional data initiatives, translating business requirements into prioritized technical solutions.
* **Platform Governance \&amp; Prioritization:** Guide platform\-related decisions and govern data project priorities.
* **Microsoft Fabric Ownership:** Own and operate the core Microsoft Fabric data platform for PTMA. This includes designing and organizing the OneLake unified data lake, configuring capacities, and overseeing Fabric components and their integration.
* **Data Pipeline Design:** Lead the design and implementation of enterprise data pipelines and ETL/ELT processes to ingest, transform, and load data from a variety of sources.
* **AI \&amp; Advanced Analytics Support:** Partner with security, legal, and compliance teams to support approved analytics and AI use cases in accordance with internal governance and regulatory requirements.
* **Regulatory Compliance \&amp; Data Governance:** Ensure the data platform supports compliance with financial industry regulations and standards such as SOC 2, including audit trails, access controls, and data retention practices. This role requires eligibility for access to regulated financial systems and participation in U.S.\-based audit processes.
* **Team Management \&amp; Mentorship:** Provide technical guidance and mentorship to a small data team. Support day\-to\-day delivery, knowledge sharing, and technical decision\-making while collaborating with leadership on delivery priorities and technical planning.
**Required Qualifications:**
* **Education \&amp; Experience:** bachelor’s or master’s degree in computer science, Data Engineering, Information Systems, or a related field. 8\+ years of experience in data engineering or data architecture.
* **Technical Proficiency:** Excellent SQL skills for data querying and performance tuning, and strong programming ability in Python for developing data pipelines and automation scripts. Deep understanding of relational databases, data modeling, and building data integration workflows.
* **Cloud \&amp; Azure Expertise:** Hands\-on experience with Microsoft Azure data services and architecture. This should include familiarity with tools such as Azure Data Factory or Synapse Pipelines, Azure Data Lake Storage, Azure Synapse Analytics or SQL pools, and related Azure infrastructure.
* **Governance \&amp; Security:** Solid understanding of data governance and security best practices. Comfortable implementing data access controls, encryption, masking of sensitive data, and user permission models. Knowledge of compliance standards and frameworks like SOC 2 for managing data securely is required. You should be able to design systems and policies that protect sensitive data and ensure privacy in line with industry regulations.
**Preferred Qualifications**
* **Industry Experience:** Prior experience in the financial services sector or another highly regulated industry is highly desirable. Familiarity with the compliance, security, and data privacy obligations in these environments will help you hit the ground running. Experience working with investment or portfolio data, trading systems, or client reporting in a wealth management context would be a plus.
* **Business Intelligence \&amp; Analytics Tools:** Experience with data visualization or BI tools, especially Microsoft Power BI. Understanding of how to create and manage Power BI datasets, reports, and dashboards, and how they connect to the underlying data models.
**The pay range for this role is:**  
160,000 \- 180,000 USD per year(Colorado)</t>
        </is>
      </c>
    </row>
    <row r="26">
      <c r="A26" t="inlineStr">
        <is>
          <t>in-c2eac85aeb63d240</t>
        </is>
      </c>
      <c r="B26" t="inlineStr">
        <is>
          <t>Analytics Engineer</t>
        </is>
      </c>
      <c r="C26" t="inlineStr">
        <is>
          <t>World Services LLC</t>
        </is>
      </c>
      <c r="D26" t="inlineStr">
        <is>
          <t>indeed</t>
        </is>
      </c>
      <c r="E26" t="inlineStr"/>
      <c r="F26" t="inlineStr"/>
      <c r="G26" t="inlineStr">
        <is>
          <t>Washington, DC, US</t>
        </is>
      </c>
      <c r="H26" s="2" t="n">
        <v>46031</v>
      </c>
      <c r="I26" t="inlineStr">
        <is>
          <t>**Company Overview**
World Services LLC is a Service\-Disabled Veteran\-Owned Small Business (SDVOSB) based in the United States. We are committed to delivering innovative and sustainable technologies that empower our clients across various sectors. Our company is ISO 9000 certified and holds a CMMI Level 3 rating in Services and Development, ensuring high\-quality, reliable solutions for both commercial and government clients.  
**Summary**
We are seeking an Analytics Engineer to join our dynamic team in the United States. This role is vital in supporting our mission to provide cutting\-edge data solutions that drive growth and innovation for our clients. As an integral part of our analytics division, you will help translate complex data into actionable insights.  
**Responsibilities**
* Develop and implement advanced analytics models to support client projects.
* Collaborate with cross\-functional teams to gather requirements and deliver data\-driven solutions.
* Optimize data pipelines for efficiency and scalability.
* Analyze large datasets to identify trends and patterns.
* Maintain up\-to\-date knowledge of industry best practices in data science and analytics.
* Ensure the accuracy and integrity of data analysis reports.
* Support the deployment of analytics tools within client environments.
* Contribute to continuous improvement initiatives within the analytics team
* **Qualifications**
* Proven experience with data analysis, modeling, or related fields.
* Strong proficiency in SQL, Python, or R.
* Experience with cloud\-based data platforms is a plus.
* Excellent problem\-solving skills and attention to detail.
* Ability to work collaboratively in a team environment.
* Strong communication skills for presenting complex findings clearly.
* Bachelor’s degree in Data Science, Computer Science, or related discipline.
* Preferred: Experience with quantum engineering or related advanced technologies.
* **Call\-To\-Action**
Join us at World Services LLC and be part of a forward\-thinking team that values innovation and excellence. If you are passionate about transforming data into impactful solutions, we invite you to apply and help shape the future of technology.
Pay: $150,000\.00 \- $160,000\.00 per year
Benefits:
* 401(k)
* Dental insurance
* Health insurance
* Paid time off
Work Location: Hybrid remote in Washington, DC 20032</t>
        </is>
      </c>
    </row>
    <row r="27">
      <c r="A27" t="inlineStr">
        <is>
          <t>in-dd9a8773174b942b</t>
        </is>
      </c>
      <c r="B27" t="inlineStr">
        <is>
          <t>Senior Data Engineer, Data Platform Operations</t>
        </is>
      </c>
      <c r="C27" t="inlineStr">
        <is>
          <t>NBCUniversal</t>
        </is>
      </c>
      <c r="D27" t="inlineStr">
        <is>
          <t>indeed</t>
        </is>
      </c>
      <c r="E27" t="inlineStr"/>
      <c r="F27" t="inlineStr"/>
      <c r="G27" t="inlineStr">
        <is>
          <t>New York, NY, US</t>
        </is>
      </c>
      <c r="H27" s="2" t="n">
        <v>46031</v>
      </c>
      <c r="I27" t="inlineStr">
        <is>
          <t>**Company Description**  
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NBCUniversal Advertising Products \&amp; Solutions (AP\&amp;S) is responsible for the product development and project management of NBCUniversal’s full advertising technology suite. From sales support to campaign execution, delivery, and billing, our division services both internal and external customers in support of NBCUniversal’s $7B\+ annual advertising business. Together, we’re building the platform that powers the future of advertising at NBCU.
We are seeking a Senior Data Engineer, Data Platform Operations to lead the Engineering \&amp; Automation pillar. Reporting to the Sr. Director of Data Platform Operations, you will lead the engineering and operational excellence behind our data collaboration ecosystem. You will be instrumental in designing and implementing scalable data architectures and driving automation through AI agents and self\-service tooling, translating prototypes into robust production solutions.
**Duties and Responsibilities**
The person in this role will:
* Architecture Leadership: Define partner onboarding and clean room architecture patterns across Snowflake, LiveRamp, and Databricks that are secure, scalable, and repeatable.
* Infrastructure Setup \&amp; Library Deployment: Configure and manage partner\-specific clean room environments; deploy and manage Python\-based libraries within the platform ecosystem.
* MLOps Integration: Establish and maintain MLOps practices, including model serving, monitoring, and pipeline orchestration for AI/ML features deployed within the platform ecosystem.
* Security \&amp; RBAC: Own design and enforcement of granular RBAC policies and least\-privilege service accounts.
* Partner Onboarding: Serve as the technical lead for onboarding new partners, implementing privacy\-preserving controls (e.g., aggregation thresholds and anonymization techniques).
* Pipeline \&amp; Data Product Ownership: Design, build, and operate scalable ELT pipelines using Snowpark and/or PySpark and advanced SQL to provision Gold datasets.
* Identity Resolution: Implement and evolve identity resolution logic mapping internal data to 3P identifiers (including LUIDs, RampIDs, TransUnion IDs), ensuring privacy\-safe practices.
* Scalable Architecture: Design and operate scalable data architectures across Snowflake and Databricks supporting batch and near real\-time processing patterns.
* Data Quality by Design: Build robust automated checks (e.g., Great Expectations or custom SQL assertions) and define quality standards to detect schema drift, null rate spikes, and volume anomalies.
* FinOps \&amp; Operational Excellence: Lead performance optimization across platforms (query tuning, caching, incremental processing) and define and implement query tagging and chargeback models for accurate cost attribution.
* Operational Maturity: Establish monitoring, alerting, runbooks, and standard operating procedures to improve platform reliability and reduce incident time\-to\-resolution.
* Testing \&amp; Validation: Validate that output data adheres to privacy and business requirements, and define test strategies for partner\-facing releases.
* Technical Escalation: Serve as the escalation point for diagnosing connection failures, data discrepancies, or latency issues with partner technical teams.
* Agentic Workflows \&amp; Platform Enablement: Design and build internal AI agents (using frameworks like LangChain, Snowflake Cortex) and mentor other engineers through code reviews, design discussions, and operational best practices.
**Qualifications**  
* Education: Bachelor’s degree or higher in Computer Science, Information Systems, Software, Electrical or Electronics Engineering.
* Technical Experience: 5\+ years of Data Engineering experience, with deep proficiency in advanced SQL and Python. 3\+ years of hands\-on experience with cloud data platforms, specifically Snowflake or Databricks.
* Proven experience building and operating scalable ELT pipelines using orchestration tools (e.g., Airflow, dbt).
* Strong track record designing production\-grade systems (observability, reliability, performance tuning, incident response).
* Specialized Skills: Clean Room Knowledge: Exposure to Data Clean Room concepts and Clean Room platforms like LiveRamp, Snowflake or Databricks.
* AI/LLM Experience: Experience building applications with LLMs, RAG, Vector Databases, or frameworks like LangChain/LlamaIndex.
* Leadership: Ability to mentor other engineers through code reviews, design discussions, and operational best practices.
* Certifications Preferred: SnowPro Core Certification OR Databricks Certified Data Engineer Associate.
* Certifications Highly Preferred: SnowPro Advanced: Data Engineer OR Databricks Certified Data Engineer Professional.
**Additional Requirements:**
**Hybrid:** This position has been designated as hybrid, generally contributing from the office a minimum of three days per week. ***Beginning January 2026, this role will contribute a minimum of four days per week from the office.***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$140,000 \- $180,000 (bonus eligible)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you have the right to request a reasonable accommodation if you are unable or limited in your ability to use or access nbcunicareers.com as a result of your disability. You can request reasonable accommodations by emailing AccessibilitySupport@nbcuni.com.
For LA County and City Residents Only: NBCUniversal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t>
        </is>
      </c>
    </row>
    <row r="28">
      <c r="A28" t="inlineStr">
        <is>
          <t>in-3cd1a5fb9162d3c1</t>
        </is>
      </c>
      <c r="B28" t="inlineStr">
        <is>
          <t>Sr. Data Engineer</t>
        </is>
      </c>
      <c r="C28" t="inlineStr">
        <is>
          <t>WellSky</t>
        </is>
      </c>
      <c r="D28" t="inlineStr">
        <is>
          <t>indeed</t>
        </is>
      </c>
      <c r="E28" t="inlineStr"/>
      <c r="F28" t="inlineStr"/>
      <c r="G28" t="inlineStr">
        <is>
          <t>Overland Park, KS, US</t>
        </is>
      </c>
      <c r="H28" s="2" t="n">
        <v>46030</v>
      </c>
      <c r="I28" t="inlineStr">
        <is>
          <t>The Sr Data Engineer is responsible for designing, building, and maintaining scalable data pipelines, infrastructure, and data visualization to support our data\-driven decision\-making processes. The scope of this job includes collaborating with data scientists, analysts, solutions partners, and other stakeholders to increase data quality, accessibility, and security.
Key Responsibilities:* Create, develop, maintain, and leverage data pipelines, data models, reporting, and dashboards to solve business problems or assigned tasks in coordination with multiple teams.
* Develop and maintain data solutions to enable new or existing solutions and BI development for the data warehouse and data visualization solutions.
* Enhance and document workflows for complex data\-related challenges by identifying patterns, trends, and anomalies in the data, and find ways to optimize data processing and storage to promote data quality through automation.
* Develop understanding of different WellSky solutions and become a subject matter expertise in the healthcare domain.
* Identify opportunities in code reviews and contribute to the development of best practices and coding standards.
* Adhere to WellSky core values, ensure PHI data security, and adapt to changing BI technologies.
* Leverage AI tools and platforms as an integral part of daily responsibilities to enhance decision\-making, streamline workflows, and drive data\-informed outcomes.
* Perform other job duties as assigned.
Required Qualifications:* Bachelor’s degree or relevant work experience
* 4\-6 years of relevant work experience
* Strong SQL skills with hands\-on experience developing and supporting data pipelines and data warehouse solutions
* Experience with SQL Server data integration and ETL development (including SSIS or equivalent)
* Experience with cloud\-based data platforms and services, preferably within GCP environments
Preferred Qualifications:* Experience with Snowflake data warehouse development and management
* Experience with DBT for ELT/ETL processes, data modeling, testing, and documentation
* GCP expertise, especially with Cloud SQL, BigQuery, and DataStream
* Experience with data replication tools such as HVR (or similar CDC/replication technologies)
* Experience supporting BI/reporting environments such as Tableau through well\-modeled, performant datasets
* Healthcare industry experience
Job Expectations:* Willing to work additional or irregular hours as needed
* Must work in accordance with applicable security policies and procedures to safeguard company and client information
* Must be able to sit and view a computer screen for extended periods of time
\#LI\-TC1
\#LI\-Onsite
WellSky is where independent thinking and collaboration come together to create an authentic culture. We thrive on innovation, inclusiveness, and cohesive perspectives. At WellSky you can make a difference.
WellSky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WellSky is proud to be a drug\-free workplace.  
Applicants for U.S.\-based positions with WellSky must be legally authorized to work in the United States. Verification of employment eligibility will be required at the time of hire. Certain client\-facing positions may be required to comply with applicable requirements, such as immunizations and occupational health mandates.  
Here are some of the exciting benefits full\-time teammates are eligible to receive at WellSky:* Excellent medical, dental, and vision benefits
* Mental health benefits through TelaDoc
* Prescription drug coverage
* Generous paid time off, plus 13 paid holidays
* Paid parental leave
* 100% vested 401(K) retirement plans
* Educational assistance up to $2500 per year</t>
        </is>
      </c>
    </row>
    <row r="29">
      <c r="A29" t="inlineStr">
        <is>
          <t>in-0493a21c1fb67e6f</t>
        </is>
      </c>
      <c r="B29" t="inlineStr">
        <is>
          <t>Analytics Engineer, People Analytics</t>
        </is>
      </c>
      <c r="C29" t="inlineStr">
        <is>
          <t>EquipmentShare</t>
        </is>
      </c>
      <c r="D29" t="inlineStr">
        <is>
          <t>indeed</t>
        </is>
      </c>
      <c r="E29" t="inlineStr"/>
      <c r="F29" t="inlineStr"/>
      <c r="G29" t="inlineStr">
        <is>
          <t>Remote, US</t>
        </is>
      </c>
      <c r="H29" s="2" t="n">
        <v>46030</v>
      </c>
      <c r="I29" t="inlineStr">
        <is>
          <t>**Build the Future with Us —** **EquipmentShare is Hiring a Analytics Engineer, People Analytics**
==================================================================================================
At EquipmentShare, we're not just filling a role — **we're assembling the best team on the planet to build something that's never been built before**. We're on a mission to transform an industry that's been stuck in the past by empowering contractors and communities through innovative technology, real\-time support, and a team that truly cares.
We're hiring a **Analytics Engineer, People Analytics** for our Corporate HQ in **Columbia, MO** and we're looking for someone who's ready to grow with us, bring energy and drive to their work, and help us build the future of construction. This position is fully remote.
Serve as the point person for building and maintaining scalable data pipelines and data structures to support EquipmentShare's People Analytics initiatives. Partners with HR, Finance, and the People Analytics team to manage data infrastructure and ETL processes efficiently, while contributing to internal tooling, automation, and AI/LLM initiatives.
### **Primary Responsibilities**
* Develop SQL and Python pipelines extracting and transforming data from Workday, LMS, Qualtrics, and email inboxes via Fivetran.
* Maintain Snowflake/dbt data models, views, tasks, and transformations.
* Monitor pipelines, implement automated testing, and proactively resolve data quality or workflow issues.
* Build dashboards and analytics solutions using internal tools (e.g., Looker).
* Codify business rules into models, transformations, and automated testing frameworks.
* Support day\-to\-day reporting and analytics, reducing complexity in accessing and querying cross\-functional data.
**Core Focus Areas**
* Build and maintain scalable data pipelines and data structures to support People Analytics initiatives.
* Partner with Payroll, HR, Finance, IT, and other analytics teams to deliver structured, secure, and reliable data solutions.
* Contribute to internal tooling, automation, and AI/LLM\-driven projects, such as chatbots and workflow automation.
* Establish execution plans from start to finish for data initiatives and ensure successful implementation.
* Take strong ownership of data quality, integrity, and operational reliability across analytics pipelines.
###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and you drive *us* forward.
We're a team of problem\-solvers, go\-getters, and builders. And we're looking for teammates who take pride in doing meaningful work and want to be part of **building something special**.
#### **Perks \&amp; Benefits**
Competitive compensation  
* 
Full medical, dental, and vision coverage for full\-time employees  
* 
Generous PTO \+ paid holidays  
* 
401(k) \+ company match  
* 
Gym membership stipend \+ wellness programs (earn PTO and prizes!)  
* 
Company events, food truck nights, and monthly team dinners  
* 
16 hours of paid volunteer time per year — give back to the community you call home  
* 
* Career advancement, leadership training, and professional development opportunities
###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See challenges as opportunities  
* 
Embrace change and continuous improvement  
* 
* Bring energy, effort, and optimism every day
### **Skills \&amp; Qualifications**
* Desire to thrive in a fast\-paced environment and strong ability to adapt as priorities, timelines, and project scope shift.
* Strong verbal and written communication skills
* Ability to work without constant supervision and is a self starter
* Ability to work quickly and think logically, especially under pressure
* Thrives on learning and growth opportunities; desires new challenges and enjoys a good puzzle
* Sound communication skills and the ability to influence and manage cross\-functional stakeholders.
* Knowledge of payroll and benefit modules preferred.
* Detail oriented, but able to pivot and re\-prioritize efforts as required.
* Ability to use diplomacy and tact when handling problems
* Ability to be flexible and adapt to change in a positive manner
### **Education and Experience**
* Bachelor's degree in data analytics, data science, statistics, information technology, or a related field.
* At least 4 years of SQL experience, creating complex queries and scalable ETL solutions.
* At least 3 years of Python experience, building and automating data pipelines and processes.
* At least 2 years of experience in data modeling, including building production\-ready data structures and transformations.
* Experience with Snowflake, dbt, or similar data warehousing and modeling platforms.
* Experience developing test automation and workflow orchestration using tools such as Airflow, Dagster, GitLab CI/CD, or Jenkins.
* Experience reporting and querying cross\-functional HR, People Analytics, or operational data.
* Experience with Git for version control and collaborative development.
* Familiarity with cloud environments (AWS preferred) and modern data engineering tools, operating in a managed DevOps framework with primary responsibility for the application and data layer.
### **Physical Requirements**
* Prolonged periods sitting at a desk and working on a computer.
* Must be able to lift 10 pounds at times
###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
***Employment is contingent on passing a background check. Additionally, some roles require passing a drug test, depending on the job responsibilities.***</t>
        </is>
      </c>
    </row>
    <row r="30">
      <c r="A30" t="inlineStr">
        <is>
          <t>in-947374e49cec00a8</t>
        </is>
      </c>
      <c r="B30" t="inlineStr">
        <is>
          <t>Analytics Engineer, People Analytics</t>
        </is>
      </c>
      <c r="C30" t="inlineStr">
        <is>
          <t>EquipmentShare</t>
        </is>
      </c>
      <c r="D30" t="inlineStr">
        <is>
          <t>indeed</t>
        </is>
      </c>
      <c r="E30" t="inlineStr"/>
      <c r="F30" t="inlineStr"/>
      <c r="G30" t="inlineStr">
        <is>
          <t>Remote, US</t>
        </is>
      </c>
      <c r="H30" s="2" t="n">
        <v>46030</v>
      </c>
      <c r="I30" t="inlineStr">
        <is>
          <t>**Build the Future with Us —** **EquipmentShare is Hiring a Analytics Engineer, People Analytics**
==================================================================================================
At EquipmentShare, we're not just filling a role — **we're assembling the best team on the planet to build something that's never been built before**. We're on a mission to transform an industry that's been stuck in the past by empowering contractors and communities through innovative technology, real\-time support, and a team that truly cares.
We're hiring a **Analytics Engineer, People Analytics** for our Corporate HQ in **Columbia, MO** and we're looking for someone who's ready to grow with us, bring energy and drive to their work, and help us build the future of construction. This position is fully remote.
Serve as the point person for building and maintaining scalable data pipelines and data structures to support EquipmentShare's People Analytics initiatives. Partners with HR, Finance, and the People Analytics team to manage data infrastructure and ETL processes efficiently, while contributing to internal tooling, automation, and AI/LLM initiatives.
### **Primary Responsibilities**
* Develop SQL and Python pipelines extracting and transforming data from Workday, LMS, Qualtrics, and email inboxes via Fivetran.
* Maintain Snowflake/dbt data models, views, tasks, and transformations.
* Monitor pipelines, implement automated testing, and proactively resolve data quality or workflow issues.
* Build dashboards and analytics solutions using internal tools (e.g., Looker).
* Codify business rules into models, transformations, and automated testing frameworks.
* Support day\-to\-day reporting and analytics, reducing complexity in accessing and querying cross\-functional data.
**Core Focus Areas**
* Build and maintain scalable data pipelines and data structures to support People Analytics initiatives.
* Partner with Payroll, HR, Finance, IT, and other analytics teams to deliver structured, secure, and reliable data solutions.
* Contribute to internal tooling, automation, and AI/LLM\-driven projects, such as chatbots and workflow automation.
* Establish execution plans from start to finish for data initiatives and ensure successful implementation.
* Take strong ownership of data quality, integrity, and operational reliability across analytics pipelines.
###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and you drive *us* forward.
We're a team of problem\-solvers, go\-getters, and builders. And we're looking for teammates who take pride in doing meaningful work and want to be part of **building something special**.
#### **Perks \&amp; Benefits**
Competitive compensation  
* 
Full medical, dental, and vision coverage for full\-time employees  
* 
Generous PTO \+ paid holidays  
* 
401(k) \+ company match  
* 
Gym membership stipend \+ wellness programs (earn PTO and prizes!)  
* 
Company events, food truck nights, and monthly team dinners  
* 
16 hours of paid volunteer time per year — give back to the community you call home  
* 
* Career advancement, leadership training, and professional development opportunities
###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See challenges as opportunities  
* 
Embrace change and continuous improvement  
* 
* Bring energy, effort, and optimism every day
### **Skills \&amp; Qualifications**
* Desire to thrive in a fast\-paced environment and strong ability to adapt as priorities, timelines, and project scope shift.
* Strong verbal and written communication skills
* Ability to work without constant supervision and is a self starter
* Ability to work quickly and think logically, especially under pressure
* Thrives on learning and growth opportunities; desires new challenges and enjoys a good puzzle
* Sound communication skills and the ability to influence and manage cross\-functional stakeholders.
* Knowledge of payroll and benefit modules preferred.
* Detail oriented, but able to pivot and re\-prioritize efforts as required.
* Ability to use diplomacy and tact when handling problems
* Ability to be flexible and adapt to change in a positive manner
### **Education and Experience**
* Bachelor's degree in data analytics, data science, statistics, information technology, or a related field.
* At least 4 years of SQL experience, creating complex queries and scalable ETL solutions.
* At least 3 years of Python experience, building and automating data pipelines and processes.
* At least 2 years of experience in data modeling, including building production\-ready data structures and transformations.
* Experience with Snowflake, dbt, or similar data warehousing and modeling platforms.
* Experience developing test automation and workflow orchestration using tools such as Airflow, Dagster, GitLab CI/CD, or Jenkins.
* Experience reporting and querying cross\-functional HR, People Analytics, or operational data.
* Experience with Git for version control and collaborative development.
* Familiarity with cloud environments (AWS preferred) and modern data engineering tools, operating in a managed DevOps framework with primary responsibility for the application and data layer.
### **Physical Requirements**
* Prolonged periods sitting at a desk and working on a computer.
* Must be able to lift 10 pounds at times
###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
***Employment is contingent on passing a background check. Additionally, some roles require passing a drug test, depending on the job responsibilities.***</t>
        </is>
      </c>
    </row>
    <row r="31">
      <c r="A31" t="inlineStr">
        <is>
          <t>in-2eca35a8f96ccca4</t>
        </is>
      </c>
      <c r="B31" t="inlineStr">
        <is>
          <t>Data Engineer, Financial Systems</t>
        </is>
      </c>
      <c r="C31" t="inlineStr">
        <is>
          <t>Replit</t>
        </is>
      </c>
      <c r="D31" t="inlineStr">
        <is>
          <t>indeed</t>
        </is>
      </c>
      <c r="E31" t="inlineStr"/>
      <c r="F31" t="inlineStr"/>
      <c r="G31" t="inlineStr">
        <is>
          <t>Foster City, CA, US</t>
        </is>
      </c>
      <c r="H31" s="2" t="n">
        <v>46030</v>
      </c>
      <c r="I31" t="inlineStr">
        <is>
          <t>Replit is the agentic software creation platform that enables anyone to build applications using natural language. With millions of users worldwide and over 500,000 business users, Replit is democratizing software development by removing traditional barriers to application creation.
**About the Role**
------------------
Replit is redefining how software is built, and who gets to build it. Our mission is to achieve Autonomy for All: making programming accessible, collaborative, and powered by AI. To realize this vision, we are building a brand that is as iconic, inventive, and human as the product itself.  
We need a Financial Systems Data Engineer to build the data infrastructure that ensures we can accurately recognize revenue, reconcile payments, pass audits, and make sound financial decisions as we scale. This Data team role works cross\-functionally with Finance, Accounting, and Sales to build the systems they depend on. You'll own the data models and pipelines that power financial reporting, billing reconciliation, and revenue operations. This is a building role, we need someone who can own the financial data domain end\-to\-end.
**You will:**
* Build unified data models for payments and subscriptions across all revenue streams (Stripe, App Store, Play Store) to enable accurate MRR analysis, revenue recognition, and financial reporting.
* Design automated reconciliation pipelines and audit trails that surface payment discrepancies and data quality issues before they impact month\-end close or financial audits.
* Create foundational billing infrastructure for AI agent usage and consumption products, managing the end\-to\-end flow from metering to revenue recognition while partnering with Engineering, Finance, and Sales Operations.
**Required skills and experience**
* 7\+ years in data engineering with significant exposure to financial and payments data
* Deep experience with Stripe or similar billing data models—you understand the relationship between subscriptions, invoices, payment intents, charges, and balance transactions
* Strong understanding of SaaS financial metrics (ARR, MRR, churn, expansion) and how they're calculated from raw payment data
* Experience building reconciliation pipelines and automated discrepancy detection
* Expert\-level SQL and dbt proficiency—you'll own financial data models end\-to\-end
* Track record working directly with Accounting and Finance teams on data accuracy requirements
* Experience operating in ambiguous environments where you define the requirements, not just execute them
**Preferred Qualifications:**
* Understanding of revenue recognition principles (ASC 606 basics)
* Experience with mobile app store financial reporting (App Store Connect, Google Play Console)
* Familiarity with usage\-based and consumption billing models
* Experience preparing data infrastructure for audits (SOC 2, financial audits)
* Exposure to billing/subscription, tax and payments management systems (Orb, Chargebee, Recurly, or similar)
**Bonus Points:**
* You understand that "close enough" isn't acceptable for financial data—pennies matter
* You've debugged payment discrepancies and know the satisfaction of finding the root cause
* You've built data infrastructure from scratch, not just maintained existing systems
* You're comfortable making decisions with incomplete information and adjusting as you learn
* You treat data quality issues as engineering problems to solve, not business problems to escalate
* You've identified and solved problems no one asked you to solve
*This is a full\-time role that can be held from our Foster City, CA office. The role has an in\-office requirement of Monday, Wednesday, and Friday.*
**Full\-Time Employee Benefits Include:**
Competitive Salary \&amp; Equity
401(k) Program
Health, Dental, Vision and Life Insurance
Short Term and Long Term Disability
Paid Parental, Medical, Caregiver Leave
Commuter Benefits
Monthly Wellness Stipend
Autonoumous Work Environement
In Office Set\-Up Reimbursement
Flexible Time Off (FTO) \+ Holidays
Quarterly Team Gatherings
In Office Amenities
**Want to learn more about what we are up to?**
* Meet the Replit Agent
* Replit: Make an app for that
* Replit Blog
* Amjad TED Talk
**Interviewing \+ Culture at Replit**
* Operating Principles
* Reasons not to work at 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
Compensation Range: $175K \- $335K</t>
        </is>
      </c>
    </row>
    <row r="32">
      <c r="A32" t="inlineStr">
        <is>
          <t>in-a8842ebf0864715a</t>
        </is>
      </c>
      <c r="B32" t="inlineStr">
        <is>
          <t>Lead Azure Data Engineer</t>
        </is>
      </c>
      <c r="C32" t="inlineStr">
        <is>
          <t>MetLife</t>
        </is>
      </c>
      <c r="D32" t="inlineStr">
        <is>
          <t>indeed</t>
        </is>
      </c>
      <c r="E32" t="inlineStr"/>
      <c r="F32" t="inlineStr"/>
      <c r="G32" t="inlineStr">
        <is>
          <t>Cary, NC, US</t>
        </is>
      </c>
      <c r="H32" s="2" t="n">
        <v>46030</v>
      </c>
      <c r="I32" t="inlineStr">
        <is>
          <t>Location(s)
* Posting Location: Cary, North Carolina
* Posting Location: Tampa, Florida
* Posting Location: Bridgewater, New Jersey
* Posting Location: New York, New York
* Posting Location: Wilmington, Delaware
City/Cities
Bridgewater, Cary, New York, Tampa, Wilmington
Country
United States
Working Schedule
Full\-Time
Work Arrangement
Hybrid
Travel Required
10%
Relocation Assistance Available
No
Posted Date
09\-Jan\-2026
Job ID
14516
### **Description and Requirements**
**Role Value Proposition:**
The MetLife Corporate Functions Data Office is part of the Data and Analytics Organization (D\&amp;A) within GTO. Our mission is to implement scalable data solutions for our stakeholders to generate actionable insights. We partner with Technology, and our Business and functional partners, to build and deploy the next generation data solutions for MetLife as we head into our New Frontier strategy!  
The Lead Data Engineer plays a critical role in big data development within the data analytics engineering organization of MetLife Data \&amp; Analytics. This position has the responsibility for architecture \&amp; design of data and analytics solutions, building ETL, data warehousing, and reusable components using cutting\-edge big data and cloud technologies. The role is based in Cary, NC, Tampa, FL, Wilmington, DE, Bridgewater, NJ, or NYC, NY, and supports MetLife’s commitment to data\-driven decision\-making and operational excellence. **Key Responsibilities:*** Design and execute a large\-scale data migration initiative with a focus on defining migration architecture, ensuring data quality, and data reconciliation from various sources for consumption and reporting for analytics.
* Ingest huge volumes of data from various platforms for Analytics needs and write high\-performance, scalable, reliable, and maintainable pipelines in Azure data bricks, Azure Data Factory, and related services.
* Developing reusable frameworks to manage complex data transformations, Validations, and data reconciliations.
* Develop quality code with thought\-through performance optimizations in place right at the development stage.
* Appetite to learn new technologies and be ready to work on new cutting\-edge cloud technologies.
* Work with teams spread across the globe in driving the delivery of projects and recommend development and performance improvements.
* Extensive experience with various database types and knowledge to leverage the right one for the need.
* Strong understanding of data tools and ability to leverage them to understand the data and generate insights
* Hands\-on experience in building/designing at\-scale Data Lake, Data warehouses, data stores for analytics consumption on Cloud platforms (real\-time as well as batch use cases).
* Utilize Cloud technologies (preferably Azure Databricks) to enable PaaS\-centric enterprise solutions.
* Implement solutions that support dynamic scaling, including throttling and bursting for high\-volume data workloads.
* Establish and evangelize modern software development practices, including CI/CD, automated testing, and code quality standards
* Develop and support an API catalog for data services, ensuring standardization and security.
* Optimize reusable frameworks, Spark jobs for performance and cost efficiency in large\-scale environments.
* Ability to interact with business analysts and functional analysts in getting the requirements and implementing ETL solutions.
 **Essential Business Experience and Technical Skills:****Required:*** Bachelor’s/ master’s degree in information technology/computer science or a relevant domain.
* Microsoft Azure Certifications and/or Databricks certifications.
* 10\+ years of solutions development and delivery experience with 6\+ years of recent experience in data engineering.
* Strong analytic skills related to working with unstructured datasets.
* Data architecture (traditional – examples include SQL Server \+ modern – examples include Azure) and knowledge of data architecture patterns.
* Strong experience in Azure data bricks, including Spark, Delta Lake, data stores for analytics consumption (real\-time as well as batch use cases)
* Ability to interact with business analysts and functional analysts in getting the requirements and implementing the ELT solutions.
* Proficiency and extensive experience with Spark/Scala/Python and performance tuning
* Experience with APIs and web services for data exchange
* Hands\-on expertise in building \&amp; implementing data ingestion, curation, and data integration processes developed using Cloud data tools such as Azure Databricks, SQL, Azure Data Factory, Spark (Scala/Python), Delta Lake, etc.
* Performance tuning on Azure data bricks, dedicated SQL Pool and server SQL Pools, APIs loading and consumption optimizations.
* Very good problem solver and excellent communication skills \- both written and verbal
 **Preferred:*** Experience using data reconciliation frameworks and data migration automation tools.
* Good scripting experience primarily on shell/bash/ PowerShell would be desirable.
* Experience in large\-scale ERP transformation programs.
* Code versioning experience using Azure DevOps. Working knowledge of Azure DevOps pipelines.
* Prior experience leveraging AI and ML capabilities to automate and optimize complex workflows with intelligent use of low or no\-code.
 **At MetLife, we’re leading the global transformation of an industry we’ve long defined. United in purpose, diverse in perspective, we’re dedicated to making a difference in the lives of our customers.**
Location Expectation: This is a hybrid role **requiring a minimum of 3 days per week** in office.
The expected salary range for this position is $120,000 to $158,400\. This role may also be eligible for annual short\-term incentive compensation. All incentives and benefits are subject to the applicable plan terms.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"World's Most Admired Companies", Fortune World’s 25 Best Workplaces™, as well as the Fortune 100 Best Companies to Work For®, MetLife,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our core values \- Win Together, Do the Right Thing, Deliver Impact Over Activity, and Think Ahead \- we’re inspired to transform the next century in financial services. At MetLife, it’s \#AllTogetherPossible. Join us!
*MetLife is an Equal Opportunity Employer. All employment decisions are made without regards to race, color, national origin, religion, creed, sex (including pregnancy, childbirth, or related medical conditions), sexual orientation, gender identity or expression, age, disability, marital or domestic/civil partnership status, genetic information, citizenship status (although applicants and employees must be legally authorized to work in the United States), uniformed service member or veteran status, or any other characteristic protected by applicable federal, state, or local law (“protected characteristics”).* *If you need an accommodation due to a disability, please email us at accommodations@metlife.com. This information will be held in confidence and used only to determine an appropriate accommodation for the application process.*  
*MetLife maintains a drug\-free workplace.*
$120,000 to $158,400</t>
        </is>
      </c>
    </row>
    <row r="33">
      <c r="A33" t="inlineStr">
        <is>
          <t>in-a280853a7e0dad52</t>
        </is>
      </c>
      <c r="B33" t="inlineStr">
        <is>
          <t>Python, NodeJS, Java Senior Data Engineer I</t>
        </is>
      </c>
      <c r="C33" t="inlineStr">
        <is>
          <t>LexisNexis Risk Solutions</t>
        </is>
      </c>
      <c r="D33" t="inlineStr">
        <is>
          <t>indeed</t>
        </is>
      </c>
      <c r="E33" t="inlineStr"/>
      <c r="F33" t="inlineStr"/>
      <c r="G33" t="inlineStr">
        <is>
          <t>Philadelphia, PA, US</t>
        </is>
      </c>
      <c r="H33" s="2" t="n">
        <v>46030</v>
      </c>
      <c r="I33" t="inlineStr">
        <is>
          <t>Are you looking for a Senior Data Engineer (Python, NodeJS, Java) role within our Mission Driven organization?
Have you developed production\-based products in an Agile environment using Python/APIs development skills?
About the role: This position performs data engineering \- typically across multiple components; is developing the skills of mentoring junior members of the team and works with others to talk to users/customers and translates their requests into solutions. We are not looking to hire a Data Scientist.
About the team: This diverse team is actively involved in developing advanced information and decision support tools for healthcare professionals. One notable initiative is the launch of ClinicalKey AI, a generative AI\-driven clinical decision support tool developed in partnership with OpenEvidence. This tool offers a conversational search interface, enabling physicians to quickly access accurate, evidence\-based medical information, thereby enhancing clinical decision\-making at the point of care.
Qualifications* Experience with backend programming languages including Python, NodeJS, Java
* Experience designing, developing and maintaining complex ETL pipelines
+ Knowledge of Database technologies (SQL, NOSQL)
* Familiarity with cloud technologies (AWS, Azure, GCP)
* Experience with (shared) source control (Git, Github, Gitlab, SVN)
* Familiarity with unit/integration testing
* Experience documenting and sharing solutions
* Proficiency in giving great reviews of their peers' work. This includes being respectful, thorough, thoughtful, flexible, and not pedantic.
Responsibilities* Handling medium\- to larger\-sized tasks with minimal assistance needed.
* Designing components and modules pairing while mentoring more junior engineers in the activity.
* Troubleshooting and debugging issues, provide solutions, and collaborate with quality engineering and product teams.
* Communicating openly and clearly, whether discussing ideas, asking questions, or providing feedback. Be mindful of clarity and approach.
* Showing empathy towards colleagues, be open to feedback, and approach situations with humility, acknowledging that everyone can learn from others.
Elsevier employs 9,200 people worldwide, including over 2,500 technologists. We have supported the work of our research and health partners for more than 140 years. Growing from our roots in publishing, we offer knowledge and valuable analytics that help our users make breakthroughs and drive societal progress.
Digital solutions such as ScienceDirect, Scopus, SciVal, ClinicalKey and Sherpath support strategic research management, R\&amp;D performance, clinical decision support, medical education, and nursing education. Researchers and healthcare professionals rely on over 2,800 journals, including The Lancet and Cell; 46,000\+ eBook titles; and iconic reference works, such as Gray's Anatomy. With the Elsevier Foundation and our external Inclusion \&amp; Diversity Advisory Board, we work in partnership with diverse stakeholders to advance inclusion and diversity in science, research and healthcare in developing countries and around the world.
Elsevier is part of RELX a global provider of information\-based analytics and decision tools for professional and business customers  
U.S. National Base Pay Range: $86,600 \- $144,400\.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34">
      <c r="A34" t="inlineStr">
        <is>
          <t>in-e033404b3d4f594a</t>
        </is>
      </c>
      <c r="B34" t="inlineStr">
        <is>
          <t>Consulting Data Engineer</t>
        </is>
      </c>
      <c r="C34" t="inlineStr">
        <is>
          <t>Lifepoint Health</t>
        </is>
      </c>
      <c r="D34" t="inlineStr">
        <is>
          <t>indeed</t>
        </is>
      </c>
      <c r="E34" t="inlineStr"/>
      <c r="F34" t="inlineStr"/>
      <c r="G34" t="inlineStr">
        <is>
          <t>Brentwood, TN, US</t>
        </is>
      </c>
      <c r="H34" s="2" t="n">
        <v>46030</v>
      </c>
      <c r="I34" t="inlineStr">
        <is>
          <t>**POSITION SUMMARY:**We are seeking a highly skilled Azure Fabric Data Engineer to design, build, and optimize data pipelines and analytical solutions within the Microsoft Fabric ecosystem. This role is pivotal in enabling scalable, secure, and AI\-ready data infrastructure that supports business intelligence, machine learning, and operational reporting.
 **ESSENTIAL FUNCTIONS:**
* **Design and implement data pipelines** using Azure Data Factory, Synapse Pipelines, and Fabric Notebooks
* **Develop and manage Fabric Warehouses and Lakehouses**, ensuring schema compatibility, performance, and compliance
* **Integrate data across cloud and on\-prem sources**, including SQL Server, Azure Blob, REST APIs, and third\-party systems
* **Configure linked services and authentication** using service principals, managed identities, and secure credential stores (e.g., Azure Key Vault)
* **Enable AI\-readiness** by preparing semantic models, marking artifacts as “Ready for AI,” and supporting Copilot integration
* **Optimize data storage and compute** using Fabric capacities, partitioning strategies, and workload management
* **Implement governance and security controls**, including Purview integration, sensitivity labels, and RBAC
* **Collaborate with data scientists, BI developers, and compliance teams** to deliver reproducible, scalable solutions
* **Monitor and troubleshoot pipelines**, warehouse performance, and workspace configurations using Fabric Admin Portal and telemetry tools
**KNOWLEDGE, SKILLS \&amp; ABILITIES:**
**Education:**
* Bachelor’s or Master’s degree in Computer Science, Data Engineering, or related field or experience deemed relevant
**Experience:**
* 3\+ years of experience in cloud data engineering, preferably in Azure
* Healthcare experience not required but a solid nice to have
**Certifications:**
* Microsoft certifications (e.g., DP\-203, Fabric Data Analyst Associate) are a plus
**Skills and Abilities:**
* Strong proficiency in **T\-SQL, Python, and Spark**
* Hands\-on experience with **Microsoft Fabric**, **Azure Synapse**, and **Azure Data Factory**
* Deep understanding of **data modeling**, **ETL/ELT**, and **semantic layer design**
* Familiarity with **Copilot**, **AI model integration**, and **vector search**
* Experience with **Azure Key Vault**, **Entra ID**, and **service principal authentication**
* Knowledge of **data governance frameworks** (e.g., Purview, GDPR, HIPAA)
* Ability to work in **cross\-functional teams** and communicate technical concepts clearly
Bonus Skills
* Experience with **Microsoft Fabric REST APIs**
* Familiarity with **LangChain**, **Semantic Kernel**, or **ML.NET**
* Knowledge of **CMS compliance standards** and healthcare data workflows
 **PHYSICAL AND MENTAL DEMANDS:**
The physical demands described here are representative of those that must be met by an employee to successfully perform the essential functions of this job. Reasonable accommodation may be made to enable individuals with disabilities to perform the essential job responsibilities.
While performing the duties of this job, the employee is occasionally required to stand; walk; sit for extended periods of time; use hands to finger, handle, feel objects, tools or controls; reach with hands and arms; climb stairs; balance; stoop, kneel, bend, crouch or crawl; talk or hear; taste or smell. The employee must occasionally lift and/or move up to 20 pounds. Repetitive motion of upper body is required for extended use of computers. Required specific vision abilities include close vision, distance vision, color vision, peripheral vision, depth perception, and the ability to adjust focus.
 **WORK ENVIRONMENT AND TRAVEL REQUIREMENTS:**
The work environmental characteristics described here are representative of those that an employee may encounter while performing the essential functions of this job. Reasonable accommodation may be made to enable individuals with disabilities to perform the essential job responsibilities.
* **Remote based**
For those working on\-site, they will have a well\-lit, ventilated and climate\-controlled office environment with routine office equipment; some equipment has moving mechanical parts. Noise level in the work environment is typical for an office and/or hospital environment
In hospital environment, the individual may be exposed to hazards and unusual elements, which may include but are not limited to bloodborne pathogens and / or contagious illnesses, toxic chemicals, and biohazardous materials which may require extensive safety precautions and the use of protective equipment.
This position can expect overnight travel by land and/or air according to the requirements below:
* **Less than 25%**
Normal business hours are: 8 a.m. – 5 p.m., Monday\-Friday. However, schedules may vary by business necessity. Remote workers are expected to be available during normal business hours, unless otherwise approved by the department leader(s).
We employ and provide care to people from all walks of life. We are committed to promoting healing, providing hope, preserving dignity and producing value with an inclusive workforce in which diversity is leveraged, respected, and reflective of the patients, family members, customers and team members we serve.Lifepoint Health is a leader in community\-based care and driven by a mission of Making Communities Healthier. Our diversified healthcare delivery network spans 29 states and includes 63 community hospital campuses, 32 rehabilitation and behavioral health hospitals, and more than 170 additional sites of care across the healthcare continuum, such as acute rehabilitation units, outpatient centers and post\-acute care facilities. We believe that success is achieved through talented people. We want to create places where employees want to work, with opportunities to pursue meaningful and satisfying careers that truly make a difference in communities across the country.</t>
        </is>
      </c>
    </row>
    <row r="35">
      <c r="A35" t="inlineStr">
        <is>
          <t>in-3b94fe69545c6ef5</t>
        </is>
      </c>
      <c r="B35" t="inlineStr">
        <is>
          <t>DATA ENGINEER (HYBRID-CHARLOTTE, NC)</t>
        </is>
      </c>
      <c r="C35" t="inlineStr">
        <is>
          <t>Morrison Healthcare</t>
        </is>
      </c>
      <c r="D35" t="inlineStr">
        <is>
          <t>indeed</t>
        </is>
      </c>
      <c r="E35" t="inlineStr"/>
      <c r="F35" t="inlineStr"/>
      <c r="G35" t="inlineStr">
        <is>
          <t>Charlotte, NC, US</t>
        </is>
      </c>
      <c r="H35" s="2" t="n">
        <v>46030</v>
      </c>
      <c r="I35" t="inlineStr">
        <is>
          <t>We are Compass Digital—the digital and technology arm of Compass Group North America. We build and scale digital products and technologies to exceed the expectations of our guests and clients. Backed by research, we create remarkable user experiences with increased choice and convenience. We offer end\-to\-end solutions, simultaneously boosting sales and guest satisfaction.
Compass Digital was developed from within Compass Group, focusing on driving transformation and innovation in the hospitality spaces across Business \&amp; Industry, Education, and Healthcare. We power digital in the hospitality experience, ensuring that each touchpoint is optimized for guest satisfaction while leveraging data to achieve additional outcomes.
We are fully integrated into Compass Group, proudly serving its’ various clients through scalable, cutting\-edge technologies and solutions.
**Job Summary:**
----------------
We're looking for a hands\-on, collaborative Data Engineer to join our Data Services team. In this role you'll have the opportunity to build and troubleshoot ingestion pipelines for multiple sources of data. You will also work closely with our business intelligence and reporting solutions team to help develop valuable data models and visualizations for the business.
We’re currently leveraging AWS cloud and using a range of AWS services like S3, DynamoDB, Athena, Redshift, SQS, Lambda and Glue. However, we are migrating to Snowflake as our primary data warehouse platform for new projects and developing a new data pipeline architecture
**Responsibilities:**
---------------------
* Work with data analysts to build pipelines for required projects and requests
* Define, build, test, and implement scalable data pipelines using python and SQL
* Monitor pipeline performance and efficiency
* Troubleshoot data related issues including missing data, poor data quality, etc.
* Collaborate with analytics and reporting teams to develop data models that feed business intelligence tools
* Maintain code via CI/CD process as defined in our Azure DevOps platform
**Qualifications:**
-------------------
* 3\-5 year experience in a similar role
* Good Communication and open to learning new skills
* Bachelor’s degree or equivalent in Computer Science, Computer Engineering, Information Systems or similar
* Programming skills with Python, Spark (bonus)
* Experience with Airflow or similar system.
* Experience with public cloud provider (AWS prefer)
* Knowledge of SQL, relational database concepts and SQL scripting
* Experience with Docker, Kubernetes, Spark, Snowflake, CI/CD a bonus
 **Apply to Compass Group today!**
**Click here to Learn More about the Compass Story**
 **Compass Group is an equal opportunity employer. At Compass, we are committed to treating all Applicants and Associates fairly based on their abilities, achievements, and experience without regard to race, national origin, sex, age, disability, veteran status, sexual orientation, gender identity, or any other classification protected by law.**
**Qualified candidates must be able to perform the essential functions of this position satisfactorily with or without a reasonable accommodation. Disclaimer: this job post is not necessarily an exhaustive list of all essential responsibilities, skills, tasks, or requirements associated with this position. While this is intended to be an accurate reflection of the position posted, the Company reserves the right to modify or change the essential functions of the job based on business necessity. We will consider for employment all qualified applicants, including those with a criminal history (including relevant driving history), in a manner consistent with all applicable federal, state, and local laws, including the City of Los Angeles’ Fair Chance Initiative for Hiring Ordinance, the San Francisco Fair Chance Ordinance, and the New York Fair Chance Act.**
Compass Digital maintains a drug\-free workplace.
Applications are accepted on an ongoing basis.
 **Associates at Corporate are offered many fantastic benefits.**
* Medical
* Dental
* Vision
* Life Insurance/ AD
* Disability Insurance
* Retirement Plan
* Paid Time Off
* Holiday Time Off (varies by site/state)
* Associate Shopping Program
* Health and Wellness Programs
* Discount Marketplace
* Identity Theft Protection
* Pet Insurance
* Commuter Benefits
* Employee Assistance Program
* Flexible Spending Accounts (FSAs)
* Paid Parental Leave
* Personal Leave
Associates may also be eligible for paid and/or unpaid time off benefits in accordance with applicable federal, state, and local laws. For positions in Washington State, Maryland, or to be performed Remotely, click here or copy/paste the link below for paid time off benefits information.
https://www.compass\-usa.com/wp\-content/uploads/2023/08/2023\_WageTransparency\_CorpAndFoodbuy.pdf
**Req ID:** 1496066
Compass Digital
Bankston B Williams</t>
        </is>
      </c>
    </row>
    <row r="36">
      <c r="A36" t="inlineStr">
        <is>
          <t>in-b439ce98185ef9aa</t>
        </is>
      </c>
      <c r="B36" t="inlineStr">
        <is>
          <t>Senior Data Engineer</t>
        </is>
      </c>
      <c r="C36" t="inlineStr">
        <is>
          <t>mLabs</t>
        </is>
      </c>
      <c r="D36" t="inlineStr">
        <is>
          <t>indeed</t>
        </is>
      </c>
      <c r="E36" t="inlineStr"/>
      <c r="F36" t="inlineStr"/>
      <c r="G36" t="inlineStr">
        <is>
          <t>Remote, US</t>
        </is>
      </c>
      <c r="H36" s="2" t="n">
        <v>46030</v>
      </c>
      <c r="I36" t="inlineStr">
        <is>
          <t>Build the data backbone of a global financial system.
This is a rare chance to be the first dedicated Data Engineer at a fast\-growing fintech operating at the intersection of payments, cards, and blockchain infrastructure.
The platform is already live, already scaling, and already moving real money across borders. What’s missing is *you*: the person who designs and owns the data systems that everything else depends on.
**The Opportunity**
You’ll be responsible for architecting and building the entire data platform from the ground up.
As the business scales to millions of users across card programs, payment rails, and blockchain networks, your pipelines will power:
* Analytics and decision\-making
* Customer and partner reporting
* Operational tooling
* Compliance and risk workflows
* On\-chain and off\-chain integrations
This is not a maintenance role. This is a 0 1, platform\-defining role with real ownership and real impact.
You’ll work directly with the CTO and partner closely with Product, Engineering, Operations, Compliance, and Analytics.
**Requirements**
**What You'll Do**
**Design, build, and maintain core data pipelines**, including ingestion from payments processors, card issuers, blockchain nodes, internal services, and third\-party APIs.
**Own orchestration and workflow management**, implementing Airflow, Dagster, or similar tools to ensure reliable, observable, and scalable data processing.
**Architect and manage data warehouse** (Snowflake, BigQuery, or Redshift), driving performance, cost optimization, partitioning, and access patterns.
**Develop high\-quality ELT/ETL transformations** to structure raw logs, transactions, ledgers, and on\-chain events into clean, production\-grade datasets.
**Implement data quality frameworks and observability** (tests, data contracts, freshness checks, lineage) to ensure every dataset is trustworthy.
**Partner closely with backend engineers** to instrument new events, define data contracts, and improve telemetry across the infrastructure.
**Support Analytics and cross\-functional teams** by delivering well\-modeled, well\-documented tables that power dashboards, ROI analyses, customer reporting, and key business metrics.
**Own data reliability at scale**, leading root\-cause investigations, reducing pipeline failures, and building monitoring and alerting systems.
**Evaluate and integrate new tools** across ingestion, enrichment, observability, and developer experience—raising the bar on performance and maintainability.
**Help set the long\-term technical direction** for Rain’s data platform as we scale across new products, regions, and chains.
**What We’re Looking For**
* **Data infrastructure builder** – You thrive in early\-stage environments, owning pipelines and platforms end\-to\-end and choosing simplicity without sacrificing reliability.
* **Expert data engineer** – Strong Python and SQL fundamentals, with real experience building production\-grade ETL/ELT.
* **Workflow \&amp; orchestration fluent** – Hands\-on experience with Airflow, Dagster, Prefect, or similar systems.
* **Warehouse \&amp; modeling savvy** – Comfortable designing schemas, optimizing performance, and operating modern cloud warehouses (Snowflake, BigQuery, Redshift).
* **Quality\-obsessed** – You care deeply about data integrity, testing, lineage, and observability.  
**Systems thinker** – You see data as a platform; you design for reliability, scale, and future users.
* **Collaborator** – You work well with backend engineers, analytics engineers, and cross\-functional stakeholders to define requirements and deliver outcomes.
* **Experienced** – 5–7\+ years in data engineering roles, ideally within fintech, payments, B2B SaaS, or infrastructure\-heavy startups.
**Nice to Have**
* Experience ingesting and processing payments data, transaction logs, or ledger systems.
* Exposure to smart contracts, blockchain data structures, or on\-chain event ingestion.
* Experience building data tooling for compliance, risk, or regulated environments.
* Familiarity with dbt and/or semantic modeling to support analytics layers.
Prior experience standing up data platforms from 0* 1 at early\-stage companies.
**Benefits**
**Compensation \&amp; Benefits**
* $140K–$240K base salary \+ meaningful equity
* Unlimited PTO (with a real minimum encouraged)
* Flexible remote\-first working
* Home office stipend
* Comprehensive health, dental \&amp; vision (US)
* 401(k) with company match
* Wellness budget (gym, fitness, recovery, etc.)
* Regular team offsites (US \+ international)
﻿
**Interview Process**
* Intro call (culture \&amp; alignment)
* Technical interview (past projects \&amp; impact)
* 2\-hour technical session (architecture \+ hands\-on)
* Final conversation with the founder/CEO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37">
      <c r="A37" t="inlineStr">
        <is>
          <t>in-da4628aa8d7b73e5</t>
        </is>
      </c>
      <c r="B37" t="inlineStr">
        <is>
          <t>Senior Data Engineer</t>
        </is>
      </c>
      <c r="C37" t="inlineStr">
        <is>
          <t>mLabs</t>
        </is>
      </c>
      <c r="D37" t="inlineStr">
        <is>
          <t>indeed</t>
        </is>
      </c>
      <c r="E37" t="inlineStr"/>
      <c r="F37" t="inlineStr"/>
      <c r="G37" t="inlineStr">
        <is>
          <t>New York, NY, US</t>
        </is>
      </c>
      <c r="H37" s="2" t="n">
        <v>46030</v>
      </c>
      <c r="I37" t="inlineStr">
        <is>
          <t>Build the data backbone of a global financial system.
This is a rare chance to be the first dedicated Data Engineer at a fast\-growing fintech operating at the intersection of payments, cards, and blockchain infrastructure.
The platform is already live, already scaling, and already moving real money across borders. What’s missing is *you*: the person who designs and owns the data systems that everything else depends on.
**The Opportunity**
You’ll be responsible for architecting and building the entire data platform from the ground up.
As the business scales to millions of users across card programs, payment rails, and blockchain networks, your pipelines will power:
* Analytics and decision\-making
* Customer and partner reporting
* Operational tooling
* Compliance and risk workflows
* On\-chain and off\-chain integrations
This is not a maintenance role. This is a 0 1, platform\-defining role with real ownership and real impact.
You’ll work directly with the CTO and partner closely with Product, Engineering, Operations, Compliance, and Analytics.
**Requirements**
**What You'll Do**
**Design, build, and maintain core data pipelines**, including ingestion from payments processors, card issuers, blockchain nodes, internal services, and third\-party APIs.
**Own orchestration and workflow management**, implementing Airflow, Dagster, or similar tools to ensure reliable, observable, and scalable data processing.
**Architect and manage data warehouse** (Snowflake, BigQuery, or Redshift), driving performance, cost optimization, partitioning, and access patterns.
**Develop high\-quality ELT/ETL transformations** to structure raw logs, transactions, ledgers, and on\-chain events into clean, production\-grade datasets.
**Implement data quality frameworks and observability** (tests, data contracts, freshness checks, lineage) to ensure every dataset is trustworthy.
**Partner closely with backend engineers** to instrument new events, define data contracts, and improve telemetry across the infrastructure.
**Support Analytics and cross\-functional teams** by delivering well\-modeled, well\-documented tables that power dashboards, ROI analyses, customer reporting, and key business metrics.
**Own data reliability at scale**, leading root\-cause investigations, reducing pipeline failures, and building monitoring and alerting systems.
**Evaluate and integrate new tools** across ingestion, enrichment, observability, and developer experience—raising the bar on performance and maintainability.
**Help set the long\-term technical direction** for Rain’s data platform as we scale across new products, regions, and chains.
**What We’re Looking For**
* **Data infrastructure builder** – You thrive in early\-stage environments, owning pipelines and platforms end\-to\-end and choosing simplicity without sacrificing reliability.
* **Expert data engineer** – Strong Python and SQL fundamentals, with real experience building production\-grade ETL/ELT.
* **Workflow \&amp; orchestration fluent** – Hands\-on experience with Airflow, Dagster, Prefect, or similar systems.
* **Warehouse \&amp; modeling savvy** – Comfortable designing schemas, optimizing performance, and operating modern cloud warehouses (Snowflake, BigQuery, Redshift).
* **Quality\-obsessed** – You care deeply about data integrity, testing, lineage, and observability.  
**Systems thinker** – You see data as a platform; you design for reliability, scale, and future users.
* **Collaborator** – You work well with backend engineers, analytics engineers, and cross\-functional stakeholders to define requirements and deliver outcomes.
* **Experienced** – 5–7\+ years in data engineering roles, ideally within fintech, payments, B2B SaaS, or infrastructure\-heavy startups.
**Nice to Have**
* Experience ingesting and processing payments data, transaction logs, or ledger systems.
* Exposure to smart contracts, blockchain data structures, or on\-chain event ingestion.
* Experience building data tooling for compliance, risk, or regulated environments.
* Familiarity with dbt and/or semantic modeling to support analytics layers.
Prior experience standing up data platforms from 0* 1 at early\-stage companies.
**Benefits**
**Compensation \&amp; Benefits**
* $140K–$240K base salary \+ meaningful equity
* Unlimited PTO (with a real minimum encouraged)
* Flexible remote\-first working
* Home office stipend
* Comprehensive health, dental \&amp; vision (US)
* 401(k) with company match
* Wellness budget (gym, fitness, recovery, etc.)
* Regular team offsites (US \+ international)
﻿
**Interview Process**
* Intro call (culture \&amp; alignment)
* Technical interview (past projects \&amp; impact)
* 2\-hour technical session (architecture \+ hands\-on)
* Final conversation with the founder/CEO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38">
      <c r="A38" t="inlineStr">
        <is>
          <t>in-97077c1641d50dda</t>
        </is>
      </c>
      <c r="B38" t="inlineStr">
        <is>
          <t>Data Engineer</t>
        </is>
      </c>
      <c r="C38" t="inlineStr">
        <is>
          <t>D2 Consulting</t>
        </is>
      </c>
      <c r="D38" t="inlineStr">
        <is>
          <t>indeed</t>
        </is>
      </c>
      <c r="E38" t="inlineStr"/>
      <c r="F38" t="inlineStr"/>
      <c r="G38" t="inlineStr">
        <is>
          <t>Springfield, VA, US</t>
        </is>
      </c>
      <c r="H38" s="2" t="n">
        <v>46030</v>
      </c>
      <c r="I38" t="inlineStr">
        <is>
          <t>**\*\*ACTIVE TS/SCI SECURITY CLEARANCE REQUIRED\*\***
We're looking for a talented **Data Engineer** to join our mission\-driven team and help design, build, and optimize secure, scalable systems. In this role, you'll have the opportunity to work with a modern cloud environment, develop robust data pipelines, and support projects that directly impact critical operations. You'll collaborate with engineers, analysts, and stakeholders to transform data into powerful insights and efficient solutions.
**Your contributions will include:**
* Designing and maintaining **ETL processes** to move and transform large\-scale data efficiently.
* Building and optimizing **SQL models** to support analytics and business logic.
* Developing solutions in **Python, SQL, Spark, PowerShell, and C\#**.
* Creating scalable and secure applications and services in **AWS** (Glue, Lambda, Redshift, EC2, S3\).
* Supporting **SQL Server** environments for database management and integration.
* Applying **DevSecOps practices** to ensure secure, high\-quality code delivery.
* Collaborating in **SCRUM teams** using **Jira** and Git\-based workflows.
* Partnering with analysts to deliver data solutions that enable impactful **data analysis and decision\-making**.
**What you'll bring to the team (Must\-Haves):**
* **Programming experience:**
* + Python (3\+ years)
	+ SQL (3\+ years)
	+ Spark
	+ PowerShell
	+ C\#
* **Cloud tools expertise:**
* + AWS (3\+ years) with strong hands\-on experience in **Glue, Lambda, and Redshift**
	+ Experience with **EC2, S3, and SQL Server**
	+ Proficiency with **Git** for version control
* Proven experience with:
* + **ETL development** and large\-scale data processing
	+ **SQL modeling and optimization**
	+ **Data analysis** and building systems that support decision\-making
	+ **DevSecOps best practices** in development and deployment
	+ Agile development using **SCRUM** frameworks with **Jira**
* Strong problem\-solving mindset, ability to work independently, and excellent communication skills.
**Why you'll love this role:**  
You'll get to solve challenging problems, work with cutting\-edge AWS tools, and make an impact in a role that blends software engineering with data\-driven decision\-making. This position offers the chance to sharpen your technical skills, collaborate with a highly skilled team, and contribute to projects that matter.
**Additional Information**
* All your information will be kept confidential according to EEO guidelines.
* Compensation is unique to each candidate and relative to the skills and experience they bring to the position. This does not guarantee a specific salary as compensation is based upon multiple factors such as education, experience, certifications, and other requirements, and may fall outside of the above\-stated range.
* Highlights of our benefits include Health/Dental/Vision, 401(k) match, Accrued PTO, STD/LTD/Life Insurance, Referral Bonuses, professional development reimbursement, and more!
*D2 Consulting is committed to a merit\-based recruitment process and encourages applications from all qualified individuals. As a Veteran\-Owned Small Business, we particularly welcome applications from veterans who have the requisite skills and experience. Job applicants that are interested in one of our openings and may require a reasonable accommodation to participate in the job application or interview process, should contact us to request an accommodation.*</t>
        </is>
      </c>
    </row>
    <row r="39">
      <c r="A39" t="inlineStr">
        <is>
          <t>in-90856268fcdb4952</t>
        </is>
      </c>
      <c r="B39" t="inlineStr">
        <is>
          <t>Data Engineer, Production Analytics</t>
        </is>
      </c>
      <c r="C39" t="inlineStr">
        <is>
          <t>CARVANA</t>
        </is>
      </c>
      <c r="D39" t="inlineStr">
        <is>
          <t>indeed</t>
        </is>
      </c>
      <c r="E39" t="inlineStr"/>
      <c r="F39" t="inlineStr"/>
      <c r="G39" t="inlineStr">
        <is>
          <t>Tempe, AZ, US</t>
        </is>
      </c>
      <c r="H39" s="2" t="n">
        <v>46030</v>
      </c>
      <c r="I39" t="inlineStr">
        <is>
          <t>**About Carvana**
At Carvana, we're changing the way people buy and sell cars. With an ambitious vision and a fundamentally different approach designed to be fun, fast, and fair, Carvana became the fastest\-growing automotive retailer in history. We expanded nationally, went public on the New York Stock Exchange, sold our 1 millionth car, and reached the Fortune 500, all in just eight years.
Today, with 4 million retail customers and counting, Carvana is both the fastest\-growing and the most profitable public automotive retailer, and we're just getting started. We continue to raise the bar for our customers as we tackle the enormous opportunity still ahead in the largest consumer vertical.
Working here means being part of a team that embraces change, celebrates creative problem solving, and always strives to be better. At Carvana, you'll have the opportunity to take on meaningful challenges, learn quickly, and help shape the future of automotive retail. If you're driven to grow and make an impact as part of a collaborative team, you'll fit right in. Learn more about what it's like to work here from the people that already do.
**About the team and position**
Have you ever wished the analytics projects you worked on could have visible and tangible benefits? The production analytics team owns advanced analytics (data science, optimization, data mining, etc.) in Carvana's vertically integrated vehicle inspection and reconditioning centers. Our team can walk through these centers and see our work in action.
We're launching a high\-priority initiative to build a clean analytical data layer that will make running future analysis faster than ever. By creating curated fact tables with the right level of granularity, we'll enable our team to focus on generating insights and driving business impact. As a Data Engineer, you'll work closely with our Lead Data Engineer to design, implement, and own these foundational systems. This is a build\-and\-own role with high visibility across the organization due to its strategic importance.
**What you'll be doing**
* **Building and maintaining curated analytical data layer:**
	+ Reverse engineering existing BI reporting systems to understand embedded business logic and calculation rules.
	+ Designing and implementing clean fact tables in Snowflake that pre\-apply business rules and handle data quality issues.
	+ Developing robust stored procedures using zero\-downtime deployment patterns.
	+ Creating validation frameworks to ensure data accuracy against production systems.
	+ Converting complex business logic into maintainable data structures.
	+ Owning and maintaining the data systems you build, iterating as business needs evolve.
* **Supporting broader data engineering initiatives:**
	+ Building and maintaining ETL pipelines for analytics workflows.
	+ Supporting, and perhaps developing, APIs to support data science projects and operational systems.
	+ Collecting data from external APIs and web sources.
	+ Building prototype dashboards in Sigma to support our BI platform transition.
	+ Contributing to the team's Python codebase for data processing and automation.
* **Collaborating and growing:**
	+ Working under the technical direction of our Lead Data Engineer with daily code reviews and architectural guidance.
	+ Documenting data models, business rules, and technical decisions.
	+ Participating in architecture discussions and design reviews.
	+ Partnering with analysts to understand analytical requirements and pain points.
**What you should have**
* Bachelor's degree in Computer Science, Engineering, Mathematics, Statistics, or a related field.
* Strong SQL skills \- you can write complex queries involving joins, aggregations, window functions, and CTEs.
* Proficiency in Python for data processing and automation.
* Understanding of data warehouse concepts and dimensional modeling fundamentals.
* Familiarity with Git\-based version control, branching, and pull requests.
* Strong analytical mindset with attention to detail \- you don't assume data is correct, you validate it.
* Excellent communication skills to explain technical concepts clearly.
* Eagerness to learn and grow through technical mentorship and code reviews.
* A relentless drive to push work into production and see tangible impact.
* An attitude that rocks.
**It would be great if you also had**
* Experience with Snowflake or other cloud\-based data warehouses (Google Cloud Platform, AWS, Azure).
* Hands\-on experience with BI tools like Tableau and/or Sigma, understanding how analysts consume data.
* Knowledge of data quality validation techniques and testing frameworks.
* Experience building APIs (e.g., FastAPI, Flask) or consuming APIs as data sources.
* Exposure to manufacturing or operations analytics environments.
* Understanding of Agile/iterative development practices.
* Experience with containerized code (Docker, Kubernetes).
* Familiarity with DevOps principles and CI/CD pipelines.
**Legal stuff**
Hiring is contingent on passing a complete background check. This role is not eligible for visa sponsorship.
Carvana is an equal employment opportunity employer. All applicants receive consideration for employment without regard to race, color, religion, gender, sexual orientation, gender identity or expression, marital status, national origin, age, mental or physical disability, protected veteran status, or genetic information, or any other basis protected by applicable law. Carvana also prohibits harassment of applicants or employees based on any of these protected categories.
Please note this job description is not designed to contain a comprehensive listing of activities, duties, or responsibilities that are required of the employee for this job. Duties, responsibilities, and activities may change at any time with or without notice.</t>
        </is>
      </c>
    </row>
    <row r="40">
      <c r="A40" t="inlineStr">
        <is>
          <t>in-241fe1cda083e6e4</t>
        </is>
      </c>
      <c r="B40" t="inlineStr">
        <is>
          <t>Senior Data Engineer - Analytics</t>
        </is>
      </c>
      <c r="C40" t="inlineStr">
        <is>
          <t>RevSpring, Inc</t>
        </is>
      </c>
      <c r="D40" t="inlineStr">
        <is>
          <t>indeed</t>
        </is>
      </c>
      <c r="E40" t="inlineStr"/>
      <c r="F40" t="inlineStr"/>
      <c r="G40" t="inlineStr">
        <is>
          <t>Remote, US</t>
        </is>
      </c>
      <c r="H40" s="2" t="n">
        <v>46030</v>
      </c>
      <c r="I40" t="inlineStr">
        <is>
          <t>**Job Title: Senior Data Engineer \- Analytics**
**Essential Functions:**
* Collaborate with other internal teams to design data pipelines to ingest information from various systems to our BigQuery or Redshift data warehouse
* Take ownership of the codebase, identifying gaps, areas for improvement, refactoring where needed, and keeping the design fresh and modern
* Actively code to unblock technical and communication challenges as necessary to ensure teams meet product roadmaps and close those gaps.
* Participate in architecture review decisions, designs, and documentation that will govern the direction of the team, the codebase, and multiple products over a several month timeframe
* Communicate effectively with stakeholders (upper management, engineering manager, product manager, and peers) regarding the product you are responsible for
* Provide feedback and participate in pair programming exercises.
**Success in this role:**
* Team delivers reliable, scalable, high performing customer facing analytic services within analytic SLAs
* Team consistently delivers committed business initiatives and coordinates with other stakeholders to roll out products with analytic insights.
* Business teams and Customers are empowered with AI assisted insights without dependency on engineering
* Consistently deliver high quality code that is easily maintained and scaled. Your work is reliable and your team members and stakeholders fully trust you to execute your responsibilities with minimal oversight
* Contribute to the team culture where innovation, autonomy, and accountability thrive
**Minimum Requirements:**
**Specific Job Skills:**
* Ability to approach complex, ambiguous data challenges systematically. You can diagnose the problem, come up with a plan to address it, and see that plan through.
* Experience owning data integrity, ensuring that data is reliable, timely, and traceable from source to consumption
* Experience creating and maintaining Extract, Transform, and Load (ETL) Pipelines and using modern ETL tools such as Python, SQL, Airflow, DBT, S3, Airbyte, Confluent.
* Experience creating and maintaining analytic semantic layers and business intelligence dashboard such as Looker, PowerBI, Tableau, etc.
* Experience owning data integrity, ensuring that data is reliable, timely, and traceable from source to consumption
* Proficiency in leveraging AI agents and other AI tools to significantly enhance developer productivity.
* Experience working with database and data warehouse technologies such as Postgres, Bigquery, and Redshift.
* Experience with cloud services such as AWS, Azure, GCP.
* Experience in developing large scale data models and complex data pipelines.
**Preferred Skills:**
* Preferred: Experience in working with large slow changing dimension data models
* Preferred: Experience in the US healthcare system, in particular with data systems and EHRs such as Epic, Cerner or Athenahealth.
**Education:** BS Degree or equilivent work experience
**Experience:** Five years experience developing data platforms using Python, SQL
**Supervision:** N/A
**Certifications:** N/A
**Language Skills:**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a variety of both internal and external sources.
**Physical Capabilities: Standard categories**
The physical capabilities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The employee is occasionally required to stand and walk. The employee must occasionally lift and/or move up to 10 pounds. Specific vision abilities required by this job include close vision, distance vision, color vision, peripheral vision, depth perception, and ability to adjust focus.
RevSpring is an equal opportunity employer. All applicants will be considered for employment without attention to race, color, religion, sex, sexual orientation, gender identity, national origin, veteran or disability status.
**Note:** This Job Description may not describe all of the job responsibilities and standards assigned to this position. The duties may change from time to time. RevSpring does not discriminate against any group in hiring or employment practices. Nothing in this job description constitutes a contract for employment.</t>
        </is>
      </c>
    </row>
    <row r="41">
      <c r="A41" t="inlineStr">
        <is>
          <t>in-c0493140d5414b6b</t>
        </is>
      </c>
      <c r="B41" t="inlineStr">
        <is>
          <t>Data Engineer (Bend, OR)</t>
        </is>
      </c>
      <c r="C41" t="inlineStr">
        <is>
          <t>SOLV Energy</t>
        </is>
      </c>
      <c r="D41" t="inlineStr">
        <is>
          <t>indeed</t>
        </is>
      </c>
      <c r="E41" t="inlineStr"/>
      <c r="F41" t="inlineStr"/>
      <c r="G41" t="inlineStr">
        <is>
          <t>Bend, OR, US</t>
        </is>
      </c>
      <c r="H41" s="2" t="n">
        <v>46030</v>
      </c>
      <c r="I41" t="inlineStr">
        <is>
          <t>***SOLV Energy is an engineering, procurement, construction (EPC) and solar services provider for utility solar, high voltage substation and energy storage markets across North America.***
**Job Description Summary:**
As a Data Engineer, you will play a crucial role in our data engineering team. Your primary responsibility will be to help design, develop, and maintain data pipelines and ETL (Extract, Transform, Load) processes. You will work to ensure efficient data flow, data quality, usability, and system reliability.  
This role is based full\-time in our office in Bend, OR. Specific location details and expectations will be discussed during the interview process.**Job Description:**
* *This job description reflects management's assignment of essential functions; it does not prescribe or restrict the tasks that may be assigned*
**Position Responsibilities and Duties:**
Data Pipeline Development
* Collaborate with the team lead to design and implement data pipelines that extract, transform (ETL) and load data from various sources into the data warehouse.
* Optimize data pipelines for performance, scalability, and reliability.
* Monitor and troubleshoot pipeline issues, ensuring data consistency and accuracy.
* Document ETL/ELT processes and data lineage.
Collaboration and Communication
* Assist in documenting technical specifications, data catalogs, and process workflows.
* Communicate effectively with other teams across the organization, including technical \&amp; business teams.
Data Quality Assurance
* Validate data quality by implementing data validation checks and monitoring data anomalies.
* Administer change management policies and procedures and conduct tabletop exercises to assess ETL process effectiveness.
* Work closely with data analysts and business stakeholders to understand data requirements and ensure accurate data delivery.
Data Platform Management
* Assist in data model design and schema creation.
* Perform maintenance on databases and other data stores, such as backups, indexing, and query optimization.
* Implement, troubleshoot and maintain the data engineering tools and environments that are necessary for the team's success — ETL tools, documentation/collaboration platforms, servers, etc.
Continuous Learning and Skill Development
* Stay up to date with industry trends, best practices, and emerging technologies related to data engineering.
* Participate in training sessions and workshops to enhance your technical skills.
**Minimum Skills or Experience Requirements:**
* Required: bachelor’s degree in Computer Science, Data Science, Business Analytics, Information Systems, or equivalent technical degree
* Experience with SQL and relational databases (e.g., PostgreSQL or MySQL)
* 2\+ years in a professional business data engineering role (5\+ to be considered for a Senior Data Engineer position)
* Communicating with all corporate functions and understanding diverse data needs
* Technical documentation, especially around data; proficiency with related tools such as Confluence
* Conceptual data modeling for an organization, master data management, data quality testing, and/or other data governance processes and methods; proficiency with related tools such as Microsoft Purview
* Dimensional data modeling and schema design
* Data pipelining/ETL tools, especially those in Microsoft Fabric
* Cloud solution technologies such as Azure or AWS, and their products
* Building data warehouses, data lakes and other data stores for analytics
* Business intelligence/reporting; proficiency with related tools, especially Power BI
* Code control/version control systems (e.g., Git)
* Proficiency with Microsoft office tools including Word, Excel, Outlook
* Experience using task management tools such as Jira or Microsoft Planner
* Excellent verbal and written communication skills
* Strong attention to detail
* Eagerness to learn and grow in a dynamic data engineering environment
***SOLV Energy Is an Equal Opportunity Employer***
*At SOLV Energy we celebrate the power of our differences. We are committed to building diverse, equitable, and inclusive workplaces that improve our communities. SOLV Energy prohibits discrimination and harassment of any kind against an employee or applicant based on race, color, age, religion, sex, sexual orientation, gender identity or expression, marital status, national origin, or ethnicity, mental or physical disability, veteran status, parental status, or any other characteristic protected by law.*
***Benefits:***  
*Employees (and their families) are eligible for medical, dental, vision, basic life and disability insurance. Employees can enroll in our company’s 401(k) plan and are provided vacation, sick and holiday pay.*
**Compensation Range:**
$103,430\.00 \- $129,288\.00
**Pay Rate Type:**
Salary
*SOLV Energy does not accept unsolicited candidate introductions, referrals or resumes from third\-party recruiters or staffing agencies. We require all third\-party recruiters to communicate exclusively with our internal talent acquisition team. SOLV Energy will not pay a placement fee to any third\-party recruiter or agency that has not coordinated their recruiting activity with the appropriate member of our internal talent acquisition team.*
*In addition, candidate introductions or resumes can only be submitted to our internal talent acquisition recruiting team if a signed vendor agreement is already on file and the third\-party recruiter or agency has received formal instructions from our internal talent acquisition team to submit candidates for a particular job posting.*
*Any unsolicited candidate introductions, referrals or resumes sent by third\-party recruiters to SOLV Energy or directly to any of our employees, or received through our website or career portal, will be considered property of SOLV Energy and will not be eligible for a placement fee. In the event a third\-party recruiter submits a resume or refers a candidate without a previously signed vendor agreement, SOLV Energy explicitly reserves the right to pursue and hire the candidate(s) without financial liability to such third\-party recruiter.*
**Job Number: J12342**
***If you’re interested in a meaningful career with a brighter future, join the SOLV Energy Team.***</t>
        </is>
      </c>
    </row>
    <row r="42">
      <c r="A42" t="inlineStr">
        <is>
          <t>in-c30f5f692eec0c09</t>
        </is>
      </c>
      <c r="B42" t="inlineStr">
        <is>
          <t>Data Engineer IV</t>
        </is>
      </c>
      <c r="C42" t="inlineStr">
        <is>
          <t>AHOLD Delhaize</t>
        </is>
      </c>
      <c r="D42" t="inlineStr">
        <is>
          <t>indeed</t>
        </is>
      </c>
      <c r="E42" t="inlineStr"/>
      <c r="F42" t="inlineStr"/>
      <c r="G42" t="inlineStr">
        <is>
          <t>Chicago, IL, US</t>
        </is>
      </c>
      <c r="H42" s="2" t="n">
        <v>46030</v>
      </c>
      <c r="I42" t="inlineStr">
        <is>
          <t>**Category/Area of Expertise:** IT \&amp; Technology  
**Job Requisition:** 472139  
**Address:** USA\-IL\-Chicago\-300 South Riverside Plaza
**Store Code:** Arch/Data \- Business Intell \&amp; Analy (5119333\)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Data Engineer IV will be responsible for expanding and optimizing our data and data pipeline architecture, as well as optimizing data flow and collection for cross functional teams. They will drive our data initiatives and will ensure optimal data delivery architecture is consistent throughout ongoing projects. They engage through the entire lifecycle of a project from data mapping, data pipelines, data modeling, and finally data consumption. They must be self\-directed and comfortable supporting the data needs of multiple teams, systems, and products. They will proactively optimize or even assist with the design of our company's data architecture to support our next generation of products and data initiatives. They will work on various, ambiguous, and complex issues, where analysis of situations or data requires an in\- depth evaluation of variable factors, thorough understanding of the business strategy, operations, markets and key stakeholders.  
**Our flexible/ hybrid work schedule includes 3 in\-person days at one of our core locations and 2 remote days. Our core office locations include Salisbury, NC , Chicago, IL, Quincy, MA.**  
**Applicants must be currently authorized to work in the United States on a full\-time basis.**  
**Duties and Responsibilities**  
* Creates and approves source to target data mappings for data pipelines and integration activities
* Identifies and resolves the impact of proposed application development/enhancements projects
* Performs data profiling and process analysis to understand key source systems and uses knowledge of application features and functions to assess scope and impact of business needs
* Works with business users to design, develop, test, and implement business intelligence solutions in the Data \&amp; Analytics Platform
* Assists in assessing alternative software solutions for workability and technical feasibility.
* Work closely with business teams in every stage from gathering requirements to closure of project
* Work with the key stakeholders to create requirements for each business solution, ensure the requirements are developed in concert with and agreed upon by the business partner, and that the solution delivers the agreed upon business needs
* Implement and maintain data governance policies and procedures to ensure data quality, security and compliance
* Initiates and leads workstreams for improving way of working in teams, eliminating technical debt and optimizing business processes
* Acts as a subject matter expert on technology solution
* Responsible for coaching/mentoring/leading junior engineers
* Consistently delivers very high\-quality work in cross\-functional environments \- seen as an expert and technical leader among peers
* Has a balanced approach to team empowerment and leadership driving successful brainstorming sessions and solid technical conclusions to work approaches while modeling self\-accountability, continuous development and team contributions
* Remain up to date on emerging technologies and best practices in data engineering. Recommend new approaches to improving data infrastructure
* Ensure operational stability of a 24/7/365 grocery retail environment by providing technical support, system monitoring, and issue resolution which may be required during off\-hours, weekends, and holidays as needed
**Qualifications**  
* Bachelors Degree in Computer Science, CIS or related (or equivalent related work experience)
* 8 or more years of equivalent experience in relevant job or field of technology
* Experience in an advanced role or technical capacity, leading teams directly or indirectly
* Experience directly responsible for guiding, training or onboarding team members in relevant technologies, capabilities or skills
* Experience with some or all of the following: Databricks, Azure Data Factory, Azure DevOps, TSQL, Python, PySpark, PowerBI, Data Warehouse Concepts
**Preferred Qualifications**  
* Masters Degree in relevant field of study, Additional trainings or certifications in relevant field of study
* 3 or more years experience in Agile teams and Product/Platform based operating model
* 3 or more years of experience in leading teams or advancing technical capability in teams
* Experience in retail or grocery preferred
\#DICEJobs \#LI\-hybrid \#LI\-SS1  
Salary Range: $146,960 \- $220,440
Actual compensation offered to a candidate may vary based on their unique qualifications and experience, internal equity, and market conditions. Final compensation decisions will be made in accordance with company policies and applicable laws.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43">
      <c r="A43" t="inlineStr">
        <is>
          <t>in-d322b67dfe60cbab</t>
        </is>
      </c>
      <c r="B43" t="inlineStr">
        <is>
          <t>Data Engineer IV</t>
        </is>
      </c>
      <c r="C43" t="inlineStr">
        <is>
          <t>AHOLD Delhaize</t>
        </is>
      </c>
      <c r="D43" t="inlineStr">
        <is>
          <t>indeed</t>
        </is>
      </c>
      <c r="E43" t="inlineStr"/>
      <c r="F43" t="inlineStr"/>
      <c r="G43" t="inlineStr">
        <is>
          <t>Quincy, MA, US</t>
        </is>
      </c>
      <c r="H43" s="2" t="n">
        <v>46030</v>
      </c>
      <c r="I43" t="inlineStr">
        <is>
          <t>**Category/Area of Expertise:** IT \&amp; Technology  
**Job Requisition:** 472139  
**Address:** USA\-MA\-Quincy\-1385 Hancock Street
**Store Code:** Arch/Data \- Business Intell \&amp; Analy (5119333\)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Data Engineer IV will be responsible for expanding and optimizing our data and data pipeline architecture, as well as optimizing data flow and collection for cross functional teams. They will drive our data initiatives and will ensure optimal data delivery architecture is consistent throughout ongoing projects. They engage through the entire lifecycle of a project from data mapping, data pipelines, data modeling, and finally data consumption. They must be self\-directed and comfortable supporting the data needs of multiple teams, systems, and products. They will proactively optimize or even assist with the design of our company's data architecture to support our next generation of products and data initiatives. They will work on various, ambiguous, and complex issues, where analysis of situations or data requires an in\- depth evaluation of variable factors, thorough understanding of the business strategy, operations, markets and key stakeholders.  
**Our flexible/ hybrid work schedule includes 3 in\-person days at one of our core locations and 2 remote days. Our core office locations include Salisbury, NC , Chicago, IL, Quincy, MA.**  
**Applicants must be currently authorized to work in the United States on a full\-time basis.**  
**Duties and Responsibilities**  
* Creates and approves source to target data mappings for data pipelines and integration activities
* Identifies and resolves the impact of proposed application development/enhancements projects
* Performs data profiling and process analysis to understand key source systems and uses knowledge of application features and functions to assess scope and impact of business needs
* Works with business users to design, develop, test, and implement business intelligence solutions in the Data \&amp; Analytics Platform
* Assists in assessing alternative software solutions for workability and technical feasibility.
* Work closely with business teams in every stage from gathering requirements to closure of project
* Work with the key stakeholders to create requirements for each business solution, ensure the requirements are developed in concert with and agreed upon by the business partner, and that the solution delivers the agreed upon business needs
* Implement and maintain data governance policies and procedures to ensure data quality, security and compliance
* Initiates and leads workstreams for improving way of working in teams, eliminating technical debt and optimizing business processes
* Acts as a subject matter expert on technology solution
* Responsible for coaching/mentoring/leading junior engineers
* Consistently delivers very high\-quality work in cross\-functional environments \- seen as an expert and technical leader among peers
* Has a balanced approach to team empowerment and leadership driving successful brainstorming sessions and solid technical conclusions to work approaches while modeling self\-accountability, continuous development and team contributions
* Remain up to date on emerging technologies and best practices in data engineering. Recommend new approaches to improving data infrastructure
* Ensure operational stability of a 24/7/365 grocery retail environment by providing technical support, system monitoring, and issue resolution which may be required during off\-hours, weekends, and holidays as needed
**Qualifications**  
* Bachelors Degree in Computer Science, CIS or related (or equivalent related work experience)
* 8 or more years of equivalent experience in relevant job or field of technology
* Experience in an advanced role or technical capacity, leading teams directly or indirectly
* Experience directly responsible for guiding, training or onboarding team members in relevant technologies, capabilities or skills
* Experience with some or all of the following: Databricks, Azure Data Factory, Azure DevOps, TSQL, Python, PySpark, PowerBI, Data Warehouse Concepts
**Preferred Qualifications**  
* Masters Degree in relevant field of study, Additional trainings or certifications in relevant field of study
* 3 or more years experience in Agile teams and Product/Platform based operating model
* 3 or more years of experience in leading teams or advancing technical capability in teams
* Experience in retail or grocery preferred
\#DICEJobs \#LI\-hybrid \#LI\-SS1  
Salary Range: $146,960 \- $220,440
Actual compensation offered to a candidate may vary based on their unique qualifications and experience, internal equity, and market conditions. Final compensation decisions will be made in accordance with company policies and applicable laws.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44">
      <c r="A44" t="inlineStr">
        <is>
          <t>in-8f30c8a95d6e1ec9</t>
        </is>
      </c>
      <c r="B44" t="inlineStr">
        <is>
          <t>Data Engineer IV</t>
        </is>
      </c>
      <c r="C44" t="inlineStr">
        <is>
          <t>AHOLD Delhaize</t>
        </is>
      </c>
      <c r="D44" t="inlineStr">
        <is>
          <t>indeed</t>
        </is>
      </c>
      <c r="E44" t="inlineStr"/>
      <c r="F44" t="inlineStr"/>
      <c r="G44" t="inlineStr">
        <is>
          <t>Salisbury, NC, US</t>
        </is>
      </c>
      <c r="H44" s="2" t="n">
        <v>46030</v>
      </c>
      <c r="I44" t="inlineStr">
        <is>
          <t>**Category/Area of Expertise:** IT \&amp; Technology  
**Job Requisition:** 472139  
**Address:** USA\-NC\-Salisbury\-2110 Executive Drive
**Store Code:** Arch/Data \- Business Intell \&amp; Analy (5119333\)
Ahold Delhaize USA, a division of global food retailer Ahold Delhaize, is part of the U.S. family of brands, which includes five leading omnichannel grocery brands \- Food Lion, Giant Food, The GIANT Company, Hannaford and Stop \&amp; Shop. Our associates support the brands with a wide range of services, including Finance, Legal, Sustainability, Commercial, Digital and E\-commerce, Technology and more.  
**Primary Purpose**  
The Data Engineer IV will be responsible for expanding and optimizing our data and data pipeline architecture, as well as optimizing data flow and collection for cross functional teams. They will drive our data initiatives and will ensure optimal data delivery architecture is consistent throughout ongoing projects. They engage through the entire lifecycle of a project from data mapping, data pipelines, data modeling, and finally data consumption. They must be self\-directed and comfortable supporting the data needs of multiple teams, systems, and products. They will proactively optimize or even assist with the design of our company's data architecture to support our next generation of products and data initiatives. They will work on various, ambiguous, and complex issues, where analysis of situations or data requires an in\- depth evaluation of variable factors, thorough understanding of the business strategy, operations, markets and key stakeholders.  
**Our flexible/ hybrid work schedule includes 3 in\-person days at one of our core locations and 2 remote days. Our core office locations include Salisbury, NC , Chicago, IL, Quincy, MA.**  
**Applicants must be currently authorized to work in the United States on a full\-time basis.**  
**Duties and Responsibilities**  
* Creates and approves source to target data mappings for data pipelines and integration activities
* Identifies and resolves the impact of proposed application development/enhancements projects
* Performs data profiling and process analysis to understand key source systems and uses knowledge of application features and functions to assess scope and impact of business needs
* Works with business users to design, develop, test, and implement business intelligence solutions in the Data \&amp; Analytics Platform
* Assists in assessing alternative software solutions for workability and technical feasibility.
* Work closely with business teams in every stage from gathering requirements to closure of project
* Work with the key stakeholders to create requirements for each business solution, ensure the requirements are developed in concert with and agreed upon by the business partner, and that the solution delivers the agreed upon business needs
* Implement and maintain data governance policies and procedures to ensure data quality, security and compliance
* Initiates and leads workstreams for improving way of working in teams, eliminating technical debt and optimizing business processes
* Acts as a subject matter expert on technology solution
* Responsible for coaching/mentoring/leading junior engineers
* Consistently delivers very high\-quality work in cross\-functional environments \- seen as an expert and technical leader among peers
* Has a balanced approach to team empowerment and leadership driving successful brainstorming sessions and solid technical conclusions to work approaches while modeling self\-accountability, continuous development and team contributions
* Remain up to date on emerging technologies and best practices in data engineering. Recommend new approaches to improving data infrastructure
* Ensure operational stability of a 24/7/365 grocery retail environment by providing technical support, system monitoring, and issue resolution which may be required during off\-hours, weekends, and holidays as needed
**Qualifications**  
* Bachelors Degree in Computer Science, CIS or related (or equivalent related work experience)
* 8 or more years of equivalent experience in relevant job or field of technology
* Experience in an advanced role or technical capacity, leading teams directly or indirectly
* Experience directly responsible for guiding, training or onboarding team members in relevant technologies, capabilities or skills
* Experience with some or all of the following: Databricks, Azure Data Factory, Azure DevOps, TSQL, Python, PySpark, PowerBI, Data Warehouse Concepts
**Preferred Qualifications**  
* Masters Degree in relevant field of study, Additional trainings or certifications in relevant field of study
* 3 or more years experience in Agile teams and Product/Platform based operating model
* 3 or more years of experience in leading teams or advancing technical capability in teams
* Experience in retail or grocery preferred
\#DICEJobs \#LI\-hybrid \#LI\-SS1  
Salary Range: $146,960 \- $220,440
Actual compensation offered to a candidate may vary based on their unique qualifications and experience, internal equity, and market conditions. Final compensation decisions will be made in accordance with company policies and applicable laws.
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  
Our associates are the heartbeat of our organization. We are committed to offering a welcoming work environment where all associates can succeed and thrive. Guided by our values of courage, care, teamwork, integrity (and even a little humor), we are dedicated to being a great place to work.  
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t>
        </is>
      </c>
    </row>
    <row r="45">
      <c r="A45" t="inlineStr">
        <is>
          <t>in-156d91e7c7adadec</t>
        </is>
      </c>
      <c r="B45" t="inlineStr">
        <is>
          <t>Senior Data Engineer - Remote</t>
        </is>
      </c>
      <c r="C45" t="inlineStr">
        <is>
          <t>DriveTime Automotive Group</t>
        </is>
      </c>
      <c r="D45" t="inlineStr">
        <is>
          <t>indeed</t>
        </is>
      </c>
      <c r="E45" t="inlineStr"/>
      <c r="F45" t="inlineStr"/>
      <c r="G45" t="inlineStr">
        <is>
          <t>Tempe, AZ, US</t>
        </is>
      </c>
      <c r="H45" s="2" t="n">
        <v>46030</v>
      </c>
      <c r="I45"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Job Description
***This is not a position for which sponsorship will be provided. Individuals with temporary visas or who need sponsorship now or in the future are not eligible for hire at this time.***
We are seeking a **Senior Data Engineer** to lead the development, optimization, and governance of our data transformation and modeling processes. This role is pivotal in enabling analytics, data science, and business teams with high\-quality, well\-modeled, and analytics\-ready data products.
As a senior member of our centralized Data Services organization, you will own the design and delivery of scalable data models using **dbt Core** , **Snowflake** , and **Python** , while integrating best practices in performance optimization, data quality, and CI/CD workflows via **GitHub** or **Azure DevOps** . You will collaborate closely with leadership, fellow engineers, analysts, and business stakeholders to translate complex data requirements into elegant, trusted data assets.
In addition to being a hands\-on contributor, you will **serve as a technical lead and mentor** , guiding a team of engineers, fostering a culture of continuous learning, and elevating our engineering standards across the data transformation lifecycle.
**Key Responsibilities:**
* Lead the design and development of robust dbt Core models to transform raw data into trusted, analytics\-ready datasets in Snowflake
* Architect scalable and performant data models that align with business needs and support enterprise reporting, analytics, and AI initiatives.
* Collaborate across BI, analytics, and business teams to gather requirements and translate them into efficient ELT solutions.
* Implement data quality frameworks, documentation standards, and lineage tracking to ensure transparency and trust in our data ecosystem.
* Use Python to support automation, data validation, and performance monitoring across ELT pipelines.
* Monitor and optimize Snowflake query performance and cost efficiency.
* Guide and mentor other engineers, promoting skill development in dbt, CI/CD, and modern data architecture.
* Provide **thought leadership** on modern data transformation practices, helping to shape strategy, tooling, and best practices for the enterprise.
* Support data governance and metadata enrichment initiatives in alignment with enterprise data strategy.
**Qualifications:**
* 5\+ years of experience in data engineering, analytics engineering
* Advanced SQL skills and deep experience with **dbt Core** for data transformation and documentation.
* Expertise in **Snowflake** or similar modern cloud data platforms.
* Proficiency in **Python** for scripting, automation, and performance tuning.
* Strong understanding of dimensional modeling, ELT principles, and data warehousing best practices.
* Experience with **Git\-based version control** and **CI/CD workflows** (GitHub, Azure DevOps, Argo).
* Proven ability to lead technical projects and mentor other engineers.
* Excellent collaboration and communication skills, with the ability to work across technical and non\-technical teams.
* Demonstrated ability to **drive innovation and influence best practices** in data engineering through thought leadership.
* Bachelors Degree in Information Technology or related field
**Ideal Candidate Profile:**
You’re a highly technical and collaborative data engineer who thrives at the intersection of engineering and analytics. You bring expertise in modern data tooling and a passion for building trusted, scalable, and business\-aligned data products. You lead by example and elevate those around you through mentorship, partnership, and innovation.
**So What About the Perks? Perks matter**
* **Work From Home.** Feel free to rock the casual wear while still being camera ready. You will be working from your home office (in an approved city \&amp; state) and make sure you have a conducive and quiet workspace with no distractions and reliable and secure internet.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**Paid Time Off.** Not just lip service: we work hard, to play hard !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46">
      <c r="A46" t="inlineStr">
        <is>
          <t>in-51bd9116b6c5d99f</t>
        </is>
      </c>
      <c r="B46" t="inlineStr">
        <is>
          <t>Principal Software Data Engineer</t>
        </is>
      </c>
      <c r="C46" t="inlineStr">
        <is>
          <t>ComplexCare Solutions</t>
        </is>
      </c>
      <c r="D46" t="inlineStr">
        <is>
          <t>indeed</t>
        </is>
      </c>
      <c r="E46" t="inlineStr"/>
      <c r="F46" t="inlineStr"/>
      <c r="G46" t="inlineStr">
        <is>
          <t>TN, US</t>
        </is>
      </c>
      <c r="H46" s="2" t="n">
        <v>46030</v>
      </c>
      <c r="I46" t="inlineStr">
        <is>
          <t>**Principal Software Data Engineer**
We are more than just a healthcare company; we are a community of professionals driven by the knowledge that our success leads to a positive impact on the communities that we support. At ComplexCare Solutions, you’ll play a crucial part in innovating solutions that empower health plan members and healthcare providers alike. Our collaborative environment fosters creativity and initiative, ensuring that every idea and effort contributes to meaningful change in the industry. Join us and become a part of a team that turns vision into action, making a tangible impact on the future of healthcare.
**Overview:** The Principal Software Data Engineer is responsible for contributing to data platform (data Lakehouse and warehouse), data analytics, data operations, and software product development across the organization. They will be part of team building next generation data \&amp; reporting platform for internal business stakeholders and external customers to provide insights to understand current state of business and provide insights \&amp; forecasting to improve decision\-making strategies and shifts for future business needs. They will architect, design, and develop new data pipelines using Azure Data Factory (ADF) and Databricks notebooks to transform \&amp; create complex data marts in Databricks lakehouse. They will work across various teams and systems to understand their data model and business process to build best industry standards ELT process and build analytics by combining heterogeneous data sets. This position requires significant independent work and assisting others with work requests. The Principal Software Data Engineer will also be considered a thought leader who mentors others and provides operational/support leadership across multiple products.
**Duties and Responsibilities:**
* Deal with 15\+ data sources (application databases, flat files, csv/excel files etc.) with huge volume of 1TB daily to load \&amp; transform to 20TB\+ lake house;
* Continuously utilize modern frameworks and tools to drive advanced Lakehouse capabilities and onboard AI/ML use cases;
* Advance use of Databricks key features like Unity Catalog, DLTs, DeltaShare, AI/BI Genie, Agentic Works, Databricks One/Apps etc.;
* Collaborate with business stakeholders, product owners, business analysts to understand various source systems, and reporting needs and create architecture \&amp; design for data \&amp; reporting platforms on Databricks on Azure Cloud;
* Designing best in class ETL frameworks, data warehouse (star, snowflake, traditional), data export framework, data analytics \&amp; visualization design on PowerBI;
* Design various components of data \&amp; reporting platform including data ingestion pipeline, validation \&amp; cleansing framework, data warehouse, data marts/sets, data export to generate files \&amp; populate data marts on Databricks;
* Understand and design data analytics and visualization on BI tools (like PowerBI) utilizing best practices and concepts like multi\-dimensional data models, dashboards with charts, graphs, drill downs, heat maps etc.;
* Reporting performance utilizing caching techniques, API integrations \&amp; SQL queries to load large amounts of data;
* Design \&amp; write high quality and detailed design documents, create effective \&amp; clear visual design diagrams (utilizing Draw.io, MS Visio etc.) of various levels targeting business stakeholders to engineers;
* Design security aspects at various technical components integrating with Azure AD for end\-to\-end platform including row level security in PowerBI reporting;
* Work in agile model to write technical features, groom user stories for developers and work with team to explain technical design and resolve their issues;
* Perform code reviews and performance aspects of all technical components;
* Research new patterns, frameworks, tools to make data platform capabilities configurable, dynamic, reliance and performant, adhere to SLAs \&amp; quick time to market;
* Product production support, incident responses, troubleshot data \&amp; jobs issues \&amp; anomalies. Work with Infrastructure (cloud, security) teams to ensure resiliency, security \&amp; compliance;
* Focus on DevOps to automate code build, deployments \&amp; various scans (static, dynamic etc). Lead UAT \&amp; production releases ;
* Adhere to all confidentiality and HIPAA requirements as outlined within CCS’s Operating Policies and Procedures in all ways and at all times with respect to any aspect of the data handled or services rendered in the undertaking of the position; and
* Fulfill those responsibilities and/or duties that may be reasonably provided by CCS for the purpose of achieving operational and financial success of the Employer.
**Job Requirements:**
* Minimum of 10 years of related professional experience to include;
* 4\+ Years of minimum experience working on Databricks platform utilizing Data Loaders, Unity Catalogue, DLTs, Spark SQL, PySpark, AI/BI Genie etc.
* 7\+ years of experience working on data platforms (Lakehouse, data warehouse, data marts)
* 5\+ years working in cloud environments (like AWS, Azure) with 3\+ years on Azure Cloud
* 2\+ years working (hands\-on or design or integrating) with Analytics BI tools (like PowerBI, Tableau)
* Experience working on AI/ML, Databricks Agent Bricks or AI/BI Genie or data science concepts will be a big Plus
* Experience working on data governance and utilizing tools like MS Perview, Collibra, DbtLabs will be a big plus
* Expert knowledge of healthcare data formats, HIPAA and PHI will be a huge Plus
* 2\+ years of experience on DevOps (CI/CD), Cloud Infrastructure (like storage account, service principles, key vaults, app services etc.)
* Demonstrates a growth mind\-set, seeks feedback often and is effective in continuous personal and professional development;
* Ability to learn quickly and independently;
* Must be agile and flexible and meet changing priorities and deadlines;
* Ability to work independently and to carry out tasks to completion following standard accepted practices;
* Coaching and mentoring skills.
**Education:**
* Bachelors’ degree in computer science, software engineering, or related field; and
* Databricks certified preferred
**Physical Demands and Work Environment:**
* Sedentary work (i.e., sitting for long periods of time);
* Exerting up to 10 pounds of force occasionally and/or negligible amount of force;
* Frequently or constantly to lift, carry push, pull or otherwise move objects and repetitive motions;
* Subject to inside environmental conditions; and
* Travel for this position will include less than 10%, typically for training and collaboration purposes.
Equal Opportunity Employer  
This employer is required to notify all applicants of their rights pursuant to federal employment laws. For further information, please review the Know Your Rights notice from the Department of Labor.</t>
        </is>
      </c>
    </row>
    <row r="47">
      <c r="A47" t="inlineStr">
        <is>
          <t>in-541cd2b4710639cb</t>
        </is>
      </c>
      <c r="B47" t="inlineStr">
        <is>
          <t>Data Engineer</t>
        </is>
      </c>
      <c r="C47" t="inlineStr">
        <is>
          <t>Adtalem Global Education</t>
        </is>
      </c>
      <c r="D47" t="inlineStr">
        <is>
          <t>indeed</t>
        </is>
      </c>
      <c r="E47" t="inlineStr"/>
      <c r="F47" t="inlineStr"/>
      <c r="G47" t="inlineStr">
        <is>
          <t>Lisle, IL, US</t>
        </is>
      </c>
      <c r="H47" s="2" t="n">
        <v>46030</v>
      </c>
      <c r="I47" t="inlineStr">
        <is>
          <t>Company Description
Adtalem Global Education is a national leader in post\-secondary education and leading provider of professional talent to the healthcare industry. Adtalem educates and empowers students with the knowledge and skills to become leaders in their communities and make a lasting impact on public health, well\-being and beyond. Through equitable access to education, environments that nurture student success, and a focus on expanding and diversifying the talent pipeline in healthcare, Adtalem is building a brighter future for communities and the world.  
Adtalem is the parent organization of American University of the Caribbean School of Medicine, Chamberlain University, Ross University School of Medicine, Ross University School of Veterinary Medicine and Walden University.  
We operate on a hybrid schedule with four in\-office days per week (Monday–Thursday). This approach enhances creativity, innovation, communication, and relationship\-building, fostering a dynamic and collaborative work environment.  
Visit Adtalem.com for more information, and follow us on LinkedIn and Instagram.  
Job Description
Adtalem is a data driven organization. The Data Engineering team builds data solutions that powers strategic and tactical business decisions and supports the Analytics and Artificial Intelligence operations. By implementing data platform, data pipelines and data governance policies this team provide the basis for decision\-making in Adtalem.
* Work closely with various business, IT, Analyst and Data Science groups to collect business requirements. Design, develop, deploy and support high performance data pipelines both inbound and outbound.
* Develop the data platform by applying the business logic and building objects in the semantic layer of data warehouse.
* Optimize data pipelines for performance, scalability, and reliability. Ensure quality of critical data elements, prepare data quality remediation plans and collaborate with business and system owners to fix the quality issues at its root.
* Document the design and support strategy of the data pipelines
* Capture, store and socialize data lineage and operational metadata. Troubleshoot and resolve data engineering issues as they arise.
* Performs other duties as assigned.
* Complies with all policies and standards.
Qualifications
* Bachelor's Degree Computer Science, Computer Engineering, Software Engineering, or other related technical field Required
* Master's Degree Computer Science, Computer Engineering, Software Engineering, or other related technical field Preferred
* Three (3\) plus years experience in data engineering solutions such as data platforms, ingestion, data management, or publication/analytics Required and
* One (1\) plus year experience in Google cloud with services like BigQuery, Composer, GCS, DataStream, Dataflows Required
* Expert knowledge on SQL and Python programming
* Experience working with Airflow as workflow management tools and build operators to connect, extract and ingest data as needed.
* Experience in tuning queries for performance and scalability
* Experience in Real Time Data Ingestion using GCP PubSub, Kafka, Spark or similar.
* Excellent problem\-solving and critical\-thinking skills to recognize and comprehend complex data issues affecting the business environment.
Additional Information
*In support of the pay transparency laws enacted across the country, the expected salary range for this position is between $74,064\.94 and $133,901\.96\.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 *Health, dental, vision, life and disability insurance*
* *401k Retirement Program \+ 6% employer match*
* *Participation in Adtalem’s Flexible Time Off (FTO) Policy*
* *12 Paid Holidays*  
*For more information related to our benefits please visit: https://careers.adtalem.com/benefits.*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48">
      <c r="A48" t="inlineStr">
        <is>
          <t>in-2ae366573e7293e3</t>
        </is>
      </c>
      <c r="B48" t="inlineStr">
        <is>
          <t>Consulting Data Engineer</t>
        </is>
      </c>
      <c r="C48" t="inlineStr">
        <is>
          <t>St. David's HealthCare</t>
        </is>
      </c>
      <c r="D48" t="inlineStr">
        <is>
          <t>indeed</t>
        </is>
      </c>
      <c r="E48" t="inlineStr"/>
      <c r="F48" t="inlineStr"/>
      <c r="G48" t="inlineStr">
        <is>
          <t>Austin, TX, US</t>
        </is>
      </c>
      <c r="H48" s="2" t="n">
        <v>46030</v>
      </c>
      <c r="I48" t="inlineStr">
        <is>
          <t>##### **Introduction**
Do you want to join an organization that invests in you as a Consulting Data Engineer? At St. David’s HealthCare, you come first. HCA Healthcare has committed up to $300 million in programs to support our incredible team members over the course of three years.
##### **Benefits**
St. David’s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Consulting Data Engineer like you to be a part of our team.
##### **Job Summary and Qualifications**
Summary
As a Consulting Data Engineer, you’ll contribute to the full lifecycle of data solution development – from designing robust data architectures and pipelines to deploying and maintaining scalable infrastructure to move, process, and store data. You’ll drive the development of reliable, high\-performance data systems that support analytics, innovative software solutions, and real\-time decision\-making. This role requires experience with modern data engineering tools and frameworks, strong data modeling skills, deep proficiency in SQL for both complex analytical queries and operational pipeline logic, and a cloud\-first mindset. The ideal candidate thrives in dynamic environments, enjoys optimizing complex data workflows, and is passionate about delivering trustworthy data solutions in accelerated development cycles.
What You will do:
* Design, build, and maintain scalable data infrastructure, pipelines, and workflows using modern data engineering tools and frameworks.
* Write and maintain complex SQL for both operational data processing and advanced analytical queries.
* Collaborate cross\-functionally with analysts, data scientists, engineers, and business stakeholders to understand data needs and deliver impactful solutions.
* Interpret complex data specifications and regulatory requirements and translate them into accurate, performant SQL queries and data logic.
* Implement data quality assurance processes, including validation checks, anomaly detection, and monitoring to ensure accurate data delivery
* Create comprehensive technical documentation covering data pipeline architecture, validation strategies, test outcomes, and operational procedures to support maintainability and knowledge sharing.
* Lead troubleshooting activities for data pipelines and infrastructure.
* Advocate for best practices in automation, data orchestration, and cloud\-native data engineering solutions.
* Provide after\-hours/on\-call support as needed
* Performs other duties as assigned
###### **What qualifications you will need:**
* 7\+ years of experience in a data engineering role
* Bachelor's degree or combination or professional experience/education required.
* Master's degree in Computer Science or related field preferred.
* Rapid Application Development (RAD): Familiarity with iterative and incremental development approaches, including prototyping and rapid deployment cycles required
* Query Languages: SQL experience (googleSQL, t\-SQL, pgSQL preferred) required
* Data Acquisition: Ability to connect to and retrieve data from a variety of sources including APIs, cloud storage, SQL databases, and flat files required
* Data Transformation: Expertise in writing robust parsing logic, applying schema transformations, and normalizing for downstream consumption required
* Cloud Infrastructure: Experience with cloud development technologies (Google Cloud Platform preferred)
* Programming Languages: Proficiency in a primary programming language (Python preferred)
* Streaming Architecture: Working knowledge of streaming and event driven architectures
* DevOps/Version Control: Understanding of DevOps practices (Version Control \&amp; Agile Tools: Git, JIRA, Confluence, GitHub Actions, etc.)
* Support and Monitoring: Experience with monitoring and instrumentation practices
* Essentials Skills: Excellent communication skills both written and verbal
* Context Switching: Skillful at navigating and reprioritizing tasks in response to shifting operational demands.
* Prototyping: Ability to build rapid proofs\-of\-concept and iterate quickly based on stakeholder feedback.
* Service and Quality Excellence: Ability to demonstrate an uncompromising commitment to delivering exceptional care to create an unmatched value proposition for our patients.
* Honor our Mission and Values: Ability to build trust and act with authenticity to cultivate a culture of integrity, inclusion, and mutual respect.
* Effective Decision Making: Ability to make timely, informed decisions that are in the best interest of our patients, employees, providers, community and HCA.
* Attain and Leverage Strategic Relationships: Ability to develop and strengthen collaborative relationships with both internal and external stakeholders to advance the care of our patients and the growth of HCA.
* Lead and Develop Others: Ability to lead others to accomplish organizational goals and objectives; provide meaningful coaching and mentoring to increase the capabilities of individuals and teams and drive employee engagement.
* Communicate with Impact: Ability to deliver information in a clear, concise, and compelling manner to effectively engage others and achieve desired results.
* Achieve Success through Change: Ability to identify opportunities for improvement and innovation, remove barriers and resistance, and enable desired behaviors.
"Good people beget good people."\- Dr. Thomas Frist, Sr.  
HCA Healthcare Co\-Founder
We are a family 270,000 dedicated professionals! Our Talent Acquisition team is reviewing applications for our Consulting Data Engineer opening. Qualified candidates will be contacted for interviews.Submit your resume today to join our community of caring!
*We are an equal opportunity employer. We do not discriminate on the basis of race, religion, color, national origin, gender, sexual orientation, age, marital status, veteran status, or disability status.*</t>
        </is>
      </c>
    </row>
    <row r="49">
      <c r="A49" t="inlineStr">
        <is>
          <t>in-33bad30d7bbb2057</t>
        </is>
      </c>
      <c r="B49" t="inlineStr">
        <is>
          <t>Principal Data Engineer, Data Center Supply Chain</t>
        </is>
      </c>
      <c r="C49" t="inlineStr">
        <is>
          <t>Microsoft</t>
        </is>
      </c>
      <c r="D49" t="inlineStr">
        <is>
          <t>indeed</t>
        </is>
      </c>
      <c r="E49" t="inlineStr"/>
      <c r="F49" t="inlineStr"/>
      <c r="G49" t="inlineStr">
        <is>
          <t>Redmond, WA, US</t>
        </is>
      </c>
      <c r="H49" s="2" t="n">
        <v>46029</v>
      </c>
      <c r="I49" t="inlineStr">
        <is>
          <t>**Overview**  
Applies in\-depth knowledge of the business, the evolving data landscape, tools, and technologies, and the lineage of those data to proactively identify opportunities. Commits to a customer\- and/or stakeholder\-oriented focus. Establishes themselves as an expert in data sources, formats, and data quality issues, and shares expertise to reinforce best practices and guide others. Guides others to, and shares insights, analytical expertise, and relevant data\-driven results through various means. Consults and provides recommendations for the ideal factors to include in formal experimentation or the development of prototypes/proofs of concepts that are likely to yield the most reliable assessment of impact. Conducts thorough review of data analysis and analytical modeling techniques used to summarize the process review and highlight areas that have been missed or need to be reexamined. Establishes and leverages working relationships within and across teams to ensure alignment and quality execution of data sourcing, methods, model development and application, and the optimal use of analytical tools and processes. Ensures they are consistently aware of changes to, and maintain expertise in data privacy and security requirements, responsible and ethical data handling and AI practices, and that classification and governance rules and regulations are consistently applied in work activities and results.
 **Responsibilities**  
Data Analysis* Applies expertise in data, business, and customer needs to determine optimal analytical and statistical techniques and leads others through the execution of complex analyses involving multiple data sets and/or sources. Interprets results within relevant business contexts and addresses business and/or research questions with actionable recommendations. Identifies gaps in analytical tools and models and guides others to do the same, provides feedback on features and/or functions, and recommends changes to architecture, tools, and/or techniques to collect, analyze, and share data\-driven insights, while ensuring alignment with business and/or research needs. Anticipates the risks of data leakage, analytical tradeoffs, methodological limitations, etc., and can guide teammates on solutions.
Data Model Evaluation* Conducts thorough review of data analysis and analytical modeling techniques used to summarize the process review and highlight areas that have been missed or need to be reexamined. Ensures alignment on definitions and standards across stakeholders to support consistency in data model usage across stakeholders and/or teams. Utilizes results of the assessment and process review to decide on next steps (i.e., deployment, further iterations, new projects). Coaches and mentors less experienced analysts as needed. Identifies new evaluation approaches, metrics, and methodologies to evaluate data models and promotes their use across teams.
Orchestration and Collaboration* Establishes and leverages working relationships within and across teams to ensure alignment and quality execution of data sourcing, methods, model development and application, and the optimal use of analytical tools and processes. Partners with internal and external stakeholders to provide guidance on the adoption of recommended data sources and analytical best practices to address business needs and deliver key insights and results. Strategically leverages thought leadership and expertise to draw insights and lead innovation to address use cases and/or evolving business needs. Proactively manages and leads actions across their network of peers to leverage data, resources, and solutions that were instrumental to success in similar contexts, and shares expertise across teams (e.g., vendors) to inform decisions related to data sourcing, analyses, and the interpretation of analytical results.
**Qualifications**  
Required/minimum qualifications
* Master's Degree in Mathematics, Analytics, Data Science, Engineering, Computer Science, Business, Economics or related field AND 4\+ years experience in data analysis and reporting, data science, business intelligence, or business and financial analysis OR Bachelor's Degree in Statistics, Mathematics, Analytics, Data Science, Engineering, Computer Science, Business, Economics or related field AND 6\+ years experience in data analysis and reporting, data science, business intelligence, or business and financial analysis OR equivalent experience.
Additional or preferred qualifications* Master's Degree in Mathematics, Analytics, Data Science, Engineering, Computer Science, Business, Economics or related field AND 8\+ years experience in data analysis and reporting, data science, business intelligence, or business and financial analysis OR Bachelor's Degree in Statistics, Mathematics, Analytics, Data Science, Engineering, Computer Science, Business, Economics or related field AND 12\+ years experience in data analysis and reporting, data science, business intelligence, or business and financial analysis OR equivalent experience.
Data Analytics IC5 \- The typical base pay range for this role across the U.S. is USD $130,900 \- $251,900 per year. There is a different range applicable to specific work locations, within the San Francisco Bay area and New York City metropolitan area, and the base pay range for this role in those locations is USD $165,600 \- $272,300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0">
      <c r="A50" t="inlineStr">
        <is>
          <t>in-5043d33af3c0cadb</t>
        </is>
      </c>
      <c r="B50" t="inlineStr">
        <is>
          <t>Senior Principal Data Engineer</t>
        </is>
      </c>
      <c r="C50" t="inlineStr">
        <is>
          <t>UKG</t>
        </is>
      </c>
      <c r="D50" t="inlineStr">
        <is>
          <t>indeed</t>
        </is>
      </c>
      <c r="E50" t="inlineStr"/>
      <c r="F50" t="inlineStr"/>
      <c r="G50" t="inlineStr">
        <is>
          <t>US</t>
        </is>
      </c>
      <c r="H50" s="2" t="n">
        <v>46019</v>
      </c>
      <c r="I50" t="inlineStr">
        <is>
          <t>**Job description****Company and benefits**
Job ID**SRPRI016979**
Employment Type**Regular**
Work Style**remote**
Location**United States**
Travel**Up to 25%**
Role**Senior Principal Data Engineer****Why UKG**
At UKG, the work you do matters. The code you ship, the decisions you make, and the care you show a customer all add up to real impact. Today, tens of millions of workers start and end their days with our workforce operating platform. Helping people get paid, grow in their careers, and shape the future of their industries. That’s what we do.
We never stop learning. We never stop challenging the norm. We push for better, and we celebrate the wins along the way. Here, you’ll get flexibility that’s real, benefits you can count on, and a team that succeeds together. Because at UKG, your work matters—and so do you.**About the Role**
As a Senior Principal Data Engineer within the Enterprise Data \&amp; Analytics Office, you will lead the design, evolution, and operational excellence of Nexus, UKG’s unified, GCP\-based data platform, enabling analytics, AI, and enterprise decision\-making at scale.
You will translate architectural vision into reliable, scalable, cost\-efficient data systems, lead platform modernization efforts, and set the engineering bar for data ingestion, transformation, and operational analytics across UKG. **Key Responsibilities:**
Enterprise Data Engineering Leadership* Drive the implementation of standardized medallion architecture (Bronze–Silver–Gold) across all domains.
* Establish and enforce engineering patterns for batch, streaming, CDC, and event\-driven pipelines.
* Drive design patterns for Fact and Dimension modeling, data mesh, and change data capture (CDC).
Platform \&amp; Pipeline Excellence* Design and evolve scalable data pipelines using GCP\-native services (BigQuery, GCS, Composer, Pub/Sub, Dataflow) and Databricks (Delta Lake, DLT).
* Ensure platform reliability, performance, and scalability for petabyte\-scale analytics workloads.
* Lead engineering decisions around partitioning, clustering, query optimization, and cost controls (FinOps).
* Own observability standards (freshness, SLAs, error handling, monitoring).
Engineering Standards, Quality \&amp; Governance* Define and enforce engineering standards for data quality, testing, CI/CD, and production readiness.
* Implement automated data quality frameworks, lineage, and metadata integration in partnership with Data Governance and Architecture teams.
* Ensure all pipelines meet SOX, security, and auditability requirements.
* Partner with Architects to ensure engineering implementations align to enterprise reference architectures.
Cross\-Functional Delivery \&amp; Influence* Partner with Product Managers, Product Owners, Architects, and Analytics leaders to deliver high\-impact data capabilities.
* Act as the technical escalation point for complex production issues and platform risks.
* Influence roadmap decisions by balancing technical feasibility, delivery velocity, and long\-term sustainability.
* Support ESE Agile delivery by enabling architecture runway and reducing technical blockers.
Mentorship \&amp; Organizational Impact* Mentor Principal, Senior, and Mid\-level Data Engineers, raising the overall engineering maturity of the organization.
* Lead by example through design reviews, code reviews, and engineering forums.
* Build reusable frameworks, libraries, and accelerators that scale engineering productivity.
* Foster a culture of ownership, quality, and continuous improvement.
 **Basic Qualifications:*** 15\+ years of experience in data engineering, data platforms, or large\-scale analytics systems.
* Proven leadership delivering enterprise\-scale data platforms and migrations.
* Deep hands\-on experience large (Petabyte) scale operating data platforms .
Technical Expertise* GCP (required): BigQuery, GCS, Cloud Composer, Pub/Sub, Dataflow, Dataform, Dataproc, Dataplex
* Databricks: Delta Lake, Delta Live Tables, Spark, Unity Catalog
* Strong proficiency in Python, SQL, Spark, and distributed systems
* Expertise in data modeling, ELT patterns, CDC, and streaming architectures
* Experience supporting AI/ML pipelines, feature stores, and analytics consumption
* Strong understanding of Dimensional Modeling, ELT and modern data lakehouse patterns.
Leadership \&amp; Collaboration* Proven ability to influence without authority across engineering, product, and architecture teams.
* Strong communication skills with both technical and executive audiences.
* Track record of mentoring senior engineers and leading complex initiatives.
 **Preferred Qualifications:*** Experience modernizing legacy warehouses and ETL platforms.
* Familiarity with Data Mesh execution and domain\-aligned data products.
* Experience implementing FinOps practices for analytics platforms.
* Exposure to AI/ML enablement, feature engineering, or agent\-driven analytics.
* Google Cloud certifications (Data Engineer, Architect) preferred
**Company Overview:**
UKG is the Workforce Operating Platform that puts workforce understanding to work. With the world's largest collection of workforce insights, and people\-first AI, our ability to reveal unseen ways to build trust, amplify productivity, and empower talent, is unmatched. It's this expertise that equips our customers with the intelligence to solve any challenge in any industry — because great organizations know their workforce is their competitive edge. Learn more at ukg.com.
Equal Opportunity Employer
UKG is an equal opportunity employer. We evaluate qualified applicants without regard to race, color, disability, religion, sex, age, national origin, veteran status, genetic information, and other legally protected categories.
View The EEO Know Your Rights poster
UKG participates in E\-Verify.
It is unlawful in Massachusetts to require or administer a lie detector test as a condition of employment or continued employment. An employer who violates this law shall be subject to criminal penalties and civil liability.
Disability Accommodation in the Application and Interview Process
For individuals with disabilities that need additional assistance at any point in the application and interview process, please email UKGCareers@ukg.com.
The pay range for this position is $184,300\.00 to $230,000 however, base pay offered may vary depending on skills, experience, job\-related knowledge and location. This position is also eligible for a short\-term incentive and a long\-term incentive as part of total compensation. Information about UKG’s comprehensive benefits can be reviewed on our careers site at https://www.ukg.com/about\-us/careers/benefits
NOTICE ON HIRING SCAMS  
UKG will never ask you for a copy of your driver’s license, social security card, or passport during a job inter  
ABOUT OUR JOB DESCRIPTIONS  
All job descriptions are written to accurately reflect the open job and include general work responsibilities. They do not present a comprehensive, detailed inventory of all duties, responsibilities, and qualifications required for the job. Management reserves the right to revise the job or require that other or different tasks be performed if or when circumstances change.</t>
        </is>
      </c>
    </row>
    <row r="51">
      <c r="A51" t="inlineStr">
        <is>
          <t>in-d83694e9d08fd2d1</t>
        </is>
      </c>
      <c r="B51" t="inlineStr">
        <is>
          <t>Sr. Data Engineer</t>
        </is>
      </c>
      <c r="C51" t="inlineStr">
        <is>
          <t>FNIC</t>
        </is>
      </c>
      <c r="D51" t="inlineStr">
        <is>
          <t>indeed</t>
        </is>
      </c>
      <c r="E51">
        <f>HYPERLINK("https://www.indeed.com/viewjob?jk=d83694e9d08fd2d1", "https://www.indeed.com/viewjob?jk=d83694e9d08fd2d1")</f>
        <v/>
      </c>
      <c r="F51">
        <f>HYPERLINK("https://recruiting.paylocity.com/recruiting/jobs/Details/3828983/FNIC/Sr-Data-Engineer?source=Indeed_Feed", "https://recruiting.paylocity.com/recruiting/jobs/Details/3828983/FNIC/Sr-Data-Engineer?source=Indeed_Feed")</f>
        <v/>
      </c>
      <c r="G51" t="inlineStr">
        <is>
          <t>Omaha, NE, US</t>
        </is>
      </c>
      <c r="H51" s="3" t="n">
        <v>46030</v>
      </c>
      <c r="I51" t="inlineStr">
        <is>
          <t>Description:
**Are you looking for?**
* Flexibility that fits your life, including work\-from\-home options
* Paid time off driven by results and well\-being, not a fixed number of days
* A fun, collaborative environment
* Support for continued learning and career growth
* A culture based on trust, accountability, and bringing your whole self to work
We are seeking an experienced, versatile **Sr. Data Engineer** to join our innovative and agile data team. This role is instrumental in designing, building, and evolving a modern, scalable data platform while working in deep daily collaboration with a complementary Data Analyst.
As a senior member of the team, this position requires strong technical leadership, hands\-on engineering expertise, and a customer\-centric mindset. You will own core data architecture and engineering decisions while mentoring the Data Analyst and ensuring shared accountability for data quality, reliability, and delivery.
**What’s the work like?**
*You will...*
* Architect, implement, and maintain scalable data solutions using Google Cloud Platform, with BigQuery as the primary analytical data store.
* Design, build, and optimize data pipelines using Python, dbt, and Airflow (Cloud Composer) to support analytics, reporting, and downstream integrations.
* Develop and maintain robust APIs and integrations in Python, enabling seamless communication between the data platform and business applications.
* Collaborate closely with the Data Analyst to validate data models, transformation logic, and pipeline outputs, ensuring accuracy and business alignment.
* Support and contribute to PowerBI semantic models and dashboards, partnering with the Data Analyst to ensure performance, usability, and trusted metrics.
* Act as a full\-stack data professional, contributing across data architecture, ingestion, transformation, analytics enablement, visualization support, and API development.
* Serve as a technical mentor to the Data Analyst, providing guidance on data modeling, SQL optimization, engineering best practices, and platform design.
* Participate jointly with the Data Analyst in monitoring, UAT, troubleshooting, and operational support of data pipelines and reporting solutions.
* Build and maintain technical documentation for data architecture, pipelines, and engineering standards; support user\-facing documentation efforts as needed.
* Work within an agile framework alongside a dedicated Product Owner to deliver iterative, high\-value data solutions.
* Provide proactive internal customer support and demonstrate strong customer\-centric behaviors for internally developed data products and platforms.
**Okay, so why join FNIC?**
*While we expect a lot from our employees at FNIC, we believe in giving just as much in return. Here’s what you can expect when you join our team...*
* **Competitive Pay:** We offer market\-competitive compensation packages that reflect your experience, expertise, and the value you bring to our clients and teams.
* **Benefits You Can Rely On:** Health, dental, and vision insurance, HSA with employer contributions, 401(k) match, employer\-paid disability coverage, and life insurance.
* **Freestyle PTO \&amp; Work\-Life Balance:** Our trust\-based and freestyle time\-off approach removes PTO banks and offers flexible telecommuting options.
* **Dress for Your Day:** Whether you’re client\-facing or behind the scenes, we encourage you to dress in a way that helps you feel comfortable and confident.
* **Invested in Your Development:** We support continuous learning through tuition reimbursement, training opportunities, and career growth paths across FNIC.
* **A Workplace That Cares:** Access mental health support through our EAP, virtual fitness classes, in\-office gym access (Omaha), and a culture that prioritizes connection, fun, and collaboration.
Requirements:
**What do I need to know?**
*You have to have…*
* Bachelor’s degree in Computer Science, Software Engineering, Data Engineering, Information Systems, or a related technical field (or equivalent practical experience).
* 5\+ years of professional data engineering experience, with at least 2 years in a senior or full\-stack data engineering role.
* Strong expertise with BigQuery / Google Cloud Platform, including data modeling and advanced SQL optimization.
* Proven experience building and maintaining data pipelines using Python, dbt, and Airflow (Cloud Composer).
* Experience supporting analytics and reporting platforms, including PowerBI semantic models and dashboards.
* Familiarity with Azure DevOps or similar CI/CD and work management tooling.
* Demonstrated ability to mentor and collaborate closely with analytics\-focused team members.
* Strong problem\-solving skills, attention to data quality, and ownership mindset.
* Ability to thrive in an agile, fast\-moving environment with close business and technical collaboration.
* Legal authorization to work in the United States without the need for employer sponsorship, now or in the future.
**We'd like it if you had...**
* Familiarity or experience with Applied System’s Epic platform.
* Previous experience or exposure to the Insurance industry.
**If you’re passionate about building reliable data platforms, mentoring analytical talent, and owning end\-to\-end data solutions in a collaborative environment, we’d love to hear from you.**</t>
        </is>
      </c>
    </row>
    <row r="52">
      <c r="A52" t="inlineStr">
        <is>
          <t>in-ad376c47784130c1</t>
        </is>
      </c>
      <c r="B52" t="inlineStr">
        <is>
          <t>Data Analytics Engineer</t>
        </is>
      </c>
      <c r="C52" t="inlineStr">
        <is>
          <t>Thermo Fisher Scientific</t>
        </is>
      </c>
      <c r="D52" t="inlineStr">
        <is>
          <t>indeed</t>
        </is>
      </c>
      <c r="E52">
        <f>HYPERLINK("https://www.indeed.com/viewjob?jk=ad376c47784130c1", "https://www.indeed.com/viewjob?jk=ad376c47784130c1")</f>
        <v/>
      </c>
      <c r="F52">
        <f>HYPERLINK("https://jsv3.recruitics.com/redirect?rx_cid=3436&amp;rx_jobId=R-01335487&amp;rx_url=https%3A%2F%2Fjobs.thermofisher.com%2Fglobal%2Fen%2Fjob%2FR-01335487%2FData-Analytics-Engineer%3Frx_a%3D0%26rx_c%3D%26rx_ch%3Djobp4p%26rx_group%3D123525%26rx_id%3D07c416d9-edaa-11f0-8e32-55e9d4635cba%26rx_job%3DR-01335487%26rx_medium%3Dcpc%26rx_r%3Dnone%26rx_source%3Dindeed%26rx_ts%3D20260110T040544Z%26rx_vp%3Dcpc%26utm_medium%3Dppc%26utm_source%3Drecruitics_indeedorganic", "https://jsv3.recruitics.com/redirect?rx_cid=3436&amp;rx_jobId=R-01335487&amp;rx_url=https%3A%2F%2Fjobs.thermofisher.com%2Fglobal%2Fen%2Fjob%2FR-01335487%2FData-Analytics-Engineer%3Frx_a%3D0%26rx_c%3D%26rx_ch%3Djobp4p%26rx_group%3D123525%26rx_id%3D07c416d9-edaa-11f0-8e32-55e9d4635cba%26rx_job%3DR-01335487%26rx_medium%3Dcpc%26rx_r%3Dnone%26rx_source%3Dindeed%26rx_ts%3D20260110T040544Z%26rx_vp%3Dcpc%26utm_medium%3Dppc%26utm_source%3Drecruitics_indeedorganic")</f>
        <v/>
      </c>
      <c r="G52" t="inlineStr">
        <is>
          <t>TX, US</t>
        </is>
      </c>
      <c r="H52" s="3" t="n">
        <v>46030</v>
      </c>
      <c r="I52" t="inlineStr">
        <is>
          <t>**Work Schedule**
Standard (Mon\-Fri)**Environmental Conditions**
Office**Job Description**
How will you make an impact?
We are seeking an expert Microsoft Fabric Developer \&amp; Administrator to support projects by building and improving modern analytics and AI solutions using the Microsoft Fabric platform. This role will help the company make faster, more thoughtful decisions by delivering AI\-powered insights, automation, and real\-time reporting across global business functions.
The ideal candidate will upgrade and streamline our data systems by using tools like Power BI, Fabric Lakehouse, Data Activator, Data Agent, and Copilot, and by integrating ChatGPT and Model Context Protocol (MCP) to develop experienced, conversational, and user\-friendly analytics. This role requires strong technical skills, problem\-solving abilities, and the capability to build secure, scalable systems that drive innovation, efficiency, and business growth.
**What will you do?**
* Build and enhance Power BI datasets, dashboards, and reports within the Microsoft Fabric ecosystem, ensuring performance, scalability, and an outstanding user experience.
* Leverage Copilot, ChatGPT, and MCP\-based AI integrations to automate insights, enable natural language analytics, and deliver predictive and generative intelligence.
* Develop advanced data modeling, DAX, and Power Query (M) solutions to enable complex, high\-volume enterprise reporting.
* Coordinate and configure Fabric capacities, workspaces, pipelines, and Lakehouses, ensuring secure, reliable, and compliant operations.
* Manage and integrate Data Activator and Data Agent for event\-driven, AI\-assisted analytics workflows.
* Perform capacity analysis, optimize resource utilization, and build proactive monitoring processes to sustain peak performance.
* Integrate Fabric telemetry and activity logs with Log Analytics and Azure Monitor to build actionable intelligence on usage, performance, and cost efficiency.
* Develop CI/CD automation for Power BI and Fabric assets through Azure DevOps, Git, or GitHub Actions, ensuring version control, alignment, and deployment consistency.
* Collaborate with engineering and data teams to unify data across Databricks, AWS Redshift, and Data Lakes, establishing a governed, high\-availability data fabric.
* Optimize SQL and PySpark queries for analytical performance and efficiency.
* Implement data lineage, governance, and security protocols using enterprise\-level RLS/OLS and workspace oversight.
* Promote and improve reporting by using advanced technology, MCP\-based analytics, and automation to help teams create their own reports more easily and effectively.
* Lead platform optimization and capacity scaling initiatives for sustained reliability and performance.
* Demonstrate advanced problem\-solving, debugging, and cross\-platform integration skills across hybrid data and AI ecosystems.
**Experience, Knowledge, Skills, and Abilities**
------------------------------------------------
* BS/MS or equivalent experience in Computer Science or related fields, plus 5–8 years working with Power BI and Microsoft Fabric at an enterprise level.
* Strong hands\-on experience with Fabric Lakehouse, Data Agent, Copilot, and MCP integrations with ChatGPT.
* Advanced skills in DAX, Power Query (M), Power BI REST APIs, and Data Gateway setup.
* Experience building CI/CD pipelines for Fabric and Power BI using Azure DevOps, Git, or GitHub Actions.
* Strong coding and automation skills using SQL, Python, PySpark, and PowerShell.
* Basic knowledge of Terraform, Azure CLI, and DevOps tools used for automated deployments.
* Good understanding of data governance, RLS/OLS, and workspace management in Fabric.
* Experience with Log Analytics, monitoring, and capacity tuning for Power BI Premium and Fabric.
* Strong problem\-solving and debugging skills, especially for automation and AI\-enabled systems.
* Demonstrated leadership, teamwork, and interpersonal skills across IT, data, and business teams.
* Ability to thrive in fast\-paced, multi\-project environments, maintaining quality and agility.
* Takes ownership, stays accountable, and always looks for ways to improve and scale systems.
* Passionate about AI, MCP, and new technology, staying up\-to\-date with Fabric and AI advancements.
* Able to turn complex technical work into clear business value and help shape data strategy.
**Benefits and Total Rewards**
This position may also be eligible to receive a variable annual bonus based on company, team, and individual performance. Thermo Fisher Scientific offers a comprehensive Total Rewards package that includes:
* Multiple medical, dental, and vision plan options.
* Employee assistance and family support programs, tuition reimbursement, and commuter benefits.
* Paid time off (PTO), paid holidays, parental leave, and life/disability insurance.
* Retirement programs such as a competitive 401(k) with company match and an Employee Stock Purchase Plan (ESPP).</t>
        </is>
      </c>
    </row>
    <row r="53">
      <c r="A53" t="inlineStr">
        <is>
          <t>in-ed63bedb4f5395e9</t>
        </is>
      </c>
      <c r="B53" t="inlineStr">
        <is>
          <t>Senior/Mid Level Data Engineer - Active TS is required (ONSITE - 100%)</t>
        </is>
      </c>
      <c r="C53" t="inlineStr">
        <is>
          <t>Visual Soft, Inc</t>
        </is>
      </c>
      <c r="D53" t="inlineStr">
        <is>
          <t>indeed</t>
        </is>
      </c>
      <c r="E53">
        <f>HYPERLINK("https://www.indeed.com/viewjob?jk=ed63bedb4f5395e9", "https://www.indeed.com/viewjob?jk=ed63bedb4f5395e9")</f>
        <v/>
      </c>
      <c r="F53">
        <f>HYPERLINK("https://visualsoftinc.catsone.com/careers/23641-General/jobs/16764036-SeniorMid-Level-Data-Engineer--Active-TS-is-required-ONSITE--100/?ref=Indeed", "https://visualsoftinc.catsone.com/careers/23641-General/jobs/16764036-SeniorMid-Level-Data-Engineer--Active-TS-is-required-ONSITE--100/?ref=Indeed")</f>
        <v/>
      </c>
      <c r="G53" t="inlineStr">
        <is>
          <t>Huntsville, AL, US</t>
        </is>
      </c>
      <c r="H53" s="3" t="n">
        <v>46030</v>
      </c>
      <c r="I53" t="inlineStr">
        <is>
          <t>Visual Soft, Inc is seeking qualified candidates to work on our efforts with a Prime for their end customer, a federal agency in **Huntsville, AL**
**Job Title**: Data Engineer (Senior / Mid\-Level) – ETL / Cloud / AWS – Top Secret Clearance  
**Location**: Huntsville, Alabama (100% Onsite)  
**Clearance Required**: Active Top Secret Clearance (U.S. Citizenship Required)  
**Employment Type**: Full\-Time / Permanent/1099 Consultant  
**Education**: Bachelor’s Degree (B.S.) in Computer Science, Information Systems, Engineering, or related field  
**Experience**:  
Senior: 8\+ years of hands\-on data engineering experience  
Mid\-Level: 5\+ years of hands\-on data engineering experience  
**Job Descriptio**n  
We are seeking Data Engineers (Senior and Mid\-Level) to support secure, mission\-critical data environments within a classified cloud infrastructure.  
These roles are fully onsite in Huntsville, AL and require an active Top Secret clearance.  
The ideal candidates will have strong experience with ETL development, data migration, Java\-based data pipelines, and relational/NoSQL databases (Oracle, PostgreSQL, MongoDB), along with exposure to AWS cloud services and Agile/Scrum methodologies.  
**Key Responsibilities**  
Design, develop, and maintain ETL workflows to extract, transform, and load large\-scale structured and unstructured datasets.  
Develop data migration solutions between legacy and modern systems using SQL, Java, and cloud\-native tools.  
Implement data integration frameworks leveraging AWS services such as Glue, Lambda, S3, RDS, Redshift, and Kinesis.  
Develop automation scripts using Python, Shell, or Bash for deployment, data validation, and maintenance tasks.  
Maintain and enhance data pipelines for real\-time and batch data processing.  
Support data quality, metadata management, and governance activities.  
Participate in Agile/Scrum sprints, contributing to design, code reviews, testing, and documentation.  
Troubleshoot and resolve data\-related issues across on\-premises and AWS environments.  
**Desired qualifications**  
Bachelor’s degree in Computer Science, Engineering, or related technical field.  
5\+ (Mid) or 8\+ (Senior) years of experience in data engineering or database development.  
Strong hands\-on experience with ETL tools (e.g., Informatica, Talend, Pentaho, AWS Glue, or custom Java ETL frameworks).  
Proficiency in SQL and at least one major RDBMS (Oracle or PostgreSQL).  
Experience with data migration projects and data quality validation.  
Proficient in Java or Python for data processing and automation.  
Experience working with cloud technologies, preferably AWS (RDS, S3, Lambda, Redshift, Glue).  
Working knowledge of Linux/Unix environments and shell scripting.  
Experience in an Agile/Scrum development environment.  
Excellent problem\-solving, analytical, and communication skills.  
**Our standard benefits include**:Our standard benefits include 3 weeks of Paid time off (PTO that includes sick leave). Any unused PTO will be issued as a check at the end of an employee's anniversary with us. we also provide 2 floating and 8 public holidays. Floating and holidays expire at the end of every year of service of an employee. In addition, company will cover 50% of health and dental insurances only for all full time employees, however, dependents can be added at extra cost. Employee's health and dental coverage becomes effective after 30 days or first of the month after an employee completes initial 30 working days, we cover 50% for the employee's health and dental insurances. An employee has to finish all of your paper work for health and dental in the first 30 days of your employment with us. We provide STD, LTD and one time salary equivalent of life insurance at NO cost to all full time employees. All full time employees or w\-2 employees with no benefits will be eligible to participate in company's 401k program after 90 days of employment with a company match of 4%, immediate vesting. In addition, all w\-2 employees are eligible to be part of company's profit sharing, no employee contributions required.</t>
        </is>
      </c>
    </row>
    <row r="54">
      <c r="A54" t="inlineStr">
        <is>
          <t>in-56adbfe74b5016c3</t>
        </is>
      </c>
      <c r="B54" t="inlineStr">
        <is>
          <t>Staff Data Engineer - Substantiation Platform *Hybrid*</t>
        </is>
      </c>
      <c r="C54" t="inlineStr">
        <is>
          <t>GEICO</t>
        </is>
      </c>
      <c r="D54" t="inlineStr">
        <is>
          <t>indeed</t>
        </is>
      </c>
      <c r="E54">
        <f>HYPERLINK("https://www.indeed.com/viewjob?jk=56adbfe74b5016c3", "https://www.indeed.com/viewjob?jk=56adbfe74b5016c3")</f>
        <v/>
      </c>
      <c r="F54">
        <f>HYPERLINK("https://click.appcast.io/t/tk_p6tolFoYwOjlEjNCJYXM32Hw6HDtTbCEn-h_hci0=", "https://click.appcast.io/t/tk_p6tolFoYwOjlEjNCJYXM32Hw6HDtTbCEn-h_hci0=")</f>
        <v/>
      </c>
      <c r="G54" t="inlineStr">
        <is>
          <t>Dallas, TX, US</t>
        </is>
      </c>
      <c r="H54" s="3" t="n">
        <v>46030</v>
      </c>
      <c r="I5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9\+ years of experience in Software Engineering
* Experience in one or more relevant programming languages, such as **C\#, Java and/or Go**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5">
      <c r="A55" t="inlineStr">
        <is>
          <t>in-88e8a85f051f6546</t>
        </is>
      </c>
      <c r="B55" t="inlineStr">
        <is>
          <t>Staff Data Engineer - Substantiation Platform *Hybrid*</t>
        </is>
      </c>
      <c r="C55" t="inlineStr">
        <is>
          <t>GEICO</t>
        </is>
      </c>
      <c r="D55" t="inlineStr">
        <is>
          <t>indeed</t>
        </is>
      </c>
      <c r="E55">
        <f>HYPERLINK("https://www.indeed.com/viewjob?jk=88e8a85f051f6546", "https://www.indeed.com/viewjob?jk=88e8a85f051f6546")</f>
        <v/>
      </c>
      <c r="F55">
        <f>HYPERLINK("https://click.appcast.io/t/IqDe_W9m6SmpRAtKfjEKfQC9R2ihCrkMD8x-suOc8io=", "https://click.appcast.io/t/IqDe_W9m6SmpRAtKfjEKfQC9R2ihCrkMD8x-suOc8io=")</f>
        <v/>
      </c>
      <c r="G55" t="inlineStr">
        <is>
          <t>Chevy Chase, MD, US</t>
        </is>
      </c>
      <c r="H55" s="3" t="n">
        <v>46030</v>
      </c>
      <c r="I5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9\+ years of experience in Software Engineering
* Experience in one or more relevant programming languages, such as **C\#, Java and/or Go**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6">
      <c r="A56" t="inlineStr">
        <is>
          <t>in-9738d63afccf6c13</t>
        </is>
      </c>
      <c r="B56" t="inlineStr">
        <is>
          <t>Staff Data Engineer - Substantiation Platform *Hybrid*</t>
        </is>
      </c>
      <c r="C56" t="inlineStr">
        <is>
          <t>GEICO</t>
        </is>
      </c>
      <c r="D56" t="inlineStr">
        <is>
          <t>indeed</t>
        </is>
      </c>
      <c r="E56">
        <f>HYPERLINK("https://www.indeed.com/viewjob?jk=9738d63afccf6c13", "https://www.indeed.com/viewjob?jk=9738d63afccf6c13")</f>
        <v/>
      </c>
      <c r="F56">
        <f>HYPERLINK("https://click.appcast.io/t/ybfLGh6PNYJpXIzE5w0uVCDHitvi3Z14wwG1WBli4WI=", "https://click.appcast.io/t/ybfLGh6PNYJpXIzE5w0uVCDHitvi3Z14wwG1WBli4WI=")</f>
        <v/>
      </c>
      <c r="G56" t="inlineStr">
        <is>
          <t>Chicago, IL, US</t>
        </is>
      </c>
      <c r="H56" s="3" t="n">
        <v>46030</v>
      </c>
      <c r="I5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**About The Team**  
Our **Financial Data Integrity Team** is at the heart of ensuring trust and accuracy in our organization’s financial ecosystem. We design, implement, and manage the substantiation platform that safeguards the integrity of financial data across global systems, enabling compliance, informed decision\-making, and operational excellence.
**What you will do**
As a **Staff Software Data Engineer** within our **Financial Data Integrity Substantiation Platform**, you will play an important role in building and managing our critical data reconciliation systems. Your technical expertise will contribute to ensuring the accuracy, reliability, and scalability of our financial data infrastructure.
**Here's what you can expect to do**:
* Contribute to the design and implementation of high\-performance, scalable reconciliation systems capable of processing billions of transactions daily
* Participate in making technical decisions that balance immediate business needs with long\-term scalability and maintainability
* Work with cross\-functional teams to integrate our platform with various financial systems, ERPs, and data warehouses
* Develop core components of our substantiation platform, writing high\-quality, efficient code
* Provide technical guidance to other engineers on the team
* Follow and help improve best practices for code quality, testing, and deployment
* Contribute to the professional development of junior engineers through code reviews and knowledge sharing
* Collaborate with Finance, Compliance, and Business Intelligence teams to implement technical solutions for complex business requirements
* Work with Product Management to implement features that deliver maximum impact
* Explain technical concepts to both technical and non\-technical stakeholders
**Minimum Requirements:**
* Bachelor’s degree in data science, computer science, economics or related field; advanced degree preferred
* 9\+ years of experience in Software Engineering
* Experience in one or more relevant programming languages, such as **C\#, Java and/or Go**
* Experience with tools like Git, Docker, Kubernetes, and CI/CD pipelines
* Experience with cloud platforms like AWS, Azure, or Google Cloud
* Competence in SQL, NoSQL, relational database design and efficient methods for data retrieval and preparation at scale
* Proven ability to collect and process raw data at scale, including scripting, API integration, and SQL querying
* Experience in writing and optimizing SQL queries, ensure data security, and integrate Snowflake with third\-party tools
* Experience with data modeling, ETL processes and query languages (Python, PySpark, and SQL)
* Demonstrated success working with cross\-functional teams to integrate new platform with various financial systems, ERPs, and data warehouses
* Good communication skills, with the ability to explain technical concepts to both technical and non\-technical stakeholders
* Experience with Agile development methodologies and CI/CD practices
\#LI\-MK1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57">
      <c r="A57" t="inlineStr">
        <is>
          <t>in-1326689bc192043a</t>
        </is>
      </c>
      <c r="B57" t="inlineStr">
        <is>
          <t>Data Engineer - Wealth Technology</t>
        </is>
      </c>
      <c r="C57" t="inlineStr">
        <is>
          <t>Dynasty Financial Partners</t>
        </is>
      </c>
      <c r="D57" t="inlineStr">
        <is>
          <t>indeed</t>
        </is>
      </c>
      <c r="E57">
        <f>HYPERLINK("https://www.indeed.com/viewjob?jk=1326689bc192043a", "https://www.indeed.com/viewjob?jk=1326689bc192043a")</f>
        <v/>
      </c>
      <c r="F57">
        <f>HYPERLINK("https://recruiting.paylocity.com/recruiting/jobs/Details/3818887/Dynasty-Financial-Partners-LLC/Data-Engineer---Wealth-Technology?source=Indeed_Feed", "https://recruiting.paylocity.com/recruiting/jobs/Details/3818887/Dynasty-Financial-Partners-LLC/Data-Engineer---Wealth-Technology?source=Indeed_Feed")</f>
        <v/>
      </c>
      <c r="G57" t="inlineStr">
        <is>
          <t>Saint Petersburg, FL, US</t>
        </is>
      </c>
      <c r="H57" s="3" t="n">
        <v>46030</v>
      </c>
      <c r="I57" t="inlineStr">
        <is>
          <t>Description:
**Job Overview**
Dynasty Financial Partners is seeking a motivated, self\-starting individual to join our team and pursue our shared goal of providing exceptional service for our clients. As a Data Engineer, you will serve as a dedicated resource to support our Data Lake and assist on internal and external client solutions/product\-based support. You will identify, develop, and implement product and technology\-based solutions to increase operational efficiency, improve accuracy, and support platform adoption.
Please Note: This job is an IN\-OFFICE position located in St. Petersburg, FL. If you are unable or unwilling to fulfill this requirement of the position, please refrain from applying
**Responsibilities**
* Design, develop, and maintain reliable and efficient data pipelines using Azure Data Factory and Azure Databricks.
* Construct and maintain complex data processing systems, ensuring they are scalable, repeatable, and secure.
* Develop data pipelines that answer critical business questions and solve internal and external reporting needs.
* Develop and maintain data models and data architecture to support data lakehouse architecture.
* Implement automated data validation, testing, and error handling mechanisms within data pipelines.
* Stay up to date with the latest Azure services and technologies, as well as industry best practices, to continuously improve the data engineering processes.
* Document all data engineering processes, systems, and designs to ensure knowledge sharing and business continuity.
Requirements:
**Requirements**
* Bachelor's degree in computer science, Engineering, or related field; master's degree is a plus.
* Minimum of 3 years of experience as a Data Engineer with a focus on Azure cloud services.
* Strong experience with Azure Databricks for data processing and analytics.
* Proficient in Azure Data Factory for creating, scheduling, and orchestrating data workflows.
* Familiarity with data modeling, SQL, and data warehousing principles.
* Experience with programming languages such as Python, Scala, or SQL for data manipulation and transformation.
* Solid understanding of CI/CD practices and version control systems (e.g., Git).
* Excellent problem\-solving skills, attention to detail, and the ability to work in a fast\-paced environment.
* Strong communication and collaboration skills to work effectively with both technical and non\-technical team members.
**Relevant Certifications**
* Azure Data Engineer Associate
* Azure Data Fundamentals
* Microsoft PowerBI
**Preferred, but not Required**
* Knowledge of Delta Lake and Lakehouse architecture patterns
* Experience with Databricks Unity Catalog for data governance and metadata management
* Work history in the Wealth Management industry is a plus
**BENEFITS**
* Health Insurance
* Dental insurance
* Vision insurance
* Retirement plan 401(k)
* 401(k) matching
* Paid Time Off
* FSA/HSA benefits plans
* Disability benefits
* Voluntary Life Insurance
* Basic Life Insurance
**EQUAL EMPLOYMENT OPPORTUNITY ?Dynasty Financial Partners is committed to providing equal employment opportunities and ensuring that all employment\-related decisions are made without regard to race, color, sex, age, national origin, religion, physical or mental disability (unrelated to the ability to perform job duties) veteran status, or any other protected status under applicable law.**</t>
        </is>
      </c>
    </row>
    <row r="58">
      <c r="A58" t="inlineStr">
        <is>
          <t>in-1f9572b37ceff796</t>
        </is>
      </c>
      <c r="B58" t="inlineStr">
        <is>
          <t>Lead Data Engineer - (Hybrid)</t>
        </is>
      </c>
      <c r="C58" t="inlineStr">
        <is>
          <t>CareFirst BlueCross BlueShield</t>
        </is>
      </c>
      <c r="D58" t="inlineStr">
        <is>
          <t>indeed</t>
        </is>
      </c>
      <c r="E58">
        <f>HYPERLINK("https://www.indeed.com/viewjob?jk=1f9572b37ceff796", "https://www.indeed.com/viewjob?jk=1f9572b37ceff796")</f>
        <v/>
      </c>
      <c r="F58">
        <f>HYPERLINK("https://carefirstcareers.ttcportals.com/jobs/17206761-lead-data-engineer-hybrid?tm_job=21697-1A&amp;tm_event=view&amp;tm_company=2380", "https://carefirstcareers.ttcportals.com/jobs/17206761-lead-data-engineer-hybrid?tm_job=21697-1A&amp;tm_event=view&amp;tm_company=2380")</f>
        <v/>
      </c>
      <c r="G58" t="inlineStr">
        <is>
          <t>Reston, VA, US</t>
        </is>
      </c>
      <c r="H58" s="3" t="n">
        <v>46030</v>
      </c>
      <c r="I58" t="inlineStr">
        <is>
          <t>**Resp \&amp; Qualifications**
**PURPOSE:**  
The Lead Data Engineer is responsible for orchestrating, deploying, maintaining and scaling cloud OR on\-premise infrastructure targeting big data and platform data management (Relational and NoSQL, distributed and converged) with emphasis on reliability, automation and performance. This role will focus on leading the development of solutions and helping transform the company's platforms deliver data\-driven, meaningful insights and value to company.  
**ESSENTIAL FUNCTIONS:**
* Lead the team to design, configure, implement, monitor, and manage all aspects of Data Integration Framework. Defines and develop the Data Integration best practices for the data management environment of optimal performance and reliability.
* Develops and maintains infrastructure systems (e.g., data warehouses, data lakes) including data access APIs. Prepares and manipulates data using Hadoop or equivalent MapReduce platform.
* Provides detailed guidance and performs work related to Modeling Data Warehouse solutions in the cloud OR on\-premise. Understands Dimensional Modeling, De\-normalized Data Structures, OLAP, and Data Warehousing concepts.
* Oversees the delivery of engineering data initiatives and projects. Supports long term data initiatives as well as Ad\-Hoc analysis and ELT/ETL activities. Creates data collection frameworks for structured and unstructured data. Applies data extraction, transformation and loading techniques in order to connect large data sets from a variety of sources.
* Enforces the implementation of best practices for data auditing, scalability, reliability and application performance. Develop and apply data extraction, transformation and loading techniques in order to connect large data sets from a variety of sources.
* Interprets data, analyzes results using statistical techniques, and provides ongoing reports. Executes quantitative analyses that translate data into actionable insights. Provides analytical and data\-driven decision\-making support for key projects. Designs, manages, and conducts quality control procedures for data sets using data from multiple systems.
* Improves data delivery engineering job knowledge by attending educational workshops; reviewing professional publications; establishing personal networks; benchmarking state\-of\-the\-art practices; participating in professional societies.
**SUPERVISORY RESPONSIBILITY:**  
Position does not have direct reports but is expected to assist in guiding and mentoring less experienced staff. May lead a team of matrixed resources.  
**QUALIFICATIONS:**  
**Education Level:** Bachelor's Degree in Computer Science, Information Technology or Engineering or related field OR in lieu of a Bachelor's degree, an additional 4 years of relevant work experience is required in addition to the required work experience.  
**Experience:** 8 years Experience in leading data engineering and cross functional team to implement scalable and fine\-tuned ETL/ELT solutions for optimal performance. Experience developing and updating ETL/ELT scripts. Hands\-on experience with application development, relational database layout, development, data modeling.  
**Knowledge, Skills and Abilities (KSAs)**
* Knowledge and understanding of at least one programming language (i.e., SQL, NoSQL, Python).
* Knowledge and understanding of database design and implementation concepts.
* Knowledge and understanding of data exchange formats.
* Knowledge and understanding of data movement concepts.
* Strong technical and analytical and problem\-solving skills to troubleshoot to solve a variety of problems.
* Requires strong organizational and communication skills, written and verbal, with the ability to handle multiple priorities.
* Able to effectively provide direction to and lead technical teams.
Must be able to meet established deadlines and handle multiple customer service demands from internal and external customers, within set expectations for service excellence. Must be able to effectively communicate and provide positive customer service to every internal and external customer, including customers who may be demanding or otherwise challenging.  
* 
**Salary Range:** $113,616 \- $225,654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responsibilities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Data Integration Architect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
\#LI\-KT1</t>
        </is>
      </c>
    </row>
    <row r="59">
      <c r="A59" t="inlineStr">
        <is>
          <t>in-9d49fe1b6025828c</t>
        </is>
      </c>
      <c r="B59" t="inlineStr">
        <is>
          <t>Data Engineer III</t>
        </is>
      </c>
      <c r="C59" t="inlineStr">
        <is>
          <t>RELX Group</t>
        </is>
      </c>
      <c r="D59" t="inlineStr">
        <is>
          <t>indeed</t>
        </is>
      </c>
      <c r="E59">
        <f>HYPERLINK("https://www.indeed.com/viewjob?jk=9d49fe1b6025828c", "https://www.indeed.com/viewjob?jk=9d49fe1b6025828c")</f>
        <v/>
      </c>
      <c r="F59">
        <f>HYPERLINK("https://relx.wd3.myworkdayjobs.com/en-US/relx/job/San-Jose-CA/Data-Engineer-III_R107249", "https://relx.wd3.myworkdayjobs.com/en-US/relx/job/San-Jose-CA/Data-Engineer-III_R107249")</f>
        <v/>
      </c>
      <c r="G59" t="inlineStr">
        <is>
          <t>San Jose, CA, US</t>
        </is>
      </c>
      <c r="H59" s="3" t="n">
        <v>46030</v>
      </c>
      <c r="I59" t="inlineStr">
        <is>
          <t>* LexisNexis USA
* Data Engineer III
* 160 W Santa Clara Street, Suite 1100, San Jose, CA, 95113
JOB DESCRIPTION:* Own a specific set or group of data transfers in various capacities including collection setup, data transfer setup, and contributor/customer setup. Oversee specific database management ensuring structure and dataflow adheres to department standards. Perform moderate research, design, and data engineering assignments within a specific engineering functional area or product line. Interface with other technical personnel or team members to document, interpret, and finalize requirements. Produce code that is efficient, repeatable, without defects, and adherent to best practices such as naming conventions, encapsulation, etc. Write and review portions of detailed specifications for the development of data components. Complete data engineering bug fixes and issues, researching and identifying root causes as appropriate. Identify opportunities to apply automation or other tools to improve effectiveness or efficiency. Work closely with other development team members to understand product requirements and translate them into data engineering and/or data management designs. Innovate process improvements that enable efficient delivery and maintenance. Participate in the development processes, coding best practices, and code reviews. Utilize various data workflow management and analysis tools. Participate in process improvement and compliance to successfully and consistently deliver high quality services on time, and to specification, to meet business needs. Operate in various development environments (Agile, Waterfall, etc.) while collaborating with key stakeholders. Participate in project reviews. Perform other duties as needed.
REQUIREMENTS:* Master’s degree (or foreign equivalent) in Computer Science, Computer Engineering, Information Systems, or a related field required.
* 1 year of experience in job offered or related occupations required.
* Also required is: 1 year of experience: conducting User Acceptance Testing (UAT) to ensure that developed solutions meet business requirements; creating detailed test plans, test cases, and test scripts, while working with development teams to resolve them; performing conceptual and logical data modeling in coordination with business stakeholders, as well as creating reports and dashboard teams to support business operations and processes; utilizing advanced SQL to develop complex SQL queries for data analysis, reporting, and performance optimization; using data analysis for data cleaning and analysis techniques to extract meaningful insights that drive business decisions; and with technical documentation to document processes, workflows, and reports to ensure clarity and maintainability.
* Employee reports to LexisNexis USA office in San Jose, CA, but may telecommute from any location within the U.S.
* Experience can be concurrent.
SALARY RANGE:* $187,741\.00 to $197,741\.00/year \+ standard company benefits
HOW TO APPLY:* Interested candidates should send email to ResumesICT@RELX.com and reference job code: R107249
\#LI\-DNI
\#IND\-DNS
\#ICT  
U.S. National Base Pay Range: $71,600 \- $119,400\. Geographic differentials may apply in some locations to better reflect local market rates.  
We know your well\-being and happiness are key to a long and successful career. We are delighted to offer country specific benefits. Click here to access benefits specific to your location.
We are committed to providing a fair and accessible hiring process. If you have a disability or other need that requires accommodation or adjustment, please let us know by completing our Applicant Request Support Form or please contact 1\-855\-833\-5120\.
Criminals may pose as recruiters asking for money or personal information. We never request money or banking details from job applicants. Learn more about spotting and avoiding scams here.
Please read our Candidate Privacy Policy.
We are an equal opportunity employer: qualified applicants are considered for and treated during employment without regard to race, color, creed, religion, sex, national origin, citizenship status, disability status, protected veteran status, age, marital status, sexual orientation, gender identity, genetic information, or any other characteristic protected by law.*USA Job Seekers:*
EEO Know Your Rights.</t>
        </is>
      </c>
    </row>
    <row r="60">
      <c r="A60" t="inlineStr">
        <is>
          <t>in-bb33fd37b6764b7c</t>
        </is>
      </c>
      <c r="B60" t="inlineStr">
        <is>
          <t>Data Engineer, Security Products</t>
        </is>
      </c>
      <c r="C60" t="inlineStr">
        <is>
          <t>OpenAI</t>
        </is>
      </c>
      <c r="D60" t="inlineStr">
        <is>
          <t>indeed</t>
        </is>
      </c>
      <c r="E60">
        <f>HYPERLINK("https://www.indeed.com/viewjob?jk=bb33fd37b6764b7c", "https://www.indeed.com/viewjob?jk=bb33fd37b6764b7c")</f>
        <v/>
      </c>
      <c r="F60">
        <f>HYPERLINK("https://openai.com/careers/data-engineer-security-products-san-francisco/", "https://openai.com/careers/data-engineer-security-products-san-francisco/")</f>
        <v/>
      </c>
      <c r="G60" t="inlineStr">
        <is>
          <t>San Francisco, CA, US</t>
        </is>
      </c>
      <c r="H60" s="3" t="n">
        <v>46030</v>
      </c>
      <c r="I60" t="inlineStr">
        <is>
          <t>About the Team
Security Products is on a mission to transform cybersecurity by leveraging AI to give defenders a decisive advantage.
Born out of OpenAI’s security research program and incubated with Sam Altman’s encouragement, the Security Products team is taking the breakthroughs we’ve developed internally and bringing them to the world. Our tools are already protecting OpenAI’s own systems, and we’re looking to scale their impact to the world.
We are a lean, high\-caliber team
operating at the frontier of AI and security
. We blend security research with product engineering to explore what’s possible, build what’s practical, and give defenders an unprecedented advantage – all while advancing the science of AI\-driven security itself.
About the Role
As a Data Engineer on this team, you’ll help invent and build the next generation of AI\-powered cybersecurity products. You’ll take the lead in building our data pipelines, core tables, and analytics to ensure our products are robust, reliable, and impactful.
This is a fast\-moving, high\-ownership role. You’ll collaborate closely with security experts, AI researchers, and product engineers, shaping both the technical foundation and the product direction of a team that is scaling quickly. You don’t need to be a security expert to succeed here – just someone excited to solve meaningful problems and build tools that materially improve defenders’ capabilities.
**What you’ll do:**  
Design, build and manage our data pipelines, ensuring all user event data is seamlessly integrated into our data warehouse.
Develop canonical datasets to track key product insights including security outcomes, engagement and usage, and performance.
Work directly with internal and external customers to deeply understand their workflows and translate them into intuitive, powerful product experiences.
Work collaboratively with cross\-functional partners, including Infrastructure, Data Science, Product, Marketing, Go\-To\-Market, and Research to solve problems and enable product success.
Implement robust and fault\-tolerant systems for data ingestion and processing.
Participate in data architecture and engineering decisions, bringing your strong experience and knowledge to bear.
Ensure the security, integrity, and compliance of data according to industry and company standards.
Help shape the engineering culture, architecture, and processes of a new business unit with a critical mission.
**What we’re looking for:**  
Have 3\+ years of experience as a data engineer and 8\+ years of any software engineering experience (including data engineering).
Proficiency in at least one programming language commonly used within Data Engineering, such as Python, Scala, or Java.
Familiarity with public cloud environments (Azure or AWS) and infrastructure tooling (Kubernetes, Terraform, etc.).
Experience with distributed processing technologies and frameworks, such as Hadoop, Flink and distributed storage systems (e.g., HDFS, S3\).
Expertise with any of ETL schedulers such as Airflow, Dagster, Prefect or similar frameworks.
Solid understanding of Spark and ability to write, debug and optimize Spark code.
Ability to thrive in a fast\-paced environment where problems may be ambiguous, emerging, or rapidly evolving.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$255K – $325K \+ Offers Equity</t>
        </is>
      </c>
    </row>
    <row r="61">
      <c r="A61" t="inlineStr">
        <is>
          <t>in-4c01d6a941fac9b9</t>
        </is>
      </c>
      <c r="B61" t="inlineStr">
        <is>
          <t>Senior Data Engineer/ Developer</t>
        </is>
      </c>
      <c r="C61" t="inlineStr">
        <is>
          <t>General Dynamics Information Technology</t>
        </is>
      </c>
      <c r="D61" t="inlineStr">
        <is>
          <t>indeed</t>
        </is>
      </c>
      <c r="E61">
        <f>HYPERLINK("https://www.indeed.com/viewjob?jk=4c01d6a941fac9b9", "https://www.indeed.com/viewjob?jk=4c01d6a941fac9b9")</f>
        <v/>
      </c>
      <c r="F61">
        <f>HYPERLINK("https://www.gdit.com/careers/job/e5fa7f6a1/senior-data-engineer-developer", "https://www.gdit.com/careers/job/e5fa7f6a1/senior-data-engineer-developer")</f>
        <v/>
      </c>
      <c r="G61" t="inlineStr">
        <is>
          <t>IN, US</t>
        </is>
      </c>
      <c r="H61" s="3" t="n">
        <v>46030</v>
      </c>
      <c r="I61" t="inlineStr">
        <is>
          <t>Clearance Level
None
Category
Data Science and Data Engineering
Location
Remote, Working from the USA
Key Skills For Success
AWS Big Data
Data Analytics
ETL Tools
SHARE
REQ\#: RQ212555
Public Trust: BI Full 6C (T4\)
Requisition Type: Pipeline
Your Impact
Own your opportunity to manage the network that makes mission success possible. Make an impact by using your skills to deliver “One GDIT Network” for our clients.
Job Description
Seize your opportunity to make a personal impact supporting the Case Management Modernization (CMM) Program. The CMM program is an initiative to support the Administrative Office of the US Courts (AO) in developing a modern cloud\-based solution to support all 204\+ federal courts across the United States.
GDIT is your place to make meaningful contributions to challenging projects and grow a rewarding career. The Senior Data Engineer/ Developer will work as part of the CMM Enterprise Data Warehouse (EDW) team to deploy a secured cloud\-native EDW platform and support the statutory and operational reporting, data cataloging, and other analytical objectives.
The Senior Data Engineer/ Developer is responsible for designing, building, testing, and maintaining scalable data engineering components and platform services that power the EDW. This role delivers high\-quality, secure, and performant data pipelines, transformations, and integrations aligned with federal standards and EDW SOW objectives for modernization, analytics, and operational excellence.
RESPONSIBILITIES:
* Develop a solution to integrate case management business data from the case management system into Snowflake EDW on a near real\-time basis
* Produce and maintain dimensional data models that form the basis for the data marts to satisfy the requirements of the data products
* Develop and maintain downstream data marts and their corresponding ETL/ELT processes (on a near real\-time basis or overnight batch depending on the individual uses case requirements) and their associated reports and dashboards
* Develop and maintain comprehensive documentation including the STTMs, data models (logical and physical), design documents, testing documents and other related documents
* Develop, deploy and maintain the data presentation and data reports for each of the data products using SAP Business Objects, Tableau, and/or other presentation tool(s) selected by the customer
* Design and develop data ingestion, ETL/ELT pipelines, and transformation logic for near–real\-time and batch workloads
* Implement robust, reusable data services supporting analytics, reporting, and downstream data marts
* Collaborate with architects to implement logical and physical data models in Snowflake
* Develop and maintain high\-quality, testable code using secure coding standards and best practices
* Integrate data pipelines with cloud services, messaging, and storage components
* Implement data quality checks, validations, and error\-handling mechanisms.
* Optimize pipeline performance, scalability, and cost efficiency
* Support CI/CD\-enabled deployments, including automated testing and promotion across environments
* Participate in code reviews, design reviews, and sprint ceremonies
* Support incident resolution and root cause analysis for data pipeline failures
* Produce and maintain technical documentation, runbooks, and workflows.
* Ensure deliverables meet federal security, governance, and audit requirements
* Operates within an Agile federal delivery environment across multiple scrum teams
* Collaborates closely with architects, DBAs, business analysts, and QA personnel
* Accountable for code quality, performance, and delivery timelines
* Expected to maintain audit\-ready documentation and technical artifacts
REQUIRED EXPERIENCE \&amp; QUALIFICATIONS:
* Bachelor's degree in Computer Science, Computer Programming, Computer Engineering or relevant computer\-based major, strongly preferred
* 8 years of IT related experience with 7\+ years’ experience specifically in developing IT and cloud infrastructures
* Experience in software engineering and design architectures
* Experience and understanding of best practices regarding system security measures
* Experience with building and migration software and IT services to align to strategic business needs and goals
* Experience in conducting research for advanced technologies to determining how IT can support business needs leveraging software, hardware, or infrastructure
* Experience with AWS data and compute services
* Experience with Airflow or equivalent orchestration tools
* Knowledge of cloud messaging and storage services
* Proven track record in software and data engineering roles
* Hands\-on experience building enterprise\-scale data pipelines
* Strong proficiency with SQL and data transformation techniques
* Experience developing in cloud\-based data platforms
* Familiarity with Agile/Scrum delivery environments
* Experience working in regulated or compliance\-driven environments
* Experience supporting federal EDW or analytics programs
* Hands\-on experience with Snowflake
* Proficiency with ETL/ELT frameworks
* Experience with streaming or near–real\-time data ingestion
* Familiarity with data governance, metadata, and classification standards
* Experience mentoring junior developers
CERTIFICATIONS (Preferred):
* Snowflake SnowPro Core
* AWS Certified Data Analytics – Specialty
* Relevant programming or data engineering certifications
COMMUNICATION \&amp; ORGANIZATIONAL:
* Excellent presentation and communication (oral and written) skills
* Consultant mindset with the ability to work with high level customer stakeholders and build excellent customer relationship
* Experience identifying and applying industry tools, solutions, methods best practices, and emerging technologies
* Strong analytical skills and problem\-solving skills with the ability to formulate and communicate recommendations for improvement
* Demonstrated ability to work effectively, independently, and as part of a team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Work Requirements
Years of Experience
7 \+ years of related experience* may vary based on technical training, certification(s), *or* degree
Certification
Travel Required
Less than 10%
Salary and Benefit Information
The likely salary range for this position is $128,039 \- $173,229\.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62">
      <c r="A62" t="inlineStr">
        <is>
          <t>in-701de13e528fad96</t>
        </is>
      </c>
      <c r="B62" t="inlineStr">
        <is>
          <t>Data Engineer - TS/SCI with Polygraph</t>
        </is>
      </c>
      <c r="C62" t="inlineStr">
        <is>
          <t>General Dynamics Information Technology</t>
        </is>
      </c>
      <c r="D62" t="inlineStr">
        <is>
          <t>indeed</t>
        </is>
      </c>
      <c r="E62">
        <f>HYPERLINK("https://www.indeed.com/viewjob?jk=701de13e528fad96", "https://www.indeed.com/viewjob?jk=701de13e528fad96")</f>
        <v/>
      </c>
      <c r="F62">
        <f>HYPERLINK("https://www.gdit.com/careers/job/509899947/data-engineer-tssci-with-polygraph", "https://www.gdit.com/careers/job/509899947/data-engineer-tssci-with-polygraph")</f>
        <v/>
      </c>
      <c r="G62" t="inlineStr">
        <is>
          <t>Chantilly, VA, US</t>
        </is>
      </c>
      <c r="H62" s="3" t="n">
        <v>46030</v>
      </c>
      <c r="I62" t="inlineStr">
        <is>
          <t>Clearance Level
Top Secret SCI \+ Polygraph
Category
Data Science and Data Engineering
Location
Chantilly, Virginia*(**Onsite Workplace**)*
Key Skills For Success
CI/CD
Cloud Based Services
ETL (Extract Transform Load) Testing
Java
Python Software Development
SHARE
REQ\#: RQ211901
Public Trust: None
Requisition Type: Regular
Your Impact
Own your opportunity to serve as a critical component of our nation’s safety and security. Make an impact by using your expertise to protect our country from threats.
Job Description
We are seeking a Data Engineer to design, build, and optimize scalable backend and data integration systems. This role requires deep expertise across the full software development lifecycle, from system architecture to deployment, with a focus on data\-intensive applications, performance optimization, and cross\-platform integration. The ideal candidate thrives in dynamic environments and can deliver high\-impact solutions that support mission\-critical operations.
Key Responsibilities
* Backend \&amp; System Development
* Design, develop, and maintain scalable backend systems in Java, Python, Angular, Java Script, Go, or equivalent.
* Architect and implement data integration solutions for structured and unstructured data.
* Develop REST APIs and services for real\-time and batch processing.
* Maintain modular software libraries with clean interfaces and reusable code.
Data Engineering \&amp; ETL
* Build and optimize ETL pipelines using frameworks such as Elastic Search, Kafka, and Airflow.
* Ensure high performance, scalability, and reliability in data workflows.
* Integrate externally developed code into core software libraries.
Cloud \&amp; DevOps
* Deploy and maintain solutions across cloud environments (AWS, Azure, GCP).
* Apply containerization (Docker, Kubernetes) and CI/CD pipelines for automation.
* Adhere to configuration management and infrastructure standards.
Software Development Lifecycle
* Translate business requirements into technical specifications across data and application layers.
* Maintain code quality through testing, regression analysis, and reviews.
* Investigate and resolve production issues to improve stability and data integrity.
* Conduct full lifecycle testing following strict quality procedures.
Application \&amp; User Support
* Provide bug fixes, enhancements, GUI improvements, and access control updates.
* Install, configure, and monitor applications to meet operational requirements.
* Deliver ad\-hoc training and support to users.
Collaboration \&amp; Quality Assurance
* Partner with configuration managers to integrate internal and external software solutions.
* Evaluate and recommend third\-party vendors and partners.
* Support development of standards, methods, and procedures for product release readiness.
Qualifications
* Proficiency in Java, Python, Angular, Scala, or Go.
* Strong expertise Kubernetes, and Airflow.
* Experience with relational and NoSQL databases, plus cloud\-native data services.
* Proven ability to work across the full software development lifecycle.
* Familiarity with CI/CD, Docker.
* Strong analytical, troubleshooting, and communication skills.
WHAT YOU'LL NEED TO SUCCEED:
* Education: BS in Computer Science or related field, or the equivalent combination of education, technical certifications or training, or work experience
* Experience: 8\+ years
* Security Clearance level: TS/SCI with Polygraph
* Location: Chantilly, VA \- On Customer Site
* US Citizenship Required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Work Requirements
Years of Experience
10 \+ years of related experience* may vary based on technical training, certification(s), *or* degree
Certification
Travel Required
None
Citizenship
U.S. Citizenship Required
Salary and Benefit Information
The likely salary range for this position is $161,500 \- $218,500\.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63">
      <c r="A63" t="inlineStr">
        <is>
          <t>in-4baa5c47504a7df9</t>
        </is>
      </c>
      <c r="B63" t="inlineStr">
        <is>
          <t>Data Engineer III</t>
        </is>
      </c>
      <c r="C63" t="inlineStr">
        <is>
          <t>Medical University of South Carolina</t>
        </is>
      </c>
      <c r="D63" t="inlineStr">
        <is>
          <t>indeed</t>
        </is>
      </c>
      <c r="E63">
        <f>HYPERLINK("https://www.indeed.com/viewjob?jk=4baa5c47504a7df9", "https://www.indeed.com/viewjob?jk=4baa5c47504a7df9")</f>
        <v/>
      </c>
      <c r="F63">
        <f>HYPERLINK("https://musc.career-pages.com/jobs/data-engineer-iii-charleston-south-carolina-united-states-5b775619-9535-4db7-bf58-85a401042c69?source=indeed", "https://musc.career-pages.com/jobs/data-engineer-iii-charleston-south-carolina-united-states-5b775619-9535-4db7-bf58-85a401042c69?source=indeed")</f>
        <v/>
      </c>
      <c r="G63" t="inlineStr">
        <is>
          <t>Charleston, SC, US</t>
        </is>
      </c>
      <c r="H63" s="3" t="n">
        <v>46030</v>
      </c>
      <c r="I63" t="inlineStr">
        <is>
          <t>**Job Description Summary**
MUSC Community Physicians (MCP) is an entity within the Medical University of South Carolina that provides healthcare to patients within the rural health network throughout the state of South Carolina.
The Healthcare Data Engineer III serves as a primary technical architect and strategic partner to the Director of Operational Performance. In this role, you will function as the Subject Matter Expert (SME) on data architecture, bridging the gap between complex backend systems and actionable business intelligence. This is a dynamic, high\-impact position designed for a problem\-solver who is eager to move beyond simple reporting and into predictive analytics and statistical modeling. You will navigate the full data lifecycle from engineering robust data pipelines in Microsoft Fabric to designing executive\-level dashboards that drive decision\-making across the enterprise.**Entity**
MUSC Community Physicians (MCP)**Worker Type**
Employee**Worker Sub\-Type**
Regular**Cost Center**
CC004512 MCP \- Administration**Pay Rate Type**
Salary**Pay Grade**
Health\-31**Scheduled Weekly Hours**
40**Work Shift**
**Job Description**
Under general supervision, this individual performs advanced data engineering, analytics, and reporting functions. The Healthcare Data Engineer is responsible for the integrity, accessibility, and usability of data within the MCP network.
Reporting to the Director of Operational Performance, you will collaborate with leadership to transform raw data into meaningful insights. You will be responsible for understanding where data lives, the native capabilities of source systems (such as Epic), and how to leverage external tools to build scalable solutions. This role requires high adaptability, as you will pivot between foundational data engineering, ad\-hoc financial analysis, and sophisticated modeling projects depending on business needs.
Data Architecture \&amp; Management: Oversee the design, maintenance, and security of the organization's data estate, including SQL databases and Microsoft Fabric capacities. Ensure data models are scalable, efficient, and accurate.
Statistical Analysis \&amp; Predictive Modeling: Go beyond historical reporting by designing predictive models and statistical forecasts. You will identify correlations in clinical and financial data to anticipate operational bottlenecks, validate strategic initiatives, and support complex proformas.
Advanced Analytics \&amp; Reporting: Develop and manage a comprehensive suite of automated reports and dashboards. Utilize advanced DAX and visualization best practices to render complex datasets into clear, actionable metrics for diverse stakeholders.
Operational \&amp; Financial Strategy: Partner with the finance and operations teams to validate data integrity and identify opportunities for performance improvement.
Strategic Growth Support: Collaborate with business development and leadership to analyze data regarding new opportunities, partnerships, and network expansion.
Process Innovation: Identify manual or inefficient processes within the reporting infrastructure and implement automated solutions using tools like Azure Data Factory and Power Automate.
Must be able to work and collaborate effectively with teams across the MUSC Health System.
 **Minimum Education and Experience:**
Bachelor’s Degree Required with 8\-10 years’ experience in healthcare analytics or analytics in healthcare adjacent industry. Experience with EHR\-based reporting preferred, Epic experience preferred.
**Required Licensure, Certifications, Registrations**:
**Required:**
* Certification and/or expressed proficiency or master of SQL language
* Certification and/or expressed proficiency or master of DAX language
* History of mastery in PowerBI Visualization
**Preferred Skills / Certifications:**
* Microsoft Fabric
* Power Automate
* Statistical Modeling
* Epic Certification or Proficiency in: Clarity, Caboodle, Cogito and Resolute PB \- Preferred
* Azure Data Factory (ADF)
**Additional Job Description**
**Benefits:**
* Health, dental, vision, and life insurance
* Employer Sponsored Retirement Plan
* Paid time off and extended sick leave.
* Paid Parental Leave
* Disability insurance plan options
* Continuous professional and clinical training
* Competitive pay
* Annual Merit Increase
* Wellbeing resources
* Tuition Reimbursement
* Employee perks and discounts
* Employee referral program
* Flexible schedule options
* Certification incentive program
*If you like working with energetic enthusiastic individuals, you will enjoy your career with us!*
The Medical University of South Carolina is an Equal Opportunity Employer. MUSC does not discriminate on the basis of race, color, religion or belief, age, sex, national origin, gender identity, sexual orientation, disability, protected veteran status, family or parental status, or any other status protected by state laws and/or federal regulations. All qualified applicants are encouraged to apply and will receive consideration for employment based upon applicable qualifications, merit and business need.
Medical University of South Carolina participates in the federal E\-Verify program to confirm the identity and employment authorization of all newly hired employees. For further information about the E\-Verify program, please click here: http://www.uscis.gov/e\-verify/employees</t>
        </is>
      </c>
    </row>
    <row r="64">
      <c r="A64" t="inlineStr">
        <is>
          <t>in-d9e6df9eac2d7264</t>
        </is>
      </c>
      <c r="B64" t="inlineStr">
        <is>
          <t>Principal Advanced Analytics Engineer</t>
        </is>
      </c>
      <c r="C64" t="inlineStr">
        <is>
          <t>NVR, Inc</t>
        </is>
      </c>
      <c r="D64" t="inlineStr">
        <is>
          <t>indeed</t>
        </is>
      </c>
      <c r="E64">
        <f>HYPERLINK("https://www.indeed.com/viewjob?jk=d9e6df9eac2d7264", "https://www.indeed.com/viewjob?jk=d9e6df9eac2d7264")</f>
        <v/>
      </c>
      <c r="F64">
        <f>HYPERLINK("https://phg.tbe.taleo.net/phg01/ats/careers/v2/viewRequisition?org=NVRINC&amp;cws=52&amp;rid=35832", "https://phg.tbe.taleo.net/phg01/ats/careers/v2/viewRequisition?org=NVRINC&amp;cws=52&amp;rid=35832")</f>
        <v/>
      </c>
      <c r="G64" t="inlineStr">
        <is>
          <t>Reston, VA, US</t>
        </is>
      </c>
      <c r="H64" s="3" t="n">
        <v>46030</v>
      </c>
      <c r="I64" t="inlineStr">
        <is>
          <t>**NVR, Inc. is seeking a Principal Advanced Analytics Engineer to work on\-site in Reston, VA.**
NVR’s technology teams thrive on providing multiple business lines with tools and cutting\-edge technologies that support NVR’s mission to create a better living experience for our customers. Join NVR Technology and be part of a collaborative team that welcomes innovation, encourages continuous learning, and helps you achieve your career goals.
**Summary**
NVR is accelerating its enterprise AI strategy. As our Principal Advanced Analytics Engineer, you will set technical standards and lead the end\-to\-end design, development, and productionization of Microsoft\-based AI, ML, and BI solutions. You will partner with business leaders and engineering teams to turn complex data into actionable decisions while mentoring engineers, championing responsible AI, and consistently delivering outstanding customer service.
**Key Job Responsibilities**
* Work with business stakeholders and senior technology leaders to design and implement AI/ML predictive and prescriptive models, ensuring business fit and technical viability.
* Define and enforce engineering standards, design patterns, and quality checks for advanced analytics.
* Implement CI/CD for ML, including model versioning, automated testing, monitoring, drift detection, and retraining using Fabric \+ Azure ML.
* Ensure Responsible AI practices: fairness, bias detection, explainability, and compliance.
* Design enterprise data models (dimensional/star schemas) supporting BI and Data Agents.
* Collaborate with analytics and insights teams to deliver efficient and reliable data solutions.
* Ensure data security, access control, lineage, and adherence to corporate standards and privacy regulations.
* Research new and evolving ML, AI, and BI capabilities and introduce them to the team and users.
* Mentor Data Analytics Engineers on problem\-solving, best practices, and career growth.
**Job Qualifications**
**Must\-Have Qualifications**
* 8\+ years in data engineering/analytics roles, with at least 3 years in ML/AI solution architecture.
* Effective communication, customer service, and engagement skills.
* Advanced skills in Microsoft Analytics Toolset (Fabric, Azure ML, Azure Synapse, Azure ADF, Power BI, Lakehouse, Warehouse, Notebooks, Pipelines, Dataflows, Spark, Python).
* Experience training, validating, and deploying predictive and generative AI models (LLMs) with Fabric \+ Azure ML.
* Skilled in dimensional/star schema data model design for use by Data Agents and BI applications.
* Hands\-on experience with CI/CD for ML, model versioning, monitoring, and retraining using Fabric/Azure ML.
* Experience ensuring data security, lineage, access control, and compliance with corporate standards and privacy regulations.
**Nice\-to\-Have Qualifications (Preferred)**
* Experience with Power BI and semantic models.
* Knowledge of fairness, bias detection, explainability, and AI compliance.
* Performance tuning for Spark workloads and cost optimization in Fabric/Azure.
* BS/MS in Computer Science, Data Science, Engineering, or equivalent experience.
**Life at NVR**
As the parent company of **Ryan Homes**, **NVHomes** and **Heartland Homes**, NVR is committed to your success and we will give you the tools, training, and industry knowledge you need to excel and thrive. Our management team is tenured and talented, nearly 80% of them promoted from within, so you will have mentors who can share their knowledge and provide career guidance and encouragement.
NVR offers traditional benefits, among the best in the industry. In addition, we offer all employees stock ownership through a profit sharing trust as part of our retirement savings package. NVR has had the highest Earnings Per Share growth rate in the homebuilding industry for the past 10 years, so as we grow financially, so do you!
**View more about our exceptional culture and comprehensive benefits at****https://www.nvrcareers.com/****.**
We are an Equal Opportunity Employer.  
Drug Testing and Credit Check are required.  
Applicants must be legally entitled to work in the United States, as NVR does not provide visa sponsorship.
\#LI\-Onsite</t>
        </is>
      </c>
    </row>
    <row r="65">
      <c r="A65" t="inlineStr">
        <is>
          <t>in-493c13d9a81d5a3b</t>
        </is>
      </c>
      <c r="B65" t="inlineStr">
        <is>
          <t>Senior Data Engineer, Data Products</t>
        </is>
      </c>
      <c r="C65" t="inlineStr"/>
      <c r="D65" t="inlineStr">
        <is>
          <t>indeed</t>
        </is>
      </c>
      <c r="E65">
        <f>HYPERLINK("https://www.indeed.com/viewjob?jk=493c13d9a81d5a3b", "https://www.indeed.com/viewjob?jk=493c13d9a81d5a3b")</f>
        <v/>
      </c>
      <c r="F65">
        <f>HYPERLINK("https://jobs.lever.co/raya/80ab47ae-e2da-40fa-99b8-423ee921d8b3", "https://jobs.lever.co/raya/80ab47ae-e2da-40fa-99b8-423ee921d8b3")</f>
        <v/>
      </c>
      <c r="G65" t="inlineStr">
        <is>
          <t>Los Angeles, CA, US</t>
        </is>
      </c>
      <c r="H65" s="3" t="n">
        <v>46030</v>
      </c>
      <c r="I65" t="inlineStr">
        <is>
          <t>A great candidate is excited to support our growing use of data, including working closely with the analytics and product engineering teams, to build a better user experience. Finally, they believe in Raya’s vision, which is to enrich lives by fostering relationships through quality, in person interactions.
 As Raya’s first Data Engineer for Data Products, you will be a founding member of the data engineering team and will play a pivotal role in empowering the company to be data\-driven. The ideal candidate is experienced and confident building out performant, impactful data models, and trhives in a collaborative environment where they can influence product and business decisions through data.
### **In this role, you will**
* + Architect complex, high\-volume data pipelines for production use.
	+ Design and implement scalable data models serving multiple product and internal teams.
	+ Own data quality frameworks and standards across key data products.
	+ Build reusable patterns for transformations and metrics to drive efficiency.
	+ Define and maintain core business metrics and Key Performance Indicators (KPIs) in partnership with Analytics.
	+ Own the data products used across the company, ensuring reliability and performance.
	+ Set and promote standards for data modeling and pipeline development.
	+ Partner closely with Analytics, Data Science, and Machine Learning teams on requirements to reduce friction and accelerate their work.
	+ Mentor engineers and actively participate in the hiring process.
### **Qualifications**
* + 5\+ years of experience in data engineering with a proven track record of successful data architecture and pipeline creation.
	+ Expertise in handling large\-scale data systems and cloud platforms (preferably AWS).
	+ Proficient in Python and SQL. Scala and MongoDB are a plus
	+ Strong experience with data pipeline and workflow management tools like Apache Airflow, Luigi, or Prefect.
	+ In\-depth knowledge of real\-time data processing frameworks such as Kinesis, Kafka, Flink, or Spark Streaming. Experience with Segment is a plus.
	+ Experience with data modeling tools and ETL frameworks, with a strong emphasis on performance optimization.
	+ Excellent communication and collaboration skills to work effectively across teams.</t>
        </is>
      </c>
    </row>
    <row r="66">
      <c r="A66" t="inlineStr">
        <is>
          <t>in-d2223b983306c667</t>
        </is>
      </c>
      <c r="B66" t="inlineStr">
        <is>
          <t>Clinical Data Engineer</t>
        </is>
      </c>
      <c r="C66" t="inlineStr">
        <is>
          <t>ICON plc</t>
        </is>
      </c>
      <c r="D66" t="inlineStr">
        <is>
          <t>indeed</t>
        </is>
      </c>
      <c r="E66">
        <f>HYPERLINK("https://www.indeed.com/viewjob?jk=d2223b983306c667", "https://www.indeed.com/viewjob?jk=d2223b983306c667")</f>
        <v/>
      </c>
      <c r="F66">
        <f>HYPERLINK("https://icon.wd3.myworkdayjobs.com/en-US/broadbean_external/job/US-Blue-Bell-ICON/Clinical-Data-Engineer_JR141918", "https://icon.wd3.myworkdayjobs.com/en-US/broadbean_external/job/US-Blue-Bell-ICON/Clinical-Data-Engineer_JR141918")</f>
        <v/>
      </c>
      <c r="G66" t="inlineStr">
        <is>
          <t>Blue Bell, PA, US</t>
        </is>
      </c>
      <c r="H66" s="3" t="n">
        <v>46030</v>
      </c>
      <c r="I66" t="inlineStr">
        <is>
          <t>Clinical Data Engineer\- Remote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Senior Clinical Data Science Programmer to join our diverse and dynamic team. As a Senior Clinical Data Science Programmer at ICON, you will play a pivotal role in developing and implementing programming solutions to support the analysis and reporting of clinical trial data. You will contribute to the advancement of innovative treatments and therapies by ensuring the accuracy and efficiency of data processing through your programming expertise.
What You Will Be Doing:* Developing, validating, and maintaining programming solutions for data analysis and reporting in clinical trials.
* Collaborating with clinical data scientists and biostatisticians to ensure the integration of programming solutions into the overall data management process.
* Overseeing the generation of statistical datasets, tables, listings, and figures to support regulatory submissions and study reports.
* Providing guidance on programming best practices, coding standards, and data quality control measures.
* Staying updated on advancements in programming languages and data management tools to enhance operational efficiencies.
Your Profile:* Advanced degree in a relevant field such as computer science, statistics, or life sciences.
* Extensive experience in programming for clinical trials, with proficiency in languages such as SAS, R, or Python.
* Strong problem\-solving skills and the ability to work collaboratively in a fast\-paced, cross\-functional environment.
* Excellent attention to detail and organizational skills, with a commitment to delivering high\-quality results.
* Strong communication and interpersonal skills, with the ability to effectively collaborate with diverse teams and influence outcomes.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row>
    <row r="67">
      <c r="A67" t="inlineStr">
        <is>
          <t>in-7300bf4606aa8935</t>
        </is>
      </c>
      <c r="B67" t="inlineStr">
        <is>
          <t>Data Engineer III</t>
        </is>
      </c>
      <c r="C67" t="inlineStr">
        <is>
          <t>AmTrust Financial</t>
        </is>
      </c>
      <c r="D67" t="inlineStr">
        <is>
          <t>indeed</t>
        </is>
      </c>
      <c r="E67">
        <f>HYPERLINK("https://www.indeed.com/viewjob?jk=7300bf4606aa8935", "https://www.indeed.com/viewjob?jk=7300bf4606aa8935")</f>
        <v/>
      </c>
      <c r="F67">
        <f>HYPERLINK("https://careers-amtrustgroup.icims.com/jobs/19285/job?utm_source=indeed_integration&amp;iis=Job%20Board&amp;iisn=Indeed&amp;indeed-apply-token=73a2d2b2a8d6d5c0a62696875eaebd669103652d3f0c2cd5445d3e66b1592b0f", "https://careers-amtrustgroup.icims.com/jobs/19285/job?utm_source=indeed_integration&amp;iis=Job%20Board&amp;iisn=Indeed&amp;indeed-apply-token=73a2d2b2a8d6d5c0a62696875eaebd669103652d3f0c2cd5445d3e66b1592b0f")</f>
        <v/>
      </c>
      <c r="G67" t="inlineStr">
        <is>
          <t>Cleveland, OH, US</t>
        </is>
      </c>
      <c r="H67" s="3" t="n">
        <v>46030</v>
      </c>
      <c r="I67" t="inlineStr">
        <is>
          <t>Overview:
As a Data Engineer (Analytics Specialist), you will build robust data warehouse/marts/sets which will enable business users to make informed decisions. You will use advanced SQL tools to move large amounts of data and build complex algorithms.
Responsibilities:  
* Collaborates with stakeholders, data engineers, and data scientists to ensure analytics data needs align with organizational goals and priorities and elevate our business processes.
* Develops ETL processes to extract data from various sources, transform it into a format suitable for analysis across AmTrust.
* Create moderately complex data models that describe the relationship between different data entities. Develop database schemas that are optimized for querying and analysis.
* Design advanced validation and cleansing processing to identify and fix data quality issues for quality and accuracy of the data throughout
* Medium\-to\-Advanced level understanding of business processes of a variety of areas in the company including finance, operations, underwriting, sales, claims, and actuarial to develop a deep understanding of the workflow and the relevant data to produce insights for the larger organization.
* Work with IT resources to integrate data warehouse data, test and validate report building, process automation, and dashboard development.
Qualifications:
* 5\-10 years minimum experience writing SQL, DAX, SSAS, and creating SSIS Packages
* Knowledge of Software Development Life Cycle, Git, Agile
* Undergraduate degree in Computer Science, Information Systems, Engineering, or equivalent years of work experience.
\#LI\-BL1
\#LI\-HYBRID
\#AmTrust
What We Offer:
AmTrust Financial Services offers a competitive compensation package and excellent career advancement opportunities. Our benefits include: Medical \&amp; Dental Plans, Life Insurance, including eligible spouses \&amp; children, Health Care Flexible Spending, Dependent Care, 401k Savings Plans, Paid Time Off.  
AmTrust strives to create a diverse and inclusive culture where thoughts and ideas of all employees are appreciated and respected. This concept encompasses but is not limited to human differences with regard to race, ethnicity, gender, sexual orientation, culture, religion or disabilities.  
AmTrust values excellence and recognizes that by embracing the diverse backgrounds, skills, and perspectives of its workforce, it will sustain a competitive advantage and remain an employer of choice. Diversity is a business imperative, enabling us to attract, retain and develop the best talent available. We see diversity as more than just policies and practices. It is an integral part of who we are as a company, how we operate and how we see our future.</t>
        </is>
      </c>
    </row>
    <row r="68">
      <c r="A68" t="inlineStr">
        <is>
          <t>in-161d94f7ce9345fb</t>
        </is>
      </c>
      <c r="B68" t="inlineStr">
        <is>
          <t>Azure Data Engineer</t>
        </is>
      </c>
      <c r="C68" t="inlineStr">
        <is>
          <t>Dart Bank &amp; Mortgage</t>
        </is>
      </c>
      <c r="D68" t="inlineStr">
        <is>
          <t>indeed</t>
        </is>
      </c>
      <c r="E68">
        <f>HYPERLINK("https://www.indeed.com/viewjob?jk=161d94f7ce9345fb", "https://www.indeed.com/viewjob?jk=161d94f7ce9345fb")</f>
        <v/>
      </c>
      <c r="F68">
        <f>HYPERLINK("https://www.paycomonline.net/v4/ats/web.php/jobs/ViewJobDetails?job=234067&amp;clientkey=363F3771D138BB78A563AC8BD03B1888&amp;source=Indeed", "https://www.paycomonline.net/v4/ats/web.php/jobs/ViewJobDetails?job=234067&amp;clientkey=363F3771D138BB78A563AC8BD03B1888&amp;source=Indeed")</f>
        <v/>
      </c>
      <c r="G68" t="inlineStr">
        <is>
          <t>Mason, MI, US</t>
        </is>
      </c>
      <c r="H68" s="3" t="n">
        <v>46030</v>
      </c>
      <c r="I68" t="inlineStr">
        <is>
          <t>**JOB DESCRIPTION**
**Azure Data Engineer**
**JOB SUMMARY:**
The Azure Data Engineer is responsible for designing, building, and optimizing enterprise\-grade data pipelines and analytics platforms within a regulated banking environment. This role focuses on scalable data engineering solutions in Azure, supporting reporting, analytics, risk management, and regulatory compliance. The Data Engineer works closely with infrastructure, security, and compliance teams to ensure data solutions meet performance, governance, and security requirements.
This role may be remote with occasional onsite support in the Detroit Metro Area, MI.
**GENERAL JOB DUTIES:**
* Architect, develop, and maintain Azure\-based (Azure Data Factory, Databricks) data pipelines using modern ELT/ETL practices.
* Design scalable data models and structures to support analytics, reporting, and regulatory use cases.
* Integrate data from core banking systems, vendor platforms, and internal applications.
* Optimize data pipelines for performance, reliability, and cost efficiency.
* Implement data quality checks, validation rules, and error handling.
* Apply data security best practices including encryption, role\-based access control, and audit logging.
* Support data governance initiatives including lineage, classification, retention, and regulatory reporting readiness.
* Collaborate with Information Security and Compliance teams to ensure adherence to banking regulations (FFIEC, GLBA).
* Monitor and troubleshoot pipeline failures and performance bottlenecks.
* Maintain technical documentation, data flow diagrams, and operational runbooks.
* Support downstream analytics and reporting teams with reliable, well\-structured datasets.
* Assist in evaluating and implementing new Azure data services and technologies.
* Participate in incident response and root\-cause analysis related to data systems.
* Adhere to all applicable laws, regulations, and internal banking policies.
* Demonstrate strong ownership, accountability, and a continuous improvement mindset.
* Adheres to all Federal and State laws and regulations, including the Bank Secrecy Act.
* All other duties as assigned.
**JOB SPECIFICATIONS:**
**Education:**
Bachelor’s degree in Computer Science, Engineering, Information Systems, or related field preferred, or equivalent experience.
**Skills:**
* Strong proficiency with Azure Data Services (e.g., data pipelines, data storage, analytics platforms).
* Advanced SQL skills and experience with large datasets.
* Experience with Python, Spark, or similar data processing frameworks.
* Deep understanding of data modeling, ELT/ETL, and distributed systems.
* Knowledge of data security, governance, and compliance in regulated environments.
* Strong problem\-solving, analytical, and communication skills.
* Ability to design solutions that balance performance, cost, and regulatory requirements.
**Experience:**
* 3\+ years of hands\-on Azure Data Engineering experience preferred.
* Experience working in financial services or other regulated industries strongly preferred.
* Experience supporting enterprise reporting, risk, or regulatory data use cases.
**ESSENTIAL FUNCTIONS:**
* Some mobility
* Use of hands
* Vision
* Verbal and written communication
**ACCURACY AND ACCOUNTABILITY:**
Measured by data pipeline reliability, performance, security posture, and compliance alignment.
**SUPERVISED BY:**
IT Officer
**SUPERVISES:**
No supervisory responsibilities
Dart Bank is a community bank, serving our community since 1925\. We specialize in providing financial services, but we are passionate about serving the community and building real relationships with people. Dart Bank provides innovative financial services for both personal and business banking, consumer and mortgage loans, commercial loans and lines of credit, merchant credit card processing, investment services and more. Our array of products and services and our longstanding history within our communities shows we care about what matters most for our customers and we are there for them for the most important times in their lives. Dart Bank. For What Matters Most.
We offer:
* Medical Benefits
* Dental
* Vision
* 401(K) Employee Stock Ownership Plan
* Paid vacation \&amp; sick time
* Flexible scheduling
* Employee Assistance Program
* Dart Bank University
*At Dart Bank you can expect to be surrounded by a team that will support you and invest in your growth in a quick\-paced work environment where we deliver exceptional customer service. We are a local business that cares about our employees and our community.*
Dart Bank is committed to providing equal opportunity in employment, maintaining a diverse workforce, and prohibiting all forms of unlawful discrimination and harassment.
All employment decisions, policies, and practices, in terms of the recruitment process and other conditions and privileges of employment, will comply with applicable federal, state, and local anti\-discrimination laws. The Company seeks, employs, promotes, and compensates qualified individuals based on ability, as demonstrated by performance and other legitimate non\-discriminatory factors, without regard to race, color, religion, national origin, citizenship, ancestry, sex (including sexual orientation, gender expression, and gender identity), age, physical or mental disability, pregnancy, genetic information, military status, veteran status, or any other protected status under federal, state (in Michigan: marital status, familial status, height, weight, and misdemeanor arrest record), or local law (individually and collectively, “Protected Class”). This employer participates in E\-Verify and will provide the federal government with your Form I\-9 information to confirm that you are authorized to work in the United States. If E\-Verify cannot confirm that you are authorized to work, this employer is required to give you written instructions and an opportunity to contact Department of Homeland Security (DHS) or Social Security Administration (SSA) so that you can begin to resolve the issue before this employer can take any action against you, including terminating your employment. This employers can only use E\-Verify once you have accepted a job offer and completed Form I\-9\.</t>
        </is>
      </c>
    </row>
    <row r="69">
      <c r="A69" t="inlineStr">
        <is>
          <t>in-3c6e64c816fc682b</t>
        </is>
      </c>
      <c r="B69" t="inlineStr">
        <is>
          <t>Junior Data Engineer</t>
        </is>
      </c>
      <c r="C69" t="inlineStr">
        <is>
          <t>Qode</t>
        </is>
      </c>
      <c r="D69" t="inlineStr">
        <is>
          <t>indeed</t>
        </is>
      </c>
      <c r="E69">
        <f>HYPERLINK("https://www.indeed.com/viewjob?jk=3c6e64c816fc682b", "https://www.indeed.com/viewjob?jk=3c6e64c816fc682b")</f>
        <v/>
      </c>
      <c r="F69">
        <f>HYPERLINK("https://apply.workable.com/j/3EA77D7AAA", "https://apply.workable.com/j/3EA77D7AAA")</f>
        <v/>
      </c>
      <c r="G69" t="inlineStr">
        <is>
          <t>Pittsburgh, PA, US</t>
        </is>
      </c>
      <c r="H69" s="3" t="n">
        <v>46030</v>
      </c>
      <c r="I69" t="inlineStr">
        <is>
          <t>**Job Title:** Junior Data Engineer
**Location:** Pittsburgh, PA / Cleveland, OHCompany: PNC BankExperience: 1–2 yearsEmployment Type: Full\-TimeJob Description
PNC Bank is seeking a Junior Data Engineer to support the design, development, and maintenance of scalable data pipelines and data platforms that enable analytics, reporting, and regulatory compliance. This role is ideal for early\-career professionals eager to build hands\-on experience in enterprise data engineering within the financial services domain.Key Responsibilities
Assist in building and maintaining ETL/ELT pipelines to ingest, transform, and load data from multiple source systems.Support development of batch and near real\-time data processing workflows.Work with structured and semi\-structured data using SQL and Python.Participate in data validation, reconciliation, and quality checks to ensure accuracy and completeness.Collaborate with senior data engineers, data analysts, and business stakeholders to understand data requirements.Help manage data storage solutions such as data warehouses and data lakes.Assist with documentation of data models, pipelines, and operational processes.Follow data governance, security, and compliance standards relevant to banking and financial services.Monitor data pipelines and troubleshoot failures under guidance.Support deployment and version control using Git and CI/CD practices.Required Qualifications
Bachelor’s degree in Computer Science, Information Systems, Engineering, or a related field.1–3 years of experience or strong academic/project experience in data engineering or data analytics.Proficiency in SQL (joins, subqueries, performance tuning basics).Working knowledge of Python for data processing.Basic understanding of ETL concepts, data modeling, and data warehousing.Familiarity with relational databases (Oracle, PostgreSQL, SQL Server, or similar).Exposure to cloud platforms (AWS, Azure, or GCP) is a plus.Experience with version control tools such as Git.Preferred / Nice\-to\-Have Skills
Exposure to Big Data technologies (Spark, Hadoop).Familiarity with cloud data services (AWS S3, Glue, Redshift, Azure Data Factory, Snowflake).Understanding of banking or financial data, including transactions, risk, or regulatory reporting.Knowledge of data quality frameworks and basic data governance concepts.Experience with workflow orchestration tools (Airflow, Control\-M).Soft Skills
Strong analytical and problem\-solving skills.Willingness to learn and adapt in a regulated environment.Good communication and documentation skills.Ability to work effectively in a team\-oriented, Agile environment.</t>
        </is>
      </c>
    </row>
    <row r="70">
      <c r="A70" t="inlineStr">
        <is>
          <t>in-df0da11108c108b5</t>
        </is>
      </c>
      <c r="B70" t="inlineStr">
        <is>
          <t>Junior Data Engineer</t>
        </is>
      </c>
      <c r="C70" t="inlineStr">
        <is>
          <t>Qode</t>
        </is>
      </c>
      <c r="D70" t="inlineStr">
        <is>
          <t>indeed</t>
        </is>
      </c>
      <c r="E70">
        <f>HYPERLINK("https://www.indeed.com/viewjob?jk=df0da11108c108b5", "https://www.indeed.com/viewjob?jk=df0da11108c108b5")</f>
        <v/>
      </c>
      <c r="F70">
        <f>HYPERLINK("https://apply.workable.com/j/D4F2BF369F", "https://apply.workable.com/j/D4F2BF369F")</f>
        <v/>
      </c>
      <c r="G70" t="inlineStr">
        <is>
          <t>Cleveland, OH, US</t>
        </is>
      </c>
      <c r="H70" s="3" t="n">
        <v>46030</v>
      </c>
      <c r="I70" t="inlineStr">
        <is>
          <t>**Job Title:** Junior Data Engineer
**Location:** Pittsburgh, PA / Cleveland, OHCompany: PNC BankExperience: 1–2 yearsEmployment Type: Full\-TimeJob Description
PNC Bank is seeking a Junior Data Engineer to support the design, development, and maintenance of scalable data pipelines and data platforms that enable analytics, reporting, and regulatory compliance. This role is ideal for early\-career professionals eager to build hands\-on experience in enterprise data engineering within the financial services domain.Key Responsibilities
Assist in building and maintaining ETL/ELT pipelines to ingest, transform, and load data from multiple source systems.Support development of batch and near real\-time data processing workflows.Work with structured and semi\-structured data using SQL and Python.Participate in data validation, reconciliation, and quality checks to ensure accuracy and completeness.Collaborate with senior data engineers, data analysts, and business stakeholders to understand data requirements.Help manage data storage solutions such as data warehouses and data lakes.Assist with documentation of data models, pipelines, and operational processes.Follow data governance, security, and compliance standards relevant to banking and financial services.Monitor data pipelines and troubleshoot failures under guidance.Support deployment and version control using Git and CI/CD practices.Required Qualifications
Bachelor’s degree in Computer Science, Information Systems, Engineering, or a related field.1–3 years of experience or strong academic/project experience in data engineering or data analytics.Proficiency in SQL (joins, subqueries, performance tuning basics).Working knowledge of Python for data processing.Basic understanding of ETL concepts, data modeling, and data warehousing.Familiarity with relational databases (Oracle, PostgreSQL, SQL Server, or similar).Exposure to cloud platforms (AWS, Azure, or GCP) is a plus.Experience with version control tools such as Git.Preferred / Nice\-to\-Have Skills
Exposure to Big Data technologies (Spark, Hadoop).Familiarity with cloud data services (AWS S3, Glue, Redshift, Azure Data Factory, Snowflake).Understanding of banking or financial data, including transactions, risk, or regulatory reporting.Knowledge of data quality frameworks and basic data governance concepts.Experience with workflow orchestration tools (Airflow, Control\-M).Soft Skills
Strong analytical and problem\-solving skills.Willingness to learn and adapt in a regulated environment.Good communication and documentation skills.Ability to work effectively in a team\-oriented, Agile environment.</t>
        </is>
      </c>
    </row>
    <row r="71">
      <c r="A71" t="inlineStr">
        <is>
          <t>in-d5cac1b7a9f9a3e4</t>
        </is>
      </c>
      <c r="B71" t="inlineStr">
        <is>
          <t>Senior Lead Data Engineer</t>
        </is>
      </c>
      <c r="C71" t="inlineStr">
        <is>
          <t>Information Technology Senior Management Forum</t>
        </is>
      </c>
      <c r="D71" t="inlineStr">
        <is>
          <t>indeed</t>
        </is>
      </c>
      <c r="E71">
        <f>HYPERLINK("https://www.indeed.com/viewjob?jk=d5cac1b7a9f9a3e4", "https://www.indeed.com/viewjob?jk=d5cac1b7a9f9a3e4")</f>
        <v/>
      </c>
      <c r="F71">
        <f>HYPERLINK("https://jobs.itsmfleaders.org/job/qegzvk/senior-lead-data-engineer/mclean/va", "https://jobs.itsmfleaders.org/job/qegzvk/senior-lead-data-engineer/mclean/va")</f>
        <v/>
      </c>
      <c r="G71" t="inlineStr">
        <is>
          <t>McLean, VA, US</t>
        </is>
      </c>
      <c r="H71" s="3" t="n">
        <v>46030</v>
      </c>
      <c r="I71" t="inlineStr">
        <is>
          <t>Posted Date
1/09/2026
Description
Senior 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Richmond, VA: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Richmond, VA: $209,000 \- $238,500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72">
      <c r="A72" t="inlineStr">
        <is>
          <t>in-c2e7e1fce6d3e7eb</t>
        </is>
      </c>
      <c r="B72" t="inlineStr">
        <is>
          <t>Senior Lead Data Engineer</t>
        </is>
      </c>
      <c r="C72" t="inlineStr">
        <is>
          <t>Information Technology Senior Management Forum</t>
        </is>
      </c>
      <c r="D72" t="inlineStr">
        <is>
          <t>indeed</t>
        </is>
      </c>
      <c r="E72">
        <f>HYPERLINK("https://www.indeed.com/viewjob?jk=c2e7e1fce6d3e7eb", "https://www.indeed.com/viewjob?jk=c2e7e1fce6d3e7eb")</f>
        <v/>
      </c>
      <c r="F72">
        <f>HYPERLINK("https://jobs.itsmfleaders.org/job/s583nl/senior-lead-data-engineer/mclean/va", "https://jobs.itsmfleaders.org/job/s583nl/senior-lead-data-engineer/mclean/va")</f>
        <v/>
      </c>
      <c r="G72" t="inlineStr">
        <is>
          <t>McLean, VA, US</t>
        </is>
      </c>
      <c r="H72" s="3" t="n">
        <v>46030</v>
      </c>
      <c r="I72" t="inlineStr">
        <is>
          <t>Posted Date
1/09/2026
Description
Senior Lead Data Engineer**Do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Data Engineer**Do you love building and pioneering in the technology space? Do you enjoy solving complex business problems in a fast\-paced, collaborative,****inclusive,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73">
      <c r="A73" t="inlineStr">
        <is>
          <t>in-bd8f9cf6f699dcf3</t>
        </is>
      </c>
      <c r="B73" t="inlineStr">
        <is>
          <t>Senior Data Engineer</t>
        </is>
      </c>
      <c r="C73" t="inlineStr">
        <is>
          <t>Information Technology Senior Management Forum</t>
        </is>
      </c>
      <c r="D73" t="inlineStr">
        <is>
          <t>indeed</t>
        </is>
      </c>
      <c r="E73">
        <f>HYPERLINK("https://www.indeed.com/viewjob?jk=bd8f9cf6f699dcf3", "https://www.indeed.com/viewjob?jk=bd8f9cf6f699dcf3")</f>
        <v/>
      </c>
      <c r="F73">
        <f>HYPERLINK("https://jobs.itsmfleaders.org/job/gv2x9x/senior-data-engineer/richmond/va", "https://jobs.itsmfleaders.org/job/gv2x9x/senior-data-engineer/richmond/va")</f>
        <v/>
      </c>
      <c r="G73" t="inlineStr">
        <is>
          <t>Richmond, VA, US</t>
        </is>
      </c>
      <c r="H73" s="3" t="n">
        <v>46030</v>
      </c>
      <c r="I73" t="inlineStr">
        <is>
          <t>Posted Date
1/09/2026
Description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This team focuses on enhancing the developer experience and optimizing our credit card technology organization for efficiency. You will build robust data pipelines and data products that provide data insights, key performance metrics, and allow engineers to dedicate more time to creative development. This horizontal team offers unique exposure to various divisions of the organization, creating an environment where learning is truly a never\-ending process. Some of the technologies we currently leverage include Python, Spark, AWS, GoLang, GraphQL, and SQL.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Data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This team focuses on enhancing the developer experience and optimizing our credit card technology organization for efficiency. You will build robust data pipelines and data products that provide data insights, key performance metrics, and allow engineers to dedicate more time to creative development. This horizontal team offers unique exposure to various divisions of the organization, creating an environment where learning is truly a never\-ending process. Some of the technologies we currently leverage include Python, Spark, AWS, GoLang, GraphQL, and SQL.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74">
      <c r="A74" t="inlineStr">
        <is>
          <t>in-b8f40dbd58d54568</t>
        </is>
      </c>
      <c r="B74" t="inlineStr">
        <is>
          <t>Analytic Data Engineer</t>
        </is>
      </c>
      <c r="C74" t="inlineStr">
        <is>
          <t>CVS Health</t>
        </is>
      </c>
      <c r="D74" t="inlineStr">
        <is>
          <t>indeed</t>
        </is>
      </c>
      <c r="E74">
        <f>HYPERLINK("https://www.indeed.com/viewjob?jk=b8f40dbd58d54568", "https://www.indeed.com/viewjob?jk=b8f40dbd58d54568")</f>
        <v/>
      </c>
      <c r="F74">
        <f>HYPERLINK("https://click.appcast.io/t/qlslNeRO0ikLOAG9_KhrbYM-ukUNEnsj-NycQLSsKsM=", "https://click.appcast.io/t/qlslNeRO0ikLOAG9_KhrbYM-ukUNEnsj-NycQLSsKsM=")</f>
        <v/>
      </c>
      <c r="G74" t="inlineStr">
        <is>
          <t>Chicago, IL, US</t>
        </is>
      </c>
      <c r="H74" s="3" t="n">
        <v>46030</v>
      </c>
      <c r="I7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We're seeking a Data Engineer to design and implement data pipelines that power analytical capabilities. This hands\-on role requires an understanding of data engineering best practices and the ability to translate business requirements into technical solutions.
You will be part of a dedicated team creating datasets for analytic and data science workloads. You will work with other Data Engineers and Sr. Data Engineers on designing, implementing, and testing data pipelines. Your key responsibilities are:
* Data Pipeline Development: Design and build ETL/ELT data pipelines to ingest, process, and transform datasets from multiple sources.
* Performance Optimization: Implement best practices for performance tuning, partitioning, and clustering to optimize data queries.
* Data Quality \&amp; Governance: follow data quality standards, data governance frameworks, and security policies for data storage and access.
* Data Modeling \&amp; Architecture: Develop and optimize data models and schemas to support analytics, reporting, and machine learning requirements.
* Data Integration \&amp; Transformation: Collaborate with data scientists and analysts to design data solutions that integrate with BI tools and machine learning models
* Documentation \&amp; Knowledge Sharing: Create comprehensive documentation for data pipelines, workflows, and processes.
**Required Qualifications**
* 2\+ years of applicable work experience
* Proficiency in Python, specifically with ETL pipelines
* Strong proficiency in SQL and experience in developing complex queries
* Experience deploying data pipelines in a cloud environment (any of Azure, AWS, GCP)
* Excellent communication and interpersonal skills, with the ability to collaborate effectively with data scientists and analysts.
 **Preferred Qualifications**
* Experience working with healthcare data, especially Epic.
* Experience using GCP’s BigQuery
* Knowledge of data governance best practices in a cloud environment.
* Experience working with Machine Learning processes.
 **Education**  
College degree or certification in related fields
**Anticipated Weekly Hours**
40**Time Type**
Full time**Pay Range**
The typical pay range for this role is:
$64,890\.00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01/23/2026
Qualified applicants with arrest or conviction records will be considered for employment in accordance with all federal, state and local laws.</t>
        </is>
      </c>
    </row>
    <row r="75">
      <c r="A75" t="inlineStr">
        <is>
          <t>in-d100a15566be8edb</t>
        </is>
      </c>
      <c r="B75" t="inlineStr">
        <is>
          <t>Senior Analytics Engineer</t>
        </is>
      </c>
      <c r="C75" t="inlineStr">
        <is>
          <t>Builder.io</t>
        </is>
      </c>
      <c r="D75" t="inlineStr">
        <is>
          <t>indeed</t>
        </is>
      </c>
      <c r="E75">
        <f>HYPERLINK("https://www.indeed.com/viewjob?jk=d100a15566be8edb", "https://www.indeed.com/viewjob?jk=d100a15566be8edb")</f>
        <v/>
      </c>
      <c r="F75">
        <f>HYPERLINK("https://grnh.se/o48ucf7u4us", "https://grnh.se/o48ucf7u4us")</f>
        <v/>
      </c>
      <c r="G75" t="inlineStr">
        <is>
          <t>San Francisco, CA, US</t>
        </is>
      </c>
      <c r="H75" s="3" t="n">
        <v>46030</v>
      </c>
      <c r="I75" t="inlineStr">
        <is>
          <t>**About the Role**
We are looking for a builder who speaks the language of business. We need a **Senior Analytics Engineer** to own the data architecture and modeling that powers our Finance, RevOps, and Executive decision\-making.
In this role, you will sit at the intersection of Data Engineering and Business Intelligence. You won't just be moving data from point A to point B; you will be responsible for designing the "logic layer" of our business. You will work directly with stakeholders to understand business problems and engineer the systems that make that data accurate, accessible, and reliable. You understand that a "churn" metric isn't just a number; it's a specific business definition that needs to be modeled accurately and exposed seamlessly in internal customer facing BI tools like Sigma for stakeholders.
**As a Senior Analytics Engineer you will be responsible for…**
**Data Modeling \&amp; Systems Design**
* Own the design and maintenance of our Data Warehouse.
* Build clean, performant, and reliable data models (using SQL and dbt) that serve as the "single source of truth" for the company.
* Design the data architecture specifically for high\-stakes domains: Finance and Revenue Operations. You will ensure that the numbers reported to the board match the numbers in our BI tools.
**ETL \&amp; Pipeline Management**
* Manage and optimize data pipelines (ETL/ELT) to ingest data from business and product applications into our warehouse.
* Debug data failures and implement automated testing to catch data quality issues before they reach the dashboard.
**The "Business\-to\-Data" Translation**
* Act as the technical partner to the Finance and RevOps teams. You will attend their meetings, understand their strategic goals, and translate their requirements into technical specifications.
* Proactively identify gaps in our data collection strategies and work with Engineering/Product to ensure we are capturing the right data upstream.
**You will thrive in this role if...**
* **You are a hybrid:** You might have started as a Data Analyst and grew tired of messy data, so you learned engineering. Or, you are a Data Engineer who cares more about *how* the data is used than the infrastructure it runs on.
* **You are a "Full\-Stack" Analyst:** You are comfortable writing complex SQL, but you also understand software engineering principles like version control, CI/CD, and reusable code.
* **You value context:** You don't just write a query; you ask, "Why are we measuring this?" and "How does this definition of 'Active User' impact our revenue reporting?"
* **You are a distinct communicator:** You can explain a schema change to a Head of Finance and a business metric to a Backend Engineer.
**Requirements**
* **5\+ Years of experience:** You have gotten your hands dirty working with engineering and GTM teams solving real cross functional data problems.
* **Advanced SQL:** You can write complex, highly optimized SQL queries and are comfortable with window functions, CTEs, and query tuning.
* **Pipeline Tools:** Experience with modern transformation tools (specifically **dbt**) and ingestion tools.
* **Scripting Language knowledge:** Proficiency in Javascript / Python for scripting, automation and systems building.
* **Business Acumen:** Experience working with corporate data (CRM, ERP, Billing systems) is highly preferred. You understand the difference between "Bookings" and "Revenue."
* **Cloud Native:** You are familiar with the Google Cloud or other cloud ecosystems and understand how to use the systems available to you to solve problems.
The items above are a starting point for a conversation, not a hard list of requirements. If this role excites you, we hope you will apply!
The base salary range for this role is $170,000 \- $190,000 USD. This role is also eligible for meaningful company equity and benefits.  
This position is fully remote and open to candidates in multiple locations. Compensation may vary by country and local market and will be discussed early in the interview process. Final offer amounts are determined based on experience, role\-related knowledge, skills, and abilities.
**What Builder.io offers you:**
* **Unlimited time off.** 3 weeks is the minimum that we will ask you to take each year
* **Mental health days.** We encourage you to take at least one per quarter to recharge
* **Paid parental leave.** 12 weeks of full pay for the birth and care of a newborn child, or for the placement of a child for adoption or foster care
* **$500 home office improvement budget.** Help get what you need to be comfortable working in a digital\-first environment
* **$500 annual learning \&amp; development budget.** Feel supported and empowered to continue developing your skills
* **Co\-working space reimbursement.** Work from any WeWork at anytime with an All Access pass, or reimburse up to $300/month at another local co\-working space
* **Health Insurance.** 100% employer\-paid premiums for medical, dental, and vision insurance for employees, and 50% covered for eligible dependents
* **Additional Insurance.** Depending on location, Builder covers your life insurance, short\- and long\-term disability, and you'll have access to supplemental benefits like accident and critical illness insurance
* **401k (for US based team members).** Contribute to your financial future
* **Real equity.** We have a four year vesting schedule with a one year cliff. We also have a **ten (10!!) year** exercise window (yeah, we're pretty stoked about it!)
**About Builder.io:**
Builder.io is pioneering the space between design and development, creating a new category of Visual Development Platform that transforms how teams build digital products.
Our Visual Copilot technology bridges the gap between Figma designs and production code, enabling teams to build interactive features using natural language while working with their actual code, data, and APIs. Alongside our code generation capabilities, our CMS empowers organizations to skip code generation altogether and publish updates to any live site or app in a couple clicks.
Trusted by leading mid\-market to enterprise\-level companies like JCrew, Vimeo, and Anheuser Busch, we're focused on eliminating the traditional bottlenecks between design, development, and content management.
*Builder.io is committed to growing an inclusive and diverse team. We are an equal opportunity employer. We do not discriminate based on race, ethnicity, color, ancestry, national origin, religion, sex, sexual orientation, gender identity, age, disability, veteran, genetic information, marital status or any other legally protected status.*</t>
        </is>
      </c>
    </row>
    <row r="76">
      <c r="A76" t="inlineStr">
        <is>
          <t>in-11b3d2b1a0e65fcb</t>
        </is>
      </c>
      <c r="B76" t="inlineStr">
        <is>
          <t>Analytics Engineering Manager</t>
        </is>
      </c>
      <c r="C76" t="inlineStr">
        <is>
          <t>Kin Insurance</t>
        </is>
      </c>
      <c r="D76" t="inlineStr">
        <is>
          <t>indeed</t>
        </is>
      </c>
      <c r="E76">
        <f>HYPERLINK("https://www.indeed.com/viewjob?jk=11b3d2b1a0e65fcb", "https://www.indeed.com/viewjob?jk=11b3d2b1a0e65fcb")</f>
        <v/>
      </c>
      <c r="F76">
        <f>HYPERLINK("https://jobs.ashbyhq.com/kin/63c85f5a-db8d-49f8-8dc5-2e2a0e7379fa?utm_source=Poxlxy7KOW", "https://jobs.ashbyhq.com/kin/63c85f5a-db8d-49f8-8dc5-2e2a0e7379fa?utm_source=Poxlxy7KOW")</f>
        <v/>
      </c>
      <c r="G76" t="inlineStr">
        <is>
          <t>US</t>
        </is>
      </c>
      <c r="H76" s="3" t="n">
        <v>46030</v>
      </c>
      <c r="I76" t="inlineStr">
        <is>
          <t>Kin is redesigning insurance to be smarter, faster, and centered on the customer. We use intelligent pricing, offer seamless bundling, and make every step (from purchasing, servicing to claims) simple and friction\-free, especially in the places traditional insurers often ignore.
We empower people to protect what matters most, starting with their homes and expanding to all they value, in a world where climate risks, rising costs, and outdated systems leave too many behind. Our approach has fostered amazing growth, attracted marquee investors, and earned us accolades, including being named to:
* Built In Chicago's Best Places to Work, Midsize Companies (2021\-2025\).
* Forbes' America's Best Startup Employers (2021\- 2024, Ranked \#37 in 2024\).
* Inc. 5000 Fastest\-Growing Private Companies.
* Forbes’ Fintech 50\.
Simply put, our people are what make us great – we need forward\-thinking, inspired game\-changers like you to join us in our mission.
**Quick summary**
-----------------
Own Looker and the semantic layer; build trust in analytics; partner with data engineering; grow a team of analytics engineers.
**The opportunity**
-------------------
We’re looking for an Analytics Engineering Manager to lead the discipline of turning well\-modeled data into shared, trusted business understanding. You’ll own the direction and quality of our semantic layer, enterprise reporting, and BI practices while partnering closely with data engineers and stakeholders across Kin’s business.
You’ll own Kin’s semantic layer and BI platform, Looker, and be responsible for the care and evolution of core enterprise reports, as well as the enablement of self\-service analytics for smaller and exploratory use cases. You’ll blend your technical leadership, stakeholder collaboration, and hands\-on skills to optimize our use of data.
**Your responsibilities**
-------------------------
* Provide directional administration of the Looker platform, including permissions, performance considerations, content lifecycle, and development standards
* Partner with teams to align on shared metrics and definitions, and guide them through semantic tradeoffs and definition differences
* Oversee the care, development, and reliability of Kin’s core dashboards and reports
* Partner with data engineers and provide input on dimensional model design and evolution while advocating for best practices that support downstream analytics
* Hire and lead analytics engineers, mentoring them on modeling, semantic design, and stakeholder partnership
* Develop and implement new analytics and reporting solutions
**What success looks like**
---------------------------
* A clearer direction for Kin’s BI semantic layer, prioritizing simplicity, consistency and long\-term durability
* Enhanced self\-service through curated datasets, reusable metrics, documentation, and lightweight guardrails
* Improved performance and reliability of enterprise level and self\-service reporting and dashboards
* A larger and higher\-performing analytics engineering team
**Your experience \&amp; skills**
-----------------------------
* 6–8\+ years in analytics engineering, BI engineering, or data modeling roles
* Expert\-level SQL and dimensional modeling abilities
* Advanced reasoning related to metrics, definitions, and business meaning
* Proven ability to design simple, durable semantic layers over complex data
* Comfort influencing upstream data design without owning ingestion or platform operations
* Excellent written and verbal communication skills, and ability to align technical and non\-technical partners
* High emotional intelligence and empathy when working through differing perspectives
* Demonstrated leadership through mentoring, technical direction\-setting, or informal team leadership
* Hands\-on experience with modern lakehouse or warehouse platforms (e.g., Databricks) or BI tools (e.g., Looker)
**Our benefits**
----------------
We offer a comprehensive, competitive benefits program, allowing you to choose the benefits that are best for you and your family, starting on the first day of the month following your start date.
Core Benefits That Support You
* Competitive salary and company equity through Restricted Stock Units (RSUs), granted as part of our standard compensation package
* 401(k) with company match up to 4% of eligible earnings
* Multiple medical plan options, plus dental and vision coverage
* Company\-funded HSA contributions (based on medical plan selection)
* Company\-paid life insurance and short\-term disability
* Employee referral bonuses
Health \&amp; Wellbeing
* A variety of supplemental benefit options, including long\-term disability, critical illness, accident, legal, and pet insurance
* Access to mental health support and confidential counseling resources
Time Away \&amp; Balance
* Flexible PTO for exempt employees (most employees take 15–20 days per year), plus 8 company\-observed holidays
* Paid parental leave, including up to 14 weeks at 100% pay for birthing parents and 8 weeks at 100% pay for non\-birthing parents
Growth \&amp; Development
* Career mobility and internal growth opportunities across the organization
* Professional development budgets for certifications, conferences, and learning available, subject to management approval
*For Sales Agents and Customer Service Agents: These roles sit in any of the following 30 states: AL, AZ, CO, FL, ID, IL, IN, KS, KY, MA, MD, ME, MI, MO, MT, NC, NE, NM, NV, NY, OH, OK, PA, SC, TN, TX, UT, VT, VA, WA, and WI.*
*For all other positions, these roles can sit in any of the following 40 states: AL, AR, AZ, CA (exempt only), CO, CT, FL, GA, ID, IL, IN, IA, KS, KY, MA, ME, MD, MI, MN, MO, MT, NC, NE, NJ, NM, NV, NY, OH, OK, OR, PA, SC, SD, TN, TX, UT, VT, VA, WA, and WI. Please only apply if you are able to live and work full\-time in one of the states listed above.*
*State locations and specifics are subject to change as our hiring requirements shift.*
### **About Kin**
Kin is the only pure\-play, direct\-to\-consumer digital insurer focused on the growing home insurance market. We make policies convenient and affordable through a technology platform that delivers a seamless user experience, customized options for coverage, and fast, high\-quality claims service. Kin is a fully licensed carrier that offers coverage through its reciprocal exchanges which are owned by its policyholders. To learn more, visit www.kin.com.
### **EEOC Statement**
Kin is proud to be an Equal Employment Opportunity and Affirmative Action Employer. We don't just accept difference – we honor it, nurture it, and celebrate it. We don’t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Compensation Range: $150K \- $185K</t>
        </is>
      </c>
    </row>
    <row r="77">
      <c r="A77" t="inlineStr">
        <is>
          <t>in-2b83200cdd4b5693</t>
        </is>
      </c>
      <c r="B77" t="inlineStr">
        <is>
          <t>Senior Analytics Engineer</t>
        </is>
      </c>
      <c r="C77" t="inlineStr">
        <is>
          <t>Form Energy</t>
        </is>
      </c>
      <c r="D77" t="inlineStr">
        <is>
          <t>indeed</t>
        </is>
      </c>
      <c r="E77">
        <f>HYPERLINK("https://www.indeed.com/viewjob?jk=2b83200cdd4b5693", "https://www.indeed.com/viewjob?jk=2b83200cdd4b5693")</f>
        <v/>
      </c>
      <c r="F77">
        <f>HYPERLINK("https://jobs.ashbyhq.com/formenergy/1e0faf14-5308-4484-af22-7d99f57a24bd?utm_source=QeK3j8aJ8Z", "https://jobs.ashbyhq.com/formenergy/1e0faf14-5308-4484-af22-7d99f57a24bd?utm_source=QeK3j8aJ8Z")</f>
        <v/>
      </c>
      <c r="G77" t="inlineStr">
        <is>
          <t>Weirton, WV, US</t>
        </is>
      </c>
      <c r="H77" s="3" t="n">
        <v>46030</v>
      </c>
      <c r="I77" t="inlineStr">
        <is>
          <t>Are you ready to build America’s energy future? Form Energy is an American manufacturing and energy technology company. We’re revolutionizing energy storage with cost\-effective, multi\-day technology designed to keep the electric grid secure and reliable, even during extended periods of stress. By strengthening the electric system and reimagining what’s possible, we’re giving clean energy a whole new form!
In recent years, Form Energy has earned a number of accolades, including being named by *TIME* as a “Best Invention”, *MIT Technology Review* as a “Top Climate Tech Company To Watch”, and *Fast Company* as “One of the Next Big Things In Tech”. We are making rapid progress on our mission of delivering energy storage for a better world, and our team is growing just as rapidly to meet demand. We have signed contracts with leading electric utilities across the United States and production of our iron\-air batteries is underway at our first high\-volume manufacturing facility in West Virginia.
Working for Form Energy is more than just a job, it’s a chance to be part of something extraordinary. And now \- right as we significantly scale up battery manufacturing \- might be the most exciting moment in the company’s history to join. We are assembling a team of highly talented and driven individuals across the country. Driven by our core values of humanity, excellence, and creativity, our team is determined to deliver on our mission and transform the energy landscape for the better.
**Feeling energized to make a meaningful impact on the world? Then keep reading \- you’ve come to the right place.**
**Role Description**
--------------------
The Data Platform team is responsible for building and maintaining common, cloud\-based software and data infrastructure used across the company. This includes everything from our Snowflake data warehouse, to the K8s (EKS) clusters used to run our software, to the streaming platform that processes telemetry data from our product in the field. The Analytics Engineering function sits within the Data Platform team, and is responsible for transforming, enriching, and curating trusted datasets that are used across the organization. This role will work closely with lab, site software, and field operations teams to generate insights and expedite cycles of learning through data.
### **What you'll do:**
* Build, review, and optimize data models/transformations in our data platform using tools like dbt, Apache Spark, or Delta Live Tables
* Work with our partner teams across Form to define and codify key product performance metrics
* Manage how data stores interact with analytical tools including Grafana, Hex, JMP, and Sigma. This may include managing these environments and providing support to users
* Work closely with other Software teams to ensure that data are consistent across sources upstream and data models. This will be in an environment where schema migrations are frequent for existing data sources, and new sources are regularly introduced.
* Help to build a strong data culture at Form
* Act as a collaborative member of a distributed software engineering team
### **What you'll bring:**
* Minimum 7 years of professional experience as an analytics engineer, data engineer, data scientist, or other data professional
* Strong SQL and Python skills; experience working with dbt and Apache Spark desired
* Experience working with OLAP and time series databases like Snowflake, Databricks DBSQL, Clickhouse, and/or InfluxDB
* Experience using BI and data visualization tools like Sigma, Grafana, Tableau, or Superset
* Solid understanding of git and version control principles
* Working knowledge of electrochemistry and/or electrical systems is highly desired but not required
* Curiosity, creativity, and tenacity when it comes to problem solving
*\#LI\-Onsite*
*\#LI\-TR1*
*Humanity is a cornerstone of Form Energy’s culture, and we make sure our compensation and benefits reflect that. Form Energy offers competitive salaries, stock options, and a holistic benefits package to ensure all employees have what they need to thrive while working here.*
*When it comes to you and your family’s health, we cover 100% of medical, dental, and vision premiums for full\-time employees \- and 80% of healthcare premiums for dependents. This starts from day one. We also offer at least 12 weeks of paid leave for new parents (up to 20 weeks for birthing parents), and generous vacation policies to give employees time to recharge when needed.*
*To build America’s energy future, we need everyone at the table. We are proud to be an equal opportunity employer, and encourage candidates from all backgrounds to apply to our open jobs.*
 *If you may require reasonable accommodations to participate in our interview process, please contact accommodations@formenergy.com. Requests for accommodations will be treated with discretion.*  
*Form Energy is committed to maintaining the privacy of our applicants. Please be aware that we will* ***never*** *solicit sensitive personal information such as Social Security numbers or bank account details during the recruiting or hiring process.*
Compensation Range: $111\.9K \- $160\.8K</t>
        </is>
      </c>
    </row>
    <row r="78">
      <c r="A78" t="inlineStr">
        <is>
          <t>in-fc6754f309e9fccd</t>
        </is>
      </c>
      <c r="B78" t="inlineStr">
        <is>
          <t>Senior Analytics Engineer</t>
        </is>
      </c>
      <c r="C78" t="inlineStr">
        <is>
          <t>Form Energy</t>
        </is>
      </c>
      <c r="D78" t="inlineStr">
        <is>
          <t>indeed</t>
        </is>
      </c>
      <c r="E78">
        <f>HYPERLINK("https://www.indeed.com/viewjob?jk=fc6754f309e9fccd", "https://www.indeed.com/viewjob?jk=fc6754f309e9fccd")</f>
        <v/>
      </c>
      <c r="F78">
        <f>HYPERLINK("https://jobs.ashbyhq.com/formenergy/1e0faf14-5308-4484-af22-7d99f57a24bd?utm_source=QeK3j8aJ8Z", "https://jobs.ashbyhq.com/formenergy/1e0faf14-5308-4484-af22-7d99f57a24bd?utm_source=QeK3j8aJ8Z")</f>
        <v/>
      </c>
      <c r="G78" t="inlineStr">
        <is>
          <t>Somerville, MA, US</t>
        </is>
      </c>
      <c r="H78" s="3" t="n">
        <v>46030</v>
      </c>
      <c r="I78" t="inlineStr">
        <is>
          <t>Are you ready to build America’s energy future? Form Energy is an American manufacturing and energy technology company. We’re revolutionizing energy storage with cost\-effective, multi\-day technology designed to keep the electric grid secure and reliable, even during extended periods of stress. By strengthening the electric system and reimagining what’s possible, we’re giving clean energy a whole new form!
In recent years, Form Energy has earned a number of accolades, including being named by *TIME* as a “Best Invention”, *MIT Technology Review* as a “Top Climate Tech Company To Watch”, and *Fast Company* as “One of the Next Big Things In Tech”. We are making rapid progress on our mission of delivering energy storage for a better world, and our team is growing just as rapidly to meet demand. We have signed contracts with leading electric utilities across the United States and production of our iron\-air batteries is underway at our first high\-volume manufacturing facility in West Virginia.
Working for Form Energy is more than just a job, it’s a chance to be part of something extraordinary. And now \- right as we significantly scale up battery manufacturing \- might be the most exciting moment in the company’s history to join. We are assembling a team of highly talented and driven individuals across the country. Driven by our core values of humanity, excellence, and creativity, our team is determined to deliver on our mission and transform the energy landscape for the better.
**Feeling energized to make a meaningful impact on the world? Then keep reading \- you’ve come to the right place.**
**Role Description**
--------------------
The Data Platform team is responsible for building and maintaining common, cloud\-based software and data infrastructure used across the company. This includes everything from our Snowflake data warehouse, to the K8s (EKS) clusters used to run our software, to the streaming platform that processes telemetry data from our product in the field. The Analytics Engineering function sits within the Data Platform team, and is responsible for transforming, enriching, and curating trusted datasets that are used across the organization. This role will work closely with lab, site software, and field operations teams to generate insights and expedite cycles of learning through data.
### **What you'll do:**
* Build, review, and optimize data models/transformations in our data platform using tools like dbt, Apache Spark, or Delta Live Tables
* Work with our partner teams across Form to define and codify key product performance metrics
* Manage how data stores interact with analytical tools including Grafana, Hex, JMP, and Sigma. This may include managing these environments and providing support to users
* Work closely with other Software teams to ensure that data are consistent across sources upstream and data models. This will be in an environment where schema migrations are frequent for existing data sources, and new sources are regularly introduced.
* Help to build a strong data culture at Form
* Act as a collaborative member of a distributed software engineering team
### **What you'll bring:**
* Minimum 7 years of professional experience as an analytics engineer, data engineer, data scientist, or other data professional
* Strong SQL and Python skills; experience working with dbt and Apache Spark desired
* Experience working with OLAP and time series databases like Snowflake, Databricks DBSQL, Clickhouse, and/or InfluxDB
* Experience using BI and data visualization tools like Sigma, Grafana, Tableau, or Superset
* Solid understanding of git and version control principles
* Working knowledge of electrochemistry and/or electrical systems is highly desired but not required
* Curiosity, creativity, and tenacity when it comes to problem solving
*\#LI\-Onsite*
*\#LI\-TR1*
*Humanity is a cornerstone of Form Energy’s culture, and we make sure our compensation and benefits reflect that. Form Energy offers competitive salaries, stock options, and a holistic benefits package to ensure all employees have what they need to thrive while working here.*
*When it comes to you and your family’s health, we cover 100% of medical, dental, and vision premiums for full\-time employees \- and 80% of healthcare premiums for dependents. This starts from day one. We also offer at least 12 weeks of paid leave for new parents (up to 20 weeks for birthing parents), and generous vacation policies to give employees time to recharge when needed.*
*To build America’s energy future, we need everyone at the table. We are proud to be an equal opportunity employer, and encourage candidates from all backgrounds to apply to our open jobs.*
 *If you may require reasonable accommodations to participate in our interview process, please contact accommodations@formenergy.com. Requests for accommodations will be treated with discretion.*  
*Form Energy is committed to maintaining the privacy of our applicants. Please be aware that we will* ***never*** *solicit sensitive personal information such as Social Security numbers or bank account details during the recruiting or hiring process.*
Compensation Range: $111\.9K \- $160\.8K</t>
        </is>
      </c>
    </row>
    <row r="79">
      <c r="A79" t="inlineStr">
        <is>
          <t>in-be4561024b495313</t>
        </is>
      </c>
      <c r="B79" t="inlineStr">
        <is>
          <t>Senior Analytics Engineer</t>
        </is>
      </c>
      <c r="C79" t="inlineStr">
        <is>
          <t>Form Energy</t>
        </is>
      </c>
      <c r="D79" t="inlineStr">
        <is>
          <t>indeed</t>
        </is>
      </c>
      <c r="E79">
        <f>HYPERLINK("https://www.indeed.com/viewjob?jk=be4561024b495313", "https://www.indeed.com/viewjob?jk=be4561024b495313")</f>
        <v/>
      </c>
      <c r="F79">
        <f>HYPERLINK("https://jobs.ashbyhq.com/formenergy/1e0faf14-5308-4484-af22-7d99f57a24bd?utm_source=QeK3j8aJ8Z", "https://jobs.ashbyhq.com/formenergy/1e0faf14-5308-4484-af22-7d99f57a24bd?utm_source=QeK3j8aJ8Z")</f>
        <v/>
      </c>
      <c r="G79" t="inlineStr">
        <is>
          <t>Berkeley, CA, US</t>
        </is>
      </c>
      <c r="H79" s="3" t="n">
        <v>46030</v>
      </c>
      <c r="I79" t="inlineStr">
        <is>
          <t>Are you ready to build America’s energy future? Form Energy is an American manufacturing and energy technology company. We’re revolutionizing energy storage with cost\-effective, multi\-day technology designed to keep the electric grid secure and reliable, even during extended periods of stress. By strengthening the electric system and reimagining what’s possible, we’re giving clean energy a whole new form!
In recent years, Form Energy has earned a number of accolades, including being named by *TIME* as a “Best Invention”, *MIT Technology Review* as a “Top Climate Tech Company To Watch”, and *Fast Company* as “One of the Next Big Things In Tech”. We are making rapid progress on our mission of delivering energy storage for a better world, and our team is growing just as rapidly to meet demand. We have signed contracts with leading electric utilities across the United States and production of our iron\-air batteries is underway at our first high\-volume manufacturing facility in West Virginia.
Working for Form Energy is more than just a job, it’s a chance to be part of something extraordinary. And now \- right as we significantly scale up battery manufacturing \- might be the most exciting moment in the company’s history to join. We are assembling a team of highly talented and driven individuals across the country. Driven by our core values of humanity, excellence, and creativity, our team is determined to deliver on our mission and transform the energy landscape for the better.
**Feeling energized to make a meaningful impact on the world? Then keep reading \- you’ve come to the right place.**
**Role Description**
--------------------
The Data Platform team is responsible for building and maintaining common, cloud\-based software and data infrastructure used across the company. This includes everything from our Snowflake data warehouse, to the K8s (EKS) clusters used to run our software, to the streaming platform that processes telemetry data from our product in the field. The Analytics Engineering function sits within the Data Platform team, and is responsible for transforming, enriching, and curating trusted datasets that are used across the organization. This role will work closely with lab, site software, and field operations teams to generate insights and expedite cycles of learning through data.
### **What you'll do:**
* Build, review, and optimize data models/transformations in our data platform using tools like dbt, Apache Spark, or Delta Live Tables
* Work with our partner teams across Form to define and codify key product performance metrics
* Manage how data stores interact with analytical tools including Grafana, Hex, JMP, and Sigma. This may include managing these environments and providing support to users
* Work closely with other Software teams to ensure that data are consistent across sources upstream and data models. This will be in an environment where schema migrations are frequent for existing data sources, and new sources are regularly introduced.
* Help to build a strong data culture at Form
* Act as a collaborative member of a distributed software engineering team
### **What you'll bring:**
* Minimum 7 years of professional experience as an analytics engineer, data engineer, data scientist, or other data professional
* Strong SQL and Python skills; experience working with dbt and Apache Spark desired
* Experience working with OLAP and time series databases like Snowflake, Databricks DBSQL, Clickhouse, and/or InfluxDB
* Experience using BI and data visualization tools like Sigma, Grafana, Tableau, or Superset
* Solid understanding of git and version control principles
* Working knowledge of electrochemistry and/or electrical systems is highly desired but not required
* Curiosity, creativity, and tenacity when it comes to problem solving
*\#LI\-Onsite*
*\#LI\-TR1*
*Humanity is a cornerstone of Form Energy’s culture, and we make sure our compensation and benefits reflect that. Form Energy offers competitive salaries, stock options, and a holistic benefits package to ensure all employees have what they need to thrive while working here.*
*When it comes to you and your family’s health, we cover 100% of medical, dental, and vision premiums for full\-time employees \- and 80% of healthcare premiums for dependents. This starts from day one. We also offer at least 12 weeks of paid leave for new parents (up to 20 weeks for birthing parents), and generous vacation policies to give employees time to recharge when needed.*
*To build America’s energy future, we need everyone at the table. We are proud to be an equal opportunity employer, and encourage candidates from all backgrounds to apply to our open jobs.*
 *If you may require reasonable accommodations to participate in our interview process, please contact accommodations@formenergy.com. Requests for accommodations will be treated with discretion.*  
*Form Energy is committed to maintaining the privacy of our applicants. Please be aware that we will* ***never*** *solicit sensitive personal information such as Social Security numbers or bank account details during the recruiting or hiring process.*
Compensation Range: $111\.9K \- $160\.8K</t>
        </is>
      </c>
    </row>
    <row r="80">
      <c r="A80" t="inlineStr">
        <is>
          <t>in-828269dd67261f70</t>
        </is>
      </c>
      <c r="B80" t="inlineStr">
        <is>
          <t>Lead Data Engineer</t>
        </is>
      </c>
      <c r="C80" t="inlineStr">
        <is>
          <t>Wipro</t>
        </is>
      </c>
      <c r="D80" t="inlineStr">
        <is>
          <t>indeed</t>
        </is>
      </c>
      <c r="E80">
        <f>HYPERLINK("https://www.indeed.com/viewjob?jk=828269dd67261f70", "https://www.indeed.com/viewjob?jk=828269dd67261f70")</f>
        <v/>
      </c>
      <c r="F80">
        <f>HYPERLINK("https://careers.wipro.com/job/Lead-Data-Engineer/124861-en_US", "https://careers.wipro.com/job/Lead-Data-Engineer/124861-en_US")</f>
        <v/>
      </c>
      <c r="G80" t="inlineStr">
        <is>
          <t>Santa Clara, CA, US</t>
        </is>
      </c>
      <c r="H80" s="3" t="n">
        <v>46030</v>
      </c>
      <c r="I80" t="inlineStr">
        <is>
          <t>Job Description* 
Job Title: Lead Data Engineer
City: Santa Clara
State/Province: California
Posting Start Date: 1/9/26
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Job Description:
**Job Description**
-------------------
Role: Lead Data Engineer
Location: Santa Clara, CA (Day 1 Onsite)  
We are looking for a highly skilled and motivated Data Engineer to join our team. The ideal candidate will be responsible for designing, building, and maintaining scalable data infrastructure that drives business intelligence, advanced analytics, and machine learning initiatives. You must be comfortable working autonomously, navigating complex challenges, and driving projects to successful completion in a dynamic cloud environment.
Core Responsibilities
* Design and Optimization: Design, implement, and optimize clean, well\-structured, and performant analytical datasets to support high\-volume reporting, business analysis, and data science model development.
* Pipeline Development: Architect, build, and maintain scalable and robust data pipelines for diverse applications, including business intelligence and advanced analytics.
* Big Data \&amp; Streaming: Implement and support Big Data solutions for both batch (scheduled) and real\-time/streaming analytics.
* Collaboration: Work closely with product managers and business teams to understand data requirements and translate them into technical solutions.
* DevOps Integration: Collaborate with DevOps teams to ensure smooth deployment, monitoring, and maintenance of data pipelines and infrastructure in cloud environments.
Required Skills \&amp; Experience
* Cloud Platform Expertise (GCP Focus): Extensive hands\-on experience working in dynamic cloud environments, with a strong preference for Google Cloud Platform (GCP) services, specifically:
o BigQuery: Expert\-level skills in data ingestion, performance optimization, and data modeling within a petabyte\-scale environment.
o Experience with other relevant GCP services like Cloud Storage, Cloud Dataflow/Beam, or Pub/Sub.
* Programming \&amp; Querying:
o Python: Expert\-level programming proficiency in Python, including experience with relevant data engineering libraries.
o SQL: A solid command of advanced SQL for complex querying, data processing, and performance tuning.
* Data Pipeline Orchestration: Prior experience using workflow management and orchestration tools (e.g., Apache Airflow, Cloud Composer, Dagster, or similar).
DevOps/CI/CD:
o Strong understanding of DevOps principles and practices.
o Experience with CI/CD pipelines, automation tools, and deployment strategies.
o Familiarity with version control systems (Git) and tools like GitLab CI/CD, GitHub Actions, or Jenkins.
o Knowledge of containerization (Docker) and orchestration tools (Kubernetes) is a plus.
* Monitoring \&amp; Automation: Ability to implement monitoring solutions and automate operational tasks to ensure reliability and scalability.
Mandatory Skills: Cloud\-PaaS\-GCP\-Google Cloud Platform .  
Experience: 3\-5 Years .  
The expected compensation for this role ranges from $45,000 to $110,000 .  
Final compensation will depend on various factors, including your geographical location, minimum wage obligations, skills, and relevant experience. Based on the position, the role is also eligible for Wipro's standard benefits including a full range of medical and dental benefits options, disability insurance, paid time off (inclusive of sick leave), other paid and unpaid leave options.  
Applicants are advised that employment in some roles may be conditioned on successful completion of a post\-offer drug screening, subject to applicable state law.  
Wipro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Applications from veterans and people with disabilities are explicitly welcome.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t>
        </is>
      </c>
    </row>
    <row r="81">
      <c r="A81" t="inlineStr">
        <is>
          <t>in-deb21b86dac3d99c</t>
        </is>
      </c>
      <c r="B81" t="inlineStr">
        <is>
          <t>InsideTrack Analytics Engineer</t>
        </is>
      </c>
      <c r="C81" t="inlineStr">
        <is>
          <t>Strada Education Network</t>
        </is>
      </c>
      <c r="D81" t="inlineStr">
        <is>
          <t>indeed</t>
        </is>
      </c>
      <c r="E81">
        <f>HYPERLINK("https://www.indeed.com/viewjob?jk=deb21b86dac3d99c", "https://www.indeed.com/viewjob?jk=deb21b86dac3d99c")</f>
        <v/>
      </c>
      <c r="F81">
        <f>HYPERLINK("https://jobs.lever.co/stradaeducation/d5fb9368-181a-413a-b2b3-b783f0cf1406?lever-source=Indeed", "https://jobs.lever.co/stradaeducation/d5fb9368-181a-413a-b2b3-b783f0cf1406?lever-source=Indeed")</f>
        <v/>
      </c>
      <c r="G81" t="inlineStr">
        <is>
          <t>Remote, US</t>
        </is>
      </c>
      <c r="H81" s="3" t="n">
        <v>46030</v>
      </c>
      <c r="I81" t="inlineStr">
        <is>
          <t>We’re looking for a talented Analytics Engineer to join our analytics team! At InsideTrack, we are passionate about student success. We partner with colleges and universities to improve enrollment, persistence, completion and career readiness. Our student support methodology uncovers first\-hand feedback about student goals and challenges. Through strategic guidance, staff training and student coaching, we help institutions turn this feedback into actionable insights that drive exceptional student outcomes. As a non\-profit organization, our partners turn to us as thought leaders in higher education. We offer these partners access to a comprehensive range of student success solutions as well as the latest research and insights impacting the industry. We’ve proudly supported more than 3\.5 million learners since 2001 and currently serve over 380 partners, empowering our partners to uplevel their student success outcomes. Join us and the leading institutions, foundations and others working to bring the transformative power of education to all individuals.  
The Analytics Engineer is part of a remote work team that is responsible for real\-time business metrics aggregation, data warehousing and querying, schema and data management as well as a number of other analytics infrastructure systems. The incumbent, along with the remote work team, will strive to architect, develop, and deploy world\-class data systems to empower every tier of our mission\-driven company, as well as build scalable systems that enable self\-service access to sophisticated data and analyses.### **Essential Job Functions:**
* Design, build, and maintain data models foundational to the company’s internal and client\-facing reporting and analytics.
* Investigate bug root causes and implement fixes.
* Design, build, and support a data warehouse for the company’s business.
* Create and support various ELT scripts, jobs, and technologies.
* Tune and optimize data storage technologies.
* Review pull requests and test team member’s code and features.
* Interact with data analysts and power users to define metrics to build data models.
* Collaborate with team members to remove blockers and design new features.
* Function as data expert to advise users on the usage of structured and unstructured data.
* Support APIs, tools, and 3rd party products to extract data from Cloud/SaaS applications.
### **Education Requirements:**
* Bachelor’s degree in Computer Technology, Information Systems or related field (preferred)
### **Experience Requirements:**
* Minimum of two (2\) years of applicable work experience
* Knowledge and experience with data warehousing architecture and data modeling best practices
* Ability to build and optimize data sets and architectures Experience with cloud base data warehousing such as Snowflake
* Ability to clean and transform data for use in analytics and reporting
* Exposure to one or more EL tools and a solid understanding of pipelines; understanding of third\-party data integration tools such as Fivetran, Stitch
* Ability to build processes that support data transformation, workload management, data structures, dependency and metadata
* Expert knowledge of SQL
* Experience with dbt
* Excellent analytic skills associated with working on structured datasets
* Care deeply about data quality and governance; able to document data and definitions
* Experience with Github and CI/CD practices
* Experience working in an Agile software development environment that is highly collaborative
* Ability to perform root cause analysis on external and internal processes and data to identify opportunities for improvement
* Able to prioritize, work independently in a less structured, remote work setting
* Team player and receptive to giving and receiving feedback, with the ability to effectively collaborate with and communicate complex topics to an audience of diverse backgrounds and skills
### **Experience Preferences:**
* Background and experience in higher education
* Experience with Looker and LookML
* Experience with Salesforce Education Data Architecture
* Experience with Infrastructure as code such as Terraform
**TYPICAL PHYSICAL \&amp; MENTAL DEMANDS:** Requires prolonged sitting with some bending, stooping and stretching; eye\-hand coordination and manual dexterity sufficient to operate a keyboard, telephone, and other office equipment. Requires sufficient range of hearing and eyesight to record, prepare and communicate appropriate reports on a laptop computer. Also requires moderate to intense concentration due to complexity and/or need to meet deadlines, and flexibility to readily adapt to a changing environment.  
We really want to get to know you as a person, and the unique skills and gifts that you can bring to the position. Therefore, we highly encourage you not to use an AI program during the application/consideration process.</t>
        </is>
      </c>
    </row>
    <row r="82">
      <c r="A82" t="inlineStr">
        <is>
          <t>in-69336fa0fd653b4d</t>
        </is>
      </c>
      <c r="B82" t="inlineStr">
        <is>
          <t>Senior Data Engineer tags.new</t>
        </is>
      </c>
      <c r="C82" t="inlineStr">
        <is>
          <t>Real Chemistry</t>
        </is>
      </c>
      <c r="D82" t="inlineStr">
        <is>
          <t>indeed</t>
        </is>
      </c>
      <c r="E82">
        <f>HYPERLINK("https://www.indeed.com/viewjob?jk=69336fa0fd653b4d", "https://www.indeed.com/viewjob?jk=69336fa0fd653b4d")</f>
        <v/>
      </c>
      <c r="F82">
        <f>HYPERLINK("https://job-boards.greenhouse.io/realchemistry/jobs/5031343008", "https://job-boards.greenhouse.io/realchemistry/jobs/5031343008")</f>
        <v/>
      </c>
      <c r="G82" t="inlineStr">
        <is>
          <t>New York, NY, US</t>
        </is>
      </c>
      <c r="H82" s="3" t="n">
        <v>46030</v>
      </c>
      <c r="I82" t="inlineStr">
        <is>
          <t>At Real Chemistry, making the world a healthier place isn’t just an aspiration—it’s our everyday reality. Our drive to transform healthcare is informed by our blend of deep scientific expertise, human\-centred creativity, and AI\-driven insights, fostering a unique environment where innovation thrives and our people are impact\-obsessed. As a global agency, we provide a full suite of services across healthcare communications and marketing to our clients, including top players in the pharmaceutical and biotech industries.
Our \#LifeatRealChem culture is rooted in our people—we believe we are best together and are committed to excellence for both our clients and colleagues. Whether you're a seasoned professional or just starting your career, if you share our passion for healthcare and connection, we invite you to explore our opportunities.
Discover your purpose. Embrace innovation. Experience \#LifeatRealChem.
Spring \&amp; Bond, a part of Real Chemistry, is a digital media agency and consultancy helping pharmaceutical and medical device manuf]acturers build robust, omnichannel\-enabled media executions for both HCP and consumer audiences. Our focus is on client empowerment through services like customer journey planning, media strategy \&amp; activation, technology evaluation, in\-house capability development, and training.
We are looking for a **Senior Data Engineer** to help drive the design, build, and scale of our data infrastructure. This role will be responsible for architecting and maintaining multi\-cloud data platforms, optimizing ETL pipelines, and ensuring data quality and availability across the
organization. As a senior member of the Data Engineering team, you will notonly deliver hands\-on technical solutions but also mentor junior engineers, guide best practices, and help shape the direction of our data engineering capabilities.
**What you'll do:**
* Architect and optimize robust, scalable ETL pipelines and workflows to ingest, transform, and deliver data from multiple sources.
* Ensure data integrity and governance through validation frameworks, schema design, and proactive monitoring.
* Leverage advanced SQL and programming skills to extract, transform, and analyze data efficiently.
* Develop automation using Python, Pandas, AWS Lambda, and related tools to improve operational efficiency.
* Design and manage data platforms, including Snowflake, Athena, Redshift, BigQuery, and other cloud\-based solutions.
* Collaborate cross\-functionally with analysts, strategists, and business leaders to translate business requirements into technical solutions.
* Mentor and coach junior data engineers, setting standards for code quality,
* documentation, and best practices.
* Lead vendor and partner integrations, ensuring seamless data delivery and alignment with internal standards.
* Communicate effectively with both technical and non\-technical stakeholders, providing clear insight and direction.
* Drive innovation, identifying opportunities to improve performance, scalability, and usability of our data systems.
**What you should have:**
* Bachelor’s degree in Computer Science, Data Engineering, or related field—or equivalent experience.
* 5–7\+ years of experience in data engineering, with proven success building and scaling data systems.
* Expert knowledge of SQL and Python, including performance optimization and data manipulation libraries (e.g., Pandas).
* Strong experience with AWS data products (S3, Redshift, Athena, Lambda) and familiarity with multi\-cloud environments.
* Deep understanding of data modeling, schema design, and best practices for large\-scale data solutions.
* Demonstrated ability to design secure, reliable pipelines and troubleshoot complex issues.
* Experience leading projects and mentoring other engineers.
* Excellent communication, critical thinking, and problem\-solving skills.
* Comfortable managing multiple priorities and delivering in a fast\-paced environment.
**Great\-to\-Haves**
* Experience with data transformation and productivity tools (dbt, Jinja, etc.).
* Familiarity with Snowflake (Notebooks, Worksheets, VS Code plugin).
* Knowledge of data visualization platforms such as Looker Studio or similar BI tools.
* Exposure to digital marketing analytics and measurement frameworks.
**Pay Range:** $120,000\-$145,000  
This is the pay range the Company believes it will pay for this position at the time of this posting. Consistent with applicable law, compensation will be determined based on job\-related, non\-discriminatory factors including but not limited to work experience, skills, certifications, and geographical location. The Company reserves the right to modify this pay range at any time.
Real Chemistry is proud to be Great Place to Work® certified; check out what our people shared about our culture and workplace on .
We believe we can do our best when feeling our best, which is why we’ve put together a benefits program designed to give you the support you and your family need at every stage of life. Real Chemistry offers a comprehensive benefit program and perks, tailored to your region. Globally, this includes offices in our key markets with free snacks to keep you running all day long, generous holiday and paid time off, options for private medical, dental, and vison plans, and support in saving for the future. Other perks include mental wellness coaching and support and access to more than 13,000 online classes with LinkedIn Learning. Learn more about our great benefits and perks and search specific offerings in your region at: www.realchemistrybenefits.com.
Working with Real HART: Since the pandemic, we have adapted to how our people told us they want to work. We have office locations in cities in the US, UK, and Europe with many employees and clients that serve as hubs where and when they need us.For employees who are within an hour of one of our offices, we expect attendance in the office two days per week, either at a Real Chemistry office or onsite with clients. We are also actively opening new office locations, so if one opens near you, our Real HART policy will apply. We are not looking for attendance for the sake of attendance but believe that the opportunity to coordinate in\-office team meetings, 1:1 meetings with managers, taking advantage of on\-site learning, and connecting with client partners is a critical to delivering on our purpose of making healthcare what it should be.Outside of these offices, we have regions, where people work remotely but come together quarterly for collaboration, culture and learning opportunities. We call this our Real Hybrid and Regional Teams (Real HART) approach. Real Chemistry believes we are best together – and our workplace strategy fosters connection and collaboration in person – but also supports flexibility for our people.
Real Chemistry is an Equal Opportunity employer. We continually strive to build and sustain an inclusive and equitable work environment where our employees feel empowered to leverage all they bring from their personal lived experience and professional expertise, to make our team the best in the industry. We encourage motivated and qualified applicants to apply without regard to race, color, religion, sex (including pregnancy), sexual orientation, gender identity/expression, ethnic or national origin, age, physical or mental disability, genetic information, marital information, or any other characteristic protected by federal, state, or local employment discrimination laws where Real Chemistry operates. Should you require accommodations throughout the interview process please let your recruiter know.
* Notice: Real Chemistry and its affiliates' names are being misused by scammers through messaging services, fake websites, and apps. Do not share personal or financial information or make payments to any unverified sources claiming to be connected to Real Chemistry. We are working to stop these unauthorized activities and protect our community.</t>
        </is>
      </c>
    </row>
    <row r="83">
      <c r="A83" t="inlineStr">
        <is>
          <t>in-35ed3ad30244f3e2</t>
        </is>
      </c>
      <c r="B83" t="inlineStr">
        <is>
          <t>Tech Lead Data Engineer</t>
        </is>
      </c>
      <c r="C83" t="inlineStr">
        <is>
          <t>Circle K</t>
        </is>
      </c>
      <c r="D83" t="inlineStr">
        <is>
          <t>indeed</t>
        </is>
      </c>
      <c r="E83">
        <f>HYPERLINK("https://www.indeed.com/viewjob?jk=35ed3ad30244f3e2", "https://www.indeed.com/viewjob?jk=35ed3ad30244f3e2")</f>
        <v/>
      </c>
      <c r="F83">
        <f>HYPERLINK("https://workwithus.circlek.com/global/en/job/CIKCGLOBALR555396EXTERNALENGLOBAL/Tech-Lead-Data-Engineer?utm_source=indeed&amp;utm_medium=phenom-feeds", "https://workwithus.circlek.com/global/en/job/CIKCGLOBALR555396EXTERNALENGLOBAL/Tech-Lead-Data-Engineer?utm_source=indeed&amp;utm_medium=phenom-feeds")</f>
        <v/>
      </c>
      <c r="G83" t="inlineStr">
        <is>
          <t>Tempe, AZ, US</t>
        </is>
      </c>
      <c r="H83" s="3" t="n">
        <v>46030</v>
      </c>
      <c r="I83" t="inlineStr">
        <is>
          <t>Job Description:
As the **Tech Lead Data Engineer**, your primary responsibility will be to lead the design, development, and implementation of data solutions while driving strategic initiatives across the enterprise. This role requires you to guide a team of data engineers, facilitate cross\-functional collaboration, and act as a subject matter expert to ensure seamless integration between business objectives and technical implementations.
Responsibilities:
* Provide day\-to\-day technical leadership for key company initiatives
* Lead design and development efforts for scalable data pipelines and solutions leveraging Azure, Databricks, Snowflake, and Apache Iceberg.
* Collaborate with business teams, architects, business analysts, source system owners, and business stakeholders to ensure enterprise data requirements are met.
* Guide and mentor data engineers to align with organizational standards and best practices.
* Drive critical conversations across platform, business, and technical teams to ensure timely and efficient delivery of projects.
* Lead data modeling efforts to design and optimize schemas, ensuring data integrity and performance.
* Oversee the documentation of engineering processes to ensure knowledge retention and scalability.
* Actively participate in architectural and strategic decisions while ensuring compliance with data governance, security, and privacy requirements.
* Establish CI/CD pipelines and DevOps practices for automating deployment and ensuring operational excellence.
* Act as the primary point of contact for cross\-regional teams, facilitating knowledge transfer and resolving dependencies.
Qualifications:
* Bachelor’s or Master’s degree in Computer Science, Engineering, or a related field.
* Proven experience (8\+ years) in a data engineering role, with expertise in designing and building ETL pipelines, data models, and warehouses.
* Strong proficiency in Azure, Snowflake, Databricks, SQL, Python, and Spark.
* Strong experience with cloud platforms such as AWS, Azure, or GCP is a must.
* Experience working with Apache Iceberg and distributed computing frameworks.
* Strong communication skills \&amp; demonstrated leadership ability to manage relationships across cross\-functional teams and global stakeholders.
* Hands\-on experience with CI/CD tools and DevOps practices for automation.
* Retail industry experience with familiarity in processing transaction data, inventory data, and customer insights.
* Applying data modeling concepts, data warehousing architectures, and data management best practices.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
Click below to review information about our company's use of the federal E\-Verify program to check work eligibility:
In English
In Spanish</t>
        </is>
      </c>
    </row>
    <row r="84">
      <c r="A84" t="inlineStr">
        <is>
          <t>in-ae570bbba50026f1</t>
        </is>
      </c>
      <c r="B84" t="inlineStr">
        <is>
          <t>Senior Staff AI Data Engineer (Tech Lead)</t>
        </is>
      </c>
      <c r="C84" t="inlineStr">
        <is>
          <t>The Hartford</t>
        </is>
      </c>
      <c r="D84" t="inlineStr">
        <is>
          <t>indeed</t>
        </is>
      </c>
      <c r="E84">
        <f>HYPERLINK("https://www.indeed.com/viewjob?jk=ae570bbba50026f1", "https://www.indeed.com/viewjob?jk=ae570bbba50026f1")</f>
        <v/>
      </c>
      <c r="F84">
        <f>HYPERLINK("https://click.appcast.io/t/WTwuaXYCMyy8CNNldjXRbBr-lFKNyicVNtEV4GUgi2A=", "https://click.appcast.io/t/WTwuaXYCMyy8CNNldjXRbBr-lFKNyicVNtEV4GUgi2A=")</f>
        <v/>
      </c>
      <c r="G84" t="inlineStr">
        <is>
          <t>Columbus, OH, US</t>
        </is>
      </c>
      <c r="H84" s="3" t="n">
        <v>46030</v>
      </c>
      <c r="I84"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Enterprise Data Services Department’s Customer Data Ecosystem Operations Team is looking for a skilled Sr. Staff AI Data Engineer (Tech Lead) to join our team. This is an exciting opportunity to join us on our multi\-year Cloud Modernization journey. The role focuses on integrating data from multiple systems, curating and transforming it into high\-quality data products for actionable insights, using a mix of solutions spanning AI and Cloud tools and technologies. You uphold data integrity, accessibility, and compliance while creating curated Data Products to support diverse analytics needs—including descriptive, diagnostic, predictive, and prescriptive use cases for visualization and advanced data science.
Ideal candidates bring deep expertise in data engineering frameworks and tools (e.g., Spark, Snowflake), proficiency in programming languages (Python, SQL, PL/SQL), and experience with DevOps / DataOps pipelines, cloud platforms (AWS services), and agile methodologies (Scrum, Kanban). Familiarity with data warehousing, streaming technologies, and modern architecture such as Lakehouse and Data Mesh is highly desirable. Strong problem\-solving, communication, and collaboration skills are essential, along with a proactive mindset and the ability to thrive in complex, fast\-paced environments.
To succeed in this role, you should be a strong critical thinker, technical acumen and be able to derive the root causes of business problems.
**Key Responsibilities**
------------------------
* Design, develop, and optimize ETL/ELT pipelines for both structured and unstructured data.
* Mentor junior team members and engage in communities of practice to deliver high\-quality data and AI solutions while promoting best practices, standards, and adoption of reusable patterns.
* Partner with architects and stakeholders to influence and implement the vision of the AI and data pipelines while safeguarding the integrity and scalability of the environment.
* Ingest and process large\-scale datasets into the Enterprise Data Lake and downstream systems.
* Curate and publish Data Products to support analytics, visualization, and machine learning use cases.
* Collaborate with data analysts, data scientists, and BI teams to build data models and pipelines for research, reporting, and advanced analytics.
* Apply best practices for data modeling, governance, and security across all solutions.
* Partner with cross\-functional teams to ensure alignment and delivery of high\-value outcomes.
* Monitor and fine\-tune data pipelines for performance, scalability, and reliability.
* Automate auditing, balance, reconciliation, and data quality checks to maintain high data integrity.
* Develop self\-healing pipelines with robust re\-startability mechanisms for resilience.
* Schedule and orchestrate complex, dependent workflows using tools like MWAA, Autosys, or Control\-M.
* Leverage CI/CD pipelines to enable automated integration, testing, and deployment processes.
* Lead Proof of Concepts (POCs) and technology evaluations to drive innovation.
* Develop AI\-driven systems to improve data capabilities, ensuring compliance with industry best practices.
* Implement efficient Retrieval\-Augmented Generation (RAG) architectures and integrate with enterprise data infrastructure.
* Implement data observability practices to proactively monitor data health, lineage, and quality across pipelines, ensuring transparency and trust in data assets.
**Required Skills \&amp; Experience**:
* Bachelor’s or master’s degree in computer science or a related discipline.
* 5\+ years of experience in data analysis, transformation, and development, with ideally 2\+ years in the insurance or a related industry.
* 3\+ years of experience developing and deploying large\-scale data and analytics applications on cloud platforms such as AWS and Snowflake.
* Strong proficiency in SQL, Python, and ETL tools such as Informatica IDMC for data integration and transformation (3\+ years).
* Experience designing and optimizing data models for Data Warehouses, Data Marts, and Data Fabric, including dimensional modeling, semantic layers, metadata management, and integration for scalable, governed, and high\-performance analytics (3\+ years).
* 3\+ years of hands\-on experience in processing large\-scale structured and unstructured data in both batch and near\-real\-time environments, leveraging distributed computing frameworks and streaming technologies for high\-performance data pipelines.
* Strong technical knowledge (AI solution leveraging Cloud and modern solutions)
* 3\+ years of experience in Agile methodologies, including Scrum and Kanban frameworks.
* 2\+ years of experience in leveraging DevOps pipelines for automated testing and deployment, ensuring continuous integration and delivery of data solutions.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**Nice to Have**
* Certifications in AWS Data \&amp; Analytics Services, Snowflake, and Informatica IDMC.
* Experience in building and integrating AI agents into data workflows.
* Strong knowledge of data governance, including metadata management and lineage tracking, with hands\-on experience collaborating with the Data Governance Office.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
About Us \| Our Culture \| What It’s Like to Work Here \| Perks \&amp; Benefits</t>
        </is>
      </c>
    </row>
    <row r="85">
      <c r="A85" t="inlineStr">
        <is>
          <t>in-c87df0cf5206feb2</t>
        </is>
      </c>
      <c r="B85" t="inlineStr">
        <is>
          <t>Senior Staff AI Data Engineer (Tech Lead)</t>
        </is>
      </c>
      <c r="C85" t="inlineStr">
        <is>
          <t>The Hartford</t>
        </is>
      </c>
      <c r="D85" t="inlineStr">
        <is>
          <t>indeed</t>
        </is>
      </c>
      <c r="E85">
        <f>HYPERLINK("https://www.indeed.com/viewjob?jk=c87df0cf5206feb2", "https://www.indeed.com/viewjob?jk=c87df0cf5206feb2")</f>
        <v/>
      </c>
      <c r="F85">
        <f>HYPERLINK("https://click.appcast.io/t/03x5JH04U5VtGVSsPEnh9YAJmHTFrtA6poTS5bWRyWk=", "https://click.appcast.io/t/03x5JH04U5VtGVSsPEnh9YAJmHTFrtA6poTS5bWRyWk=")</f>
        <v/>
      </c>
      <c r="G85" t="inlineStr">
        <is>
          <t>Charlotte, NC, US</t>
        </is>
      </c>
      <c r="H85" s="3" t="n">
        <v>46030</v>
      </c>
      <c r="I85"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Enterprise Data Services Department’s Customer Data Ecosystem Operations Team is looking for a skilled Sr. Staff AI Data Engineer (Tech Lead) to join our team. This is an exciting opportunity to join us on our multi\-year Cloud Modernization journey. The role focuses on integrating data from multiple systems, curating and transforming it into high\-quality data products for actionable insights, using a mix of solutions spanning AI and Cloud tools and technologies. You uphold data integrity, accessibility, and compliance while creating curated Data Products to support diverse analytics needs—including descriptive, diagnostic, predictive, and prescriptive use cases for visualization and advanced data science.
Ideal candidates bring deep expertise in data engineering frameworks and tools (e.g., Spark, Snowflake), proficiency in programming languages (Python, SQL, PL/SQL), and experience with DevOps / DataOps pipelines, cloud platforms (AWS services), and agile methodologies (Scrum, Kanban). Familiarity with data warehousing, streaming technologies, and modern architecture such as Lakehouse and Data Mesh is highly desirable. Strong problem\-solving, communication, and collaboration skills are essential, along with a proactive mindset and the ability to thrive in complex, fast\-paced environments.
To succeed in this role, you should be a strong critical thinker, technical acumen and be able to derive the root causes of business problems.
**Key Responsibilities**
------------------------
* Design, develop, and optimize ETL/ELT pipelines for both structured and unstructured data.
* Mentor junior team members and engage in communities of practice to deliver high\-quality data and AI solutions while promoting best practices, standards, and adoption of reusable patterns.
* Partner with architects and stakeholders to influence and implement the vision of the AI and data pipelines while safeguarding the integrity and scalability of the environment.
* Ingest and process large\-scale datasets into the Enterprise Data Lake and downstream systems.
* Curate and publish Data Products to support analytics, visualization, and machine learning use cases.
* Collaborate with data analysts, data scientists, and BI teams to build data models and pipelines for research, reporting, and advanced analytics.
* Apply best practices for data modeling, governance, and security across all solutions.
* Partner with cross\-functional teams to ensure alignment and delivery of high\-value outcomes.
* Monitor and fine\-tune data pipelines for performance, scalability, and reliability.
* Automate auditing, balance, reconciliation, and data quality checks to maintain high data integrity.
* Develop self\-healing pipelines with robust re\-startability mechanisms for resilience.
* Schedule and orchestrate complex, dependent workflows using tools like MWAA, Autosys, or Control\-M.
* Leverage CI/CD pipelines to enable automated integration, testing, and deployment processes.
* Lead Proof of Concepts (POCs) and technology evaluations to drive innovation.
* Develop AI\-driven systems to improve data capabilities, ensuring compliance with industry best practices.
* Implement efficient Retrieval\-Augmented Generation (RAG) architectures and integrate with enterprise data infrastructure.
* Implement data observability practices to proactively monitor data health, lineage, and quality across pipelines, ensuring transparency and trust in data assets.
**Required Skills \&amp; Experience**:
* Bachelor’s or master’s degree in computer science or a related discipline.
* 5\+ years of experience in data analysis, transformation, and development, with ideally 2\+ years in the insurance or a related industry.
* 3\+ years of experience developing and deploying large\-scale data and analytics applications on cloud platforms such as AWS and Snowflake.
* Strong proficiency in SQL, Python, and ETL tools such as Informatica IDMC for data integration and transformation (3\+ years).
* Experience designing and optimizing data models for Data Warehouses, Data Marts, and Data Fabric, including dimensional modeling, semantic layers, metadata management, and integration for scalable, governed, and high\-performance analytics (3\+ years).
* 3\+ years of hands\-on experience in processing large\-scale structured and unstructured data in both batch and near\-real\-time environments, leveraging distributed computing frameworks and streaming technologies for high\-performance data pipelines.
* Strong technical knowledge (AI solution leveraging Cloud and modern solutions)
* 3\+ years of experience in Agile methodologies, including Scrum and Kanban frameworks.
* 2\+ years of experience in leveraging DevOps pipelines for automated testing and deployment, ensuring continuous integration and delivery of data solutions.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**Nice to Have**
* Certifications in AWS Data \&amp; Analytics Services, Snowflake, and Informatica IDMC.
* Experience in building and integrating AI agents into data workflows.
* Strong knowledge of data governance, including metadata management and lineage tracking, with hands\-on experience collaborating with the Data Governance Office.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
About Us \| Our Culture \| What It’s Like to Work Here \| Perks \&amp; Benefits</t>
        </is>
      </c>
    </row>
    <row r="86">
      <c r="A86" t="inlineStr">
        <is>
          <t>in-3cda50a3139bd568</t>
        </is>
      </c>
      <c r="B86" t="inlineStr">
        <is>
          <t>Sr. Staff Data Engineer (Tech Lead) - Hybrid</t>
        </is>
      </c>
      <c r="C86" t="inlineStr">
        <is>
          <t>The Hartford</t>
        </is>
      </c>
      <c r="D86" t="inlineStr">
        <is>
          <t>indeed</t>
        </is>
      </c>
      <c r="E86">
        <f>HYPERLINK("https://www.indeed.com/viewjob?jk=3cda50a3139bd568", "https://www.indeed.com/viewjob?jk=3cda50a3139bd568")</f>
        <v/>
      </c>
      <c r="F86">
        <f>HYPERLINK("https://click.appcast.io/t/VGhhXumTwY3mZFgwGW8EBhcPBDuhVoKF21uPlyWcqRg=", "https://click.appcast.io/t/VGhhXumTwY3mZFgwGW8EBhcPBDuhVoKF21uPlyWcqRg=")</f>
        <v/>
      </c>
      <c r="G86" t="inlineStr">
        <is>
          <t>Columbus, OH, US</t>
        </is>
      </c>
      <c r="H86" s="3" t="n">
        <v>46030</v>
      </c>
      <c r="I86"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Enterprise Data Services \- Sales \&amp; Distribution IT is undergoing a transformation to the Cloud, and we are looking for an enthusiastic Sr. Staff Data Engineer to join our team. In this role, you will be leading the efforts to develop, enhance, and support new and existing ETL data pipelines, ingestions, and storage across various medium and large sized projects concurrently. This is an individual contributor position responsible for expanding and optimizing data pipeline and product architecture, as well as optimizing data flow and collection for cross functional teams. The ideal candidate is an experienced data pipeline builder and data wrangler who enjoys optimizing data systems and building them from the ground up.
You will work on implementing complex data projects, focusing on collecting, parsing, managing, analyzing, and visualizing large sets of data to turn information into insights using multiple platforms. You will support our software developers, data architects, analysts and data scientists on vital initiatives and ensure optimal data delivery architecture. You will lead the design of vital components and suggest/implement new frameworks and tools based on industry and technological trends and advances. You will also consult with process owners in reviewing, interpreting \&amp; developing systems in accordance with user requirements and ensuring code quality through proper documentation, best practices, and code reviews. Working in our collaborative environment, you will further develop your skills while also acting as a mentor and technical guide to other data engineers.
This role can have a Hybrid work schedule. Candidates who live near one of our office locations (Charlotte NC, Hartford CT, Chicago, IL, Columbus, OH) will have the expectation of working in an office 3 days a week (Tuesday through Thursday)
**Responsibilities:**
* Modernize legacy data assets by migrating and re\-engineering them into modern cloud solutions (AWS, GCP, Snowflake) for scalability, security, and cost efficiency.
* Design, develop, and optimize ETL/ELT pipelines for structured and unstructured data, ensuring resilience and high performance.
* Build and manage data pipelines leveraging cloud services such as AWS Glue, EMR, Redshift; GCP BigQuery, Dataflow; and Snowflake.
* Curate and publish Data Products to support analytics, visualization, machine learning, and Generative AI use cases.
* Implement DataOps practices for automated deployments, CI/CD integration, and continuous delivery of data solutions.
* Apply best practices for data modeling, governance, and security, ensuring compliance with enterprise standards and regulatory requirements.
* Establish and enforce Data Governance frameworks, including:
	+ Data Quality Management
	+ Metadata Management
	+ Data Lineage Tracking
* Integrate AI/ML models into data pipelines, enabling real\-time scoring, feature engineering, and model retraining workflows.
* Enable Generative AI capabilities by embedding LLMs into data workflows for intelligent automation and advanced insights.
* Develop and deploy AI Agents for automated decision\-making and conversational analytics.
* Lead Proof of Concepts (POCs) and pilot initiatives for emerging technologies—beyond GenAI—such as real\-time streaming, AI agents, and next\-gen data platforms.
* Develop and maintain BI dashboards and visualization solutions using tools like Power BI or Tableau to deliver actionable insights.
* Monitor and fine\-tune data pipelines for performance, scalability, and reliability using advanced observability tools.
* Automate auditing, reconciliation, and data quality checks to maintain high data integrity.
* Develop self\-healing pipelines with robust re\-startability mechanisms for resilience.
* Schedule and orchestrate complex workflows using tools like MWAA, Autosys, or Control\-M.
* Champion continuous improvement and innovation by adopting emerging technologies in DataOps, AI/ML, and cloud engineering.
**Qualifications:**
* Bachelor’s or master’s degree in computer science or a related discipline.
* 7\+ years of experience in data analysis, transformation, and development, with ideally 2\+ years in the insurance or a related industry.
* 5\+ years of strong proficiency in SQL, Python, and ETL tools such as Informatica IDMC for data integration and transformation.
* 3\+ years of experience developing and deploying large\-scale data and analytics applications on cloud platforms such as AWS, GCP and Snowflake.
* Experience in small or medium\-scale Generative AI (GenAI) integration within data workflows or enterprise solutions.
* 3\+ years of expertise in designing and optimizing data models for Data Warehouses, Data Marts, and Data Fabric, including dimensional modeling, semantic layers, metadata management, and integration for scalable, governed, and high\-performance analytics.
* 3\+ years of experience processing large\-scale structured and unstructured data in both batch and near\-real\-time environments, leveraging distributed computing frameworks and streaming technologies for high\-performance data pipelines.
* 3\+ years of experience in Agile methodologies, including Scrum and Kanban frameworks.
* 2\+ years of experience in leveraging DevOps pipelines for automated testing and deployment, ensuring continuous integration and delivery of data solutions.
* Experience accessing and retrieving data from disparate large data sources.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**Preferred skills:**
* Knowledge of data observability (metrics, tracing, logs) and monitoring frameworks.
* Exposure to metadata management (catalogs, glossary) and data lineage tools.
* Familiarity with containerization \&amp; orchestration (Docker, Kubernetes).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
About Us \| Our Culture \| What It’s Like to Work Here \| Perks \&amp; Benefits</t>
        </is>
      </c>
    </row>
    <row r="87">
      <c r="A87" t="inlineStr">
        <is>
          <t>in-d33887cfdb28ca75</t>
        </is>
      </c>
      <c r="B87" t="inlineStr">
        <is>
          <t>Senior Staff AI Data Engineer (Tech Lead)</t>
        </is>
      </c>
      <c r="C87" t="inlineStr">
        <is>
          <t>The Hartford</t>
        </is>
      </c>
      <c r="D87" t="inlineStr">
        <is>
          <t>indeed</t>
        </is>
      </c>
      <c r="E87">
        <f>HYPERLINK("https://www.indeed.com/viewjob?jk=d33887cfdb28ca75", "https://www.indeed.com/viewjob?jk=d33887cfdb28ca75")</f>
        <v/>
      </c>
      <c r="F87">
        <f>HYPERLINK("https://click.appcast.io/t/K-HqTmpODeJN9wNu9hDn72-Bvs9zwLLNcXN5Ksexn9Y=", "https://click.appcast.io/t/K-HqTmpODeJN9wNu9hDn72-Bvs9zwLLNcXN5Ksexn9Y=")</f>
        <v/>
      </c>
      <c r="G87" t="inlineStr">
        <is>
          <t>Hartford, CT, US</t>
        </is>
      </c>
      <c r="H87" s="3" t="n">
        <v>46030</v>
      </c>
      <c r="I87"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Enterprise Data Services Department’s Customer Data Ecosystem Operations Team is looking for a skilled Sr. Staff AI Data Engineer (Tech Lead) to join our team. This is an exciting opportunity to join us on our multi\-year Cloud Modernization journey. The role focuses on integrating data from multiple systems, curating and transforming it into high\-quality data products for actionable insights, using a mix of solutions spanning AI and Cloud tools and technologies. You uphold data integrity, accessibility, and compliance while creating curated Data Products to support diverse analytics needs—including descriptive, diagnostic, predictive, and prescriptive use cases for visualization and advanced data science.
Ideal candidates bring deep expertise in data engineering frameworks and tools (e.g., Spark, Snowflake), proficiency in programming languages (Python, SQL, PL/SQL), and experience with DevOps / DataOps pipelines, cloud platforms (AWS services), and agile methodologies (Scrum, Kanban). Familiarity with data warehousing, streaming technologies, and modern architecture such as Lakehouse and Data Mesh is highly desirable. Strong problem\-solving, communication, and collaboration skills are essential, along with a proactive mindset and the ability to thrive in complex, fast\-paced environments.
To succeed in this role, you should be a strong critical thinker, technical acumen and be able to derive the root causes of business problems.
**Key Responsibilities**
------------------------
* Design, develop, and optimize ETL/ELT pipelines for both structured and unstructured data.
* Mentor junior team members and engage in communities of practice to deliver high\-quality data and AI solutions while promoting best practices, standards, and adoption of reusable patterns.
* Partner with architects and stakeholders to influence and implement the vision of the AI and data pipelines while safeguarding the integrity and scalability of the environment.
* Ingest and process large\-scale datasets into the Enterprise Data Lake and downstream systems.
* Curate and publish Data Products to support analytics, visualization, and machine learning use cases.
* Collaborate with data analysts, data scientists, and BI teams to build data models and pipelines for research, reporting, and advanced analytics.
* Apply best practices for data modeling, governance, and security across all solutions.
* Partner with cross\-functional teams to ensure alignment and delivery of high\-value outcomes.
* Monitor and fine\-tune data pipelines for performance, scalability, and reliability.
* Automate auditing, balance, reconciliation, and data quality checks to maintain high data integrity.
* Develop self\-healing pipelines with robust re\-startability mechanisms for resilience.
* Schedule and orchestrate complex, dependent workflows using tools like MWAA, Autosys, or Control\-M.
* Leverage CI/CD pipelines to enable automated integration, testing, and deployment processes.
* Lead Proof of Concepts (POCs) and technology evaluations to drive innovation.
* Develop AI\-driven systems to improve data capabilities, ensuring compliance with industry best practices.
* Implement efficient Retrieval\-Augmented Generation (RAG) architectures and integrate with enterprise data infrastructure.
* Implement data observability practices to proactively monitor data health, lineage, and quality across pipelines, ensuring transparency and trust in data assets.
**Required Skills \&amp; Experience**:
* Bachelor’s or master’s degree in computer science or a related discipline.
* 5\+ years of experience in data analysis, transformation, and development, with ideally 2\+ years in the insurance or a related industry.
* 3\+ years of experience developing and deploying large\-scale data and analytics applications on cloud platforms such as AWS and Snowflake.
* Strong proficiency in SQL, Python, and ETL tools such as Informatica IDMC for data integration and transformation (3\+ years).
* Experience designing and optimizing data models for Data Warehouses, Data Marts, and Data Fabric, including dimensional modeling, semantic layers, metadata management, and integration for scalable, governed, and high\-performance analytics (3\+ years).
* 3\+ years of hands\-on experience in processing large\-scale structured and unstructured data in both batch and near\-real\-time environments, leveraging distributed computing frameworks and streaming technologies for high\-performance data pipelines.
* Strong technical knowledge (AI solution leveraging Cloud and modern solutions)
* 3\+ years of experience in Agile methodologies, including Scrum and Kanban frameworks.
* 2\+ years of experience in leveraging DevOps pipelines for automated testing and deployment, ensuring continuous integration and delivery of data solutions.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**Nice to Have**
* Certifications in AWS Data \&amp; Analytics Services, Snowflake, and Informatica IDMC.
* Experience in building and integrating AI agents into data workflows.
* Strong knowledge of data governance, including metadata management and lineage tracking, with hands\-on experience collaborating with the Data Governance Office.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
About Us \| Our Culture \| What It’s Like to Work Here \| Perks \&amp; Benefits</t>
        </is>
      </c>
    </row>
    <row r="88">
      <c r="A88" t="inlineStr">
        <is>
          <t>in-3b5c103ca9f1a372</t>
        </is>
      </c>
      <c r="B88" t="inlineStr">
        <is>
          <t>Senior Staff AI Data Engineer (Tech Lead)</t>
        </is>
      </c>
      <c r="C88" t="inlineStr">
        <is>
          <t>The Hartford</t>
        </is>
      </c>
      <c r="D88" t="inlineStr">
        <is>
          <t>indeed</t>
        </is>
      </c>
      <c r="E88">
        <f>HYPERLINK("https://www.indeed.com/viewjob?jk=3b5c103ca9f1a372", "https://www.indeed.com/viewjob?jk=3b5c103ca9f1a372")</f>
        <v/>
      </c>
      <c r="F88">
        <f>HYPERLINK("https://click.appcast.io/t/76LfS3YeGbsFZcc-hGwqVIy0IAY_ZCEdwx_s9HFTfsY=", "https://click.appcast.io/t/76LfS3YeGbsFZcc-hGwqVIy0IAY_ZCEdwx_s9HFTfsY=")</f>
        <v/>
      </c>
      <c r="G88" t="inlineStr">
        <is>
          <t>Chicago, IL, US</t>
        </is>
      </c>
      <c r="H88" s="3" t="n">
        <v>46030</v>
      </c>
      <c r="I88"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Enterprise Data Services Department’s Customer Data Ecosystem Operations Team is looking for a skilled Sr. Staff AI Data Engineer (Tech Lead) to join our team. This is an exciting opportunity to join us on our multi\-year Cloud Modernization journey. The role focuses on integrating data from multiple systems, curating and transforming it into high\-quality data products for actionable insights, using a mix of solutions spanning AI and Cloud tools and technologies. You uphold data integrity, accessibility, and compliance while creating curated Data Products to support diverse analytics needs—including descriptive, diagnostic, predictive, and prescriptive use cases for visualization and advanced data science.
Ideal candidates bring deep expertise in data engineering frameworks and tools (e.g., Spark, Snowflake), proficiency in programming languages (Python, SQL, PL/SQL), and experience with DevOps / DataOps pipelines, cloud platforms (AWS services), and agile methodologies (Scrum, Kanban). Familiarity with data warehousing, streaming technologies, and modern architecture such as Lakehouse and Data Mesh is highly desirable. Strong problem\-solving, communication, and collaboration skills are essential, along with a proactive mindset and the ability to thrive in complex, fast\-paced environments.
To succeed in this role, you should be a strong critical thinker, technical acumen and be able to derive the root causes of business problems.
**Key Responsibilities**
------------------------
* Design, develop, and optimize ETL/ELT pipelines for both structured and unstructured data.
* Mentor junior team members and engage in communities of practice to deliver high\-quality data and AI solutions while promoting best practices, standards, and adoption of reusable patterns.
* Partner with architects and stakeholders to influence and implement the vision of the AI and data pipelines while safeguarding the integrity and scalability of the environment.
* Ingest and process large\-scale datasets into the Enterprise Data Lake and downstream systems.
* Curate and publish Data Products to support analytics, visualization, and machine learning use cases.
* Collaborate with data analysts, data scientists, and BI teams to build data models and pipelines for research, reporting, and advanced analytics.
* Apply best practices for data modeling, governance, and security across all solutions.
* Partner with cross\-functional teams to ensure alignment and delivery of high\-value outcomes.
* Monitor and fine\-tune data pipelines for performance, scalability, and reliability.
* Automate auditing, balance, reconciliation, and data quality checks to maintain high data integrity.
* Develop self\-healing pipelines with robust re\-startability mechanisms for resilience.
* Schedule and orchestrate complex, dependent workflows using tools like MWAA, Autosys, or Control\-M.
* Leverage CI/CD pipelines to enable automated integration, testing, and deployment processes.
* Lead Proof of Concepts (POCs) and technology evaluations to drive innovation.
* Develop AI\-driven systems to improve data capabilities, ensuring compliance with industry best practices.
* Implement efficient Retrieval\-Augmented Generation (RAG) architectures and integrate with enterprise data infrastructure.
* Implement data observability practices to proactively monitor data health, lineage, and quality across pipelines, ensuring transparency and trust in data assets.
**Required Skills \&amp; Experience**:
* Bachelor’s or master’s degree in computer science or a related discipline.
* 5\+ years of experience in data analysis, transformation, and development, with ideally 2\+ years in the insurance or a related industry.
* 3\+ years of experience developing and deploying large\-scale data and analytics applications on cloud platforms such as AWS and Snowflake.
* Strong proficiency in SQL, Python, and ETL tools such as Informatica IDMC for data integration and transformation (3\+ years).
* Experience designing and optimizing data models for Data Warehouses, Data Marts, and Data Fabric, including dimensional modeling, semantic layers, metadata management, and integration for scalable, governed, and high\-performance analytics (3\+ years).
* 3\+ years of hands\-on experience in processing large\-scale structured and unstructured data in both batch and near\-real\-time environments, leveraging distributed computing frameworks and streaming technologies for high\-performance data pipelines.
* Strong technical knowledge (AI solution leveraging Cloud and modern solutions)
* 3\+ years of experience in Agile methodologies, including Scrum and Kanban frameworks.
* 2\+ years of experience in leveraging DevOps pipelines for automated testing and deployment, ensuring continuous integration and delivery of data solutions.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**Nice to Have**
* Certifications in AWS Data \&amp; Analytics Services, Snowflake, and Informatica IDMC.
* Experience in building and integrating AI agents into data workflows.
* Strong knowledge of data governance, including metadata management and lineage tracking, with hands\-on experience collaborating with the Data Governance Office.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
About Us \| Our Culture \| What It’s Like to Work Here \| Perks \&amp; Benefits</t>
        </is>
      </c>
    </row>
    <row r="89">
      <c r="A89" t="inlineStr">
        <is>
          <t>in-63903ad414932fe0</t>
        </is>
      </c>
      <c r="B89" t="inlineStr">
        <is>
          <t>Sr. Staff Data Engineer (Tech Lead) - Hybrid</t>
        </is>
      </c>
      <c r="C89" t="inlineStr">
        <is>
          <t>The Hartford</t>
        </is>
      </c>
      <c r="D89" t="inlineStr">
        <is>
          <t>indeed</t>
        </is>
      </c>
      <c r="E89">
        <f>HYPERLINK("https://www.indeed.com/viewjob?jk=63903ad414932fe0", "https://www.indeed.com/viewjob?jk=63903ad414932fe0")</f>
        <v/>
      </c>
      <c r="F89">
        <f>HYPERLINK("https://click.appcast.io/t/OSifEs74tY_q4lsLDmHMykIk2q3iU5B3xZGpplyq4kk=", "https://click.appcast.io/t/OSifEs74tY_q4lsLDmHMykIk2q3iU5B3xZGpplyq4kk=")</f>
        <v/>
      </c>
      <c r="G89" t="inlineStr">
        <is>
          <t>Hartford, CT, US</t>
        </is>
      </c>
      <c r="H89" s="3" t="n">
        <v>46030</v>
      </c>
      <c r="I89"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Enterprise Data Services \- Sales \&amp; Distribution IT is undergoing a transformation to the Cloud, and we are looking for an enthusiastic Sr. Staff Data Engineer to join our team. In this role, you will be leading the efforts to develop, enhance, and support new and existing ETL data pipelines, ingestions, and storage across various medium and large sized projects concurrently. This is an individual contributor position responsible for expanding and optimizing data pipeline and product architecture, as well as optimizing data flow and collection for cross functional teams. The ideal candidate is an experienced data pipeline builder and data wrangler who enjoys optimizing data systems and building them from the ground up.
You will work on implementing complex data projects, focusing on collecting, parsing, managing, analyzing, and visualizing large sets of data to turn information into insights using multiple platforms. You will support our software developers, data architects, analysts and data scientists on vital initiatives and ensure optimal data delivery architecture. You will lead the design of vital components and suggest/implement new frameworks and tools based on industry and technological trends and advances. You will also consult with process owners in reviewing, interpreting \&amp; developing systems in accordance with user requirements and ensuring code quality through proper documentation, best practices, and code reviews. Working in our collaborative environment, you will further develop your skills while also acting as a mentor and technical guide to other data engineers.
This role can have a Hybrid work schedule. Candidates who live near one of our office locations (Charlotte NC, Hartford CT, Chicago, IL, Columbus, OH) will have the expectation of working in an office 3 days a week (Tuesday through Thursday)
**Responsibilities:**
* Modernize legacy data assets by migrating and re\-engineering them into modern cloud solutions (AWS, GCP, Snowflake) for scalability, security, and cost efficiency.
* Design, develop, and optimize ETL/ELT pipelines for structured and unstructured data, ensuring resilience and high performance.
* Build and manage data pipelines leveraging cloud services such as AWS Glue, EMR, Redshift; GCP BigQuery, Dataflow; and Snowflake.
* Curate and publish Data Products to support analytics, visualization, machine learning, and Generative AI use cases.
* Implement DataOps practices for automated deployments, CI/CD integration, and continuous delivery of data solutions.
* Apply best practices for data modeling, governance, and security, ensuring compliance with enterprise standards and regulatory requirements.
* Establish and enforce Data Governance frameworks, including:
	+ Data Quality Management
	+ Metadata Management
	+ Data Lineage Tracking
* Integrate AI/ML models into data pipelines, enabling real\-time scoring, feature engineering, and model retraining workflows.
* Enable Generative AI capabilities by embedding LLMs into data workflows for intelligent automation and advanced insights.
* Develop and deploy AI Agents for automated decision\-making and conversational analytics.
* Lead Proof of Concepts (POCs) and pilot initiatives for emerging technologies—beyond GenAI—such as real\-time streaming, AI agents, and next\-gen data platforms.
* Develop and maintain BI dashboards and visualization solutions using tools like Power BI or Tableau to deliver actionable insights.
* Monitor and fine\-tune data pipelines for performance, scalability, and reliability using advanced observability tools.
* Automate auditing, reconciliation, and data quality checks to maintain high data integrity.
* Develop self\-healing pipelines with robust re\-startability mechanisms for resilience.
* Schedule and orchestrate complex workflows using tools like MWAA, Autosys, or Control\-M.
* Champion continuous improvement and innovation by adopting emerging technologies in DataOps, AI/ML, and cloud engineering.
**Qualifications:**
* Bachelor’s or master’s degree in computer science or a related discipline.
* 7\+ years of experience in data analysis, transformation, and development, with ideally 2\+ years in the insurance or a related industry.
* 5\+ years of strong proficiency in SQL, Python, and ETL tools such as Informatica IDMC for data integration and transformation.
* 3\+ years of experience developing and deploying large\-scale data and analytics applications on cloud platforms such as AWS, GCP and Snowflake.
* Experience in small or medium\-scale Generative AI (GenAI) integration within data workflows or enterprise solutions.
* 3\+ years of expertise in designing and optimizing data models for Data Warehouses, Data Marts, and Data Fabric, including dimensional modeling, semantic layers, metadata management, and integration for scalable, governed, and high\-performance analytics.
* 3\+ years of experience processing large\-scale structured and unstructured data in both batch and near\-real\-time environments, leveraging distributed computing frameworks and streaming technologies for high\-performance data pipelines.
* 3\+ years of experience in Agile methodologies, including Scrum and Kanban frameworks.
* 2\+ years of experience in leveraging DevOps pipelines for automated testing and deployment, ensuring continuous integration and delivery of data solutions.
* Experience accessing and retrieving data from disparate large data sources.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**Preferred skills:**
* Knowledge of data observability (metrics, tracing, logs) and monitoring frameworks.
* Exposure to metadata management (catalogs, glossary) and data lineage tools.
* Familiarity with containerization \&amp; orchestration (Docker, Kubernetes).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
About Us \| Our Culture \| What It’s Like to Work Here \| Perks \&amp; Benefits</t>
        </is>
      </c>
    </row>
    <row r="90">
      <c r="A90" t="inlineStr">
        <is>
          <t>in-6e68810cfeb684b4</t>
        </is>
      </c>
      <c r="B90" t="inlineStr">
        <is>
          <t>Sr. Staff Data Engineer (Tech Lead) - Hybrid</t>
        </is>
      </c>
      <c r="C90" t="inlineStr">
        <is>
          <t>The Hartford</t>
        </is>
      </c>
      <c r="D90" t="inlineStr">
        <is>
          <t>indeed</t>
        </is>
      </c>
      <c r="E90">
        <f>HYPERLINK("https://www.indeed.com/viewjob?jk=6e68810cfeb684b4", "https://www.indeed.com/viewjob?jk=6e68810cfeb684b4")</f>
        <v/>
      </c>
      <c r="F90">
        <f>HYPERLINK("https://click.appcast.io/t/EeQgyBm8wKa9ZYEUlYt0dCTijk054XhFwu6Se3-gpG0=", "https://click.appcast.io/t/EeQgyBm8wKa9ZYEUlYt0dCTijk054XhFwu6Se3-gpG0=")</f>
        <v/>
      </c>
      <c r="G90" t="inlineStr">
        <is>
          <t>Chicago, IL, US</t>
        </is>
      </c>
      <c r="H90" s="3" t="n">
        <v>46030</v>
      </c>
      <c r="I90"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Enterprise Data Services \- Sales \&amp; Distribution IT is undergoing a transformation to the Cloud, and we are looking for an enthusiastic Sr. Staff Data Engineer to join our team. In this role, you will be leading the efforts to develop, enhance, and support new and existing ETL data pipelines, ingestions, and storage across various medium and large sized projects concurrently. This is an individual contributor position responsible for expanding and optimizing data pipeline and product architecture, as well as optimizing data flow and collection for cross functional teams. The ideal candidate is an experienced data pipeline builder and data wrangler who enjoys optimizing data systems and building them from the ground up.
You will work on implementing complex data projects, focusing on collecting, parsing, managing, analyzing, and visualizing large sets of data to turn information into insights using multiple platforms. You will support our software developers, data architects, analysts and data scientists on vital initiatives and ensure optimal data delivery architecture. You will lead the design of vital components and suggest/implement new frameworks and tools based on industry and technological trends and advances. You will also consult with process owners in reviewing, interpreting \&amp; developing systems in accordance with user requirements and ensuring code quality through proper documentation, best practices, and code reviews. Working in our collaborative environment, you will further develop your skills while also acting as a mentor and technical guide to other data engineers.
This role can have a Hybrid work schedule. Candidates who live near one of our office locations (Charlotte NC, Hartford CT, Chicago, IL, Columbus, OH) will have the expectation of working in an office 3 days a week (Tuesday through Thursday)
**Responsibilities:**
* Modernize legacy data assets by migrating and re\-engineering them into modern cloud solutions (AWS, GCP, Snowflake) for scalability, security, and cost efficiency.
* Design, develop, and optimize ETL/ELT pipelines for structured and unstructured data, ensuring resilience and high performance.
* Build and manage data pipelines leveraging cloud services such as AWS Glue, EMR, Redshift; GCP BigQuery, Dataflow; and Snowflake.
* Curate and publish Data Products to support analytics, visualization, machine learning, and Generative AI use cases.
* Implement DataOps practices for automated deployments, CI/CD integration, and continuous delivery of data solutions.
* Apply best practices for data modeling, governance, and security, ensuring compliance with enterprise standards and regulatory requirements.
* Establish and enforce Data Governance frameworks, including:
	+ Data Quality Management
	+ Metadata Management
	+ Data Lineage Tracking
* Integrate AI/ML models into data pipelines, enabling real\-time scoring, feature engineering, and model retraining workflows.
* Enable Generative AI capabilities by embedding LLMs into data workflows for intelligent automation and advanced insights.
* Develop and deploy AI Agents for automated decision\-making and conversational analytics.
* Lead Proof of Concepts (POCs) and pilot initiatives for emerging technologies—beyond GenAI—such as real\-time streaming, AI agents, and next\-gen data platforms.
* Develop and maintain BI dashboards and visualization solutions using tools like Power BI or Tableau to deliver actionable insights.
* Monitor and fine\-tune data pipelines for performance, scalability, and reliability using advanced observability tools.
* Automate auditing, reconciliation, and data quality checks to maintain high data integrity.
* Develop self\-healing pipelines with robust re\-startability mechanisms for resilience.
* Schedule and orchestrate complex workflows using tools like MWAA, Autosys, or Control\-M.
* Champion continuous improvement and innovation by adopting emerging technologies in DataOps, AI/ML, and cloud engineering.
**Qualifications:**
* Bachelor’s or master’s degree in computer science or a related discipline.
* 7\+ years of experience in data analysis, transformation, and development, with ideally 2\+ years in the insurance or a related industry.
* 5\+ years of strong proficiency in SQL, Python, and ETL tools such as Informatica IDMC for data integration and transformation.
* 3\+ years of experience developing and deploying large\-scale data and analytics applications on cloud platforms such as AWS, GCP and Snowflake.
* Experience in small or medium\-scale Generative AI (GenAI) integration within data workflows or enterprise solutions.
* 3\+ years of expertise in designing and optimizing data models for Data Warehouses, Data Marts, and Data Fabric, including dimensional modeling, semantic layers, metadata management, and integration for scalable, governed, and high\-performance analytics.
* 3\+ years of experience processing large\-scale structured and unstructured data in both batch and near\-real\-time environments, leveraging distributed computing frameworks and streaming technologies for high\-performance data pipelines.
* 3\+ years of experience in Agile methodologies, including Scrum and Kanban frameworks.
* 2\+ years of experience in leveraging DevOps pipelines for automated testing and deployment, ensuring continuous integration and delivery of data solutions.
* Experience accessing and retrieving data from disparate large data sources.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**Preferred skills:**
* Knowledge of data observability (metrics, tracing, logs) and monitoring frameworks.
* Exposure to metadata management (catalogs, glossary) and data lineage tools.
* Familiarity with containerization \&amp; orchestration (Docker, Kubernetes).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
About Us \| Our Culture \| What It’s Like to Work Here \| Perks \&amp; Benefits</t>
        </is>
      </c>
    </row>
    <row r="91">
      <c r="A91" t="inlineStr">
        <is>
          <t>in-2b47e0ba582b59aa</t>
        </is>
      </c>
      <c r="B91" t="inlineStr">
        <is>
          <t>Manager Data Engineering</t>
        </is>
      </c>
      <c r="C91" t="inlineStr">
        <is>
          <t>The Hartford</t>
        </is>
      </c>
      <c r="D91" t="inlineStr">
        <is>
          <t>indeed</t>
        </is>
      </c>
      <c r="E91">
        <f>HYPERLINK("https://www.indeed.com/viewjob?jk=2b47e0ba582b59aa", "https://www.indeed.com/viewjob?jk=2b47e0ba582b59aa")</f>
        <v/>
      </c>
      <c r="F91">
        <f>HYPERLINK("https://click.appcast.io/t/KvnfCTuOqsDRLRC4rQjb_wfBFXKZyTOdtBBaggdKep4=", "https://click.appcast.io/t/KvnfCTuOqsDRLRC4rQjb_wfBFXKZyTOdtBBaggdKep4=")</f>
        <v/>
      </c>
      <c r="G91" t="inlineStr">
        <is>
          <t>Charlotte, NC, US</t>
        </is>
      </c>
      <c r="H91" s="3" t="n">
        <v>46030</v>
      </c>
      <c r="I91" t="inlineStr">
        <is>
          <t>Manager Data Engineering \- GE07AE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 Data Engineering Manager to lead a team of Data Engineers to design, develop, and implement modern and sustainable data assets to fuel machine learning and statistical modeling solutions across a wide range of strategic initiatives.
The Actuarial Strategic Modeling team is a dynamic mix of Actuarial and Data Science professionals utilizing statistical modeling, machine learning, and advanced data engineering techniques to enhance core Actuarial processes. As a member of the ASM team, you will directly impact written premium by ensuring the modeling team can find new insights and deliver them to market rapidly. We are a forward\-focused organization that fosters collaboration, encourages creative design, and offers abundant opportunities for visibility, allowing candidates to shape innovative solutions and showcase their talents to a wide audience.
As a Data Engineering Manager, you will lead and mentor a small team through the software development lifecycle process, supporting strong programming foundations and cloud operations, and fostering a robust understanding of the analytics behind our work. Collaborating closely with a broader team of talented engineers and data scientists, you will oversee engineering and model support projects across several lines of business, serving as the primary contact for engineering and data solutions. Our team's culture is deeply rooted in embracing emerging technologies and empowering you to select the optimal tools for each unique project, so curiosity and adaptability are highly valued. Strong candidates will also demonstrate a solid foundation in data management, software engineering, and process automation along with an enthusiasm for delivering efficient solutions to partners.
 **Responsibilities:**
* Lead and mentor Data Engineers to deliver and maintain reusable and sustainable analytical processes that assist Actuarial Modelers in meeting their strategic objectives
* Learn and coach Machine Learning and MLOps, Engineering, and Insurance Business concepts \&amp; terminology, applying that knowledge for the best fit\-to\-purpose solution.
* Anticipate team and individual growth needs, identify relevant opportunities and coach direct reports and peers accordingly
* Regularly engage in continuing education, including the development of project and people management skills
* Consult with cross\-functional stakeholders in the analysis of short and long\-range business requirements and recommend modernization that anticipates future business needs
* Own and lead engineering projects, leveraging agile software development practices to manage work and communicate status
* Assess business needs and lead the development of reliable and effective solutions, that are catered to specific business needs and easily maintainable
* Create data assets and build data pipelines that align to modern software development principles for further analytical consumption. Perform data analysis to ensure quality of data assets
* Design and develop high quality, scalable software modules for next generation analytics solution suite that serves advanced statistical models and tracks key metrics
* Enhance and maintain model and data monitoring solutions that deliver automated insights to technical and non\-technical audiences
* Identify and validate internal and external data sources for availability and quality. Work with SMEs to describe and understand data lineage and suitability for a use case
* Proactively accesses technical issues and risks that could impact speed, functionality, flexibility, or clarity.
* Use Enterprise GitHub for version control, documentation, code collaboration, and technical project management
This role will have a Hybrid work schedule, with the expectation of working in an office (Columbus, OH, Chicago, IL, Hartford, CT or Charlotte, NC) 3 days a week (Tuesday through Thursday).
 **Minimum Qualifications:**
* 4\+ years of programming experience in a business setting
* Experience in managing Data Engineers OR leading Engineering project teams within an Analytics context and in an agile environment
* Interest in deeply learning \&amp; understanding the Insurance Business and Actuarial role
* Proficiency in SQL and at least one additional functional or object\-oriented programming language such as R or Python
* Experience with data or process management solutions in the cloud, including data pipelines, automation, and containerized compute
* Proficiency in ingesting data from a variety of structures including relational databases, Hadoop/Spark, cloud data sources, XML, JSON
* Proficiency in ETL concerning metadata management and data validation
* Proficiency with Git in a collaborative business setting
* Proficiency in Linux\-based file management
* Ability to communicate effectively with both technical and non\-technical teams
* Demonstrated ability to translate complex technical topics into business solutions and strategies as well as turn business requirements into a technical solution
* Curious and passionate for R\&amp;D and innovation
 **Preferred Skills and Experience:**
* Bachelor’s or Master's degree in related discipline or 5\+ years of equivalent experience in relevant engineering roles
* AWS Certification or experience with AWS Services (S3, EMR, etc.) is strongly preferred
* Experience with Insurance data, especially with Actuarial data processes, is preferred
* Experience with R AND Python is preferred
* Exposure to Machine Learning, Statistical Modeling, or MLOps in a business context is preferred
* Proficiency in Automation tools (Airflow, Cron, Autosys, etc.) is a plus
* Experience with Cloud data warehouses, automation, and data pipelines (i.e. Snowflake, Redshift) is a plus
* Experience building CICD pipelines or IAC (Infrastructure as Code) desired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$127,200 \- $190,800
Equal Opportunity Employer/Sex/Race/Color/Veterans/Disability/Sexual Orientation/Gender Identity or Expression/Religion/Age
About Us \| Our Culture \| What It’s Like to Work Here \| Perks \&amp; Benefits</t>
        </is>
      </c>
    </row>
    <row r="92">
      <c r="A92" t="inlineStr">
        <is>
          <t>in-d7bdfe9ff0b4d2c0</t>
        </is>
      </c>
      <c r="B92" t="inlineStr">
        <is>
          <t>Manager Data Engineering</t>
        </is>
      </c>
      <c r="C92" t="inlineStr">
        <is>
          <t>The Hartford</t>
        </is>
      </c>
      <c r="D92" t="inlineStr">
        <is>
          <t>indeed</t>
        </is>
      </c>
      <c r="E92">
        <f>HYPERLINK("https://www.indeed.com/viewjob?jk=d7bdfe9ff0b4d2c0", "https://www.indeed.com/viewjob?jk=d7bdfe9ff0b4d2c0")</f>
        <v/>
      </c>
      <c r="F92">
        <f>HYPERLINK("https://click.appcast.io/t/aDBI5kK3qIdpoZHFCgf_lvOMLuv5oYcVpYXZ11l4Pfs=", "https://click.appcast.io/t/aDBI5kK3qIdpoZHFCgf_lvOMLuv5oYcVpYXZ11l4Pfs=")</f>
        <v/>
      </c>
      <c r="G92" t="inlineStr">
        <is>
          <t>Chicago, IL, US</t>
        </is>
      </c>
      <c r="H92" s="3" t="n">
        <v>46030</v>
      </c>
      <c r="I92" t="inlineStr">
        <is>
          <t>Manager Data Engineering \- GE07AE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 Data Engineering Manager to lead a team of Data Engineers to design, develop, and implement modern and sustainable data assets to fuel machine learning and statistical modeling solutions across a wide range of strategic initiatives.
The Actuarial Strategic Modeling team is a dynamic mix of Actuarial and Data Science professionals utilizing statistical modeling, machine learning, and advanced data engineering techniques to enhance core Actuarial processes. As a member of the ASM team, you will directly impact written premium by ensuring the modeling team can find new insights and deliver them to market rapidly. We are a forward\-focused organization that fosters collaboration, encourages creative design, and offers abundant opportunities for visibility, allowing candidates to shape innovative solutions and showcase their talents to a wide audience.
As a Data Engineering Manager, you will lead and mentor a small team through the software development lifecycle process, supporting strong programming foundations and cloud operations, and fostering a robust understanding of the analytics behind our work. Collaborating closely with a broader team of talented engineers and data scientists, you will oversee engineering and model support projects across several lines of business, serving as the primary contact for engineering and data solutions. Our team's culture is deeply rooted in embracing emerging technologies and empowering you to select the optimal tools for each unique project, so curiosity and adaptability are highly valued. Strong candidates will also demonstrate a solid foundation in data management, software engineering, and process automation along with an enthusiasm for delivering efficient solutions to partners.
 **Responsibilities:**
* Lead and mentor Data Engineers to deliver and maintain reusable and sustainable analytical processes that assist Actuarial Modelers in meeting their strategic objectives
* Learn and coach Machine Learning and MLOps, Engineering, and Insurance Business concepts \&amp; terminology, applying that knowledge for the best fit\-to\-purpose solution.
* Anticipate team and individual growth needs, identify relevant opportunities and coach direct reports and peers accordingly
* Regularly engage in continuing education, including the development of project and people management skills
* Consult with cross\-functional stakeholders in the analysis of short and long\-range business requirements and recommend modernization that anticipates future business needs
* Own and lead engineering projects, leveraging agile software development practices to manage work and communicate status
* Assess business needs and lead the development of reliable and effective solutions, that are catered to specific business needs and easily maintainable
* Create data assets and build data pipelines that align to modern software development principles for further analytical consumption. Perform data analysis to ensure quality of data assets
* Design and develop high quality, scalable software modules for next generation analytics solution suite that serves advanced statistical models and tracks key metrics
* Enhance and maintain model and data monitoring solutions that deliver automated insights to technical and non\-technical audiences
* Identify and validate internal and external data sources for availability and quality. Work with SMEs to describe and understand data lineage and suitability for a use case
* Proactively accesses technical issues and risks that could impact speed, functionality, flexibility, or clarity.
* Use Enterprise GitHub for version control, documentation, code collaboration, and technical project management
This role will have a Hybrid work schedule, with the expectation of working in an office (Columbus, OH, Chicago, IL, Hartford, CT or Charlotte, NC) 3 days a week (Tuesday through Thursday).
 **Minimum Qualifications:**
* 4\+ years of programming experience in a business setting
* Experience in managing Data Engineers OR leading Engineering project teams within an Analytics context and in an agile environment
* Interest in deeply learning \&amp; understanding the Insurance Business and Actuarial role
* Proficiency in SQL and at least one additional functional or object\-oriented programming language such as R or Python
* Experience with data or process management solutions in the cloud, including data pipelines, automation, and containerized compute
* Proficiency in ingesting data from a variety of structures including relational databases, Hadoop/Spark, cloud data sources, XML, JSON
* Proficiency in ETL concerning metadata management and data validation
* Proficiency with Git in a collaborative business setting
* Proficiency in Linux\-based file management
* Ability to communicate effectively with both technical and non\-technical teams
* Demonstrated ability to translate complex technical topics into business solutions and strategies as well as turn business requirements into a technical solution
* Curious and passionate for R\&amp;D and innovation
 **Preferred Skills and Experience:**
* Bachelor’s or Master's degree in related discipline or 5\+ years of equivalent experience in relevant engineering roles
* AWS Certification or experience with AWS Services (S3, EMR, etc.) is strongly preferred
* Experience with Insurance data, especially with Actuarial data processes, is preferred
* Experience with R AND Python is preferred
* Exposure to Machine Learning, Statistical Modeling, or MLOps in a business context is preferred
* Proficiency in Automation tools (Airflow, Cron, Autosys, etc.) is a plus
* Experience with Cloud data warehouses, automation, and data pipelines (i.e. Snowflake, Redshift) is a plus
* Experience building CICD pipelines or IAC (Infrastructure as Code) desired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$127,200 \- $190,800
Equal Opportunity Employer/Sex/Race/Color/Veterans/Disability/Sexual Orientation/Gender Identity or Expression/Religion/Age
About Us \| Our Culture \| What It’s Like to Work Here \| Perks \&amp; Benefits</t>
        </is>
      </c>
    </row>
    <row r="93">
      <c r="A93" t="inlineStr">
        <is>
          <t>in-5940e6ad62060c73</t>
        </is>
      </c>
      <c r="B93" t="inlineStr">
        <is>
          <t>Manager Data Engineering</t>
        </is>
      </c>
      <c r="C93" t="inlineStr">
        <is>
          <t>The Hartford</t>
        </is>
      </c>
      <c r="D93" t="inlineStr">
        <is>
          <t>indeed</t>
        </is>
      </c>
      <c r="E93">
        <f>HYPERLINK("https://www.indeed.com/viewjob?jk=5940e6ad62060c73", "https://www.indeed.com/viewjob?jk=5940e6ad62060c73")</f>
        <v/>
      </c>
      <c r="F93">
        <f>HYPERLINK("https://click.appcast.io/t/eIbkKl7wsCMeKZ-Wpkq_rwgBssvtlT5lU6ysfro-Rqw=", "https://click.appcast.io/t/eIbkKl7wsCMeKZ-Wpkq_rwgBssvtlT5lU6ysfro-Rqw=")</f>
        <v/>
      </c>
      <c r="G93" t="inlineStr">
        <is>
          <t>Hartford, CT, US</t>
        </is>
      </c>
      <c r="H93" s="3" t="n">
        <v>46030</v>
      </c>
      <c r="I93" t="inlineStr">
        <is>
          <t>Manager Data Engineering \- GE07AE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 Data Engineering Manager to lead a team of Data Engineers to design, develop, and implement modern and sustainable data assets to fuel machine learning and statistical modeling solutions across a wide range of strategic initiatives.
The Actuarial Strategic Modeling team is a dynamic mix of Actuarial and Data Science professionals utilizing statistical modeling, machine learning, and advanced data engineering techniques to enhance core Actuarial processes. As a member of the ASM team, you will directly impact written premium by ensuring the modeling team can find new insights and deliver them to market rapidly. We are a forward\-focused organization that fosters collaboration, encourages creative design, and offers abundant opportunities for visibility, allowing candidates to shape innovative solutions and showcase their talents to a wide audience.
As a Data Engineering Manager, you will lead and mentor a small team through the software development lifecycle process, supporting strong programming foundations and cloud operations, and fostering a robust understanding of the analytics behind our work. Collaborating closely with a broader team of talented engineers and data scientists, you will oversee engineering and model support projects across several lines of business, serving as the primary contact for engineering and data solutions. Our team's culture is deeply rooted in embracing emerging technologies and empowering you to select the optimal tools for each unique project, so curiosity and adaptability are highly valued. Strong candidates will also demonstrate a solid foundation in data management, software engineering, and process automation along with an enthusiasm for delivering efficient solutions to partners.
 **Responsibilities:**
* Lead and mentor Data Engineers to deliver and maintain reusable and sustainable analytical processes that assist Actuarial Modelers in meeting their strategic objectives
* Learn and coach Machine Learning and MLOps, Engineering, and Insurance Business concepts \&amp; terminology, applying that knowledge for the best fit\-to\-purpose solution.
* Anticipate team and individual growth needs, identify relevant opportunities and coach direct reports and peers accordingly
* Regularly engage in continuing education, including the development of project and people management skills
* Consult with cross\-functional stakeholders in the analysis of short and long\-range business requirements and recommend modernization that anticipates future business needs
* Own and lead engineering projects, leveraging agile software development practices to manage work and communicate status
* Assess business needs and lead the development of reliable and effective solutions, that are catered to specific business needs and easily maintainable
* Create data assets and build data pipelines that align to modern software development principles for further analytical consumption. Perform data analysis to ensure quality of data assets
* Design and develop high quality, scalable software modules for next generation analytics solution suite that serves advanced statistical models and tracks key metrics
* Enhance and maintain model and data monitoring solutions that deliver automated insights to technical and non\-technical audiences
* Identify and validate internal and external data sources for availability and quality. Work with SMEs to describe and understand data lineage and suitability for a use case
* Proactively accesses technical issues and risks that could impact speed, functionality, flexibility, or clarity.
* Use Enterprise GitHub for version control, documentation, code collaboration, and technical project management
This role will have a Hybrid work schedule, with the expectation of working in an office (Columbus, OH, Chicago, IL, Hartford, CT or Charlotte, NC) 3 days a week (Tuesday through Thursday).
 **Minimum Qualifications:**
* 4\+ years of programming experience in a business setting
* Experience in managing Data Engineers OR leading Engineering project teams within an Analytics context and in an agile environment
* Interest in deeply learning \&amp; understanding the Insurance Business and Actuarial role
* Proficiency in SQL and at least one additional functional or object\-oriented programming language such as R or Python
* Experience with data or process management solutions in the cloud, including data pipelines, automation, and containerized compute
* Proficiency in ingesting data from a variety of structures including relational databases, Hadoop/Spark, cloud data sources, XML, JSON
* Proficiency in ETL concerning metadata management and data validation
* Proficiency with Git in a collaborative business setting
* Proficiency in Linux\-based file management
* Ability to communicate effectively with both technical and non\-technical teams
* Demonstrated ability to translate complex technical topics into business solutions and strategies as well as turn business requirements into a technical solution
* Curious and passionate for R\&amp;D and innovation
 **Preferred Skills and Experience:**
* Bachelor’s or Master's degree in related discipline or 5\+ years of equivalent experience in relevant engineering roles
* AWS Certification or experience with AWS Services (S3, EMR, etc.) is strongly preferred
* Experience with Insurance data, especially with Actuarial data processes, is preferred
* Experience with R AND Python is preferred
* Exposure to Machine Learning, Statistical Modeling, or MLOps in a business context is preferred
* Proficiency in Automation tools (Airflow, Cron, Autosys, etc.) is a plus
* Experience with Cloud data warehouses, automation, and data pipelines (i.e. Snowflake, Redshift) is a plus
* Experience building CICD pipelines or IAC (Infrastructure as Code) desired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$127,200 \- $190,800
Equal Opportunity Employer/Sex/Race/Color/Veterans/Disability/Sexual Orientation/Gender Identity or Expression/Religion/Age
About Us \| Our Culture \| What It’s Like to Work Here \| Perks \&amp; Benefits</t>
        </is>
      </c>
    </row>
    <row r="94">
      <c r="A94" t="inlineStr">
        <is>
          <t>in-1494fcc96931e582</t>
        </is>
      </c>
      <c r="B94" t="inlineStr">
        <is>
          <t>Sr. Staff Data Engineer (Tech Lead) - Hybrid</t>
        </is>
      </c>
      <c r="C94" t="inlineStr">
        <is>
          <t>The Hartford</t>
        </is>
      </c>
      <c r="D94" t="inlineStr">
        <is>
          <t>indeed</t>
        </is>
      </c>
      <c r="E94">
        <f>HYPERLINK("https://www.indeed.com/viewjob?jk=1494fcc96931e582", "https://www.indeed.com/viewjob?jk=1494fcc96931e582")</f>
        <v/>
      </c>
      <c r="F94">
        <f>HYPERLINK("https://click.appcast.io/t/YPqnmy7LpypmeE4rD0cYjhjHvZ5lrT0GOUmUnHVn8IE=", "https://click.appcast.io/t/YPqnmy7LpypmeE4rD0cYjhjHvZ5lrT0GOUmUnHVn8IE=")</f>
        <v/>
      </c>
      <c r="G94" t="inlineStr">
        <is>
          <t>Charlotte, NC, US</t>
        </is>
      </c>
      <c r="H94" s="3" t="n">
        <v>46030</v>
      </c>
      <c r="I94"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Enterprise Data Services \- Sales \&amp; Distribution IT is undergoing a transformation to the Cloud, and we are looking for an enthusiastic Sr. Staff Data Engineer to join our team. In this role, you will be leading the efforts to develop, enhance, and support new and existing ETL data pipelines, ingestions, and storage across various medium and large sized projects concurrently. This is an individual contributor position responsible for expanding and optimizing data pipeline and product architecture, as well as optimizing data flow and collection for cross functional teams. The ideal candidate is an experienced data pipeline builder and data wrangler who enjoys optimizing data systems and building them from the ground up.
You will work on implementing complex data projects, focusing on collecting, parsing, managing, analyzing, and visualizing large sets of data to turn information into insights using multiple platforms. You will support our software developers, data architects, analysts and data scientists on vital initiatives and ensure optimal data delivery architecture. You will lead the design of vital components and suggest/implement new frameworks and tools based on industry and technological trends and advances. You will also consult with process owners in reviewing, interpreting \&amp; developing systems in accordance with user requirements and ensuring code quality through proper documentation, best practices, and code reviews. Working in our collaborative environment, you will further develop your skills while also acting as a mentor and technical guide to other data engineers.
This role can have a Hybrid work schedule. Candidates who live near one of our office locations (Charlotte NC, Hartford CT, Chicago, IL, Columbus, OH) will have the expectation of working in an office 3 days a week (Tuesday through Thursday)
**Responsibilities:**
* Modernize legacy data assets by migrating and re\-engineering them into modern cloud solutions (AWS, GCP, Snowflake) for scalability, security, and cost efficiency.
* Design, develop, and optimize ETL/ELT pipelines for structured and unstructured data, ensuring resilience and high performance.
* Build and manage data pipelines leveraging cloud services such as AWS Glue, EMR, Redshift; GCP BigQuery, Dataflow; and Snowflake.
* Curate and publish Data Products to support analytics, visualization, machine learning, and Generative AI use cases.
* Implement DataOps practices for automated deployments, CI/CD integration, and continuous delivery of data solutions.
* Apply best practices for data modeling, governance, and security, ensuring compliance with enterprise standards and regulatory requirements.
* Establish and enforce Data Governance frameworks, including:
	+ Data Quality Management
	+ Metadata Management
	+ Data Lineage Tracking
* Integrate AI/ML models into data pipelines, enabling real\-time scoring, feature engineering, and model retraining workflows.
* Enable Generative AI capabilities by embedding LLMs into data workflows for intelligent automation and advanced insights.
* Develop and deploy AI Agents for automated decision\-making and conversational analytics.
* Lead Proof of Concepts (POCs) and pilot initiatives for emerging technologies—beyond GenAI—such as real\-time streaming, AI agents, and next\-gen data platforms.
* Develop and maintain BI dashboards and visualization solutions using tools like Power BI or Tableau to deliver actionable insights.
* Monitor and fine\-tune data pipelines for performance, scalability, and reliability using advanced observability tools.
* Automate auditing, reconciliation, and data quality checks to maintain high data integrity.
* Develop self\-healing pipelines with robust re\-startability mechanisms for resilience.
* Schedule and orchestrate complex workflows using tools like MWAA, Autosys, or Control\-M.
* Champion continuous improvement and innovation by adopting emerging technologies in DataOps, AI/ML, and cloud engineering.
**Qualifications:**
* Bachelor’s or master’s degree in computer science or a related discipline.
* 7\+ years of experience in data analysis, transformation, and development, with ideally 2\+ years in the insurance or a related industry.
* 5\+ years of strong proficiency in SQL, Python, and ETL tools such as Informatica IDMC for data integration and transformation.
* 3\+ years of experience developing and deploying large\-scale data and analytics applications on cloud platforms such as AWS, GCP and Snowflake.
* Experience in small or medium\-scale Generative AI (GenAI) integration within data workflows or enterprise solutions.
* 3\+ years of expertise in designing and optimizing data models for Data Warehouses, Data Marts, and Data Fabric, including dimensional modeling, semantic layers, metadata management, and integration for scalable, governed, and high\-performance analytics.
* 3\+ years of experience processing large\-scale structured and unstructured data in both batch and near\-real\-time environments, leveraging distributed computing frameworks and streaming technologies for high\-performance data pipelines.
* 3\+ years of experience in Agile methodologies, including Scrum and Kanban frameworks.
* 2\+ years of experience in leveraging DevOps pipelines for automated testing and deployment, ensuring continuous integration and delivery of data solutions.
* Experience accessing and retrieving data from disparate large data sources.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**Preferred skills:**
* Knowledge of data observability (metrics, tracing, logs) and monitoring frameworks.
* Exposure to metadata management (catalogs, glossary) and data lineage tools.
* Familiarity with containerization \&amp; orchestration (Docker, Kubernetes).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
About Us \| Our Culture \| What It’s Like to Work Here \| Perks \&amp; Benefits</t>
        </is>
      </c>
    </row>
    <row r="95">
      <c r="A95" t="inlineStr">
        <is>
          <t>in-7b2b78ea2ea4f39b</t>
        </is>
      </c>
      <c r="B95" t="inlineStr">
        <is>
          <t>Manager Data Engineering</t>
        </is>
      </c>
      <c r="C95" t="inlineStr">
        <is>
          <t>The Hartford</t>
        </is>
      </c>
      <c r="D95" t="inlineStr">
        <is>
          <t>indeed</t>
        </is>
      </c>
      <c r="E95">
        <f>HYPERLINK("https://www.indeed.com/viewjob?jk=7b2b78ea2ea4f39b", "https://www.indeed.com/viewjob?jk=7b2b78ea2ea4f39b")</f>
        <v/>
      </c>
      <c r="F95">
        <f>HYPERLINK("https://click.appcast.io/t/Lr35JhWWUUF2mZr677UOFzQ4vySbKSlL_Fi5RooZjV0=", "https://click.appcast.io/t/Lr35JhWWUUF2mZr677UOFzQ4vySbKSlL_Fi5RooZjV0=")</f>
        <v/>
      </c>
      <c r="G95" t="inlineStr">
        <is>
          <t>Columbus, OH, US</t>
        </is>
      </c>
      <c r="H95" s="3" t="n">
        <v>46030</v>
      </c>
      <c r="I95" t="inlineStr">
        <is>
          <t>Manager Data Engineering \- GE07AE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seeking a Data Engineering Manager to lead a team of Data Engineers to design, develop, and implement modern and sustainable data assets to fuel machine learning and statistical modeling solutions across a wide range of strategic initiatives.
The Actuarial Strategic Modeling team is a dynamic mix of Actuarial and Data Science professionals utilizing statistical modeling, machine learning, and advanced data engineering techniques to enhance core Actuarial processes. As a member of the ASM team, you will directly impact written premium by ensuring the modeling team can find new insights and deliver them to market rapidly. We are a forward\-focused organization that fosters collaboration, encourages creative design, and offers abundant opportunities for visibility, allowing candidates to shape innovative solutions and showcase their talents to a wide audience.
As a Data Engineering Manager, you will lead and mentor a small team through the software development lifecycle process, supporting strong programming foundations and cloud operations, and fostering a robust understanding of the analytics behind our work. Collaborating closely with a broader team of talented engineers and data scientists, you will oversee engineering and model support projects across several lines of business, serving as the primary contact for engineering and data solutions. Our team's culture is deeply rooted in embracing emerging technologies and empowering you to select the optimal tools for each unique project, so curiosity and adaptability are highly valued. Strong candidates will also demonstrate a solid foundation in data management, software engineering, and process automation along with an enthusiasm for delivering efficient solutions to partners.
 **Responsibilities:**
* Lead and mentor Data Engineers to deliver and maintain reusable and sustainable analytical processes that assist Actuarial Modelers in meeting their strategic objectives
* Learn and coach Machine Learning and MLOps, Engineering, and Insurance Business concepts \&amp; terminology, applying that knowledge for the best fit\-to\-purpose solution.
* Anticipate team and individual growth needs, identify relevant opportunities and coach direct reports and peers accordingly
* Regularly engage in continuing education, including the development of project and people management skills
* Consult with cross\-functional stakeholders in the analysis of short and long\-range business requirements and recommend modernization that anticipates future business needs
* Own and lead engineering projects, leveraging agile software development practices to manage work and communicate status
* Assess business needs and lead the development of reliable and effective solutions, that are catered to specific business needs and easily maintainable
* Create data assets and build data pipelines that align to modern software development principles for further analytical consumption. Perform data analysis to ensure quality of data assets
* Design and develop high quality, scalable software modules for next generation analytics solution suite that serves advanced statistical models and tracks key metrics
* Enhance and maintain model and data monitoring solutions that deliver automated insights to technical and non\-technical audiences
* Identify and validate internal and external data sources for availability and quality. Work with SMEs to describe and understand data lineage and suitability for a use case
* Proactively accesses technical issues and risks that could impact speed, functionality, flexibility, or clarity.
* Use Enterprise GitHub for version control, documentation, code collaboration, and technical project management
This role will have a Hybrid work schedule, with the expectation of working in an office (Columbus, OH, Chicago, IL, Hartford, CT or Charlotte, NC) 3 days a week (Tuesday through Thursday).
 **Minimum Qualifications:**
* 4\+ years of programming experience in a business setting
* Experience in managing Data Engineers OR leading Engineering project teams within an Analytics context and in an agile environment
* Interest in deeply learning \&amp; understanding the Insurance Business and Actuarial role
* Proficiency in SQL and at least one additional functional or object\-oriented programming language such as R or Python
* Experience with data or process management solutions in the cloud, including data pipelines, automation, and containerized compute
* Proficiency in ingesting data from a variety of structures including relational databases, Hadoop/Spark, cloud data sources, XML, JSON
* Proficiency in ETL concerning metadata management and data validation
* Proficiency with Git in a collaborative business setting
* Proficiency in Linux\-based file management
* Ability to communicate effectively with both technical and non\-technical teams
* Demonstrated ability to translate complex technical topics into business solutions and strategies as well as turn business requirements into a technical solution
* Curious and passionate for R\&amp;D and innovation
 **Preferred Skills and Experience:**
* Bachelor’s or Master's degree in related discipline or 5\+ years of equivalent experience in relevant engineering roles
* AWS Certification or experience with AWS Services (S3, EMR, etc.) is strongly preferred
* Experience with Insurance data, especially with Actuarial data processes, is preferred
* Experience with R AND Python is preferred
* Exposure to Machine Learning, Statistical Modeling, or MLOps in a business context is preferred
* Proficiency in Automation tools (Airflow, Cron, Autosys, etc.) is a plus
* Experience with Cloud data warehouses, automation, and data pipelines (i.e. Snowflake, Redshift) is a plus
* Experience building CICD pipelines or IAC (Infrastructure as Code) desired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$127,200 \- $190,800
Equal Opportunity Employer/Sex/Race/Color/Veterans/Disability/Sexual Orientation/Gender Identity or Expression/Religion/Age
About Us \| Our Culture \| What It’s Like to Work Here \| Perks \&amp; Benefits</t>
        </is>
      </c>
    </row>
    <row r="96">
      <c r="A96" t="inlineStr">
        <is>
          <t>in-ca2b871257106aa3</t>
        </is>
      </c>
      <c r="B96" t="inlineStr">
        <is>
          <t>Senior Data Engineer</t>
        </is>
      </c>
      <c r="C96" t="inlineStr">
        <is>
          <t>Attain Finance</t>
        </is>
      </c>
      <c r="D96" t="inlineStr">
        <is>
          <t>indeed</t>
        </is>
      </c>
      <c r="E96">
        <f>HYPERLINK("https://www.indeed.com/viewjob?jk=ca2b871257106aa3", "https://www.indeed.com/viewjob?jk=ca2b871257106aa3")</f>
        <v/>
      </c>
      <c r="F96">
        <f>HYPERLINK("https://careers-attainfinance.icims.com/jobs/9207/job?utm_source=indeed_integration&amp;iis=Job%20Board&amp;iisn=Indeed&amp;indeed-apply-token=73a2d2b2a8d6d5c0a62696875eaebd669103652d3f0c2cd5445d3e66b1592b0f", "https://careers-attainfinance.icims.com/jobs/9207/job?utm_source=indeed_integration&amp;iis=Job%20Board&amp;iisn=Indeed&amp;indeed-apply-token=73a2d2b2a8d6d5c0a62696875eaebd669103652d3f0c2cd5445d3e66b1592b0f")</f>
        <v/>
      </c>
      <c r="G96" t="inlineStr">
        <is>
          <t>US</t>
        </is>
      </c>
      <c r="H96" s="3" t="n">
        <v>46030</v>
      </c>
      <c r="I96" t="inlineStr">
        <is>
          <t>Overview:
We are seeking a **Senior Data Engineer** to join our growing team and help shape the future of our modern data platform. In this role, you will be responsible for designing, building, and maintaining scalable data solutions using **Snowflake, Airflow, and AWS**. You’ll partner with business and technical stakeholders to deliver high\-quality data products while ensuring reliability, quality, and governance.
This is a role for someone who thrives on **independence and ownership**. You’ll have the freedom to design and execute solutions end\-to\-end, while also mentoring teammates, driving best practices, and introducing new capabilities — including **leveraging AI to automate workflows, documentation, and data management**.
Responsibilities:
**What** **You’ll** **Do**
* Design and develop curated data products and pipelines using Snowflake, Airflow, Python, and AWS.
* Own the full lifecycle of data workflows — from requirements to deployment — with minimal supervision.
* Implement and improve frameworks for data quality, lineage, and observability.
* Use AI\-driven tools to automate repetitive tasks such as documentation, data lineage extraction, and anomaly detection.
* Maintain and enhance documentation of data pipelines and products, ensuring transparency and ease of use across teams.
* Partner with analysts, data scientists, and product teams to deliver data assets optimized for analytics and machine learning.
* Support production data operations, troubleshoot issues, and continuously optimize performance and cost.
* Mentor team members, share knowledge, and contribute to the overall direction of the data engineering practice.
Qualifications:
**Qualifications*** **5–8\+ years of experience** in data engineering or a related field.
* Strong hands\-on experience with **Snowflake, Airflow, and AWS**.
* Proficiency in **Python and SQL** for building and maintaining data pipelines.
* Experience with modern data modeling, ETL/ELT processes, and data governance best practices.
* Ability to work **independently and proactively**, owning solutions from start to finish.
* Experience or interest in applying **AI/LLM\-based tools** to improve efficiency and automation.
* Familiarity with CI/CD, GitHub workflows, and modern DevOps practices.
* Excellent communication skills and the ability to collaborate with technical and non\-technical stakeholders.
* A track record of mentoring peers and driving best practices within a team.
 **Preferred Qualifications**
* Experience with **OpenLineage****,** **dbt****, or** **schemachange** for lineage and schema management.
* Exposure to **data observability tools** (e.g., Monte Carlo, Soda, Great Expectations).
* Familiarity with **AI/LLM integration into data workflows** for documentation, query generation, or anomaly detection.
* Background in **financial services, lending, or regulated industries** a plus.
 **Base Salary:** $110,000 \-$130,000  
The base salary range represents the low and high end of the anticipated salary range for this position based on the U.S. average. The actual base salary offered for this full\-time position will be determined by various factors, including but not limited to, location, skills, knowledge, competencies, and experience.  
All full\-time salaried employees are eligible for the following benefits, starting on day one: Flexible Paid Time Off Program, Medical, Dental, Vision, Life Insurance, Disability, and other voluntary coverages. You will also be eligible to participate in our 401k program, starting on the first of the month following 30 days of employment with a company match.  
This employer participates in E\-Verify for US\-based hires.  
\#AttainFinance \#ATTAINRP  
**EEO Statement**  
Attain Finance Supports Equal Employment Opportunity. CURO (dba Cash Money®, LendDirect®, Heights Finance, Southern Finance, Covington Credit, Quick Credit, and First Heritage Credit) is committed to a policy of providing equal employment opportunity to all qualified employees and applicants. This commitment is reflected in all aspects of our daily operations. We do not discriminate on the basis of race, color, sex, religion, national origin, marital status, age, disability, veteran status, or genetic information in any personnel practice, including recruitment, hiring, training, compensation, promotion, and discipline. Additionally, we do not discriminate based on any other characteristic protected by applicable state/provincial or local law where a particular employee works. In addition, it is the policy of Attain Finance to provide reasonable accommodation to qualified employees who have protected disabilities to the extent required by federal law and any state/provincial law where a particular employee works.  
**Notice to Attain Finance job applicants:**Attain Finance will never ask for your personal banking information, transfer of funds, a credit card, or for you to purchase any equipment to process a job application or for training. Authorized Attain Finance representatives' email addresses will end in @attainfinace.com, @curo.com, @first\-heritage.com, @heightsfinance.com, and @cashmoney.ca.
EEO Statement:
*Attain Finance Supports Equal Employment Opportunity. CURO (dba Cash Money®, LendDirect®, Heights Finance, Southern Finance, Covington Credit, Quick Credit, and First Heritage Credit) is committed to a policy of providing equal employment opportunity to all qualified employees and applicants. This commitment is reflected in all aspects of our daily operations. We do not discriminate on the basis of race, color, sex, religion, national origin, marital status, age, disability, veteran status, or genetic information in any personnel practice, including recruitment, hiring, training, compensation, promotion, and discipline. Additionally, we do not discriminate based on any other characteristic protected by applicable state/provincial or local law where a particular employee works. In addition, it is the policy of Attain Finance to provide reasonable accommodation to qualified employees who have protected disabilities to the extent required by federal law and any state/provincial law where a particular employee works.* ***Notice to Attain Finance job applicants:*** *Attain Finance will never ask for your personal banking information, transfer of funds, a credit card, or for you to purchase any equipment to process a job application or for training. Authorized Attain Finance representatives' email addresses will end in @attainfinace.com, @curo.com, @first\-heritage.com, @heightsfinance.com, and @cashmoney.ca.*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li-4344921928</t>
        </is>
      </c>
      <c r="B2" t="inlineStr">
        <is>
          <t>Data Engineer - Data Science</t>
        </is>
      </c>
      <c r="C2" t="inlineStr">
        <is>
          <t>LinkedIn</t>
        </is>
      </c>
      <c r="D2" t="inlineStr">
        <is>
          <t>linkedin</t>
        </is>
      </c>
      <c r="E2" t="inlineStr"/>
      <c r="F2" t="inlineStr"/>
      <c r="G2" t="inlineStr">
        <is>
          <t>Mountain View, CA</t>
        </is>
      </c>
      <c r="H2" t="inlineStr"/>
      <c r="I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LinkedIn offers countless ways for an ambitious data engineer to have an impact and transform your career.
 We are now looking for a talented and driven individual to accelerate our efforts and be a major part of our data\-centric culture. This person will work closely with various cross\-functional teams such as product, marketing, sales, engineering, and operations to develop infrastructure and deliver tools or data structures that enable data\-driven decision\-making. Successful candidates will exhibit technical acumen and business savviness with a passion for making an impact by enabling both producers and consumers of data insight to work smarter.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data science professionals, and cross\-functional teams to identify business opportunities and build scalable data solutions.
* Build data expertise, act like an owner for the company and manage complex data systems for a product or a group of products.
* Perform all of the necessary data transformations to serve products that empower data\-driven decision making.
* Build and manage data pipelines, design and architect databases.
* Establish efficient design and programming patterns for engineers as well as for non\-technical partners.
* Design, implement, integrate and document performant systems or components for data flows or applications that power analysis at a massive scale.
* Ensure best practices and standards in our data ecosystem are shared across teams.
* Understand the analytical objectives to make logical recommendations and drive informed actions.
* Engage with internal platform teams to prototype and validate tools developed in\-house to derive insight from very large datasets or automate complex algorithms.
* Be a self\-starter, Initiate and drive projects to completion with minimal guidance.
* Contribute to engineering innovations that fuel LinkedIn's vision and mission.
**Qualifications**
 Basic Qualifications
* Bachelor's Degree in a quantitative discipline: Computer science, Statistics, Operations Research, Informatics, Engineering, Applied Mathematics, Economics, etc.
* 3\+ years of relevant industry or relevant academia experience working with large amounts of data
* Experience with SQL/Relational databases
* Background in at least one programming languages (e.g., R, Python, Java, Scala, PHP, JavaScript)
**Preferred Qualifications**
* BS and 5\+ years of relevant work experience, MS and 3\+ years of relevant work experience, or Ph.D. and 1\+ years of relevant work/academia experience working with large amounts of data
* MS or PhD in a quantitative discipline: statistics, operations research, computer science, informatics, engineering, applied mathematics, economics, etc.
* Experience in developing data pipelines using Spark and Hive.
* Experience with data modeling, ETL (Extraction, Transformation \&amp; Load) concepts, and patterns for efficient data governance. Experience with manipulating massive\-scale structured and unstructured data.
* Experience with using distributed data systems such as Spark and related technologies (Presto/Trino, Hive, etc.).
* Experience with either data workflows/modeling, front\-end engineering, or back\-end engineering.
* Deep understanding of technical and functional designs for relational and MPP Databases
* Experience in data visualization and dashboard design including tools such as Tableau, R visualization packages, streamlit, D3, and other libraries, etc.
* Knowledge of Unix and Unix\-like systems, version control systems such as Git.
 Suggested Skills
* Distributed Systems
* ETL
* Data Modeling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$102,000 to $165,000\.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
      <c r="A3" t="inlineStr">
        <is>
          <t>li-4350265493</t>
        </is>
      </c>
      <c r="B3" t="inlineStr">
        <is>
          <t>Data Engineer, Analytics (University Grad)</t>
        </is>
      </c>
      <c r="C3" t="inlineStr">
        <is>
          <t>Meta</t>
        </is>
      </c>
      <c r="D3" t="inlineStr">
        <is>
          <t>linkedin</t>
        </is>
      </c>
      <c r="E3" t="inlineStr"/>
      <c r="F3" t="inlineStr"/>
      <c r="G3" t="inlineStr">
        <is>
          <t>New York, NY</t>
        </is>
      </c>
      <c r="H3" t="inlineStr"/>
      <c r="I3" t="inlineStr">
        <is>
          <t>Are you passionate about Facebook’s product, analytics and technology? The Analytics, Data Engineering team is looking for fast\-moving analytics candidates and data junkies who want to make an impact.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Analytics (University Grad) Responsibilities:
* Architect, implement and deploy new data models and data processes in production
* Perform data analysis to generate business insights
* Interface with Engineers, Product Managers and Product Analysts to understand product goals and data needs
* Build data expertise and own data quality for allocated areas of ownership
* Manage data warehouse plans for a product or a group of products
* Support critical data processes running in production
 Minimum Qualifications:
* Programming knowledge in Python or Java
* Knowledge of SQL
* Knowledge of database systems
* Must obtain work authorization in country of employment at the time of hire, and maintain ongoing work authorization during employment
* Currently has, or is in the process of obtaining a Bachelor's degree in Computer Science, Computer Engineering, relevant technical field, or equivalent practical experience. Degree must be completed prior to joining Meta
 Preferred Qualifications:
* Experience thriving in a fast\-paced work environment
* Curious, self\-driven, analytical and excited to play with data
*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$47\.60/hour to $139,000/year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li-4350323647</t>
        </is>
      </c>
      <c r="B4" t="inlineStr">
        <is>
          <t>Data Engineer, Analytics (University Grad)</t>
        </is>
      </c>
      <c r="C4" t="inlineStr">
        <is>
          <t>Meta</t>
        </is>
      </c>
      <c r="D4" t="inlineStr">
        <is>
          <t>linkedin</t>
        </is>
      </c>
      <c r="E4" t="inlineStr"/>
      <c r="F4" t="inlineStr"/>
      <c r="G4" t="inlineStr">
        <is>
          <t>Menlo Park, CA</t>
        </is>
      </c>
      <c r="H4" t="inlineStr"/>
      <c r="I4" t="inlineStr">
        <is>
          <t>Are you passionate about Facebook’s product, analytics and technology? The Analytics, Data Engineering team is looking for fast\-moving analytics candidates and data junkies who want to make an impact.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Analytics (University Grad) Responsibilities:
* Architect, implement and deploy new data models and data processes in production
* Perform data analysis to generate business insights
* Interface with Engineers, Product Managers and Product Analysts to understand product goals and data needs
* Build data expertise and own data quality for allocated areas of ownership
* Manage data warehouse plans for a product or a group of products
* Support critical data processes running in production
 Minimum Qualifications:
* Programming knowledge in Python or Java
* Knowledge of SQL
* Knowledge of database systems
* Must obtain work authorization in country of employment at the time of hire, and maintain ongoing work authorization during employment
* Currently has, or is in the process of obtaining a Bachelor's degree in Computer Science, Computer Engineering, relevant technical field, or equivalent practical experience. Degree must be completed prior to joining Meta
 Preferred Qualifications:
* Experience thriving in a fast\-paced work environment
* Curious, self\-driven, analytical and excited to play with data
*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$47\.60/hour to $139,000/year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li-4350145390</t>
        </is>
      </c>
      <c r="B5" t="inlineStr">
        <is>
          <t>Data Engineer, Analytics (University Grad)</t>
        </is>
      </c>
      <c r="C5" t="inlineStr">
        <is>
          <t>Meta</t>
        </is>
      </c>
      <c r="D5" t="inlineStr">
        <is>
          <t>linkedin</t>
        </is>
      </c>
      <c r="E5" t="inlineStr"/>
      <c r="F5" t="inlineStr"/>
      <c r="G5" t="inlineStr">
        <is>
          <t>Seattle, WA</t>
        </is>
      </c>
      <c r="H5" t="inlineStr"/>
      <c r="I5" t="inlineStr">
        <is>
          <t>Are you passionate about Facebook’s product, analytics and technology? The Analytics, Data Engineering team is looking for fast\-moving analytics candidates and data junkies who want to make an impact. Our data warehouse team works very closely with Product Managers, Product Analysts and Internet Marketers to figure out ways to acquire new users, retain existing users and optimize user experience \- all of this using massive amounts of data. In this role, you will see a direct link between your work, company growth, and user satisfaction. You will work with some of the brightest minds in the industry, and you'll have the opportunity to solve some of the most challenging business problems on the web and mobile Internet, at a scale that few companies can match.
 Data Engineer, Analytics (University Grad) Responsibilities:
* Architect, implement and deploy new data models and data processes in production
* Perform data analysis to generate business insights
* Interface with Engineers, Product Managers and Product Analysts to understand product goals and data needs
* Build data expertise and own data quality for allocated areas of ownership
* Manage data warehouse plans for a product or a group of products
* Support critical data processes running in production
 Minimum Qualifications:
* Programming knowledge in Python or Java
* Knowledge of SQL
* Knowledge of database systems
* Must obtain work authorization in country of employment at the time of hire, and maintain ongoing work authorization during employment
* Currently has, or is in the process of obtaining a Bachelor's degree in Computer Science, Computer Engineering, relevant technical field, or equivalent practical experience. Degree must be completed prior to joining Meta
 Preferred Qualifications:
* Experience thriving in a fast\-paced work environment
* Curious, self\-driven, analytical and excited to play with data
* Experience in collaborating with individuals and organizations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$47\.60/hour to $139,000/year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li-4359466519</t>
        </is>
      </c>
      <c r="B6" t="inlineStr">
        <is>
          <t>Senior Data Engineer</t>
        </is>
      </c>
      <c r="C6" t="inlineStr">
        <is>
          <t>MLabs</t>
        </is>
      </c>
      <c r="D6" t="inlineStr">
        <is>
          <t>linkedin</t>
        </is>
      </c>
      <c r="E6" t="inlineStr"/>
      <c r="F6" t="inlineStr"/>
      <c r="G6" t="inlineStr">
        <is>
          <t>New York, NY</t>
        </is>
      </c>
      <c r="H6" t="inlineStr"/>
      <c r="I6" t="inlineStr">
        <is>
          <t>Build the data backbone of a global financial system.
 This is a rare chance to be the first dedicated Data Engineer at a fast\-growing fintech operating at the intersection of payments, cards, and blockchain infrastructure.
 The platform is already live, already scaling, and already moving real money across borders. What's missing is
 *you* 
 : the person who designs and owns the data systems that everything else depends on.
**The Opportunity**
 You'll be responsible for architecting and building the entire data platform from the ground up.
 As the business scales to millions of users across card programs, payment rails, and blockchain networks, your pipelines will power:
* Analytics and decision\-making
* Customer and partner reporting
* Operational tooling
* Compliance and risk workflows
* On\-chain and off\-chain integrations
 This is not a maintenance role. This is a 0→1, platform\-defining role with real ownership and real impact.
 You'll work directly with the CTO and partner closely with Product, Engineering, Operations, Compliance, and Analytics.
**Requirements**
**What You'll Do**
**Design, build, and maintain core data pipelines** 
 , including ingestion from payments processors, card issuers, blockchain nodes, internal services, and third\-party APIs.
**Own orchestration and workflow management** 
 , implementing Airflow, Dagster, or similar tools to ensure reliable, observable, and scalable data processing.
**Architect and manage data warehouse** 
 (Snowflake, BigQuery, or Redshift), driving performance, cost optimization, partitioning, and access patterns.
**Develop high\-quality ELT/ETL transformations** 
 to structure raw logs, transactions, ledgers, and on\-chain events into clean, production\-grade datasets.
**Implement data quality frameworks and observability** 
 (tests, data contracts, freshness checks, lineage) to ensure every dataset is trustworthy.
**Partner closely with backend engineers** 
 to instrument new events, define data contracts, and improve telemetry across the infrastructure.
**Support Analytics and cross\-functional teams** 
 by delivering well\-modeled, well\-documented tables that power dashboards, ROI analyses, customer reporting, and key business metrics.
**Own data reliability at scale** 
 , leading root\-cause investigations, reducing pipeline failures, and building monitoring and alerting systems.
**Evaluate and integrate new tools** 
 across ingestion, enrichment, observability, and developer experience—raising the bar on performance and maintainability.
**Help set the long\-term technical direction** 
 for Rain's data platform as we scale across new products, regions, and chains.
**What We're Looking For**
* Data infrastructure builder \- You thrive in early\-stage environments, owning pipelines and platforms end\-to\-end and choosing simplicity without sacrificing reliability
* Expert data engineer \- Strong Python and SQL fundamentals, with real experience building production\-grade ETL/ELT
* Workflow \&amp; orchestration fluent \- Hands\-on experience with Airflow, Dagster, Prefect, or similar systems
* Warehouse \&amp; modeling savvy \- Comfortable designing schemas, optimizing performance, and operating modern cloud warehouses (Snowflake, BigQuery, Redshift)
* Quality\-obsessed \- You care deeply about data integrity, testing, lineage, and observability. Systems thinker \- You see data as a platform; you design for reliability, scale, and future users
* Collaborator \- You work well with backend engineers, analytics engineers, and cross\-functional stakeholders to define requirements and deliver outcomes
* Experienced \- 5\-7\+ years in data engineering roles, ideally within fintech, payments, B2B SaaS, or infrastructure\-heavy startups
**Nice to Have**
* Experience ingesting and processing payments data, transaction logs, or ledger systems
* Exposure to smart contracts, blockchain data structures, or on\-chain event ingestion
* Experience building data tooling for compliance, risk, or regulated environments
* Familiarity with dbt and/or semantic modeling to support analytics layers
* Prior experience standing up data platforms from 0→1 at early\-stage companies
**Benefits**
**Compensation \&amp; Benefits**
* $140K\-$240K base salary \+ meaningful equity
* Unlimited PTO (with a real minimum encouraged)
* Flexible remote\-first working
* Home office stipend
* Comprehensive health, dental \&amp; vision (US)
* 401(k) with company match
* Wellness budget (gym, fitness, recovery, etc.)
* Regular team offsites (US \+ international)
 ﻿
**Interview Process**
* Intro call (culture \&amp; alignment)
* Technical interview (past projects \&amp; impact)
* 2\-hour technical session (architecture \+ hands\-on)
* Final conversation with the founder/CEO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7">
      <c r="A7" t="inlineStr">
        <is>
          <t>li-4359486362</t>
        </is>
      </c>
      <c r="B7" t="inlineStr">
        <is>
          <t>Senior Data Engineer</t>
        </is>
      </c>
      <c r="C7" t="inlineStr">
        <is>
          <t>MLabs</t>
        </is>
      </c>
      <c r="D7" t="inlineStr">
        <is>
          <t>linkedin</t>
        </is>
      </c>
      <c r="E7" t="inlineStr"/>
      <c r="F7" t="inlineStr"/>
      <c r="G7" t="inlineStr"/>
      <c r="H7" t="inlineStr"/>
      <c r="I7" t="inlineStr">
        <is>
          <t>Build the data backbone of a global financial system.
 This is a rare chance to be the first dedicated Data Engineer at a fast\-growing fintech operating at the intersection of payments, cards, and blockchain infrastructure.
 The platform is already live, already scaling, and already moving real money across borders. What's missing is
 *you* 
 : the person who designs and owns the data systems that everything else depends on.
**The Opportunity**
 You'll be responsible for architecting and building the entire data platform from the ground up.
 As the business scales to millions of users across card programs, payment rails, and blockchain networks, your pipelines will power:
* Analytics and decision\-making
* Customer and partner reporting
* Operational tooling
* Compliance and risk workflows
* On\-chain and off\-chain integrations
 This is not a maintenance role. This is a 0→1, platform\-defining role with real ownership and real impact.
 You'll work directly with the CTO and partner closely with Product, Engineering, Operations, Compliance, and Analytics.
**Requirements**
**What You'll Do**
**Design, build, and maintain core data pipelines** 
 , including ingestion from payments processors, card issuers, blockchain nodes, internal services, and third\-party APIs.
**Own orchestration and workflow management** 
 , implementing Airflow, Dagster, or similar tools to ensure reliable, observable, and scalable data processing.
**Architect and manage data warehouse** 
 (Snowflake, BigQuery, or Redshift), driving performance, cost optimization, partitioning, and access patterns.
**Develop high\-quality ELT/ETL transformations** 
 to structure raw logs, transactions, ledgers, and on\-chain events into clean, production\-grade datasets.
**Implement data quality frameworks and observability** 
 (tests, data contracts, freshness checks, lineage) to ensure every dataset is trustworthy.
**Partner closely with backend engineers** 
 to instrument new events, define data contracts, and improve telemetry across the infrastructure.
**Support Analytics and cross\-functional teams** 
 by delivering well\-modeled, well\-documented tables that power dashboards, ROI analyses, customer reporting, and key business metrics.
**Own data reliability at scale** 
 , leading root\-cause investigations, reducing pipeline failures, and building monitoring and alerting systems.
**Evaluate and integrate new tools** 
 across ingestion, enrichment, observability, and developer experience—raising the bar on performance and maintainability.
**Help set the long\-term technical direction** 
 for Rain's data platform as we scale across new products, regions, and chains.
**What We're Looking For**
* Data infrastructure builder \- You thrive in early\-stage environments, owning pipelines and platforms end\-to\-end and choosing simplicity without sacrificing reliability
* Expert data engineer \- Strong Python and SQL fundamentals, with real experience building production\-grade ETL/ELT
* Workflow \&amp; orchestration fluent \- Hands\-on experience with Airflow, Dagster, Prefect, or similar systems
* Warehouse \&amp; modeling savvy \- Comfortable designing schemas, optimizing performance, and operating modern cloud warehouses (Snowflake, BigQuery, Redshift)
* Quality\-obsessed \- You care deeply about data integrity, testing, lineage, and observability. Systems thinker \- You see data as a platform; you design for reliability, scale, and future users
* Collaborator \- You work well with backend engineers, analytics engineers, and cross\-functional stakeholders to define requirements and deliver outcomes
* Experienced \- 5\-7\+ years in data engineering roles, ideally within fintech, payments, B2B SaaS, or infrastructure\-heavy startups
**Nice to Have**
* Experience ingesting and processing payments data, transaction logs, or ledger systems
* Exposure to smart contracts, blockchain data structures, or on\-chain event ingestion
* Experience building data tooling for compliance, risk, or regulated environments
* Familiarity with dbt and/or semantic modeling to support analytics layers
* Prior experience standing up data platforms from 0→1 at early\-stage companies
**Benefits**
**Compensation \&amp; Benefits**
* $140K\-$240K base salary \+ meaningful equity
* Unlimited PTO (with a real minimum encouraged)
* Flexible remote\-first working
* Home office stipend
* Comprehensive health, dental \&amp; vision (US)
* 401(k) with company match
* Wellness budget (gym, fitness, recovery, etc.)
* Regular team offsites (US \+ international)
 ﻿
**Interview Process**
* Intro call (culture \&amp; alignment)
* Technical interview (past projects \&amp; impact)
* 2\-hour technical session (architecture \+ hands\-on)
* Final conversation with the founder/CEO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8">
      <c r="A8" t="inlineStr">
        <is>
          <t>li-4337845270</t>
        </is>
      </c>
      <c r="B8" t="inlineStr">
        <is>
          <t>Data Engineer</t>
        </is>
      </c>
      <c r="C8" t="inlineStr">
        <is>
          <t>Adobe</t>
        </is>
      </c>
      <c r="D8" t="inlineStr">
        <is>
          <t>linkedin</t>
        </is>
      </c>
      <c r="E8" t="inlineStr"/>
      <c r="F8" t="inlineStr"/>
      <c r="G8" t="inlineStr">
        <is>
          <t>San Jose, CA</t>
        </is>
      </c>
      <c r="H8" t="inlineStr"/>
      <c r="I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Are you ready to have fun with data? As a
 **Data Engineer** 
 focused on cloud spend optimization at Adobe, you’ll play a key role in transforming massive amounts of cloud usage data into actionable insights. You’ll combine strong data engineering fundamentals with analytical curiosity—helping surface patterns, trends, and opportunities to drive more efficient cloud operations across Adobe’s platforms and products.
 This role sits at the intersection of data engineering, analytics, and AI innovation. You’ll build and maintain data pipelines that power our cost insights, partner with analysts and data scientists to interpret results, and experiment with emerging approaches—including AI Agent development—to automate data analysis and accelerate decision\-making.
**Key Responsibilities**
* Design, build, and maintain scalable and reliable data pipelines for cloud spend and utilization analytics.
* Develop data models and transformations that make complex cloud usage data accessible and useful.
* Analyze large datasets to identify trends, anomalies, and optimization opportunities.
* Partner with data scientists and product engineers to translate findings into business and technical actions.
* Contribute to the development of data\-driven tools, including early experimentation with AI Agents for insight generation and automation.
* Ensure data quality, integrity, and performance across all stages of the pipeline.
* Document workflows, participate in code reviews, and continuously improve data processes.
**Qualifications**
* BS in Computer Science, Engineering, or a related field with 4\+ years of experience in data engineering or data science.
* Strong proficiency in SQL and Python for data wrangling, automation, and analysis.
* Experience with AWS, DBT, and Airflow (or similar modern data stack tools).
* Solid understanding of data modeling, warehousing concepts, and ETL/ELT pipeline design.
* Comfortable with exploratory data analysis and visualization using tools like Pandas, Matplotlib, or Jupyter.
* Curiosity about AI Agent development and how generative AI can transform analytics workflows.
* Analytical mindset with strong attention to detail and problem\-solving skills.
* Strong communication skills and a collaborative, growth\-oriented attitude.
 Our compensation reflects the cost of labor across several  U.S. geographic markets, and we pay differently based on those defined markets. The U.S. pay range for this position is $114,100 \-\- $214,950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$148,500 \- $214,950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9">
      <c r="A9" t="inlineStr">
        <is>
          <t>li-4359616103</t>
        </is>
      </c>
      <c r="B9" t="inlineStr">
        <is>
          <t>Data Engineer</t>
        </is>
      </c>
      <c r="C9" t="inlineStr">
        <is>
          <t>Aristotle</t>
        </is>
      </c>
      <c r="D9" t="inlineStr">
        <is>
          <t>linkedin</t>
        </is>
      </c>
      <c r="E9" t="inlineStr"/>
      <c r="F9" t="inlineStr"/>
      <c r="G9" t="inlineStr">
        <is>
          <t>Provo, UT</t>
        </is>
      </c>
      <c r="H9" t="inlineStr"/>
      <c r="I9" t="inlineStr">
        <is>
          <t>Aristotle's Integrity division delivers industry\-leading identity and age verification solutions to help organizations meet critical regulatory requirements, including AML, KYC, and age verification. Our technology is trusted by major brands across multiple industries to prevent fraud, protect users, and ensure compliance.
 As a Data Engineer, you will help scale our identity data platform, including identity linking across datasets and powers fraud and risk signals. You will work across US and international data sources in a modern Azure environment.
 Please visit https://integrity.aristotle.com for more information about this division.
**Responsibilities**
* Build and operate data pipelines for ingesting, normalizing, and delivering identity data (SQL Server, SSIS, and Azure services)
* Lead data engineering for identity linking and unified ID across sources using clear match rules and auditable logic
* Develop fraud and risk signals from identity data (for example velocity, duplication, inconsistency, and relationship based indicators).
* Build and maintain reporting for operational and business metrics using Power BI and SSRS, including dashboards for volume, match rates, and error trends
* Support international data processing including multi country identifiers, name formats, and address and phone normalization
* Document workflows and implement testing to ensure reliability
**Requirements**
* Bachelor's in Computer Science or a related field
* 3\-5\+ years as a Data Engineer or similar role
* Strong T\-SQL and SQL Server performance tuning experience
* Experience with SSIS and/or Azure data tooling (ADF, Synapse, Databricks, ADLS, Functions)
* Experience building reporting solutions with Power BI and/or SSRS
* Comfortable working with large datasets, data quality checks, and production troubleshooting
**Desired Requirements**
* Entity resolution, MDM, record linkage, or identity graph experience
* Building fraud, risk, or compliance signals from identity and behavioral data
* Familiarity with AI assisted workflows (including Azure OpenAI) and developer productivity tools like GitHub Copilot
* Exposure to privacy and data governance concepts for international datasets
* Familiarity with ASP.NET 2\.0, C\#, and Traditional ASP (Active Server Pages)
**Benefits**
 All positions are Full\-Time, with competitive compensation, medical benefits, paid vacation, 401k plan and stock options. Casual dress code and a non\-corporate atmosphere make this a fun place to work and learn in a team environment. Please visit our website at www.aristotle.com.</t>
        </is>
      </c>
    </row>
    <row r="10">
      <c r="A10" t="inlineStr">
        <is>
          <t>li-4344907027</t>
        </is>
      </c>
      <c r="B10" t="inlineStr">
        <is>
          <t>BI Engineer</t>
        </is>
      </c>
      <c r="C10" t="inlineStr">
        <is>
          <t>Therma-Tru Doors</t>
        </is>
      </c>
      <c r="D10" t="inlineStr">
        <is>
          <t>linkedin</t>
        </is>
      </c>
      <c r="E10" t="inlineStr"/>
      <c r="F10" t="inlineStr"/>
      <c r="G10" t="inlineStr">
        <is>
          <t>Deerfield, IL</t>
        </is>
      </c>
      <c r="H10" t="inlineStr"/>
      <c r="I10" t="inlineStr">
        <is>
          <t>**Company Description**
 Fortune Brands Innovations, Inc. is an industry\-leading home, security and digital products company. We’re focused on exciting opportunities within the home, security and commercial building markets. Our driving purpose is to elevate every life by transforming spaces into havens. We believe our work and our brands can have incredibly positive impacts for not just our business and shareholders, but for people and the planet, too.
 At Fortune Brands, we’re building something big. We’re advancing exciting innovations in all of our products and processes. We’re delivering trust, dependability, sustainability, and style. To make it all happen, we’ve transformed our workplace into an environment where smart, ambitious people have the support to reach their fullest potential.
 When you join Fortune Brands, you become part of a high\-performing team empowered to think big, learn fast and make bold decisions. We support an inclusive culture where everyone is encouraged be their authentic selves, and where our differences and unique perspectives are a key strength.
 Explore life at Fortune Brands here.
**Job Description**
 As a Business Intelligence (BI) Engineer, you will play a crucial role in the design, development, and maintenance of data\-driven solutions that enable effective decision\-making within the organization. Leveraging your technical expertise and analytical mindset, you will collaborate with stakeholders to understand their reporting and data analysis requirements and translate them into robust and scalable BI solutions. This position requires a strong foundation in data analysis, proficiency in BI tools and technologies, and a passion for transforming raw data into meaningful insights.
**Position Location:** 
 This position is eligible for a hybrid schedule (3x per week) based out of
 **Deerfield, IL.** 
 Effective fall 2025, Fortune Brands will transition to a new world\-class campus in Deerfield, bringing together associates from across our U.S. offices, brands, and functions. The campus will offer vibrant workspaces for collaboration, along with amenities for dining, onsite daycare, fitness and recreation.
**Key Responsibilities**
 Solution Development:
* Design, develop, and implement BI solutions using SQL, ETL tools, and data visualization platforms.
* Gather requirements, define data models, and ensure data accuracy and integrity.
* Optimize database structures, queries, and ETL processes for improved performance.
**Report And Dashboard Development**
* Create visually appealing and user\-friendly reports, dashboards, and data visualizations using BI tools.
* Collaborate with users to understand reporting needs and provide self\-service reporting capabilities.
* Enhance and optimize existing reports and dashboards.
**Data Modeling And ETL**
* Create specifications for data models to support business use cases.
* Partner with Data Engineers to ensure effective ETL processes.
* Ensure data quality through cleansing, validation, and error handling.
**Data Analysis And Insights**
* Perform data analysis and mining to uncover patterns and trends.
* Collaborate with stakeholders to understand analytical requirements and provide actionable insights.
* Develop statistical models and predictive analytics for decision support.
**Data Governance And Security**
* Ensure compliance with data governance policies and data security standards.
* Collaborate with data stewards and IT teams to establish and enforce governance standards.
* Conduct data profiling and analysis to identify and resolve data quality issues.
**Qualifications**
* Bachelor’s or master’s degree in a relevant field (e.g., Computer Science, Data Science, Information Systems).
* Proven experience (3 years) as a BI Engineer or similar role, with a strong focus on data analysis, reporting, and BI solution development.
* Proficiency in SQL and experience with relational databases and data modeling.
* Hands\-on experience with ETL tools and processes, as well as data integration and transformation techniques.
* Familiarity with BI tools such as Tableau, Power BI, Qlik Sense, or similar platforms.
* Solid understanding of data warehousing concepts, methodologies, and best practices.
* Strong analytical and problem\-solving skills, with the ability to translate business requirements into technical solutions.
* Excellent communication and collaboration skills to interact effectively with stakeholders and convey complex concepts to non\-technical audiences.
* Detail\-oriented with a focus on data accuracy, quality, and integrity.
* Ability to work independently and manage multiple projects simultaneously.
**Additional Information**
**ADDITIONAL INFORMATION:**
 Fortune Brands believes in fair and equitable pay. A reasonable estimate of the base salary range for this role is Hiring Pay Range: $85,000 USD \- $110,000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sales incentive plan.
 At Fortune Brands, we support the overall health and wellness of our associates by offering comprehensive, competitive benefits that prioritize all aspects of wellbeing and provide flexibility for our teammates’ unique needs. This includes robust health plans, a market\-leading 401(k) program with a company contribution, product discounts, flexible time off benefits, adoption benefits, and more. We offer numerous ERGs (Employee Resource Groups) to foster a sense of belonging for all associates.
 Fortune Brands is built on industry\-leading brands and innovation within the high\-growth categories of water, outdoors and security. The Company makes innovative products for residential and commercial environments, with a growing focus on digital solutions and products that add luxury, contribute to safety and enhance sustainability. To learn more, visit our website at fbin.com.
**Equal Employment Opportunity**
 Fortune Brands is an equal opportunity employer. Fortune Brands evaluates qualified applicants without regard to race, color, religion, sex, gender identity or expression, national origin, ancestry, age, disability/handicap status, marital status, protected veteran status, sexual orientation, genetic history or information, or any other legally protected characteristic.
**Reasonable Accommodations**
 Fortune Brands is committed to working with and providing reasonable accommodations to individuals with disabilities. If, because of a medical condition or disability, you need a reasonable accommodation for any part of the application or interview process, please contact us at fbinleave.fbhs@fbin.com and let us know the nature of your request along with your contact information.
**Important Notice: Protect Yourself from Fraudulent Job Postings**
 To protect yourself from fraudulent job postings or recruitment scams, please note that Fortune Brands job postings are exclusively hosted on our website at fbin.com/careers via our SmartRecruiters platform. Fortune Brands will never request banking information or sensitive personal details until an offer of employment has been accepted and the onboarding process begins.</t>
        </is>
      </c>
    </row>
    <row r="11">
      <c r="A11" t="inlineStr">
        <is>
          <t>li-4317203984</t>
        </is>
      </c>
      <c r="B11" t="inlineStr">
        <is>
          <t>Data Engineer</t>
        </is>
      </c>
      <c r="C11" t="inlineStr">
        <is>
          <t>Carrot</t>
        </is>
      </c>
      <c r="D11" t="inlineStr">
        <is>
          <t>linkedin</t>
        </is>
      </c>
      <c r="E11" t="inlineStr"/>
      <c r="F11" t="inlineStr"/>
      <c r="G11" t="inlineStr"/>
      <c r="H11" t="inlineStr"/>
      <c r="I11"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Data Engineer helps evolve the reliability and scalability of Carrot’s modern data platform across analytics, reporting, and business intelligence. They build and maintain robust, automated data pipelines and partner with cross\-functional stakeholders to deliver secure, compliant, high\-quality data solutions.
 This role is hands\-on across the data lifecycle—contributing to resilient ETL/ELT pipelines, real\-time and batch integrations, and workflow orchestration—while steadily improving automation, cost efficiency, and documentation quality.
 You will improve the reliability and scalability of Carrot’s data platform, reduce manual operational risk through automation, and enable stakeholders with secure, high\-quality data—while growing your scope toward deeper ownership and technical leadership over time.
 Key responsibilities
 * Data pipeline development and operations: Build, test, deploy, monitor, and iterate on scalable ETL/ELT pipelines using platforms such as dbt and Fivetran; contribute to standard workflows (e.g., member engagement, finance/billing reports) and support ad hoc reporting needs.
* Warehouse and lake stewardship: Contribute to the design and continuous improvement of Snowflake and related cloud data platforms (AWS/GCP), including source integrations, performance tuning, and cost optimizations.
* Workflow orchestration and integrations: Develop auditable orchestration flows with tools like Prefect or Airflow; integrate with services such as S3, SFTP, APIs, and Files.com: Next\-Generation MFT, SFTP \&amp; File Sharing ; implement robust alerting, retries, and monitoring.
* Infrastructure optimization: Identify opportunities to improve pipeline speed, reliability, and cost; help refactor legacy processes, reduce manual steps, and document changes for scale and reuse.
* Partner\- and stakeholder\-facing deliverables: Support automated data integrations and exports (e.g., eligibility feeds, payroll/tax/billing files) with finance, product, legal, and commercial teams; help enforce data specs and secure handling of sensitive information.
* Change management and auditability: Follow best practices for Git/GitHub, code reviews, testing, Jira workflows, audit\-trail documentation, and exception logging; uphold InfoSec and compliance standards across the data lifecycle.
* Analytics enablement: Help design modular, well\-documented data models and marts (dbt/Snowflake) that enable BI and data science use cases (e.g., segmentation, provider matching, engagement analytics).
* Incident participation and support: Participate in on\-call or escalation routines for high\-impact data incidents; assist with root\-cause analysis, remediation, and clear stakeholder communications.
* Process automation: Codify business rules and automate recurring cycles (e.g., monthly finance handoffs, audit logs) to reduce manual intervention and operational risk.
* Data security and governance: Implement privacy\-conscious practices such as masking and de\-identification; contribute to safe, compliant access across the stack and external data exchanges.
 Minimum qualifications
 * Proficiency with Snowflake, dbt, and Python for data modeling, transformations, and pipeline development in production environments.
* Strong SQL skills for complex querying and performance optimization across large datasets.
* Experience building and maintaining automated ETL/ELT pipelines using orchestration tools such as Prefect or Airflow, including alerting, dependency management, and retries.
* Hands\-on exposure to cloud data platforms (e.g., Snowflake, AWS S3/Redshift, Google Cloud) and integrating new data sources at scale.
* Understanding of secure external data flows via SFTP, Files.com: Next\-Generation MFT, SFTP \&amp; File Sharing, and APIs, with attention to reliability and compliance requirements.
* Comfort with Git/GitHub and Jira for version control, code reviews, and operational transparency in a team setting.
* Track record of automating manual workflows and creating reusable components that reduce operational overhead.
* Collaborative, dependable working style with adaptability in dynamic environments and clear communication with technical and non\-technical partners.
 Preferred qualifications
 * Experience in fast\-paced or growth environments delivering data solutions under shifting priorities and timelines.
* Background enabling BI and data science teams via scalable integrations, data marts, and documentation that supports multi\-tenant reporting or advanced analytics.
* Familiarity with batch and event\-driven paradigms, including near\-real\-time pipelines using Snowflake, dbt, and Python.
* Experience automating operational, financial, or compliance\-driven workflows in cloud data environments.
* Exposure to audit, privacy, and compliance frameworks (e.g., SOC, HIPAA, GDPR, ISO, SOX) and role\-based access controls in regulated or healthtech contexts.
**Compensation:** 
 Carrot offers a comprehensive Total Rewards package designed to support our employees in all aspects of their lives both inside and outside of work. This includes health and wellness benefits, retirement savings plans, short\- and long\-term incentives, parental leave, family\-forming assistance, and a competitive compensation package. The starting base salary for this position will range from $104,000\.00 to $130,000\.00\. Actual compensation may differ from the listed base salary based on your specific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12">
      <c r="A12" t="inlineStr">
        <is>
          <t>li-4331934651</t>
        </is>
      </c>
      <c r="B12" t="inlineStr">
        <is>
          <t>Data Engineer</t>
        </is>
      </c>
      <c r="C12" t="inlineStr">
        <is>
          <t>Keystone AI</t>
        </is>
      </c>
      <c r="D12" t="inlineStr">
        <is>
          <t>linkedin</t>
        </is>
      </c>
      <c r="E12" t="inlineStr"/>
      <c r="F12" t="inlineStr"/>
      <c r="G12" t="inlineStr">
        <is>
          <t>New York, United States</t>
        </is>
      </c>
      <c r="H12" t="inlineStr"/>
      <c r="I12" t="inlineStr">
        <is>
          <t>For more than two decades, Keystone has been a premier, tech\-forward strategy and economics consulting firm, helping leading technology companies, global brands, and top law firms solve their most complex challenges in competition, strategy, and regulation.
 Our founders believed that modern consulting should integrate economics, strategy, and technology to drive true digital transformation and business model innovation. That’s what we call our “Triad of Skills." Keystone brings this interdisciplinary approach to the forefront of influential technology cases, changing consumer behavior and regulation laws and impacting society on a global scale, by leveraging the intersection of economics, technology, and business strategy to deliver transformative ideas.
 As we rapidly expand globally, we are redefining what a consulting firm can be.
**Economic, Technology, and Strategy Advisory (ETSA)**
 Keystone’s practices sit within our Economic, Technology, and Strategy Advisory (ETSA) group, which provides expert guidance across high\-stakes business, legal, and technology challenges.
**What We Do**
 ETSA leverages Keystone's connections with leading industry and academic experts to solve complex legal and regulatory issues and win high\-stakes legal cases. Through our Centres of Excellence in Keystone Economics and Keystone Advanced Technology Services, we unite economists, technologists and management scientists to solve the hardest problems facing our clients.
**How We Operate**
 Our tech\-native, internal consultants bring unique insights and experience to evaluate and solve client issues. Our economic, industry, and tech experts carry out in\-depth analysis, build robust data and technology solutions, and produce economic and technology reports that win cases.
**Who We Serve**
 Our ETSA group helps major law firms, Fortune Global 500 companies, leading technology companies, and government agencies.
**Our practice areas**
* Antitrust \&amp; Competition
* Financial Economics, Tax, and Securities (FETS)
* Intellectual Property (IP)
* Information Strategy, Risk and Regulation (ISRR)
* Healthcare and Life Sciences
* Technical Investigations
* Behavioral Insights
* Strategy Consulting
 As a Data Engineer, you will design, build, and optimize data systems that power high\-impact analytical and forensic engagements. You will bridge technical innovation and strategic insight, helping client teams unlock value through scalable, defensible, and data\-driven solutions.
**Role Expectations**
* Partnering with consultants and investigators to architect secure, high\-performance data infrastructure across cloud environments
* Developing reproducible data ingestion pipelines and analytical workflows that transform raw data into strategic insights for clients in regulated sectors
* Building custom software and APIs to automate data discovery, integrate large language models (LLMs), and support digital investigations
* Leveraging modern ETL/ELT pipelines, SQL, and big data technologies to enable efficient processing from diverse data sources
* Implementing tools and libraries that enhance scalability, auditability, and delivery efficiency for technical investigations
* Supporting AI/ML\-driven analysis, including model fine\-tuning, evaluation, and deployment (for example vector databases, retrieval\-augmented generation systems)
* Advising on data governance, cybersecurity, and compliance standards relevant to the MENA region
* Collaborating closely with cross\-functional teams across data science, forensic analysis, and regulatory strategy to deliver innovative client outcomes
**Qualifications**
* Comfort working with high volumes of unstructured data from a variety of sources, including structured (CSV) and semi\-structured formats (e.g., JSON)
* Proven experience in data engineering, data science, or ETL/ELT workflows involving large and complex datasets
* Proficiency with one or more major cloud platforms (AWS, GCP, or Azure) and related data services (for example Lambda, Bedrock, Vertex AI)
* Advanced working knowledge of Python, R, and SQL for data manipulation and analysis
* Hands\-on experience with machine learning libraries and frameworks such as PyTorch, TensorFlow, scikit\-learn, Hugging Face, and OpenAI API
* Familiarity with data orchestration tools such as Airflow, dbt, Prefect, or Luigi, and big data platforms such as Snowflake, Spark, or BigQuery
* Understanding of software development lifecycle principles, version control (Git), and CI/CD pipelines
* Exposure to AI/ML/NLP concepts and implementation in production systems
* Experience or interest in digital investigations, compliance analytics, or forensic data work is an advantage
* Bachelor’s degree in Computer Science, Data Engineering, or a related field (Master’s preferred)
* Ability to work across cultures and time zones in a dynamic consulting environment
* Passion for learning, innovation, and solving complex problems in a fast\-evolving region
**Why Keystone**
 Join a fast\-growing, tech\-enabled consulting firm that partners with the world’s leading companies on their most critical challenges and biggest opportunities.
* Work on frontier matters shaping the future of AI, data, and digital regulation
* Collaborate with leading academics and experts from institutions such as Harvard, Stanford, MIT, and Wharton
* Apply a unique blend of management science and computer science to real\-world challenges across technology, litigation, policy, and strategy
* Thrive in a culture defined by collaboration, curiosity, and excellence \- where your ideas have direct, tangible impact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In addition to annual salary, we provide annual 401k contributions and competitive benefits package. Actual Compensation within the range will depend upon the level the individual is hired into based on their skills, experience, and qualifications.
 Annual Salary Range
 $135,000—$186,000 USD</t>
        </is>
      </c>
    </row>
    <row r="13">
      <c r="A13" t="inlineStr">
        <is>
          <t>li-4331954783</t>
        </is>
      </c>
      <c r="B13" t="inlineStr">
        <is>
          <t>Data Engineer</t>
        </is>
      </c>
      <c r="C13" t="inlineStr">
        <is>
          <t>AARATECH</t>
        </is>
      </c>
      <c r="D13" t="inlineStr">
        <is>
          <t>linkedin</t>
        </is>
      </c>
      <c r="E13" t="inlineStr"/>
      <c r="F13" t="inlineStr"/>
      <c r="G13" t="inlineStr"/>
      <c r="H13" t="inlineStr"/>
      <c r="I13"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14">
      <c r="A14" t="inlineStr">
        <is>
          <t>li-4344950374</t>
        </is>
      </c>
      <c r="B14" t="inlineStr">
        <is>
          <t>Senior Data Engineer</t>
        </is>
      </c>
      <c r="C14" t="inlineStr">
        <is>
          <t>DexCare</t>
        </is>
      </c>
      <c r="D14" t="inlineStr">
        <is>
          <t>linkedin</t>
        </is>
      </c>
      <c r="E14" t="inlineStr"/>
      <c r="F14" t="inlineStr"/>
      <c r="G14" t="inlineStr"/>
      <c r="H14" t="inlineStr"/>
      <c r="I14" t="inlineStr">
        <is>
          <t>**Who is DexCare?
 DexCare optimizes time in healthcare, streamlining patient access, reducing waits, and enhancing overall experiences. Guided by our mission – Nobody waits for care – DexCare addresses tech gaps by aligning supply and demand to modernize healthcare infrastructures for an inclusive ecosystem. We are equally committed to our DEIB mission: Creating an inclusive workplace where diversity drives innovation, equity ensures fairness, and belonging strengthens collaboration, enabling everyone to thrive. 
**What is DexCare?
 DexCare, a digital care orchestration platform, streamlines care delivery logistics. It empowers healthcare systems to predict constraints and precisely schedule services, optimizecapacity, and cuts operational costs. Currently serving 57 million patients, including Kaiser Permanente and Providence, DexCare ushers in a new era of digital\-care access, ensuring health systems can efficiently track and deliver every hour of capacity for consumer ease.
 For more information, visit
 www.dexcare.com
 or follow us on
 LinkedIn
 . 
**About the Role
 DexCare is looking for a Senior Data Engineer to join the team! The Senior Data Engineer will report directly to VP of Data Science and be responsible for development of DexCare’s data services that support data dashboards and intelligent services. 
**What You’ll Do:** 
* Design, develop, and implement end\-to\-end data pipelines to support data collection, processing, and transformation from various sources into usable formats
* Lead the architecture and development of data solutions that are scalable, efficient, and maintainable, ensuring high\-quality code, documentation, and adherence to best practices
* Optimize data pipelines for performance, reliability, and scalability, and troubleshoot issues as they arise in collaboration with the operations team
* Collaborate with data scientists and analysts to understand their data requirements, provide clean and accessible data, and assist in building data models and algorithms
* Work closely with cross\-functional teams to gather and refine data requirements, ensuring data integrity and accuracy throughout the entire data lifecycle
* Stay up to date with the latest technologies, trends, and best practices in data engineering and analytics, and recommend relevant tools and technologies to enhance the company's data capabilities
* Mentor and provide technical guidance to junior members of the data engineering team, fostering skill development and growth
* Participate in code reviews, design discussions, and contribute to improving the overall data engineering processes and practices within the organization
* Participate in on\-call rotation
* Design, develop, and implement end\-to\-end data pipelines to support data collection, processing, and transformation from various sources into usable formats
* Lead the architecture and development of data solutions that are scalable, efficient, and maintainable, ensuring high\-quality code, documentation, and adherence to best practices
* Optimize data pipelines for performance, reliability, and scalability, and troubleshoot issues as they arise in collaboration with the operations team
* Collaborate with data scientists and analysts to understand their data requirements, provide clean and accessible data, and assist in building data models and algorithms
* ·Work closely with cross\-functional teams to gather and refine data requirements, ensuring data integrity and accuracy throughout the entire data lifecycle
* Stay up to date with the latest technologies, trends, and best practices in data engineering and analytics, and recommend relevant tools and technologies to enhance the company's data capabilities
* Mentor and provide technical guidance to junior members of the data engineering team, fostering skill development and growth
* Participate in code reviews, design discussions, and contribute to improving the overall data engineering processes and practices within the organization
* Participate in on\-call rotation
**What You'll Bring:** 
* Bachelor's or Master's degree in Computer Science, Engineering, or a related field.
* Proven experience (6\-7\+ years) working as a Data Engineer, with a focus on designing and implementing data pipelines, ETL processes, and data warehousing solutions.
* Strong programming skills in languages like Python, Java, Scala, or similar, with experience in using data engineering frameworks and libraries.
* Expertise in working with relational databases (e.g., PostgreSQL, MySQL) and NoSQL databases (e.g., MongoDB, Cassandra).
* Hands\-on experience with distributed data processing frameworks such as Apache Spark, Hadoop, or similar technologies.
* Proficiency in data modeling, data architecture, and schema design for efficient storage and retrieval.
* Experience with cloud platforms like AWS, Azure, or GCP, and familiarity with services like AWS Glue, Azure Data Factory, DBT, or Google Dataflow.
* Solid understanding of data security, privacy, and compliance considerations in data engineering.
* Excellent problem\-solving skills and the ability to troubleshoot complex data\-related issues.
* Strong communication skills and the ability to collaborate effectively with cross\-functional teams.
* Prior experience mentoring junior team members and leading technical initiatives is a plus.
**DexCare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DexCare does not exclude people or treat them differently because of race, color, national origin, age, disability, or sex. DexCare provides reasonable accommodation to all applicants who require such accommodation to apply for the position or to perform the essential functions of the job.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DexCare offers an outstanding benefits package, including:  
 \- Eligible for Annual Bonus 
 \- Healthcare benefits, short/long\-term disability coverage, life insurance, and 401k  
 \- Paid Parental Leave  
 \- Nine paid holidays \&amp; Unlimited PTO   
 \- Remote working arrangements  
 Please note the national salary range listed in the job posting reflects the new hire salary range across levels and U.S. locations that would be applicable to the position. The final salary will be commensurate with the candidate’s final level and final location. Also, this range represents base salary only and does not include bonus, equity, or benefits if applicable.********</t>
        </is>
      </c>
    </row>
    <row r="15">
      <c r="A15" t="inlineStr">
        <is>
          <t>li-4359625472</t>
        </is>
      </c>
      <c r="B15" t="inlineStr">
        <is>
          <t>Analytics Engineer</t>
        </is>
      </c>
      <c r="C15" t="inlineStr">
        <is>
          <t>James Search Group</t>
        </is>
      </c>
      <c r="D15" t="inlineStr">
        <is>
          <t>linkedin</t>
        </is>
      </c>
      <c r="E15" t="inlineStr"/>
      <c r="F15" t="inlineStr"/>
      <c r="G15" t="inlineStr"/>
      <c r="H15" t="inlineStr"/>
      <c r="I15" t="inlineStr">
        <is>
          <t>Analytics Engineer I / II (Remote\-First)
**James Search Group** 
 is partnering with a high\-growth, data\-driven
 **Property \&amp; Casualty Insurance carrier** 
 to hire an
 **Analytics Engineer I / II** 
 to support their expanding analytics enablement function.
 This role is
 **remote\-first** 
 , with the option to work hybrid or on\-site from any of
 **12 U.S. office locations** 
 .
**Compensation:** 
**$100,000–$120,000 base** 
 \+ bonus \+ 401(k) match \+ health benefits \+ additional perks
 About the Role
 As an Analytics Engineer I / II, you’ll play a hands\-on role in building, modeling, and maintaining high\-quality analytics\-ready data assets. Working closely with senior analytics engineers and analysts, you’ll help transform curated data into reliable models that power reporting, dashboards, and decision\-making across the business.
 This role is ideal for someone early in their analytics engineering career who has strong SQL fundamentals, growing dbt experience, and a desire to learn best practices for building scalable, production\-grade data models in a modern cloud environment.
 What You’ll Do
* Build and maintain analytics\-ready data models using
 **dbt**
* Develop well\-documented, reusable datasets to support reporting and insights
* Partner with analytics engineering and data teams to align with existing data layers
* Write clean, efficient SQL to transform and validate data
* Implement dbt tests to ensure data accuracy and reliability
* Support business teams including
 **Underwriting, Claims, Finance, and Product**
* Contribute to version\-controlled analytics workflows using Git
 What We’re Looking For
* **1–4 years** 
 of experience in data analytics or analytics engineering
* Strong SQL skills and hands\-on experience with
 **dbt**
* Exposure to
 **Databricks** 
 or similar cloud data platforms
* Familiarity with modern data modeling concepts and analytics workflows
* Experience working in collaborative, Git\-based environments
* Curiosity, attention to detail, and eagerness to learn and grow
 Nice to Have
* Experience supporting insurance or financial services analytics
* Familiarity with medallion architecture concepts
* Exposure to BI or analytics tools (e.g., dashboards, notebooks)
* Interest in improving data quality, documentation, and usability
 Interested in Applying? If you’re looking to grow your analytics engineering skills while contributing to meaningful, business\-critical data products, we’d love to connect.
**Apply directly or reach out to the James Search Group team** 
 to learn more about this opportunity.</t>
        </is>
      </c>
    </row>
    <row r="16">
      <c r="A16" t="inlineStr">
        <is>
          <t>li-4352361638</t>
        </is>
      </c>
      <c r="B16" t="inlineStr">
        <is>
          <t>Data Engineer</t>
        </is>
      </c>
      <c r="C16" t="inlineStr">
        <is>
          <t>CoSourcing Partners - Enterprise-AI and IT Services Company</t>
        </is>
      </c>
      <c r="D16" t="inlineStr">
        <is>
          <t>linkedin</t>
        </is>
      </c>
      <c r="E16" t="inlineStr"/>
      <c r="F16" t="inlineStr"/>
      <c r="G16" t="inlineStr"/>
      <c r="H16" t="inlineStr"/>
      <c r="I16" t="inlineStr">
        <is>
          <t>**Cloud Data Engineer of AI \&amp; Analytics** 
**Location:** 
 Remote \|
 **Type:** 
 Full\-Time / Contract
**Do you love turning raw data into smart systems that fuel decisions? This role is your next step.** 
 Why This Role is a Career Move — Not Just a Technical Job
 We're building more than pipelines we're building the future of decision\-making.
 As a Cloud Data Engineer, you'll play a key role in connecting cloud\-scale data flows to real\-world business outcomes. This isn't just a job writing ETL it's a career\-making opportunity to lead engineering that powers AI, analytics, and digital transformation.
 You'll architect solutions across platforms like Snowflake, Azure, Databricks, and AWS, working on complex, high\-impact data products that matter.
**What You’ll Grow Into** 
 This role is a launchpad for technical leadership.
 You’ll sharpen your skills in CI/CD, DataOps, and test automation, while working alongside architects, analysts, and data scientists on strategic programs. You’ll be encouraged to own your pipelines, improve performance, and introduce automation, AI, or ML\-based enhancements.
 Whether you’re aiming for a future in cloud architecture, ML engineering, or platform leadership this is how you get there.
**What Makes This Role Different** 
* You won’t just move data — you’ll design cloud\-native systems that scale.
* You’ll use modern and legacy tools (Fivetran, DBT, Informatica, PySpark, Qlik Replicate) to solve real integration challenges.
* You’ll have direct impact on analytics, forecasting, and AI readiness not just infrastructure.
* You’ll be part of a cross\-functional team that values engineering excellence and business impact equally.
**You’ll Be a Great Fit If You...** 
* Have 3\+ years of hands\-on experience in cloud data engineering
* Can work in Azure, AWS, GCP, Snowflake, or Databricks (one or more)
* Know your way around Python, PySpark, or Scala
* Have worked with ETL or data integration tools like Fivetran, Talend, Informatica, or DBT
* Enjoy building CI/CD pipelines and automating delivery workflows
* Want to solve real data problems not build yet another pipeline that no one uses
**Bonus: Be Part of the Automation \&amp; AI Movement** 
 You’ll also be tasked with exploring how AI and automation can improve your own workflows from anomaly detection to AI\-enhanced quality checks. You won’t just support AI… you’ll engineer the systems that make it possible.
**Ready to stop wrangling broken data jobs and start building smart, scalable systems?** 
 Let’s talk. Apply now or connect with our team to explore if this role is right for your next big move.
*CoSourcing Partners is an equal opportunity employer committed to fostering an inclusive and diverse workplace. We do not discriminate based on race, color, religion, sex, sexual orientation, gender identity, national origin, age, disability, veteran status, genetic information, or any other protected status under applicable federal, state, or local laws.* 
*We believe in creating a work environment where all employees feel valued, respected, and empowered to contribute to our success. Accommodations are available upon request for applicants with disabilities throughout the hiring process.* 
*Join us and be part of a team that values diversity, equity, and inclusion.*</t>
        </is>
      </c>
    </row>
    <row r="17">
      <c r="A17" t="inlineStr">
        <is>
          <t>li-4331594571</t>
        </is>
      </c>
      <c r="B17" t="inlineStr">
        <is>
          <t>Data Engineer</t>
        </is>
      </c>
      <c r="C17" t="inlineStr">
        <is>
          <t>Keystone AI</t>
        </is>
      </c>
      <c r="D17" t="inlineStr">
        <is>
          <t>linkedin</t>
        </is>
      </c>
      <c r="E17" t="inlineStr"/>
      <c r="F17" t="inlineStr"/>
      <c r="G17" t="inlineStr">
        <is>
          <t>San Francisco, CA</t>
        </is>
      </c>
      <c r="H17" t="inlineStr"/>
      <c r="I17" t="inlineStr">
        <is>
          <t>For more than two decades, Keystone has been a premier, tech\-forward strategy and economics consulting firm, helping leading technology companies, global brands, and top law firms solve their most complex challenges in competition, strategy, and regulation.
 Our founders believed that modern consulting should integrate economics, strategy, and technology to drive true digital transformation and business model innovation. That’s what we call our “Triad of Skills." Keystone brings this interdisciplinary approach to the forefront of influential technology cases, changing consumer behavior and regulation laws and impacting society on a global scale, by leveraging the intersection of economics, technology, and business strategy to deliver transformative ideas.
 As we rapidly expand globally, we are redefining what a consulting firm can be.
**Economic, Technology, and Strategy Advisory (ETSA)**
 Keystone’s practices sit within our Economic, Technology, and Strategy Advisory (ETSA) group, which provides expert guidance across high\-stakes business, legal, and technology challenges.
**What We Do**
 ETSA leverages Keystone's connections with leading industry and academic experts to solve complex legal and regulatory issues and win high\-stakes legal cases. Through our Centres of Excellence in Keystone Economics and Keystone Advanced Technology Services, we unite economists, technologists and management scientists to solve the hardest problems facing our clients.
**How We Operate**
 Our tech\-native, internal consultants bring unique insights and experience to evaluate and solve client issues. Our economic, industry, and tech experts carry out in\-depth analysis, build robust data and technology solutions, and produce economic and technology reports that win cases.
**Who We Serve**
 Our ETSA group helps major law firms, Fortune Global 500 companies, leading technology companies, and government agencies.
**Our practice areas**
* Antitrust \&amp; Competition
* Financial Economics, Tax, and Securities (FETS)
* Intellectual Property (IP)
* Information Strategy, Risk and Regulation (ISRR)
* Healthcare and Life Sciences
* Technical Investigations
* Behavioral Insights
* Strategy Consulting
 As a Data Engineer, you will design, build, and optimize data systems that power high\-impact analytical and forensic engagements. You will bridge technical innovation and strategic insight, helping client teams unlock value through scalable, defensible, and data\-driven solutions.
**Role Expectations**
* Partnering with consultants and investigators to architect secure, high\-performance data infrastructure across cloud environments
* Developing reproducible data ingestion pipelines and analytical workflows that transform raw data into strategic insights for clients in regulated sectors
* Building custom software and APIs to automate data discovery, integrate large language models (LLMs), and support digital investigations
* Leveraging modern ETL/ELT pipelines, SQL, and big data technologies to enable efficient processing from diverse data sources
* Implementing tools and libraries that enhance scalability, auditability, and delivery efficiency for technical investigations
* Supporting AI/ML\-driven analysis, including model fine\-tuning, evaluation, and deployment (for example vector databases, retrieval\-augmented generation systems)
* Advising on data governance, cybersecurity, and compliance standards relevant to the MENA region
* Collaborating closely with cross\-functional teams across data science, forensic analysis, and regulatory strategy to deliver innovative client outcomes
**Qualifications**
* Comfort working with high volumes of unstructured data from a variety of sources, including structured (CSV) and semi\-structured formats (e.g., JSON)
* Proven experience in data engineering, data science, or ETL/ELT workflows involving large and complex datasets
* Proficiency with one or more major cloud platforms (AWS, GCP, or Azure) and related data services (for example Lambda, Bedrock, Vertex AI)
* Advanced working knowledge of Python, R, and SQL for data manipulation and analysis
* Hands\-on experience with machine learning libraries and frameworks such as PyTorch, TensorFlow, scikit\-learn, Hugging Face, and OpenAI API
* Familiarity with data orchestration tools such as Airflow, dbt, Prefect, or Luigi, and big data platforms such as Snowflake, Spark, or BigQuery
* Understanding of software development lifecycle principles, version control (Git), and CI/CD pipelines
* Exposure to AI/ML/NLP concepts and implementation in production systems
* Experience or interest in digital investigations, compliance analytics, or forensic data work is an advantage
* Bachelor’s degree in Computer Science, Data Engineering, or a related field (Master’s preferred)
* Ability to work across cultures and time zones in a dynamic consulting environment
* Passion for learning, innovation, and solving complex problems in a fast\-evolving region
**Why Keystone**
 Join a fast\-growing, tech\-enabled consulting firm that partners with the world’s leading companies on their most critical challenges and biggest opportunities.
* Work on frontier matters shaping the future of AI, data, and digital regulation
* Collaborate with leading academics and experts from institutions such as Harvard, Stanford, MIT, and Wharton
* Apply a unique blend of management science and computer science to real\-world challenges across technology, litigation, policy, and strategy
* Thrive in a culture defined by collaboration, curiosity, and excellence \- where your ideas have direct, tangible impact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In addition to annual salary, we provide annual 401k contributions and competitive benefits package. Actual Compensation within the range will depend upon the level the individual is hired into based on their skills, experience, and qualifications.
 Annual Salary Range
 $135,000—$186,000 USD</t>
        </is>
      </c>
    </row>
    <row r="18">
      <c r="A18" t="inlineStr">
        <is>
          <t>li-4331584511</t>
        </is>
      </c>
      <c r="B18" t="inlineStr">
        <is>
          <t>Data Engineer</t>
        </is>
      </c>
      <c r="C18" t="inlineStr">
        <is>
          <t>Keystone AI</t>
        </is>
      </c>
      <c r="D18" t="inlineStr">
        <is>
          <t>linkedin</t>
        </is>
      </c>
      <c r="E18" t="inlineStr"/>
      <c r="F18" t="inlineStr"/>
      <c r="G18" t="inlineStr">
        <is>
          <t>Boston, MA</t>
        </is>
      </c>
      <c r="H18" t="inlineStr"/>
      <c r="I18" t="inlineStr">
        <is>
          <t>For more than two decades, Keystone has been a premier, tech\-forward strategy and economics consulting firm, helping leading technology companies, global brands, and top law firms solve their most complex challenges in competition, strategy, and regulation.
 Our founders believed that modern consulting should integrate economics, strategy, and technology to drive true digital transformation and business model innovation. That’s what we call our “Triad of Skills." Keystone brings this interdisciplinary approach to the forefront of influential technology cases, changing consumer behavior and regulation laws and impacting society on a global scale, by leveraging the intersection of economics, technology, and business strategy to deliver transformative ideas.
 As we rapidly expand globally, we are redefining what a consulting firm can be.
**Economic, Technology, and Strategy Advisory (ETSA)**
 Keystone’s practices sit within our Economic, Technology, and Strategy Advisory (ETSA) group, which provides expert guidance across high\-stakes business, legal, and technology challenges.
**What We Do**
 ETSA leverages Keystone's connections with leading industry and academic experts to solve complex legal and regulatory issues and win high\-stakes legal cases. Through our Centres of Excellence in Keystone Economics and Keystone Advanced Technology Services, we unite economists, technologists and management scientists to solve the hardest problems facing our clients.
**How We Operate**
 Our tech\-native, internal consultants bring unique insights and experience to evaluate and solve client issues. Our economic, industry, and tech experts carry out in\-depth analysis, build robust data and technology solutions, and produce economic and technology reports that win cases.
**Who We Serve**
 Our ETSA group helps major law firms, Fortune Global 500 companies, leading technology companies, and government agencies.
**Our practice areas**
* Antitrust \&amp; Competition
* Financial Economics, Tax, and Securities (FETS)
* Intellectual Property (IP)
* Information Strategy, Risk and Regulation (ISRR)
* Healthcare and Life Sciences
* Technical Investigations
* Behavioral Insights
* Strategy Consulting
 As a Data Engineer, you will design, build, and optimize data systems that power high\-impact analytical and forensic engagements. You will bridge technical innovation and strategic insight, helping client teams unlock value through scalable, defensible, and data\-driven solutions.
**Role Expectations**
* Partnering with consultants and investigators to architect secure, high\-performance data infrastructure across cloud environments
* Developing reproducible data ingestion pipelines and analytical workflows that transform raw data into strategic insights for clients in regulated sectors
* Building custom software and APIs to automate data discovery, integrate large language models (LLMs), and support digital investigations
* Leveraging modern ETL/ELT pipelines, SQL, and big data technologies to enable efficient processing from diverse data sources
* Implementing tools and libraries that enhance scalability, auditability, and delivery efficiency for technical investigations
* Supporting AI/ML\-driven analysis, including model fine\-tuning, evaluation, and deployment (for example vector databases, retrieval\-augmented generation systems)
* Advising on data governance, cybersecurity, and compliance standards relevant to the MENA region
* Collaborating closely with cross\-functional teams across data science, forensic analysis, and regulatory strategy to deliver innovative client outcomes
**Qualifications**
* Comfort working with high volumes of unstructured data from a variety of sources, including structured (CSV) and semi\-structured formats (e.g., JSON)
* Proven experience in data engineering, data science, or ETL/ELT workflows involving large and complex datasets
* Proficiency with one or more major cloud platforms (AWS, GCP, or Azure) and related data services (for example Lambda, Bedrock, Vertex AI)
* Advanced working knowledge of Python, R, and SQL for data manipulation and analysis
* Hands\-on experience with machine learning libraries and frameworks such as PyTorch, TensorFlow, scikit\-learn, Hugging Face, and OpenAI API
* Familiarity with data orchestration tools such as Airflow, dbt, Prefect, or Luigi, and big data platforms such as Snowflake, Spark, or BigQuery
* Understanding of software development lifecycle principles, version control (Git), and CI/CD pipelines
* Exposure to AI/ML/NLP concepts and implementation in production systems
* Experience or interest in digital investigations, compliance analytics, or forensic data work is an advantage
* Bachelor’s degree in Computer Science, Data Engineering, or a related field (Master’s preferred)
* Ability to work across cultures and time zones in a dynamic consulting environment
* Passion for learning, innovation, and solving complex problems in a fast\-evolving region
**Why Keystone**
 Join a fast\-growing, tech\-enabled consulting firm that partners with the world’s leading companies on their most critical challenges and biggest opportunities.
* Work on frontier matters shaping the future of AI, data, and digital regulation
* Collaborate with leading academics and experts from institutions such as Harvard, Stanford, MIT, and Wharton
* Apply a unique blend of management science and computer science to real\-world challenges across technology, litigation, policy, and strategy
* Thrive in a culture defined by collaboration, curiosity, and excellence \- where your ideas have direct, tangible impact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In addition to annual salary, we provide annual 401k contributions and competitive benefits package. Actual Compensation within the range will depend upon the level the individual is hired into based on their skills, experience, and qualifications.
 Annual Salary Range
 $135,000—$186,000 USD</t>
        </is>
      </c>
    </row>
    <row r="19">
      <c r="A19" t="inlineStr">
        <is>
          <t>li-4331544650</t>
        </is>
      </c>
      <c r="B19" t="inlineStr">
        <is>
          <t>Data Engineer</t>
        </is>
      </c>
      <c r="C19" t="inlineStr">
        <is>
          <t>Keystone AI</t>
        </is>
      </c>
      <c r="D19" t="inlineStr">
        <is>
          <t>linkedin</t>
        </is>
      </c>
      <c r="E19" t="inlineStr"/>
      <c r="F19" t="inlineStr"/>
      <c r="G19" t="inlineStr">
        <is>
          <t>Washington, DC</t>
        </is>
      </c>
      <c r="H19" t="inlineStr"/>
      <c r="I19" t="inlineStr">
        <is>
          <t>For more than two decades, Keystone has been a premier, tech\-forward strategy and economics consulting firm, helping leading technology companies, global brands, and top law firms solve their most complex challenges in competition, strategy, and regulation.
 Our founders believed that modern consulting should integrate economics, strategy, and technology to drive true digital transformation and business model innovation. That’s what we call our “Triad of Skills." Keystone brings this interdisciplinary approach to the forefront of influential technology cases, changing consumer behavior and regulation laws and impacting society on a global scale, by leveraging the intersection of economics, technology, and business strategy to deliver transformative ideas.
 As we rapidly expand globally, we are redefining what a consulting firm can be.
**Economic, Technology, and Strategy Advisory (ETSA)**
 Keystone’s practices sit within our Economic, Technology, and Strategy Advisory (ETSA) group, which provides expert guidance across high\-stakes business, legal, and technology challenges.
**What We Do**
 ETSA leverages Keystone's connections with leading industry and academic experts to solve complex legal and regulatory issues and win high\-stakes legal cases. Through our Centres of Excellence in Keystone Economics and Keystone Advanced Technology Services, we unite economists, technologists and management scientists to solve the hardest problems facing our clients.
**How We Operate**
 Our tech\-native, internal consultants bring unique insights and experience to evaluate and solve client issues. Our economic, industry, and tech experts carry out in\-depth analysis, build robust data and technology solutions, and produce economic and technology reports that win cases.
**Who We Serve**
 Our ETSA group helps major law firms, Fortune Global 500 companies, leading technology companies, and government agencies.
**Our practice areas**
* Antitrust \&amp; Competition
* Financial Economics, Tax, and Securities (FETS)
* Intellectual Property (IP)
* Information Strategy, Risk and Regulation (ISRR)
* Healthcare and Life Sciences
* Technical Investigations
* Behavioral Insights
* Strategy Consulting
 As a Data Engineer, you will design, build, and optimize data systems that power high\-impact analytical and forensic engagements. You will bridge technical innovation and strategic insight, helping client teams unlock value through scalable, defensible, and data\-driven solutions.
**Role Expectations**
* Partnering with consultants and investigators to architect secure, high\-performance data infrastructure across cloud environments
* Developing reproducible data ingestion pipelines and analytical workflows that transform raw data into strategic insights for clients in regulated sectors
* Building custom software and APIs to automate data discovery, integrate large language models (LLMs), and support digital investigations
* Leveraging modern ETL/ELT pipelines, SQL, and big data technologies to enable efficient processing from diverse data sources
* Implementing tools and libraries that enhance scalability, auditability, and delivery efficiency for technical investigations
* Supporting AI/ML\-driven analysis, including model fine\-tuning, evaluation, and deployment (for example vector databases, retrieval\-augmented generation systems)
* Advising on data governance, cybersecurity, and compliance standards relevant to the MENA region
* Collaborating closely with cross\-functional teams across data science, forensic analysis, and regulatory strategy to deliver innovative client outcomes
**Qualifications**
* Comfort working with high volumes of unstructured data from a variety of sources, including structured (CSV) and semi\-structured formats (e.g., JSON)
* Proven experience in data engineering, data science, or ETL/ELT workflows involving large and complex datasets
* Proficiency with one or more major cloud platforms (AWS, GCP, or Azure) and related data services (for example Lambda, Bedrock, Vertex AI)
* Advanced working knowledge of Python, R, and SQL for data manipulation and analysis
* Hands\-on experience with machine learning libraries and frameworks such as PyTorch, TensorFlow, scikit\-learn, Hugging Face, and OpenAI API
* Familiarity with data orchestration tools such as Airflow, dbt, Prefect, or Luigi, and big data platforms such as Snowflake, Spark, or BigQuery
* Understanding of software development lifecycle principles, version control (Git), and CI/CD pipelines
* Exposure to AI/ML/NLP concepts and implementation in production systems
* Experience or interest in digital investigations, compliance analytics, or forensic data work is an advantage
* Bachelor’s degree in Computer Science, Data Engineering, or a related field (Master’s preferred)
* Ability to work across cultures and time zones in a dynamic consulting environment
* Passion for learning, innovation, and solving complex problems in a fast\-evolving region
**Why Keystone**
 Join a fast\-growing, tech\-enabled consulting firm that partners with the world’s leading companies on their most critical challenges and biggest opportunities.
* Work on frontier matters shaping the future of AI, data, and digital regulation
* Collaborate with leading academics and experts from institutions such as Harvard, Stanford, MIT, and Wharton
* Apply a unique blend of management science and computer science to real\-world challenges across technology, litigation, policy, and strategy
* Thrive in a culture defined by collaboration, curiosity, and excellence \- where your ideas have direct, tangible impact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In addition to annual salary, we provide annual 401k contributions and competitive benefits package. Actual Compensation within the range will depend upon the level the individual is hired into based on their skills, experience, and qualifications.
 Annual Salary Range
 $135,000—$186,000 USD</t>
        </is>
      </c>
    </row>
    <row r="20">
      <c r="A20" t="inlineStr">
        <is>
          <t>li-4331974662</t>
        </is>
      </c>
      <c r="B20" t="inlineStr">
        <is>
          <t>Data Engineer</t>
        </is>
      </c>
      <c r="C20" t="inlineStr">
        <is>
          <t>AARATECH</t>
        </is>
      </c>
      <c r="D20" t="inlineStr">
        <is>
          <t>linkedin</t>
        </is>
      </c>
      <c r="E20" t="inlineStr"/>
      <c r="F20" t="inlineStr"/>
      <c r="G20" t="inlineStr"/>
      <c r="H20" t="inlineStr"/>
      <c r="I20"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21">
      <c r="A21" t="inlineStr">
        <is>
          <t>li-4331904751</t>
        </is>
      </c>
      <c r="B21" t="inlineStr">
        <is>
          <t>Data Engineer</t>
        </is>
      </c>
      <c r="C21" t="inlineStr">
        <is>
          <t>AARATECH</t>
        </is>
      </c>
      <c r="D21" t="inlineStr">
        <is>
          <t>linkedin</t>
        </is>
      </c>
      <c r="E21" t="inlineStr"/>
      <c r="F21" t="inlineStr"/>
      <c r="G21" t="inlineStr"/>
      <c r="H21" t="inlineStr"/>
      <c r="I21"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22">
      <c r="A22" t="inlineStr">
        <is>
          <t>li-4292465798</t>
        </is>
      </c>
      <c r="B22" t="inlineStr">
        <is>
          <t>Staff Analytics Engineer, Data, Autonomy</t>
        </is>
      </c>
      <c r="C22" t="inlineStr">
        <is>
          <t>Rivian</t>
        </is>
      </c>
      <c r="D22" t="inlineStr">
        <is>
          <t>linkedin</t>
        </is>
      </c>
      <c r="E22" t="inlineStr"/>
      <c r="F22" t="inlineStr"/>
      <c r="G22" t="inlineStr">
        <is>
          <t>Palo Alto, CA</t>
        </is>
      </c>
      <c r="H22" t="inlineStr"/>
      <c r="I22"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The Autonomy organization at Rivian is seeking a highly skilled and hands\-on Staff Analytics Engineer to lead the architecture and development of analytical dashboards supporting ADAS (Advanced Driver Assistance Systems) analytics. This role combines Streamlit application engineering with strong data infrastructure, ETL, and SQL expertise to deliver high\-performance, scalable analytical tools.
 You’ll own the end\-to\-end lifecycle of Streamlit\-based analytical apps, from data ingestion to interactive visualization. You’ll design reusable components and frameworks across apps, optimize query and caching performance, and ensure the dashboards operate on accurate and timely data.
 You’ll work closely with engineering and product teams to define metrics, integrate telemetry and system data, and enable advanced visualizations that support ADAS feature development and validation.
**Responsibilities**
* Lead development of Streamlit dashboards from concept to deployment — owning design, performance, and maintainability.
* Architect reusable Streamlit components and frameworks to scale dashboard development across apps.
* Implement clean, modular Python code and leverage libraries such as pandas, Plotly, and Pydeck for advanced data visualization.
* Design and maintain ETL pipelines and SQL data models to ensure dashboards run on accurate and timely data.
* Collaborate with engineering and product teams to translate metrics, KPIs, and product insights into production\-grade dashboards.
* Optimize data retrieval logic, caching, and query execution to keep dashboards fast and reliable.
* Establish best practices for testing and quality assurance of analytical applications.
* Partner with infrastructure teams to ensure scalability, security, and access control of data apps.
* Mentor engineers on building high\-quality analytical applications with Streamlit and modern data tools.
**Qualifications**
* 8\+ years of experience in data engineering, analytics engineering, or software development.
* Proven expertise in Streamlit, including building multi\-page apps, integrating APIs, and deploying to production environments.
* Strong Python skills — experienced with pandas, numpy, plotly, and general data manipulation.
* Deep proficiency in SQL, with experience designing and optimizing analytical queries.
* Solid understanding of ETL frameworks (e.g., Airflow, dbt, Spark, Databricks) and data modeling best practices.
* Familiarity with AWS and data warehouses such as Snowflake or Databricks.
* Experience applying software engineering best practices — code quality, testing, and maintainability.
* Excellent communication and collaboration skills, with an ability to translate analytical needs into technical solutions.
**Pay Disclosure**
 Salary Range for California Based Applicants: $206,500\.00 \- $258,100\.00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23">
      <c r="A23" t="inlineStr">
        <is>
          <t>li-4359656313</t>
        </is>
      </c>
      <c r="B23" t="inlineStr">
        <is>
          <t>Analytics Engineer</t>
        </is>
      </c>
      <c r="C23" t="inlineStr">
        <is>
          <t>Clear Point Consultants</t>
        </is>
      </c>
      <c r="D23" t="inlineStr">
        <is>
          <t>linkedin</t>
        </is>
      </c>
      <c r="E23" t="inlineStr"/>
      <c r="F23" t="inlineStr"/>
      <c r="G23" t="inlineStr">
        <is>
          <t>Boston, MA</t>
        </is>
      </c>
      <c r="H23" t="inlineStr"/>
      <c r="I23" t="inlineStr">
        <is>
          <t>We’re looking for an Analytics Engineer to own our analytics foundation and make sure the business can trust its data. When someone asks a question, your work ensures the answer is clear, consistent, and fast.
 You’ll be responsible for the transformation layer (dbt), turning raw, messy data into clean, well\-defined business metrics. Your work will power dashboards, self\-serve analytics, and executive reporting across the company. You’ll work closely with Data Engineering, Product, Marketing, Finance, and leadership, but your main focus will be data modeling, quality, and business logic.
 This is a chance to take real ownership of a modern analytics stack at a growing startup where data quality actually matters.
 What you’ll do
* **Fix the foundation:** 
 Audit and clean up existing dbt models to eliminate breakages and rebuild trust in our core dashboards.
* **Own dbt:** 
 Design, test, document, and maintain models that turn raw data into analytics\-ready tables people actually understand.
* **Define the metrics that matter:** 
 Create clear, consistent definitions for core metrics like MRR, churn, and active users using data from Postgres, Stripe, and Segment.
* **Build a revenue source of truth:** 
 Design and own a Core Revenue Mart with a solid star schema for financial and revenue reporting.
* **Work cross\-functionally:** 
 Partner with Product and Marketing to support key initiatives with clean, reliable datasets.
* **Keep things fast and scalable:** 
 Improve Snowflake performance and costs so dashboards load quickly and scale with the business.
* **Add guardrails:** 
 Put tests and monitoring in place to catch data issues before they reach leadership.
* **Enable self\-serve analytics:** 
 Build intuitive datasets in tools like Omni so non\-technical teammates can answer their own questions.
* **Think ahead:** 
 Prepare datasets that can support future AI and automation use cases.
 What we’re looking for
* Strong experience with dbt and modern analytics stacks (Snowflake, Omni or Looker, Segment, etc.).
* Solid data modeling instincts — you think in facts, dimensions, and business concepts, not just queries.
* Experience building analytics layers that people actually trust and use.
* High standards for testing, documentation, and maintainability.
* Comfort working in messy, fast\-changing data environments.
* A collaborative mindset — you like helping others move faster with better data.</t>
        </is>
      </c>
    </row>
    <row r="24">
      <c r="A24" t="inlineStr">
        <is>
          <t>li-4359606353</t>
        </is>
      </c>
      <c r="B24" t="inlineStr">
        <is>
          <t>Data Engineer</t>
        </is>
      </c>
      <c r="C24" t="inlineStr">
        <is>
          <t>Wiraa</t>
        </is>
      </c>
      <c r="D24" t="inlineStr">
        <is>
          <t>linkedin</t>
        </is>
      </c>
      <c r="E24" t="inlineStr"/>
      <c r="F24" t="inlineStr"/>
      <c r="G24" t="inlineStr"/>
      <c r="H24" t="inlineStr"/>
      <c r="I24" t="inlineStr">
        <is>
          <t>**About The Company**
 Veeva Systems is a pioneering organization dedicated to transforming the life sciences industry through innovative cloud\-based solutions. As a mission\-driven company, Veeva is committed to helping healthcare and pharmaceutical companies bring therapies to patients more efficiently and effectively. Recognized as one of the fastest\-growing SaaS companies in history, Veeva surpassed $2 billion in revenue in its last fiscal year, demonstrating extensive growth potential and a strong market presence. The company upholds core values such as Doing the Right Thing, Customer Success, Employee Success, and Speed, which guide its strategic initiatives and operational excellence.
 In 2021, Veeva made history by becoming a public benefit corporation (PBC), legally committed to balancing the interests of customers, employees, society, and investors. As a flexible, Work Anywhere organization, Veeva supports remote and hybrid work models, empowering employees to thrive in their preferred environments. Headquartered in the San Francisco Bay Area with offices across more than 15 countries, Veeva continues to expand its global footprint, driving innovation in the industry and making a positive impact on communities worldwide.
**About The Role**
 The role involves ensuring the reliability, accuracy, and safety of Veeva's AI Agents through comprehensive evaluation and validation methodologies. The successful candidate will play a critical role in maintaining high standards for AI system performance, focusing on systematic testing, data quality, and continuous improvement. This position requires a meticulous, analytical mindset with a passion for product quality and a keen interest in cutting\-edge AI technologies, particularly large language models (LLMs).
 Key responsibilities include defining evaluation strategies, assessing LLM output integrity, designing high\-fidelity datasets, automating evaluation pipelines, conducting root cause analysis, and communicating performance metrics to cross\-functional teams. The role offers the flexibility to work remotely within Canada or the US, fostering collaboration within a dynamic and innovative environment. The ideal candidate will possess strong problem\-solving skills, excellent communication abilities, and a deep understanding of AI evaluation techniques to contribute to Veeva’s mission of advancing life sciences through reliable AI systems.
**Qualifications**
* Bachelor’s degree in Data Science, Machine Learning, Computer Science, or a related field
* Minimum of 5\+ years of experience in designing and deploying automated evaluation pipelines for AI systems
* Proficiency in Python programming for developing custom evaluation frameworks and automation scripts
* Deep understanding of large language models (LLMs), prompt engineering, and common failure modes such as hallucination and incoherence
* Experience with quality metrics including task success rate, semantic similarity, and sentiment analysis
* Strong knowledge of data quality principles, bias detection, and validation techniques
* Ability to create adversarial and diverse test datasets to uncover edge cases and system biases
* Experience debugging agentic AI systems, including tracing internal reasoning and action sequences
* Excellent communication skills to articulate technical findings to engineering and product teams
* Unrestricted right to work in the United States or Canada; sponsorship is not provided
**Responsibilities**
* Define and implement comprehensive evaluation strategies for new AI Agents, ensuring test data reflects real\-world scenarios and potential failure modes
* Programmatically and manually assess the quality of LLM\-generated content against predefined metrics such as accuracy, relevance, and safety standards
* Design, curate, and generate high\-quality, diverse test datasets, including challenging prompts and scenarios to evaluate AI robustness
* Develop and maintain scalable automated evaluation pipelines to enable continuous validation of AI behavior and prevent regressions
* Conduct root cause analysis to identify and address issues related to model performance degradations or defects
* Document, track, and communicate evaluation results, performance metrics, and bug statuses to development and product teams
* Collaborate with engineering teams to improve model performance, safety, and reliability based on evaluation insights
* Stay updated on advancements in AI evaluation methodologies and incorporate best practices into testing frameworks
**Benefits**
* Comprehensive medical, dental, and vision insurance coverage
* Basic life insurance and other health\-related benefits
* Flexible paid time off (PTO) and company\-paid holidays
* Retirement savings programs to support long\-term financial security
* Participation in a 1% charitable giving program
* Opportunity to work remotely within Canada or the US, supporting work\-life balance
* Engagement in a mission\-driven organization with a focus on innovation and societal impact
 Equal Opportunity
 Veeva Systems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 protected by applicable laws or regulations. Veeva is committed to fostering an inclusive and diverse workplace.</t>
        </is>
      </c>
    </row>
    <row r="25">
      <c r="A25" t="inlineStr">
        <is>
          <t>li-4331974721</t>
        </is>
      </c>
      <c r="B25" t="inlineStr">
        <is>
          <t>Data Engineer</t>
        </is>
      </c>
      <c r="C25" t="inlineStr">
        <is>
          <t>Robert Half</t>
        </is>
      </c>
      <c r="D25" t="inlineStr">
        <is>
          <t>linkedin</t>
        </is>
      </c>
      <c r="E25" t="inlineStr"/>
      <c r="F25" t="inlineStr"/>
      <c r="G25" t="inlineStr">
        <is>
          <t>Dallas, TX</t>
        </is>
      </c>
      <c r="H25" t="inlineStr"/>
      <c r="I25" t="inlineStr">
        <is>
          <t>This is a Full Time Direct Hire Permanent Role
 No C2C
 No Sponsorship
 We are seeking
 **Data Engineers** 
 to support a critical migration project from
 **SQL Server to Azure Synapse Analytics** 
 . This role combines
 **data engineering, data analysis, and visualization** 
 responsibilities to ensure a smooth transition and optimized data architecture.
**Key Responsibilities** 
* Design, develop, and implement data pipelines to migrate data from SQL Server to
 **Azure Synapse Analytics** 
 .
* Collaborate with stakeholders to understand business requirements and translate them into technical solutions.
* Optimize data models and queries for performance and scalability in Azure Synapse.
* Perform data analysis and validation to ensure accuracy and integrity during migration.
* Develop dashboards and reports using
 **Power BI** 
 for business insights.
* Work with
 **Microsoft Fabric** 
 to integrate and manage data workflows.
* Ensure compliance with data governance and security standards.
**Required Skills \&amp; Qualifications** 
* Strong experience with
 **SQL** 
 (query optimization, stored procedures).
* Proficiency in
 **Python** 
 for data processing and automation.
* Hands\-on experience with
 **Apache Spark** 
 for big data processing.
* Expertise in
 **Azure Synapse Analytics** 
 and familiarity with
 **Microsoft Fabric** 
 .
* Experience building and maintaining
 **Power BI** 
 dashboards.
* Solid understanding of data warehousing concepts and ETL processes.
**Preferred Qualifications** 
* Experience with cloud\-based data architecture and migration projects.</t>
        </is>
      </c>
    </row>
    <row r="26">
      <c r="A26" t="inlineStr">
        <is>
          <t>li-4344982812</t>
        </is>
      </c>
      <c r="B26" t="inlineStr">
        <is>
          <t>Data Engineer</t>
        </is>
      </c>
      <c r="C26" t="inlineStr">
        <is>
          <t>HAVI</t>
        </is>
      </c>
      <c r="D26" t="inlineStr">
        <is>
          <t>linkedin</t>
        </is>
      </c>
      <c r="E26" t="inlineStr"/>
      <c r="F26" t="inlineStr"/>
      <c r="G26" t="inlineStr">
        <is>
          <t>Chicago, IL</t>
        </is>
      </c>
      <c r="H26" t="inlineStr"/>
      <c r="I26" t="inlineStr">
        <is>
          <t>Full/Part\-time: Full time
 Job Category: Analytics
 City: Toronto
 HAVI is a global, privately owned company focused on innovating, optimizing and managing the supply chains of leading brands. Offering services in marketing analytics, packaging, supply chain management and logistics, HAVI partners with companies to address challenges big and small across the supply chain, from commodity to customer. Founded in 1974, HAVI employs more than 10,000 people and serves customers in more than 100 countries. HAVI’s supply chain services are complemented by the customer engagement services offered by our affiliated company The Marketing Store. For more information, please visit HAVI.com.
 Architect, design, implement, enhance, and maintain highly scalable, available, secure, and elastic cloud\-ready data solutions using cutting\-edge technologies to support our predictive and prescriptive analytics needs. Be an expert in our data domains, act as a trusted partner and advisor to solutions architects and data scientists and become a crucial part of the analytics solution lifecycle – from prototype to production and operations of our data science and advanced analytics solutions in areas such as promotions, supply and demand planning, item/menu level analytics, supply chain simulations, and optimization, competitive benchmarking, and root cause analysis. Continuously improve and advance our data solutions.
***This is a hybrid role based at 303\-1 Concorde Gate North York, ON, M3C 3N6, Canada. Candidates must reside in the Toronto metropolitan area. Relocation assistance is not offered at this time.***
**Responsibilities:**
* Responsible for working with the data management, data science, decision science, and technology teams to address supply chain data needs in demand and supply planning, replenishment, pricing, and optimization
* Develop/refine the data requirements, design/develop data deliverables, and optimize data pipelines in non\-production and production environments
* Design, build, and manage/monitor data pipelines for data structures encompassing data transformation, data models, schemas, metadata, and workload management. The ability to work with both IT and business
* Integrate analytics and data science output into business processes and workflows
* Build and optimize data pipelines, pipeline architectures, and integrated datasets. These should include ETL/ELT, data replication/CI\-CD, API design, and access
* Work with and optimize existing ETL processes and data integration and preparation flows and help move them to production
* Work with popular data discovery, analytics, and BI and AI tools in semantic\-layer data discovery
* Adept in agile methodologies and capable of applying DevOps and DataOps principles to data pipelines to improve communication, integration, reuse, and automation of data flows between data managers and data consumers across the organization
* Implement Agentic AI capability to drive efficiency and opportunity
**Qualifications:** 
* Bachelor’s degree in computer science, data management, information systems, information science or a related field; advanced degree in computer science, data management, information systems, information science or a related field preferred.
* 3\+ years in data engineering building production data pipelines (batch and/or streaming) with Spark on cloud.
* 2\+ years hands\-on Azure Databricks (PySpark/Scala, Spark SQL, Delta Lake) including:
+ Delta Lake operations (MERGE/CDC, OPTIMIZE/Z\-ORDER, VACUUM, partitioning, schema evolution).
+ Unity Catalog (RBAC, permissions, lineage, data masking/row\-level access).
+ Databricks Jobs/Workflows or Delta Live Tables.
* Azure Data Factory for orchestration (pipelines, triggers, parameterization, IRs) and integration with ADLS Gen2, Key Vault.
* Strong SQL across large datasets; performance tuning (joins, partitions, file sizing).
* Data quality at scale (e.g., Great Expectations/Deequ), monitoring and alerting; debug/backfill playbooks.
* DevOps for data: Git branching, code reviews, unit/integration testing (pytest/dbx), CI/CD (Azure DevOps/GitHub Actions).
* Infrastructure as Code (Terraform or Bicep) for Databricks workspaces, cluster policies, ADF, storage.
* Observability \&amp; cost control: Azure Monitor/Log Analytics; cluster sizing, autoscaling, Photon; cost/perf trade\-offs.
* Proven experience collaborating with cross\-functional stakeholders (analytics, data governance, product, security) to ship and support data products.
**Dimensions \&amp; Stakholders:**
* Content scope: Data engineering, data modeling, Agentic AI and automation, and data solution operationalization
* Geographical Scope: Global
* Stakeholders \&amp; Networks: Analytics and Insights, DevOps, Product Management, Technology
* Working model: Individual contributor, collaborates with cross\-functional team within global planning and analytics
**TOTAL REWARDS**
 Our total rewards philosophy integrates programs for compensation, benefits, recognition, learning and development, corporate culture, corporate citizenship and work\-life balance. While individual program components may differ by country, some things remain constant:
* Our commitment to rewarding results
* Opportunities to work with talented and driven individuals at every level of our company who respect each other, treat each other fairly and hold one another accountable for our customers’—and our company’s—success
 There's more ...
 Inclusive employee resource groups
**Generous Medical, Dental, Vision And Other Great Benefits**
 Paid parental and medical leave programs
 401(k) with a company match component and profit sharing
 15 days of paid time off plus company holidays
 Hybrid work model with flexibility
 Tuition reimbursement and student loan repayment assistance
**EQUAL OPPORTUNITY EMPLOYER**
 We are an equal opportunity employer and we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**RECRUITING AGENCIES**
 HAVI does not accept agency resumes submitted by third\-party vendors unless a valid agreement has been signed and the HAVI Talent Acquisition Team has granted authorization for submissions for a specified position. Please do not submit or forward resumes to our site, HAVI employees, or any other company location. HAVI is not responsible for any fees related to unsolicited resumes.
 Are you a good match for this job?
 Please submit an online application with your salary expectations and an indication of your earliest starting date.
* This role is hybrid and is open to candidates residing in the Chicago metropolitan area only. NO Relocation is offered at this time\*\*\*</t>
        </is>
      </c>
    </row>
    <row r="27">
      <c r="A27" t="inlineStr">
        <is>
          <t>li-4331974710</t>
        </is>
      </c>
      <c r="B27" t="inlineStr">
        <is>
          <t>Data Engineer</t>
        </is>
      </c>
      <c r="C27" t="inlineStr">
        <is>
          <t>Robert Half</t>
        </is>
      </c>
      <c r="D27" t="inlineStr">
        <is>
          <t>linkedin</t>
        </is>
      </c>
      <c r="E27" t="inlineStr"/>
      <c r="F27" t="inlineStr"/>
      <c r="G27" t="inlineStr">
        <is>
          <t>Dallas, TX</t>
        </is>
      </c>
      <c r="H27" t="inlineStr"/>
      <c r="I27" t="inlineStr">
        <is>
          <t>We are seeking a skilled Data Engineer to design, build, and maintain scalable data pipelines that power analytics, reporting, and data\-driven products. In this role, you will work closely with analytics, product, and engineering teams to ensure high\-quality, reliable, and well\-modeled data across the organization.
 Responsibilities
* Design, develop, and maintain ETL/ELT pipelines to ingest, transform, and curate data from multiple sources
* Build and optimize data workflows using Python, SQL, and Apache Spark
* Develop scalable batch and streaming data solutions
* Ensure data quality, reliability, and performance through monitoring, testing, and validation
* Optimize queries, data models, and storage for performance and cost
* Collaborate with data analysts, data scientists, and software engineers to support analytics and machine learning use cases
* Document data pipelines, schemas, and best practices
* Troubleshoot and resolve data pipeline failures and performance issues
 Required Qualifications
* Strong experience with Python for data processing and automation
* Advanced SQL skills, including complex queries and performance tuning
* Hands\-on experience with Apache Spark (PySpark preferred)
* Solid understanding of ETL/ELT concepts, data modeling, and data warehousing
* Experience working with large datasets and distributed systems
* Familiarity with version control (Git) and CI/CD practices
 Preferred Qualifications
* Experience with cloud data platforms (AWS, GCP, or Azure)
* Work with Azure synapse and Fabric
* Familiarity with orchestration tools (e.g., Airflow, Dagster, Prefect)
* Experience with modern data warehouses
* Knowledge of data quality frameworks and monitoring tools</t>
        </is>
      </c>
    </row>
    <row r="28">
      <c r="A28" t="inlineStr">
        <is>
          <t>li-4321183200</t>
        </is>
      </c>
      <c r="B28" t="inlineStr">
        <is>
          <t>Senior Data Engineer</t>
        </is>
      </c>
      <c r="C28" t="inlineStr">
        <is>
          <t>Realtor.com</t>
        </is>
      </c>
      <c r="D28" t="inlineStr">
        <is>
          <t>linkedin</t>
        </is>
      </c>
      <c r="E28" t="inlineStr"/>
      <c r="F28" t="inlineStr"/>
      <c r="G28" t="inlineStr">
        <is>
          <t>Austin, TX</t>
        </is>
      </c>
      <c r="H28" t="inlineStr"/>
      <c r="I28"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**The Work You’ll Do:** 
 You’ll design, build, and operate backend services and data integrations that power personalized marketing experiences across CRM and Digital Marketing channels at
 Realtor.com®.
 You’ll work across the marketing technology stack—connecting internal data platforms to tools that activate, measure, and optimize campaigns. Your work will ensure the reliability, observability, and scalability of data pipelines that enable millions of users to receive relevant messages at the right time.
* Design, build, and operate backend services and data integrations that are secure, observable, and cost\-efficient, using modern cloud patterns on AWS.
* Collaborate with data platform teams on the Snowflake and Kafka data platform (streaming and batch) to enable reliable data collection, processing, and access for near real\-time marketing and analytics use cases.
* Contribute to streaming pipelines and consumers (e.g., Kafka/MSK) and batch workflows backed by Snowflake/DBT/Airflow/Hightouch, with a focus on correctness, performance,
* and operational excellence.
* Implement and extend CI/CD pipelines on the company’s deployment platform (CircleCI GitHub \+ Argo), driving paved\-path adoption, test automation, and deployment safety.
* Help instrument, validate, and monitor clickstream and service events in partnership with data reliability teams, improving event health and taxonomy alignment across systems.
* Strengthen observability for services and pipelines (metrics, logging, tracing) to reduce mean time to detection/recovery and enable effective on\-call rotations.
* Partner with cross\-functional stakeholders (marketing, engineering, product, analytics, privacy) to define requirements, de\-risk designs, and ship incremental value.
* Write clear technical documentation, contribute to runbooks, and participate in design and code reviews to raise engineering quality and knowledge sharing.
* Champion reliability and governance: adopt data lineage, ownership, and catalog tooling; incorporate validation and guardrails that prevent bad data from propagating.
**What You’ll Bring:** 
* 5\+ years of experience building backend systems and/or data\-intensive services in production, with ownership across design, implementation, and operations.
* Bachelor’s degree or equivalent experience..
* Proficiency in one or more of: TypeScript/Node.js, Python, Java/Kotlin; strong foundation in writing maintainable, testable code.
* Solid SQL skills and experience with Snowflake or comparable cloud data warehouses; familiarity with data modeling and working with structured/semi\-structured data.
* Experience with event\-driven systems and streaming technologies (e.g., Kafka/MSK) and building resilient consumers/producers
* Hands\-on with AWS services (e.g., Lambda, ECS/EKS, S3, IAM, MSK, API Gateway) and Infrastructure\-as\-Code (Terraform or CloudFormation).
* CI/CD expertise (preferably on CircleCI \+ GitHub \+ Argo) and a testing mindset across unit, integration, contract, and data validations.
* Strong observability practices (logs, metrics, traces) using tools like New Relic and Splunk; effective incident response and post\-incident improvement.
* Excellent collaboration and communication skills; ability to partner with product, analytics, and other engineering teams to deliver outcomes.
**Nice To Have Experience:** 
* Experience with CRM and digital marketing platforms (Braze, Cordial, Google Ads, Meta Ads, etc)
* Experience with the Snowflake data platform and its streaming/batch components; DBT and Airflow familiarity.
* Background in clickstream data reliability: event taxonomy, validation tooling, event health monitoring, and developer workflows that “shift\-left” data quality.
* Familiarity with tracking and SDK ecosystems (e.g., Tracking SDK and “Direct Send”), experimentation, and downstream analytics integrations.
* Knowledge of data governance practices and lineage/discoverability platforms like the Data Catalog; exposure to privacy and compliance workflows (e.g., CCPA/CPRA).
* Experience operating services on Kubernetes (EKS), GitOps/ArgoCD, and adopting paved\-path CI/CD patterns on CircleCI.
**How We Work:** 
 We balance creativity and innovation on a foundation of in\-person collaboration. Our employees work three days in our Austin headquarters where they have the opportunity to collaborate in\-person, adding richness to our culture and knitting us closer together.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8 hours of paid Volunteer Time off
* Immediate eligibility into Company 401(k) plan with 3\.5% company match
* Tuition Reimbursement program for degreed and non\-degreed programs
* 1:1 personalized Financial Planning Sessions
* Student Debt Retirement Savings Match program
* Free snacks and refreshments in each office location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29">
      <c r="A29" t="inlineStr">
        <is>
          <t>li-4344255430</t>
        </is>
      </c>
      <c r="B29" t="inlineStr">
        <is>
          <t>Data Engineer II</t>
        </is>
      </c>
      <c r="C29" t="inlineStr">
        <is>
          <t>SchoolsFirst Federal Credit Union</t>
        </is>
      </c>
      <c r="D29" t="inlineStr">
        <is>
          <t>linkedin</t>
        </is>
      </c>
      <c r="E29" t="inlineStr"/>
      <c r="F29" t="inlineStr"/>
      <c r="G29" t="inlineStr">
        <is>
          <t>Tustin, CA</t>
        </is>
      </c>
      <c r="H29" t="inlineStr"/>
      <c r="I29" t="inlineStr">
        <is>
          <t>We’re always looking for diverse, talented, service\-oriented people to join our exceptional team.
 Data Engineer II
 The pay range for this position is listed below. Our pay ranges are built to allow for candidates with various levels of skill and experience to be considered, as well as for room for growth and tenure achieved in a role over time. Typical new hire salary offers fall within the minimum to midpoint of a pay range for many candidates. Any offer extended to a candidate will be based upon their unique set of knowledge, skills, education, and experience as well as internal equity.
**Pay Range:**
 $96,110\.00 \- $153,777\.00
**Scheduled Weekly Hours:**
 40
 What You’ll Be Doing
 Designs, implements, and maintains moderately complex data pipelines. Responsibilities include maintenance of database dictionaries, database design, and data integration solutions.
* Define requirements based on independent analysis of applications of medium complexity and working with BSA’s and end users.
* Design architecture, database schemas and database systems of medium complexity.
* Develop department and process standards and best practices.
* Develop data integration and process requirements based on business process analysis.
* Create and maintain data models and data dictionaries.
* Identify hardware requirements and work with infrastructural resources for implementation and maintenance.
* Determine and forecast needs and allocate resources for upcoming projects.
* Design and develop complex multi\-chain data integration processes.
* Review submitted database requests to ensure code quality.
* Coach application developers on best practices for SQL Development balancing performance and total cost of ownership.
* Provide essential data warehouse architecture, design, development and support.
* Provide on\-call support as necessary on a rotating schedule.
**Additional Job Functions**
* Performs other duties as assigned
* Complies with regulatory compliance and assigned training requirements including but not limited to BSA regulations corresponding to their specific job duties. Failure to do so may result in disciplinary and other employment related actions
**Qualifications**
* Bachelor's Degree or equivalent years of experience required
* 5\-7 years of experience in data engineering
* 7\-10 years of experience with ETL/ELT and data integration tools
**Knowledge, Skills, And Abilities**
* Comprehensive working SQL knowledge and experience working with relational databases, query authoring (SQL) as well as working familiarity with a variety of non\-relational database technologies.
* Intermediate in developing Extraction/Transformation/Loading processes for System Integration and Data Intermediate in SQL Server Integration Services, SQL 2012 and above, C\# or Java, JavaScript, and Python
* Experience with Snowflake, Boomi, QLIK Replicate
* Functional knowledge of ERwin Data Modeling Suite
* Comprehensive knowledge in Restful and SOAP API creation and consumption
* Comprehensive knowledge of database design and development
* Understanding of TSQL and stored procedure development
* Strong analytical, problem solving and conceptual skills
* Proven and successful accomplishments of manipulating, processing and extracting value from large and disconnected datasets.
* Intermediate knowledge in TFS source control and experience with Azure DevOps
* Experienced in Information Technology Service Management: Data Quality ,Meta Data Management, Master Data Management, Agile Methodology, SCRUM
 SchoolsFirst FCU is committed to Diverse, Equitable, and Inclusive Hiring
 At SchoolsFirst FCU we are dedicated to building and growing a diverse, inclusive, and authentic Dream Team, so if you’re excited about a position or wanting to make a career change but your past experience doesn’t align perfectly with every qualification in the job description, we encourage you to apply anyway. Many skills are transferrable and you may be just the right candidate for the position, or for other roles we are working on.
 SchoolsFirst Federal Credit Union is committed to fostering, cultivating, and preserving a culture of diversity and inclusion. SchoolsFirst FCU is an equal opportunity employer and prohibits discrimination against qualified individuals based on their status as protected veterans or individuals with disabilities and prohibits discrimination against all individuals based on their race, color, religion, sex, national origin, age, sexual orientation, gender identity or expression, political affiliation, or genetic information.
 This organization participates in E\-Verify.</t>
        </is>
      </c>
    </row>
    <row r="30">
      <c r="A30" t="inlineStr">
        <is>
          <t>li-4352321164</t>
        </is>
      </c>
      <c r="B30" t="inlineStr">
        <is>
          <t>Senior Data Engineer</t>
        </is>
      </c>
      <c r="C30" t="inlineStr">
        <is>
          <t>Tenth Revolution Group</t>
        </is>
      </c>
      <c r="D30" t="inlineStr">
        <is>
          <t>linkedin</t>
        </is>
      </c>
      <c r="E30" t="inlineStr"/>
      <c r="F30" t="inlineStr"/>
      <c r="G30" t="inlineStr">
        <is>
          <t>Boston, MA</t>
        </is>
      </c>
      <c r="H30" t="inlineStr"/>
      <c r="I30" t="inlineStr">
        <is>
          <t>We’re partnering with an innovative healthcare organization to find a Senior Data Engineer who’s passionate about building scalable data platforms that support meaningful, real\-world impact in healthcare.
 This is a hybrid role based in Boston, offering the opportunity to work with modern cloud technologies while contributing to solutions that improve patient outcomes and operational efficiency.
 What You’ll Be Doing
* Design, build, and maintain scalable data pipelines and data warehouses
* Work extensively within the Microsoft Azure ecosystem, including Databricks
* Integrate and manage data from EPR/EMR and CRM systems
* Collaborate with cross\-functional teams to support analytics, reporting, and data science initiatives
* Ensure data quality, reliability, and performance across platforms
* Implement and support DevOps and CI/CD pipelines for data engineering workflows
 What We’re Looking For
* Senior\-level experience as a Data Engineer
* Strong hands\-on experience with Azure, Databricks, and cloud\-based data architectures
* Proven experience integrating data from EPR/EMR and CRM systems
* Advanced SQL and Python skills
* Experience designing and building enterprise data warehouses
* Familiarity with DevOps practices and CI/CD pipelines
* Experience in healthcare or regulated environments is a strong plus
 Why This Role?
* Join a company focused on innovative healthcare solutions
* Work on impactful projects that truly make a difference
* Collaborative, forward\-thinking engineering culture
* Hybrid flexibility with a Boston\-based team
 Interested or know someone who’d be a great fit?
 Reach out to me directly or apply here to learn more about this exciting opportunity.</t>
        </is>
      </c>
    </row>
    <row r="31">
      <c r="A31" t="inlineStr">
        <is>
          <t>li-4344778653</t>
        </is>
      </c>
      <c r="B31" t="inlineStr">
        <is>
          <t>Sr. BI Engineer</t>
        </is>
      </c>
      <c r="C31" t="inlineStr">
        <is>
          <t>HighLevel</t>
        </is>
      </c>
      <c r="D31" t="inlineStr">
        <is>
          <t>linkedin</t>
        </is>
      </c>
      <c r="E31" t="inlineStr"/>
      <c r="F31" t="inlineStr"/>
      <c r="G31" t="inlineStr"/>
      <c r="H31" t="inlineStr"/>
      <c r="I31" t="inlineStr">
        <is>
          <t>**Position:** 
 Sr. BI Engineer
**Location:** 
 US (Remote)
**Level:** 
 P2
**Schedule:** 
 9 AM \- 5 PM CST
**About Us**
 HighLevel is an AI powered, all\-in\-one white\-label sales \&amp; marketing platform that empowers agencies, entrepreneurs, and businesses to elevate their digital presence and drive growth. We are proud to support a global and growing community of over 2 million businesses, comprised of agencies, consultants, and businesses of all sizes and industries. HighLevel empowers users with all the tools needed to capture, nurture, and close new leads into repeat customers. As of mid 2025, HighLevel processes over 4 billion API hits and handles more than 2\.5 billion message events every day. Our platform manages over 470 terabytes of data distributed across five databases, operates with a network of over 250 microservices, and supports over 1 million hostnames.
**Our People**
 With over 1,500 team members across 15\+ countries, we operate in a global, remote\-first environment. We are building more than software; we are building a global community rooted in creativity, collaboration, and impact. We take pride in cultivating a culture where innovation thrives, ideas are celebrated, and people come first, no matter where they call home.
**Our Impact**
 As of mid 2025, our platform powers over 1\.5 billion messages, helps generate over 200 million leads, and facilitates over 20 million conversations for the more than 2 million businesses we serve each month. Behind those numbers are real people growing their companies, connecting with customers, and making their mark \- and we get to help make that happen.
**Who You Are**
 As a
 **Sr.BI Engineer** 
 , you are a detail\-oriented problem solver with a passion for turning complex data into actionable insights. You have a deep understanding of data structures, business requirements, and reporting needs, enabling you to design and implement scalable data solutions. Your technical expertise spans data warehousing, pipeline development, and visualization tools, allowing you to empower stakeholders with reliable and efficient data\-driven decisions. You thrive in a collaborative environment, take ownership of data governance, and are proactive in identifying opportunities for process automation and optimization.
**What You’ll Be Doing:**
**Data Strategy, Architecture, and Ownership**
* Own the end\-to\-end data lifecycle, from ingestion and transformation to delivery, ensuring alignment with business priorities and analytical goals.
* Architect and oversee scalable, high\-performance data pipelines and warehouse structures that serve as the foundation for company\-wide analytics and automation.
* Partner with Engineering and Product teams to establish data design standards, naming conventions, and quality benchmarks, ensuring long\-term sustainability and performance.
* Drive decisions on data architecture, tooling, and storage optimization, balancing scalability, cost, and performance tradeoffs.
**Data Modelling, Quality, and Governance**
* Lead data modeling efforts that transform complex, cross\-domain data into clear and accessible models supporting business\-critical dashboards, experimentation, and AI workloads.
* Implement robust data validation frameworks and monitoring systems to proactively detect and resolve data quality issues.
* Champion data governance — define standards for access control, lineage, cataloging, and compliance.
* Collaborate with security and platform teams to institutionalize best practices for data stewardship and democratized analytics.
**Advanced Analytics and Stakeholder Partnership**
* Partner with senior business stakeholders to identify high\-impact analytical opportunities and translate business questions into scalable data solutions.
* Use strong command of SQL, Snowflake, and Python to design complex analytical models and build self\-serve dashboards in Tableau or Looker.
* Develop and deliver insight frameworks that enable data\-informed decision\-making across Marketing, Product, and Operations teams.
* Mentor analysts and engineers, fostering an environment of learning and technical excellence.
**Innovation, Automation, and Continuous Improvement**
* Continuously evaluate and implement emerging data tools and frameworks to enhance speed, accuracy, and reliability of analytics delivery.
* Lead initiatives to automate reporting workflows and implement CI/CD for data pipelines, ensuring reproducibility and scalability.
* Partner cross\-functionally to identify and eliminate data bottlenecks, optimizing for both velocity and reliability in decision support.
* Drive a culture of proactive problem\-solving through documentation, standardization, and data enablement across teams.
 By joining our team, you will play a pivotal role in transforming raw data into meaningful insights, driving business success across the organization.
**What You’ll Bring:**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**Experience/Education/Certifications Required:**
* 5\+ years of experience in business intelligence, data engineering, analytics, or a related field.
* Advanced SQL expertise with experience handling complex queries and data transformations.
* Strong knowledge of engineering and operations best practices, including version control, data quality assurance, testing, and monitoring.
* Data modeling expertise with experience in ETL, Data Warehousing, and Data Lakes.
* Data visualization skills using Tableau to create compelling dashboards and reports.
* Programming proficiency in one or more languages (e.g., Python, Java) for data processing and analysis.
* Basic knowledge of statistical measures and techniques.
* Exceptional communication and collaboration skills, with the ability to communicate complex technical information to less technically sophisticated stakeholders and data professionals.
 $125,000 \- $147,000 a year
**EEO Statement:** 
 The company is an Equal Opportunity Employer. As an employer subject to affirmative action regulations, we invite you to voluntarily provide the following demographic information. This information is used solely for compliance with government recordkeeping, reporting, and other legal requirements. Providing this information is voluntary and refusal to do so will not affect your application status. This data will be kept separate from your application and will not be used in the hiring decision.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
      <c r="A32" t="inlineStr">
        <is>
          <t>li-4300988040</t>
        </is>
      </c>
      <c r="B32" t="inlineStr">
        <is>
          <t>Senior Data Engineer</t>
        </is>
      </c>
      <c r="C32" t="inlineStr">
        <is>
          <t>ICE</t>
        </is>
      </c>
      <c r="D32" t="inlineStr">
        <is>
          <t>linkedin</t>
        </is>
      </c>
      <c r="E32" t="inlineStr"/>
      <c r="F32" t="inlineStr"/>
      <c r="G32" t="inlineStr">
        <is>
          <t>Atlanta, GA</t>
        </is>
      </c>
      <c r="H32" t="inlineStr"/>
      <c r="I32" t="inlineStr">
        <is>
          <t>**Overview**
**Job Purpose**
 We're seeking a talented Senior Data Engineer to join our Enterprise Architecture team in a cross\-cutting role that will help define and implement our next\-generation data platform. In this pivotal position, you'll lead the design and implementation of scalable, self\-service data pipelines with a strong emphasis on data quality and governance. This is an opportunity to shape our data engineering practice from the ground up, working directly with key stakeholders to build mission\-critical ML and AI data workflows.
 We emphasize building systems that are maintainable, scalable, and focused on enabling self\-service data access while maintaining high standards for data quality and governance.
 The ideal candidate is a problem\-solver who enjoys working on complex data systems and is passionate about data quality. You thrive in collaborative environments but can also work independently to deliver solutions. You're comfortable working directly with technical and non\-technical stakeholders and can communicate complex technical concepts clearly. Most importantly, you're excited about creating systems that empower others to work with data efficiently and confidently.
**Responsibilities**
* Design, build, and maintain our on\-premises data orchestration platform using the best\-in\-breed open source tools
* Create self\-service capabilities that empower teams across the organization to build and deploy data pipelines without extensive engineering support
* Implement robust data quality testing frameworks that ensure data integrity throughout the entire data lifecycle
* Establish data engineering best practices, including version control, CI/CD for data pipelines, and automated testing
* Collaborate with ML/AI teams to build scalable feature engineering pipelines that support both batch and real\-time data processing
* Develop reusable patterns for common data integration scenarios that can be leveraged across the organization
* Work closely with infrastructure teams to optimize our Kubernetes\-based data platform for performance and reliability
* Mentor junior engineers and advocate for engineering excellence in data practices
**Knowledge And Experience**
* 5\+ years of professional experience in data engineering, with at least 2 years working on enterprise\-scale data platforms
* Demonstrated experience with orchestrating workflows, performance optimization, and operational management
* Strong understanding of data transformation techniques, including experience with testing frameworks and deployment strategies
* Experience with stream processing frameworks and technologies
* Proficiency with SQL and Python for data transformation and pipeline development
* Familiarity with containerized application deployment
* Experience implementing data quality frameworks and automated testing for data pipelines
* Ability to work cross\-functionally with data scientists, ML engineers, and business stakeholders
**Preferred Knowledge And Experience**
* Experience with self\-hosted data orchestration platforms (rather than managed services)
* Background in implementing data contracts or schema governance
* Knowledge of ML/AI data pipeline requirements and feature engineering
* Experience leveraging AI tools (e.g., GitHub Copilot, Cursor, Claude Code) to debug, develop unit tests and generate test cases from requirements documents
* Experience with real\-time data processing and streaming architectures
* Familiarity with data modeling and warehouse design principles
* Prior experience in a technical leadership role
 Intercontinental Exchange, Inc. is an Equal Opportunity Employer. All qualified applicants will receive consideration for employment without regard to legally protected characteristics.</t>
        </is>
      </c>
    </row>
    <row r="33">
      <c r="A33" t="inlineStr">
        <is>
          <t>li-4344934522</t>
        </is>
      </c>
      <c r="B33" t="inlineStr">
        <is>
          <t>Senior Analytics Engineer</t>
        </is>
      </c>
      <c r="C33" t="inlineStr">
        <is>
          <t>GlossGenius</t>
        </is>
      </c>
      <c r="D33" t="inlineStr">
        <is>
          <t>linkedin</t>
        </is>
      </c>
      <c r="E33" t="inlineStr"/>
      <c r="F33" t="inlineStr"/>
      <c r="G33" t="inlineStr">
        <is>
          <t>New York, NY</t>
        </is>
      </c>
      <c r="H33" t="inlineStr"/>
      <c r="I33" t="inlineStr">
        <is>
          <t>**About GlossGenius** 
 GlossGenius is building an ecosystem that enables entrepreneurs to succeed.  We empower small business owners to focus on being creators, not admins, by offering a range of business management tools including booking and scheduling, marketing, analytics, payment processing, and much more.
 Over 100,000 small business owners have chosen to rely on GlossGenius every day to run their entire set of business operations. Joining its powerful, intuitive platform with its vibrant, distinguished brand, GlossGenius is the ideal combination of a fintech, SMB software, and consumer company all in one.
**About the Role** 
 As a Senior Analytics Engineer, you will be responsible for developing and optimizing our dbt infrastructure, implementing scalable data models, and ensuring consistent business logic across a fast\-growing organization. You will partner cross\-functionally with analytics, data engineering, and data\-savvy business stakeholders to design reliable and consistent datasets that serve as the foundation for understanding customer behavior in our product.
 Additionally, you will support the ongoing evolution of our data platform, including supporting the company’s transition towards software\-oriented architecture and expanding business intelligence capabilities. This role offers the opportunity to shape our future data infrastructure in a high\-growth environment while working on a diverse set of business\-critical data initiatives.
 You must be commutable to our NYC headquarters and will operate in a hybrid environment. We default to being in\-office 3\-4 days per week with required attendance on Tuesdays and Thursdays.
**What You’ll Do** 
* Build, Refactor \&amp; Optimize Data Models in dbt: Design and maintain data transformations that ensure accurate, scalable, and high\-quality datasets
* Serve as the Architect for Our dbt Project: Own and evolve the project’s architecture, design patterns, and best practices, ensuring consistency in data definitions and streamlined development.
* Create a Consistent User Experience: Unify metrics and definitions across our data warehouse and BI tools, driving reliable, self\-service analytics for cross\-functional stakeholders.
* Mentor \&amp; Uplevel the Team: Provide guidance and code reviews to analysts and data engineers, fostering a culture of collaboration, learning, and excellence in dbt and data modeling.
* Partner with Data Engineering to Manage Our Stack: Collaborate on the design, ingestion, and transformation pipelines—ensuring they’re scalable, efficient, and aligned with business needs.
* Champion Data Privacy \&amp; Quality: Implement and uphold governance processes and compliance measures to maintain the highest standards of data integrity.
**What We’re Looking For** 
* 4\+ years of experience as an analytics engineer, data engineer, or business intelligence engineer and 2\+ years developing in dbt, ideally at a SaaS company
* Advanced proficiency in SQL
* Previous experience with data modeling, ETL/ELT development principles, and data warehousing concepts
* Familiarity with the tools in our stack (Segment, Airflow, Snowflake, dbt, Hex) is preferred
* A naturally inquisitive, critical thinker, who enjoys and is effective at solving problems
* A demonstrated self\-starter with strong communication and project management skills
**Benefits \&amp; Perks** 
* Flexible PTO
* Competitive health \&amp; dental insurance options, with premiums partially or fully covered by GG
* Fertility and adoption benefits via Carrot
* Generous, fully\-paid parental leave policy
* 401k benefit \- employees are eligible to contribute starting day 1 of employment
* Professional Development \- employees receive a yearly stipend for approved learning and educational\-related expenses
* Pre\-tax commuter benefits
* Dependent Care FSA
* Home office support
* Team Bonding opportunities \- as a distributed team, being able to build meaningful bonds both virtually and in person is incredibly important to us! We are constantly evaluating how we accomplish this and currently, teams are given opportunities to gather in person throughout the year
*The starting base salary for this role in New York and California is between $173,000\-$200,000 \+ target equity \+ benefits. The base salary offered is dependent upon many factors including skills, experience, location, and education. The base pay range is subject to change and may be modified in the future.* 
*At GlossGenius, we celebrate our differences and are committed to creating a workplace where all employees feel supported and empowered to do their best work. We believe this benefits not only our employees but our product, customers, and community as well. GlossGenius is proud to be an Equal Opportunity and Affirmative Action Employer.* 
*Personal Information: Notice at Collection for Employees and Applicants* 
*Agency Submissions*
*If a resume or applicant is submitted to GlossGenius by a third party without a signed search agreement in place, it will become the property of GlossGenius and no fee will be paid, irrespective of whether the candidate is hired.*</t>
        </is>
      </c>
    </row>
    <row r="34">
      <c r="A34" t="inlineStr">
        <is>
          <t>li-4312492798</t>
        </is>
      </c>
      <c r="B34" t="inlineStr">
        <is>
          <t>Data Engineer</t>
        </is>
      </c>
      <c r="C34" t="inlineStr">
        <is>
          <t>Smithfield Foods</t>
        </is>
      </c>
      <c r="D34" t="inlineStr">
        <is>
          <t>linkedin</t>
        </is>
      </c>
      <c r="E34" t="inlineStr"/>
      <c r="F34" t="inlineStr"/>
      <c r="G34" t="inlineStr">
        <is>
          <t>Smithfield, VA</t>
        </is>
      </c>
      <c r="H34" t="inlineStr"/>
      <c r="I34" t="inlineStr">
        <is>
          <t>****If you are currently employed at Smithfield, please log into Workday and submit your application through the Jobs Hub.****
 A great job\-and a great future\-awaits you at Smithfield Foods. We are an American food company with a leading position in packaged meats and fresh pork products. We’re looking for motivated people who want to join our team and grow lasting and meaningful careers with us.
 **Apply Now!**
**The Value You’ll Bring**
*The position summary states the general nature and purpose of the job. Overall accountabilities are defined in this section.*
 As a Data Engineer, you will be at the heart of transforming raw data into powerful insights that drive strategic decisions across the business. You will architect and optimize data pipelines, build scalable infrastructure, and collaborate with cross\-functional teams to unlock the full potential of our data ecosystem. This is your opportunity to shape how data flows, is stored, and is leveraged—making a tangible impact every single day.
 You will work with cutting\-edge technologies in a fast\-paced, innovation\-driven environment where your ideas matter and your skills shine. You will solve complex problems, automate processes, and ensure data integrity at scale—all while growing your expertise and influencing the future of data engineering. If you're passionate about building elegant solutions and turning data into action, this is the role where you’ll thrive.
**What You’ll Do**
*The below statements are intended to describe the general nature and level of work being performed by people assigned to this job. They are not intended to be an exhaustive list of all responsibilities, duties, and skills required of personnel so classified. May perform other duties as assigned.*
**Data Architecture \&amp; Pipeline Development**
* Design, build, and maintain robust, scalable data pipelines and ETL processes to support analytics and operational needs.
* Develop and optimize data models and storage solutions across structured and unstructured data sources.
* Ensure data quality, integrity, and consistency through automated validation and monitoring systems.
**Collaboration \&amp; Strategy**
* Partner with data scientists, analysts, and business stakeholders to understand data requirements and deliver impactful solutions.
* Translate business needs into technical specifications and data architecture strategies.
* Contribute to the evolution of our data platform by evaluating new tools, frameworks, and best practices.
**Performance \&amp; Governance**
* Monitor and tune data systems for performance, reliability, and scalability.
* Implement and enforce data governance, security, and compliance standards.
* Document data flows, processes, and system configurations to support transparency and maintainability.
**What We’re Seeking**
 To perform this job successfully, an individual must be able to perform each essential duty satisfactorily. The requirements listed below are representative of the knowledge, skill, and/or ability required. Reasonable accommodations may be made to enable individuals to perform the essential functions.
* Bachelor’s Degree from a regionally accredited four\-year college or university and 5\+ years of relevant experience, or equivalent combination of education and experience, required.
* Minimum of 3\+ years experience in a Business Intelligence, Data Architecture or Data Engineering role or equivalent.
* Advanced knowledge of data management, data integration and data platform development techniques required
* Advanced knowledge of dimensional data modeling techniques for analytics required
* Advanced knowledge of SQL programming, including demonstrated experience with a combination of 4 or more of the following: functions, stored procedures, cursors, common table expressions, dynamic SQL, data pivoting, query optimization, correlated subqueries, windowing functions, error handling and merge operations required
* Advanced knowledge and experience with one or more computer programming languages such as, but not limited to C\#, DAX, .NET, Python, SQL required
* Demonstrated ability to design complex data solutions and collaborate with other team members for successful implementation
* Demonstrated ability to teach complex topics to less technical team members
* Demonstrated experience utilizing Python and SQL on the Apache Spark platform is preferred
* Advanced knowledge of one or more data visualization tools including Power BI, Tableau, Qlik or similar is preferred
* Demonstrated experience deploying data solutions using a modern data engineering stack composed of data lake, dimensional data warehouse and Apache Spark\-based compute platform, preferred
* Experience using code version control, CI/CD, error handling and lineage/audit capabilities in analytics data pipelines preferred
* Experience with Microsoft Azure technologies strongly preferred
* Ability to quickly learn and adopt new technology
* Considers the relative costs and benefits of potential actions to choose the most appropriate one; acts decisively and swiftly
* Ability to communicate technical concepts in plain language
* Strong attention to detail
* Ability to investigate, understand and deploy new technologies with minimal guidance
* Strong verbal and written communication skills
* Strong team collaboration skills
* Ability to develop excellent relationships with business stakeholders
* Knowledge of business aspects protein industry strongly preferred
* High proficiency with the Microsoft Office suite (Word, Excel, PowerPoint, Visio)
 Relocation Package Available No
**EEO Information**
*Smithfield is an equal opportunity employer committed to workplace diversity. All qualified applicants will receive consideration for employment without regard to race, color, religion, sex, sexual orientation, national origin, age, gender identity, protected veterans status, status as a disabled individual or any other protected group status or non\-job characteristic as directed by law.*
*If you are an individual with a disability and would like to request a reasonable accommodation for any part of the employment selection process, please call us at 757\-357\-1595\.*</t>
        </is>
      </c>
    </row>
    <row r="35">
      <c r="A35" t="inlineStr">
        <is>
          <t>li-4332203913</t>
        </is>
      </c>
      <c r="B35" t="inlineStr">
        <is>
          <t>Analytics Engineer</t>
        </is>
      </c>
      <c r="C35" t="inlineStr">
        <is>
          <t>RemoteHunter</t>
        </is>
      </c>
      <c r="D35" t="inlineStr">
        <is>
          <t>linkedin</t>
        </is>
      </c>
      <c r="E35" t="inlineStr"/>
      <c r="F35" t="inlineStr"/>
      <c r="G35" t="inlineStr"/>
      <c r="H35" t="inlineStr"/>
      <c r="I35" t="inlineStr">
        <is>
          <t>About the Opportunity:
 A financial technology organization based in Boston, Massachusetts with team members across the United States, Dominican Republic, and Canada is on a mission to unlock capital that fuels small businesses nationwide. The Analytics Engineering team plays a central role in the data ecosystem by converting raw data into actionable insights. The role involves designing, constructing, and maintaining data models and supporting the analytics platform using tools such as dbt, Fivetran, Snowflake, Census, and Tableau.
 Responsibilities:
 • Design, build, and maintain robust data models and marts using dbt, adhering to clear logic and the DRY principle
 • Collaborate with Data Science to prepare and transform data features for predictive models
 • Assist Data Engineering in deploying and stabilizing data pipelines feeding production machine learning models
 • Partner with Technology teams to manage impacts of schema changes and data migrations on analytical models
 • Support DevOps in monitoring and maintaining real\-time streaming pipelines
 • Participate in peer reviews to ensure data quality and adherence to team standards
 • Assist in integrating new third\-party data sources to enrich the data ecosystem
 • Implement data governance standards, including quality checks, documentation, and compliance procedures
 Requirements:
 • 2 or more years of experience in Analytics Engineering, Data Engineering, or Business Intelligence
 • 1 or more years of hands\-on experience developing and maintaining production\-level data transformation pipelines using dbt or equivalent Python scripting
 • 1 or more years of experience with cloud\-based data warehouses such as Snowflake or Redshift
 • Strong proficiency in SQL and data modeling
 • Ability to translate complex business needs into scalable technical data solutions
 • Experience with business intelligence tools like Looker, Tableau, or similar
 • Bonus: Experience with Python
 Compensation:
 • Annual Targeted Salary: $110,000 to $130,000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optional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6">
      <c r="A36" t="inlineStr">
        <is>
          <t>li-4359475007</t>
        </is>
      </c>
      <c r="B36" t="inlineStr">
        <is>
          <t>Azure Data Engineer</t>
        </is>
      </c>
      <c r="C36" t="inlineStr">
        <is>
          <t>Best Job Tool</t>
        </is>
      </c>
      <c r="D36" t="inlineStr">
        <is>
          <t>linkedin</t>
        </is>
      </c>
      <c r="E36" t="inlineStr"/>
      <c r="F36" t="inlineStr"/>
      <c r="G36" t="inlineStr"/>
      <c r="H36" t="inlineStr"/>
      <c r="I36" t="inlineStr">
        <is>
          <t>**About The Company**
 TechDigital Group is a leading technology solutions provider dedicated to delivering innovative and reliable digital services to clients across various industries. With a strong emphasis on cutting\-edge technology, customer\-centric solutions, and a commitment to excellence, TechDigital Group has established itself as a trusted partner in digital transformation. Our team of skilled professionals works collaboratively to develop tailored solutions that meet the unique needs of each client, ensuring optimal performance and long\-term success. As a forward\-thinking organization, we prioritize continuous learning, innovation, and integrity in all our endeavors.
**About The Role**
 We are seeking a highly motivated and skilled \[Job Title] to join our dynamic team at TechDigital Group. In this role, you will be responsible for \[brief overview of primary responsibilities], working closely with cross\-functional teams to deliver high\-quality solutions. The ideal candidate will possess a strong technical background, excellent problem\-solving skills, and the ability to adapt to rapidly changing project requirements. This position offers an exciting opportunity to contribute to impactful projects, enhance your professional skills, and grow within a supportive and innovative environment.
**Qualifications**
 The ideal candidate should have a minimum of \[X] years of relevant experience in \[industry/field], with a proven track record of success. A bachelor’s degree in \[relevant field] or higher is required. Candidates should demonstrate proficiency in \[specific skills, tools, or technologies], along with strong analytical and communication skills. Prior experience working in agile environments and familiarity with \[any relevant certifications or standards] will be considered an advantage. We value individuals who are proactive, detail\-oriented, and committed to continuous improvement.
**Responsibilities**
* Develop, implement, and maintain software solutions according to project specifications and best practices.
* Collaborate with stakeholders to gather requirements and translate them into technical designs.
* Conduct code reviews, testing, and debugging to ensure high\-quality deliverables.
* Participate in project planning, sprint meetings, and status updates to ensure timely delivery.
* Maintain documentation related to system architecture, processes, and user manuals.
* Stay updated with the latest industry trends, tools, and technologies to recommend improvements.
* Provide technical support and troubleshooting assistance to clients and internal teams as needed.
* Assist in mentoring junior team members and fostering a collaborative work environment.
**Benefits**
 At TechDigital Group, we believe in rewarding our employees with competitive benefits that support their professional and personal growth. Our package includes comprehensive health insurance, retirement plans, paid time off, and opportunities for ongoing training and certification. We promote a flexible work environment that encourages work\-life balance and offers options for remote work. Additionally, employees have access to wellness programs, performance bonuses, and various team\-building activities designed to foster a positive and engaging workplace culture.
 Equal Opportunity
 TechDigital Group is an equal opportunity employer. We are committed to creating an inclusive environment where all employees and applicants are treated with respect and fairness regardless of race, color, religion, gender, sexual orientation, gender identity, national origin, age, disability, or any other protected characteristic. We believe diversity drives innovation and are dedicated to fostering a workplace that reflects a wide range of perspectives and experiences.</t>
        </is>
      </c>
    </row>
    <row r="37">
      <c r="A37" t="inlineStr">
        <is>
          <t>li-4344986775</t>
        </is>
      </c>
      <c r="B37" t="inlineStr">
        <is>
          <t>Senior Data Platform Engineer</t>
        </is>
      </c>
      <c r="C37" t="inlineStr">
        <is>
          <t>Inspiren</t>
        </is>
      </c>
      <c r="D37" t="inlineStr">
        <is>
          <t>linkedin</t>
        </is>
      </c>
      <c r="E37" t="inlineStr"/>
      <c r="F37" t="inlineStr"/>
      <c r="G37" t="inlineStr">
        <is>
          <t>New York, NY</t>
        </is>
      </c>
      <c r="H37" t="inlineStr"/>
      <c r="I37" t="inlineStr">
        <is>
          <t>**About Inspiren**
 Inspiren offers the most complete and connected ecosystem in senior living. Founded by Michael Wang, a former Green Beret turned cardiothoracic nurse, Inspiren proves that compassionate care and technology can coexist \- bringing peace of mind to residents, families, and staff.
 Our integrated solutions seamlessly fit into existing workflows, capturing everything happening within a community. Backed by nurse specialists and powerful analytics, we provide the data operators need to make informed clinical and operational decisions \- driving efficiency, profitability, and better care outcomes.
**About the Role**
 From our realtime monitoring platform to deeper longitudinal insights, data is at the heart of everything Inspiren does. We are seeking a highly skilled Senior Data Platform Engineer to own, maintain, and develop our data infrastructure built on Databricks and AWS to scale and accelerate our data capabilities across the company.
**What You'll Do**
* Collaborate with engineering, data science, ML, data engineering, and product analytics teams to understand and shape the future needs of our data platform and infrastructure.
* Define, drive, and implement the future live ingestion layer of data into our data platform (e.g. Kafka, Kinesis).
* Define and evolve standards for storage, compute, data management, provenance, and orchestration.
* Monitor current and forecast future infrastructure needs and costs based on business requirements.
* Implement and manage role\-based access management.
* Design and implement reusable tooling and frameworks for data consumers (e.g., data quality monitoring frameworks, templated pipelines, foolproof backfilling capabilities).
**Qualifications**
- **Educational Background** 
 : Bachelor's or Master's degree in Computer Science, or a related engineering field.
- **Experience** 
 : 5\+ years of experience in data infrastructure, platform engineering, data engineering, or similar.
- **Technical Expertise:**
* **Cloud Providers:** 
 Demonstrated hands\-on experience with Databricks. AWS experience is a plus but not required.
* **Data Warehousing:** 
 Expertise in modern data warehouse and lakehouse architectures.
* **Data Pipelines:** 
 Expertise in modern ETL technologies and building and supporting data pipelines at scale.
* **Access Control and Management:** 
 Familiarity with access control, data governance, and security.
* **Reliability:** 
 Demonstrated experience of reliability, observability, and monitoring of infrastructure and systems.
* **DevEx:** 
 Experience building and maintaining data platforms with a wide variety of stakeholders/users with a diversity of technical expertises.
* **Scalability:** 
 Demonstrated ability to scale cloud\-based data workloads, whilst optimizing and monitoring cost
* **Communication:** 
 Excellent verbal and written communication skills, with the ability to convey complex ideas clearly.
* **Adaptability:** 
 Comfortable working in a fast\-paced, dynamic environment and adapting to changing priorities.
* **Start\-up** 
 experience is a plus.
* **Health\-tech** 
 experience is a plus.
**Details**
* The annual salary for this role is $1800,000\-$200,000 \+ equity \+ benefits (including medical, dental, and vision)
* Flexible PTO
* Location: Remote, US or Canada.
* Qualified applicants will receive consideration for employment without regard to race, color, religion, sex, sexual orientation, gender perception or identity, national origin, age, marital status, protected veteran status, or disability status.</t>
        </is>
      </c>
    </row>
    <row r="38">
      <c r="A38" t="inlineStr">
        <is>
          <t>li-4358597108</t>
        </is>
      </c>
      <c r="B38" t="inlineStr">
        <is>
          <t>Sr. Data &amp; Analytics Engineer</t>
        </is>
      </c>
      <c r="C38" t="inlineStr">
        <is>
          <t>Shawmut Design and Construction</t>
        </is>
      </c>
      <c r="D38" t="inlineStr">
        <is>
          <t>linkedin</t>
        </is>
      </c>
      <c r="E38" t="inlineStr"/>
      <c r="F38" t="inlineStr"/>
      <c r="G38" t="inlineStr">
        <is>
          <t>Boston, MA</t>
        </is>
      </c>
      <c r="H38" t="inlineStr"/>
      <c r="I38" t="inlineStr">
        <is>
          <t>**Overview** 
 At Shawmut Design and Construction, we take pride in the culture we’ve built as a 100% employee\-owned company—one that’s been recognized with more than 85 Best Place to Work awards . We’ve been honored as a National Fortune Best Workplace, a Fortune Best Workplace for Women, Millennials, and Parents, and one of America’s Best Employers by Forbes—along with numerous regional recognitions across our 11 offices nationwide.
**Here’s a Glimpse Into What We Offer** 
* Health, Dental, and Vision Insurance.
* Employee Stock Ownership Plan (ESOP) – Be an employee\-owner!
* 401(K) with Company Match – Receive a company match up to 4% of your eligible pay.
* Generous Paid Time Off – vacation and sick time, 12 holidays, summer Fridays, and a yearly volunteer day.
* The Extras – Cell phone, laptop, tuition reimbursement, pet insurance, financial planning services, and more.
**Responsibilities** 
 The
 **Senior Data \&amp; Analytics Engineer** 
 focuses on ingesting and transforming project, financial, and operational data for construction projects. Designs and maintains pipelines and models within Microsoft Fabric ecosystem (Data Factory, Notebooks, Lakehouse, Power BI) to enable real\-time insights for project teams and executives.
* Delivers well\-defined, transformed, tested, documented, and code\-reviewed datasets for analysis
* Designs the structure and layout of data systems, including databases, warehouses, and lakes
* Builds and optimizes pipelines using Azure Data Factory, Fabric Pipelines and Notebooks
* Creates robust data models and architectures to support analytics initiatives
* Collaborates with business stakeholders to understand their analytics needs and deliver comprehensive models and datasets
* Defines and manages standards, guidelines, and processes to ensure data quality
* Identifies and implements optimizations to continually enhance query performance, reduce processing time, and increase overall productivity
* Designs, develops and maintains data pipelines to ensure efficient and reliable ETL processes
* Collaborates with project teams to standardize KPIs for cost, schedule, and risk
* Ensures data quality and accuracy by implementing data validation, monitoring, and error\-handling processes
**Qualifications** 
* Experience : A minimum of 5 years of experience in data analytics, data engineering, software engineering, or a similar role.
+ Expertise in data modeling, ETL development, and data analysis
+ Experience with construction industry data and project\-based analytics is desired
+ Experience with Apache Spark or Databricks
* Education : bachelor’s degree in computer science, data science, engineering, or related field required.
* Additional Role Specific Skills:
+ Strong ability in SQL for data extraction and manipulation, and proficiency in data warehousing concepts/tools specifically Microsoft Fabric components (Data Factory, Lakehouse, OneLake)
+ Familiarity with Azure\-based data platforms for data storage and processing
+ Substantial programming ability using languages/tools such as Python, Scala, SQL for data manipulation and scripting
+ Solid understanding of relevant data governance, data quality, and data security best practices
+ Familiarity with construction ERP system (CMiC), HCM (Workday), and CRM (Dynamics) integrations
+ Strong problem\-solving skills, and the ability to think critically and analytically
+ Knowledge of ETL processes, data integration, and data warehousing concepts
+ Familiarity with data visualization tools such as Power BI
+ Excellent communication skills to effectively collaborate with cross\-functional teams and present insights to business stakeholders
**EEO Information** 
 Shawmut prohibits discrimination against any staff member or applicant on the basis of race, color, sex, sexual orientation, gender identity/expression, age, religion, national origin, marital status, veteran status, pregnancy, physical or mental disability, genetic information, disability, creed, citizenship status, or any other legally protected characteristic.
**Salary Range Information** 
**Boston Base Salary Range: $125,000 \- $175,000** 
 The range stated is specific to Boston. Placement within the listed range depends on many factors including, but not limited to years of experience, project size capability (for Construction \&amp; Field roles) and internal company equity.</t>
        </is>
      </c>
    </row>
    <row r="39">
      <c r="A39" t="inlineStr">
        <is>
          <t>li-4338938440</t>
        </is>
      </c>
      <c r="B39" t="inlineStr">
        <is>
          <t>Data Engineer III - PySpark/AWS</t>
        </is>
      </c>
      <c r="C39" t="inlineStr">
        <is>
          <t>JPMorganChase</t>
        </is>
      </c>
      <c r="D39" t="inlineStr">
        <is>
          <t>linkedin</t>
        </is>
      </c>
      <c r="E39" t="inlineStr"/>
      <c r="F39" t="inlineStr"/>
      <c r="G39" t="inlineStr">
        <is>
          <t>Plano, TX</t>
        </is>
      </c>
      <c r="H39" t="inlineStr"/>
      <c r="I39" t="inlineStr">
        <is>
          <t>**Job Description**
 Be part of a dynamic team where your distinctive skills will contribute to a winning culture and team.
 As a
 **Data Engineer III** 
 \-
 **PySpark/AWS** 
 at JPMorgan Chase within the
 **Payments Technology Regulatory Reporting** 
 team, you serve as a seasoned member of an agile team to design and deliver trusted market\-leading cloud technology products in a secure, stable, and scalable way. You are responsible for carrying out critical technology solutions across multiple technical areas within various business functions in support of the firm’s business objectives.
**Job Responsibilities**
* Supports review of controls to ensure sufficient protection of enterprise data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3\+ years hands\-on practical experience in system design, application development, testing, and operational stability
* Hands\-on practical experience in system design, application development, testing, and operational stability
* Proficient in coding in one or more data engineering languages/platforms \- Python / PySpark / Databricks or similar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Exposure to cloud technologies Databricks, AWS MSK, EC2, EKS, S3, RDS, Lambdas
* Exposure to payment domain streaming systems
* Exposure to payment regulatory reporting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0">
      <c r="A40" t="inlineStr">
        <is>
          <t>li-4359655821</t>
        </is>
      </c>
      <c r="B40" t="inlineStr">
        <is>
          <t>Senior Data Engineer</t>
        </is>
      </c>
      <c r="C40" t="inlineStr">
        <is>
          <t>ATPCO</t>
        </is>
      </c>
      <c r="D40" t="inlineStr">
        <is>
          <t>linkedin</t>
        </is>
      </c>
      <c r="E40" t="inlineStr"/>
      <c r="F40" t="inlineStr"/>
      <c r="G40" t="inlineStr">
        <is>
          <t>Herndon, VA</t>
        </is>
      </c>
      <c r="H40" t="inlineStr"/>
      <c r="I40" t="inlineStr">
        <is>
          <t>ATPCO is the world's primary source for air fare content, holding over 200 million fares across 160 countries. Every day, the travel industry relies on ATPCO's technology and data solutions to help millions of travelers reach their destinations efficiently. Join us and contribute to the development of innovative applications that power global travel. ATPCO is everywhere people buy flights.
 We’re not just shaping the future of air travel– we’re redefining how and where great work happens. At ATPCO, we believe in flexibility, trust, and a culture where your wellbeing comes first
**Why Join Us?** 
 ✅ Remote\-First Culture – Flexibility to work from home in your country of hire
 ✅ “Leave Your Way” PTO– Take the time you need, when you need it
 ✅ 401(k) with Generous Employer Match– Invest in your future
 ✅ Comprehensive Benefits– Medical, dental, vision, \&amp; mental health
 ✅ Global Tuition and Gym Reimbursement– Learn and grow on us
 ✅ Standby Flight Program– Explore the world
 ✅ Inclusive, Collaborative Culture– Be seen, heard, and valued
**Our Culture:** 
 We’ve built a remote\-first culture rooted in trust, transparency, and belonging. With open\-door leadership, weekly 1:1s, and real\-time recognition, we keep our people connected and valued—no matter where they work.
 Our cultural pillars of Collaboration, Empowerment, Innovation, Learning, Transparency, and Trust guide how we show up for one another and grow together.
**Job Description** 
 As a Senior Data Engineer, you will be responsible for building and optimizing data pipelines, managing data storage and processing systems, and ensuring the availability, scalability, and reliability of our data platform. You will collaborate with cross\-functional teams, including data scientists, software engineers, and business stakeholders to understand data requirements and deliver efficient high\-quality data solutions. We are seeking an accomplished individual to join our esteemed team of ATPCO data engineers, dedicated to tackling intricate data processing challenges within the Airline industry. This role offers an opportunity to work on cutting\-edge solutions that involve handling hundreds of terabytes of data daily, leveraging the latest AWS services.
 You Will:
 · Collaborate with data scientists, analysts, and other stakeholders to understand data requirements and design data models and schemas that facilitate data analysis and reporting
 · Design, develop, and maintain scalable and efficient data pipelines and ETL processes to ingest, process, and transform large volumes of data from various sources into usable formats
 · Build and optimize data storage and processing systems, including data warehouses, data lakes, and big data platforms, using AWS services such as Amazon Redshift, AWS Glue, AWS EMR, AWS S3, and AWS Lambda, to enable efficient data retrieval and analysis
 · Implement and manage real\-time data streaming architectures using AWS services like Amazon Kinesis or Apache Kafka to enable real\-time data processing and analytics
 · Perform data profiling, data cleansing, and data transformation tasks to prepare data for analysis and reporting
 · Implement data security and privacy measures to protect sensitive and confidential data using AWS security services and features
 · Design and implement data architectures following Data Mesh principles within the AWS environment, including domain\-oriented data ownership, self\-serve data infrastructure, and federated data governance
 · Provide technical guidance and mentorship to junior data engineers, reviewing their work and ensuring adherence to best practices and standards
 Qualifications:
 · Strong programming skills in languages like Python, Java, or Scala, with experience in data manipulation and transformation frameworks
 · Proven experience as a data engineer, with experience in designing and building large\-scale data processing systems
 · Strong understanding of data modeling concepts and data management principles
 · In\-depth knowledge of SQL and experience working with relational and non\-relational databases
 · Knowledge of Data Mesh principles and experience designing and implementing data architectures following Data Mesh concepts within the AWS ecosystem
 · Experience with real\-time data streaming architectures using AWS services like Amazon Kinesis or Apache Kafka
 · Familiarity with AWS cloud services, such as AWS Glue, AWS Lambda, AWS EMR, AWS S3, Amazon Redshift, and their data\-related features and functionalities
 · Familiarity with AWS security services and features for data security and privacy
 · Bachelor's or Master's degree in Computer Science, Information Systems, or a related field
**Salary Range** 
 : $110,572 – $145000
 \*The disclosed range estimate has not been adjusted for applicable geographic differential associated with the United States\*
**Additional Information** 
 At ATPCO, we are deeply committed to diversity, equity, and inclusion. Our supportive policies promote work\-life balance through flexible work arrangements, and we cultivate a workplace where every employee feels valued, respected, and a true sense of belonging.
 We consider qualified applicants for employment without regard to race, gender, age, color, religion, national origin, citizenship status, marital status, disability, sexual orientation, protected military/veteran status, gender identity or expression, genetic information, marital status, medical condition, or any other legally protected factor
 All your information will be kept confidential according to EEO guidelines.</t>
        </is>
      </c>
    </row>
    <row r="41">
      <c r="A41" t="inlineStr">
        <is>
          <t>li-4352351493</t>
        </is>
      </c>
      <c r="B41" t="inlineStr">
        <is>
          <t>AWS Data Engineer</t>
        </is>
      </c>
      <c r="C41" t="inlineStr">
        <is>
          <t>Visionary Innovative Technology Solutions LLC</t>
        </is>
      </c>
      <c r="D41" t="inlineStr">
        <is>
          <t>linkedin</t>
        </is>
      </c>
      <c r="E41" t="inlineStr"/>
      <c r="F41" t="inlineStr"/>
      <c r="G41" t="inlineStr">
        <is>
          <t>Virginia, United States</t>
        </is>
      </c>
      <c r="H41" t="inlineStr"/>
      <c r="I41" t="inlineStr">
        <is>
          <t>**Position :\- Data Engineer** 
**Location :\- Virginia (5 Days per Week Onsite role )** 
**Type :\- Full Time** 
**Job Description :\-** 
 Seeking an AWS Data Engineer to design, build, and maintain scalable data pipelines and ETL solutions using Python/Pyspark and AWS managed services to support analytics and data product needs.
**Key Responsibilities** 
* Build and maintain ETL pipelines using
 **Python** 
 and
 ***PySpark***
 on AWS Glue and other compute platforms
* Orchestrate workflows with AWS Step Functions and serverless components (
 **Lambda** 
 )
* Implement messaging and event\-driven patterns using AWS
 **SNS** 
 and
 **SQS**
* Design and optimize data storage and querying in Amazon
 **Redshift**
* Write performant
 **SQL** 
 for data transformations, validation, and reporting
* Ensure data quality, monitoring, error handling and operational support for pipelines
* Collaborate with data consumers, engineers, and stakeholders to translate requirements into solutions
* Contribute to
 **CI/CD** 
 , infrastructure\-as\-code, and documentation for reproducible deployments
**Required Skills** 
* Strong experience with Python and Pyspark for large\-scale data processing
* Proven hands\-on experience with AWS services: Lambda, SNS, SQS, Glue, Redshift, Step Functions
* Solid SQL
 *SQL* 
 skills and familiarity with data modeling and query optimization
* Experience with ETL best practices, data quality checks, and monitoring/alerting
* Familiarity with version control (Git) and basic DevOps/CI\-CD workflows</t>
        </is>
      </c>
    </row>
    <row r="42">
      <c r="A42" t="inlineStr">
        <is>
          <t>li-4350295635</t>
        </is>
      </c>
      <c r="B42" t="inlineStr">
        <is>
          <t>Sr Data Engineer</t>
        </is>
      </c>
      <c r="C42" t="inlineStr">
        <is>
          <t>Thermo Fisher Scientific</t>
        </is>
      </c>
      <c r="D42" t="inlineStr">
        <is>
          <t>linkedin</t>
        </is>
      </c>
      <c r="E42" t="inlineStr"/>
      <c r="F42" t="inlineStr"/>
      <c r="G42" t="inlineStr">
        <is>
          <t>Pittsburgh, PA</t>
        </is>
      </c>
      <c r="H42" t="inlineStr"/>
      <c r="I42" t="inlineStr">
        <is>
          <t>**Work Schedule**
 Standard (Mon\-Fri)
**Environmental Conditions**
 Office
 As part of the Thermo Fisher Scientific team, you’ll find meaningful work that impacts the world. Join us in bringing our Mission to life daily to help customers make the world healthier, cleaner, and safer. We provide resources to support your career goals and develop solutions for global challenges like environmental protection, food safety, and cancer cures.
 How You Will Get Here:
* Proven experience (5\+ years) in data engineering with a strong understanding of modern data architecture, pipelines, and operations.
* 5 years of demonstrated expertise in Databricks and Spark, Python, Apache, SQL including pipeline creation, automation, and monitoring
* 5 years or more hands\-on experience crafting and administrating relational database solutions, including AWS Delta Lake, Oracle, and AWS Redshift
* 5 years or more experience handling and managing AWS products, including Spark, Glue, Kafka, Elastic Search, Lambda, S3, Redshift, and others
* Strong problem\-solving skills with debugging, performance tuning, and AI/ML model deployment in cloud environments
* Prior experience with tools like Power BI, Cognos, SQL Server, and Oracle is a strong plus
* Deep understanding of data modeling, metadata management, and data governance frameworks
* Experience building, scheduling, and monitoring data workflows using Apache Airflow
* 5 years of solid experience in DevOps/DataOps or equivalent roles, version control platforms (such as GitHub), and continuous integration and delivery pipelines
* Demonstrated experience in leading engineering projects and managing project lifecycles
* A self\-starter with the drive and ability to deliver complex solutions rapidly
* Communicate effectively with technical and non\-technical personnel in oral and written form
* Ensure stable and timely data pipelines that support period\-end and quarter\-end financial close processes, enabling accurate reporting and reconciliations
* Monitor, solve, and optimize finance workflows during close cycles to guarantee data completeness, performance, and SLA compliance
 Non\-Technical Qualifications:
* Effective leadership abilities to build technical choices and steer teams towards data\-driven enterprise solutions
* Outstanding interpersonal skills to translate sophisticated technical and AI concepts into business\-aligned solutions
* Demonstrable ability to collaborate with team members across IT, business, and AI/analytics departments
* Passion for continuous learning, innovation, and staying ahead of evolving cloud, AI, and data technologies
**Compensation And Benefits**
 This position may also qualify for a variable annual bonus depending on company, team, and/or individual performance results aligned with company policy. We provide a comprehensive Total Rewards package that our U.S. colleagues and their families can rely on, which includes:
* A choice of national medical and dental plans, and a national vision plan, including health incentive programs
* Employee assistance and family support programs, including commuter benefits and tuition reimbursement
* A minimum of 120 hours of paid time off (PTO), 10 paid holidays each year, and paid parental leave including 3 weeks for bonding and 8 weeks for caregiving. Accident and life insurance are provided, along with short\- and long\-term disability as outlined in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****Compensation And Benefits****
 The salary range estimated for this position based in California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43">
      <c r="A43" t="inlineStr">
        <is>
          <t>li-4350235635</t>
        </is>
      </c>
      <c r="B43" t="inlineStr">
        <is>
          <t>Sr Data Engineer</t>
        </is>
      </c>
      <c r="C43" t="inlineStr">
        <is>
          <t>Thermo Fisher Scientific</t>
        </is>
      </c>
      <c r="D43" t="inlineStr">
        <is>
          <t>linkedin</t>
        </is>
      </c>
      <c r="E43" t="inlineStr"/>
      <c r="F43" t="inlineStr"/>
      <c r="G43" t="inlineStr">
        <is>
          <t>Raleigh, NC</t>
        </is>
      </c>
      <c r="H43" t="inlineStr"/>
      <c r="I43" t="inlineStr">
        <is>
          <t>**Work Schedule**
 Standard (Mon\-Fri)
**Environmental Conditions**
 Office
 As part of the Thermo Fisher Scientific team, you’ll find meaningful work that impacts the world. Join us in bringing our Mission to life daily to help customers make the world healthier, cleaner, and safer. We provide resources to support your career goals and develop solutions for global challenges like environmental protection, food safety, and cancer cures.
 How You Will Get Here:
* Proven experience (5\+ years) in data engineering with a strong understanding of modern data architecture, pipelines, and operations.
* 5 years of demonstrated expertise in Databricks and Spark, Python, Apache, SQL including pipeline creation, automation, and monitoring
* 5 years or more hands\-on experience crafting and administrating relational database solutions, including AWS Delta Lake, Oracle, and AWS Redshift
* 5 years or more experience handling and managing AWS products, including Spark, Glue, Kafka, Elastic Search, Lambda, S3, Redshift, and others
* Strong problem\-solving skills with debugging, performance tuning, and AI/ML model deployment in cloud environments
* Prior experience with tools like Power BI, Cognos, SQL Server, and Oracle is a strong plus
* Deep understanding of data modeling, metadata management, and data governance frameworks
* Experience building, scheduling, and monitoring data workflows using Apache Airflow
* 5 years of solid experience in DevOps/DataOps or equivalent roles, version control platforms (such as GitHub), and continuous integration and delivery pipelines
* Demonstrated experience in leading engineering projects and managing project lifecycles
* A self\-starter with the drive and ability to deliver complex solutions rapidly
* Communicate effectively with technical and non\-technical personnel in oral and written form
* Ensure stable and timely data pipelines that support period\-end and quarter\-end financial close processes, enabling accurate reporting and reconciliations
* Monitor, solve, and optimize finance workflows during close cycles to guarantee data completeness, performance, and SLA compliance
 Non\-Technical Qualifications:
* Effective leadership abilities to build technical choices and steer teams towards data\-driven enterprise solutions
* Outstanding interpersonal skills to translate sophisticated technical and AI concepts into business\-aligned solutions
* Demonstrable ability to collaborate with team members across IT, business, and AI/analytics departments
* Passion for continuous learning, innovation, and staying ahead of evolving cloud, AI, and data technologies
**Compensation And Benefits**
 This position may also qualify for a variable annual bonus depending on company, team, and/or individual performance results aligned with company policy. We provide a comprehensive Total Rewards package that our U.S. colleagues and their families can rely on, which includes:
* A choice of national medical and dental plans, and a national vision plan, including health incentive programs
* Employee assistance and family support programs, including commuter benefits and tuition reimbursement
* A minimum of 120 hours of paid time off (PTO), 10 paid holidays each year, and paid parental leave including 3 weeks for bonding and 8 weeks for caregiving. Accident and life insurance are provided, along with short\- and long\-term disability as outlined in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****Compensation And Benefits****
 The salary range estimated for this position based in California is $103,100\.00–$154,700\.00\.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44">
      <c r="A44" t="inlineStr">
        <is>
          <t>li-4312271199</t>
        </is>
      </c>
      <c r="B44" t="inlineStr">
        <is>
          <t>Global Operations Analytics Engineer</t>
        </is>
      </c>
      <c r="C44" t="inlineStr">
        <is>
          <t>Meta</t>
        </is>
      </c>
      <c r="D44" t="inlineStr">
        <is>
          <t>linkedin</t>
        </is>
      </c>
      <c r="E44" t="inlineStr"/>
      <c r="F44" t="inlineStr"/>
      <c r="G44" t="inlineStr">
        <is>
          <t>Hillsboro, OR</t>
        </is>
      </c>
      <c r="H44" t="inlineStr"/>
      <c r="I44" t="inlineStr">
        <is>
          <t>Meta is seeking a Global Operations Analytics Engineer to join our Data Center Site Operations team. Our data centers are the foundation upon which our rapidly scaling infrastructure efficiently operates and upon which our services are delivered.The Global Operations Analytics Engineer leads the development of analytics data sets and use cases to support and enable the effective and efficient use of Meta’s global server fleet. As we grow our data center fleet to support Meta’s products, this role leverages data and insights to drive decisions that enable predictability, consistency, and proactive actions, allowing us to operate efficiently and reliably at scale.You have a demonstrated understanding of AI's business applications and the experience to identify, scope and deliver AI\-enabled and automated solutions that improve operational efficiency, and data insights generated by the analytics team. While the you won’t be building AI models, you will be involved in the design, development, and deployment of intelligent solutions that reduce the operational burden of identifying analytical insights and enabling us to focus on strategic, high\-value projects. This role will directly impact the scalability and efficiency of our operations through proactive identification, automation, and resolution of routine tasks, inefficiencies, and incidents.In addition, this is a crucial role in translating data into action and identifying opportunities for efficiency and effectiveness. You are expected to provide meaningful insights into operational performance and make recommendations and actionable strategies to key stakeholders. You love exploring white space and creating impact from the ground up in an ever changing environment, with a demonstrated track record of thought leadership and impact in developing analytics and metrics\-based programs.
 Global Operations Analytics Engineer Responsibilities:
* Translate business challenges into clear, actionable requirements for AI\-enabled solutions
* Map end\-to\-end business processes, highlighting areas where AI can drive efficiency and value
* Design, build and implement AI\-driven automation solutions to uncover operational data insights that drive decision making
* Develop and deploy solutions and AI prompts to identify and address operational bottlenecks, replacing manual interventions with intelligent automation
* Create scalable automation mechanisms that proactively monitor, analyze, and report on operations
* Build robust predictive models using statistical and machine learning techniques to forecast risks, anticipate issues and optimize operations
* Surface actionable insights that enable data\-driven, proactive decision\-making in global operations
* Develop monitoring tools to trigger early warnings and facilitate rapid resolution through automation
* Acts as a data subject matter go to on operation of servers in a hyper\-scale data center environment
* Formulate the right metrics, measures, and definitions of success to drive quality, efficiency, cost, and timeliness understanding the source data
* Perform complex data analysis leveraging data streams available to drive proactive and predictive action
* Partner with operational analysts and data science to understand pain points, identify repetitive tasks and translate them into opportunities for automation
* Bring multiple areas of business and engineering together via a common reliable foundation of common data, metrics, and insights to enhance operational performance of Meta’s infrastructure
* Provide data supplied narratives that are connected to the business, determining what is important and what next steps should be taken
* Build data tables and dashboards, and leverage these for interpreting incidents and trends
* Lead and support various ad hoc projects, as needed, in support of Meta’s data center strategy
* Leverage tools like R, Tableau, Python, and SQL to drive efficient analytics
* Travel up to 30\-49% required
 Minimum Qualifications:
* Degree in an analytical field (e.g. Computer Science, Engineering, Mathematics, Statistics, Operations Research, Data Science, Management Science or commensurate experience)
* 7\+ years of experience in analytics, engineering, use of AI and/or workflow automation for business improvement
* 7\+ years of SQL development experience writing queries, R or Python
* Hands\-on experience with AI/ML frameworks (e.g. TensorFlow, PyTorch, Scikit\-learn) and automation tools/platforms
* Significant experience with data visualization tools and leveraging data driven models to drive business decisions
* Experience with statistics (e.g. statistics basics, statistical modeling, experimental design, hypothesis testing, etc.)
* Demonstrated experience with proactively identifying, scoping and implementing solutions
* Hands\-on experience analyzing and interpreting data, drawing conclusions, defining recommended actions, and reporting results across stakeholders
 Preferred Qualifications:
* Experience working in a large\-scale data center environment
* Leadership and/or team management experience
* Experience designing measurement systems to assess large scale performance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$151,000/year to $213,000/year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5">
      <c r="A45" t="inlineStr">
        <is>
          <t>li-4337325551</t>
        </is>
      </c>
      <c r="B45" t="inlineStr">
        <is>
          <t>Senior Data Engineer (Apache Spark, NiFi, SQL)</t>
        </is>
      </c>
      <c r="C45" t="inlineStr">
        <is>
          <t>Mastercard</t>
        </is>
      </c>
      <c r="D45" t="inlineStr">
        <is>
          <t>linkedin</t>
        </is>
      </c>
      <c r="E45" t="inlineStr"/>
      <c r="F45" t="inlineStr"/>
      <c r="G45" t="inlineStr">
        <is>
          <t>O'Fallon, MO</t>
        </is>
      </c>
      <c r="H45" t="inlineStr"/>
      <c r="I45"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Data Engineer (Apache Spark, NiFi, SQL)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Enterprise Data Solutions team is looking for a Big Data Engineer to drive our mission to unlock potential of data assets by consistently innovating, eliminating friction in how users access data from its Big Data repositories and enforce standards and principles in the Big Data space. The candidate will be part of an exciting, fast paced environment developing Data Engineering solutions in the data and analytics domain.
 Role
* Develop high quality, secure and scalable data pipelines using spark, Scala/ python on Hadoop or object storage.
* Leverage new technologies and approaches to innovate with increasingly large data sets.
* Drive automation and efficiency in Data ingestion, data movement and data access workflows by innovation and collaboration.
* Understand, implement and enforce Software development standards and engineering principles in the Big Data space.
* Work closely with business stakeholders and embedded engineering teams within business teams in a collaborative manner to help them build scalable products in quick time.
* Contribute ideas to help ensure that required standards and processes are in place and actively look for opportunities to enhance standards and improve process efficiency.
* Perform assigned tasks and production incident independently.
**All About You**
* 6\+ years of experience in Data Warehouse related projects and implementing multiple end\-to\-end DW projects in Big Data environment
* Experience of building data pipelines through Spark with Scala/Python/Java on Hadoop or Object storage
* Experience of building Nifi pipelines
* Experience of working with Databases like Oracle, Netezza would be added advantage
* Strong analytical skills required for debugging production issues, providing root cause and implementing mitigation plan
* Strong communication skills \- both verbal and written – and strong relationship, collaboration skills and organizational skills
* Ability to multi\-task across multiple projects, interface with external / internal resources and provide technical leadership to junior team members
* Ability to be high\-energy, detail\-oriented, proactive and able to function under pressure in an independent environment along with a high degree of initiative and self\-motivation to drive results
* Ability to quickly learn and implement new technologies, and perform POC to explore best solution for the problem statement
* Flexibility to work as a member of a matrix based diverse and geographically distributed project teams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$140,000 \- $231,000 USD</t>
        </is>
      </c>
    </row>
    <row r="46">
      <c r="A46" t="inlineStr">
        <is>
          <t>li-4328037183</t>
        </is>
      </c>
      <c r="B46" t="inlineStr">
        <is>
          <t>Data Engineer/Flask Developer - 26410</t>
        </is>
      </c>
      <c r="C46" t="inlineStr">
        <is>
          <t>Mission Technologies, a division of HII</t>
        </is>
      </c>
      <c r="D46" t="inlineStr">
        <is>
          <t>linkedin</t>
        </is>
      </c>
      <c r="E46" t="inlineStr"/>
      <c r="F46" t="inlineStr"/>
      <c r="G46" t="inlineStr">
        <is>
          <t>Arlington, VA</t>
        </is>
      </c>
      <c r="H46" t="inlineStr"/>
      <c r="I46" t="inlineStr">
        <is>
          <t>Requisition Number: 26410
 Required Travel: 0 \- 10%
 Employment Type: Full Time/Salaried/Exempt
 Anticipated Salary Range: $98,717\.00 \- $130,000\.00
 Security Clearance: Secret
 Level of Experience: Mid
 This opportunity resides with
 **Warfare Systems (WS)** 
 , a business group within HII’s Mission Technologies division. Warfare Systems comprises cyber and mission IT; electronic warfare; and C5ISR systems.
 HII works within our nation’s intelligence and cyber operations communities to defend our interests in cyberspace and anticipate emerging threats. Our capabilities in cybersecurity, network architecture, reverse engineering, software and hardware development uniquely enable us to support sensitive missions for the U.S. military and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Come join our growing team today, supporting our Warfare Systems Business Group! HII\-Mission Technologies is currently seeking a skilled Data Engineer/Flask Developer, who will support refining a centralized data environment (CDE) with impact across DoD! Key functionality for this position contributes toward auditable financial transaction data and building a common operating picture for leadership.
 A successful candidate will be well\-versed in Flask and Python, knowledgeable about relational database (SQL), has strong written/oral communications, and can work as part of a team providing productive input toward solving challenging problems. Team members must be able to internalize and appreciate strategic requirements, to best align the most meaningful data to decision makers\- getting the right data to the right people!
**Essential Job Responsibilities**
* Research, design, develop, and/or modify enterprise\-wide systems and/or applications software.
* Will be Involved in planning of system and development deployment as well as responsible for meeting software compliance standards.
* Evaluate interface between hardware and software, operational requirements, and characteristics of overall system.
* Document testing and maintenance of system corrections.
* Design, develop, and maintain scalable backend services and RESTful APIs using Flask, Flask\-RESTful, Flask\-RESTX, or similar extensions, following best practices and clean architecture principles
* Build and extend complex business logic in Python, implementing features from technical specifications and user stories while following SOLID principles and Flask best practices
* Familiar with scripts for data ingest pipelines (Python).
* Familiar with Relational Databases (SQL).
* Utilize Agile development processes.
* Guide development aligned to established business needs and/or policies.
* Participate in code reviews, architectural discussions, and sprint planning, providing constructive feedback, suggesting improvements, and helping enforce coding standards
* Additional duties as assigned or required.
**Minimum Qualifications**
* 5 years relevant experience with Bachelors in related field; 3 years relevant experience with Masters in related field; 0 years experience with PhD or Juris Doctorate in related field; or High School Diploma or equivalent and 9 years relevant experience.
* Hands‑on experience building applications using Flask,
* Proficiency in Python programming with solid understanding of core concepts,
* Can operate independently and within a team.
* Self\-starter who takes initiative.
* Clearance: Must possess and maintain a Secret clearance.
**Preferred Requirements**
* Ability to understand the transactional nature of the data being reviewed.
* Experience with FMS, ADVANA.
* Basic SQL skills for querying, managing, and optimizing relational databases.
* Experience working in a Safe Agile environment.
**Physical Requirements**
* Job performance requires adequate visual acuity and manual dexterity for meeting the requirements of the generic systems analyst discipline. Office work environment normally encountered.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47">
      <c r="A47" t="inlineStr">
        <is>
          <t>li-4359445812</t>
        </is>
      </c>
      <c r="B47" t="inlineStr">
        <is>
          <t>Lead Data Engineer - Data Platform Engineering (Hybrid)</t>
        </is>
      </c>
      <c r="C47" t="inlineStr">
        <is>
          <t>Northwell Health</t>
        </is>
      </c>
      <c r="D47" t="inlineStr">
        <is>
          <t>linkedin</t>
        </is>
      </c>
      <c r="E47" t="inlineStr"/>
      <c r="F47" t="inlineStr"/>
      <c r="G47" t="inlineStr">
        <is>
          <t>Melville, NY</t>
        </is>
      </c>
      <c r="H47" t="inlineStr"/>
      <c r="I47" t="inlineStr">
        <is>
          <t>174891
**Job Description**
 We're looking for a hands\-on Lead Data Engineer to architect and build the data pipelines and infrastructure that power our analytics, ML, and business intelligence capabilities. You'll design greenfield data solutions while modernizing our existing systems to create a scalable, reliable, and performant data platform. Leads the implementation of information systems to manage financial functions for Patient Financial Services/Accounts. Oversees projects and initiatives to meet user requirements. Serves as a liaison between department (user) and vendors. Ensures systems compliance to applicable laws, regulatory standards and policies. This is a unique opportunity to own critical data infrastructure from the ground up. You'll spend your time building robust ETL/ELT pipelines, optimizing data models, building reusable and extensible frameworks, and mentoring the team all while solving complex challenges around data ingestion, transformation, and orchestration at scale.
 Job Responsibility
* Coordinates implementation of information system initiatives to meet user requirements.
* Communicates with user departments and project teams regarding implementation activities and system changes to ensure feasibility.
* Develops system specifications that appropriately meet department requirements.
* Develops systems to track data in comprehensive and innovative ways.
* Collaborates with hospital departments and outside vendors to facilitate managed care contract implementation.
* Coordinates and maintains communication between the hospital and vendor(s) regarding system applications.
* Performs periodic post\-installation reviews of system initiatives.
* Conducts system\-wide in\-services with managers and staff, as necessary.
* Ensures systems compliance to applicable laws, regulatory standards and policies.
* Uses knowledge and skills to contribute to the development of functional objectives and principles to achieve goals in innovative ways. Problems addressed are of diverse scope and complexity ranging from moderate to substantial.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5\-7 years of relevant experience including technical experience with Apache Hadoop, NoSQL, setting up cloud clusters, Apache Spark, and other advanced data science and big data technologies, required.
**Highly Preferred**
* Extensive Google Cloud Platform (GCP) experience
* Previous experience as a Data Platform Engineer/ Data Engineer/ Analytics Engineer for a large organization
* Experience in/ with Python (FastAPI, Pandas, Polars, etc.)
* Experience with infrastructure as code, specifically Terraform
* Extensive experience with Airflow, DBT, and/ or Dataform
* Experience with OpenLineage, OpenMetadata and data contracts
* Extensive experience with BigQuery, CloudSQL, Pub/ Sub, Dataflow, Cloud Storage, etc.
* Experience with the Cloud Healthcare API/ FHIR/ HL7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48">
      <c r="A48" t="inlineStr">
        <is>
          <t>li-4320985164</t>
        </is>
      </c>
      <c r="B48" t="inlineStr">
        <is>
          <t>Staff Data Engineer</t>
        </is>
      </c>
      <c r="C48" t="inlineStr">
        <is>
          <t>Headway</t>
        </is>
      </c>
      <c r="D48" t="inlineStr">
        <is>
          <t>linkedin</t>
        </is>
      </c>
      <c r="E48" t="inlineStr"/>
      <c r="F48" t="inlineStr"/>
      <c r="G48" t="inlineStr">
        <is>
          <t>New York, NY</t>
        </is>
      </c>
      <c r="H48" t="inlineStr"/>
      <c r="I48" t="inlineStr">
        <is>
          <t>Headway’s mission is a big one – to build a new mental health care system everyone can access. We’ve built technology that helps people find great therapists with the first software\-enabled national network of providers accepting insurance.
 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
 Headway was founded in 2019\. Since then, we’ve grown into a diverse, national network of over 60,000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
 We want your time here to be the most meaningful experience of your career.
 **Join us, and help change mental healthcare for the better.**
**About Data Engineering At Headway**
* Headway is looking for a Staff Data Engineer to help us get closer to executing our mission: to create access to affordable, quality mental healthcare across the United States.
* The Data Engineering Team is the foundational engine of our data\-driven organization. We are a high\-impact group of engineers focused on delivering reliable, high\-quality data assets at enterprise scale. Our work is centered on transforming raw data into business\-ready intelligence through robust ETL/ELT pipelines, advanced data modeling, and rigorous data quality frameworks. We operate with a strong engineering discipline, partnering closely with Data Scientists, Analysts, and core Software Engineering teams to ensure data is not just available, but completely trustworthy for every critical decision and product feature.
**About This Role**
* As a Staff Data Engineer, you will be a hands\-on technical leader, architect, and mentor, responsible for defining the future state of our data infrastructure. This role focuses on setting architectural direction, establishing organization\-wide data standards, and driving the design of highly scalable and optimized data models. You will lead complex, multi\-functional initiatives, focusing on data quality governance and the maturity of our pipelines. You will be expected to influence our technology choices, mentor other engineers, and act as the primary technical interface between the Data Engineering team and senior stakeholders across the business.
**You Will Love This Role If You Have**
* 9\+ years of experience in data engineering, with a proven track record of architecting and shipping progressively more complex, large\-scale data products.
* Expert\-level proficiency in our modern data stack, including Snowflake, dbt, Apache Airflow, and Python. You are capable of defining best practices and architectural patterns across these tools.
* Deep mastery of advanced data modeling techniques and their application within production systems to achieve high performance.
* Architectural Ownership: Proven ability to define the technical roadmap for the entire data platform, working horizontally to influence architectural decisions and technical debt management across multiple engineering teams.
* Engineering Elevation: A strong track record of mentoring, coaching, and elevating the technical skills, code quality, and engineering maturity of other data engineers.
* 2\+ years of Marketplace Experience: Prior experience in the marketplace or two\-sided platform is a significant plus.
**Compensation \&amp; Benefits**
 The expected base pay range for this position is $215,900 \- $254,000, based on a variety of factors including qualifications, experience, and geographic location. In addition to base salary, this role may be eligible for performance\-based variable compensation and an equity grant, depending on the position and level.
*We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
* Benefits offered include:
+ Equity compensation
+ Medical, Dental, and Vision coverage
+ HSA / FSA
+ 401K
+ Work\-from\-Home Stipend
+ Therapy Reimbursement
+ 16\-week parental leave for eligible employees
+ Carrot Fertility annual reimbursement and membership
+ 13 paid holidays each year as well as a Holiday Break during the week between December 25th and December 31st
+ Flexible PTO
+ Employee Assistance Program (EAP)
+ Training and professional development
 We believe a team's strength is in its people, and we cannot achieve this mission without a team that reflects the diversity of this problem – across race, ethnicity, gender, sexuality, age, national origin, religion, family status, disability, military status, and experience.
 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
 Headway participates in E\-Verify. To learn more, click here.</t>
        </is>
      </c>
    </row>
    <row r="49">
      <c r="A49" t="inlineStr">
        <is>
          <t>li-4332242527</t>
        </is>
      </c>
      <c r="B49" t="inlineStr">
        <is>
          <t>Lead Data Engineer – Platform</t>
        </is>
      </c>
      <c r="C49" t="inlineStr">
        <is>
          <t>Comcast</t>
        </is>
      </c>
      <c r="D49" t="inlineStr">
        <is>
          <t>linkedin</t>
        </is>
      </c>
      <c r="E49" t="inlineStr"/>
      <c r="F49" t="inlineStr"/>
      <c r="G49" t="inlineStr">
        <is>
          <t>West Chester, PA</t>
        </is>
      </c>
      <c r="H49" t="inlineStr"/>
      <c r="I49"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The Data Engineering Platform, Standards \&amp; Enablement team at Comcast is seeking a Lead Data Engineer – Platform to serve as the senior\-most technical authority for our enterprise data platform. This Engineer 4 will architect and evolve the next\-generation data engineering platform that powers Comcast’s data ecosystem across Databricks, AWS, Kafka, and distributed database environments. As a platform leader, you will define strategy, establish standards, and guide global teams to deliver a secure, scalable, and cost\-efficient platform enabling mission\-critical analytics and data workloads.
**Job Description**
 As the Lead Data Engineer – Platform, you will own the vision and roadmap for Comcast’s enterprise data platform. You will partner with Cloud Engineering, Cybersecurity, Enterprise Architecture, and Product Engineering to shape foundational capabilities that support thousands of data pipelines and analytics workloads. This role requires deep technical expertise, strong leadership skills, and the ability to influence across a large engineering organization. You will lead platform strategy, enforce governance, optimize performance, and ensure resiliency while mentoring senior engineers and driving engineering excellence.
 Due to the nature of the role and the team collaborate, this Engineer 4 role is based in our West Chester, PA office.
*This position is ineligible for visa sponsorship. To be considered for this role, you must be legally authorized to work in the United States and not require sponsorship for employment now or in the future*
**Core Responsibilities**
 Enterprise Platform Strategy \&amp; Architecture
* Define and evolve Comcast’s enterprise data platform strategy across Databricks, AWS, Kafka, and database ecosystems.
* Develop architectural patterns, reference implementations, reusable frameworks, and platform guardrails.
* Lead decisions on compute orchestration, storage tiering, data access models, and multi\-region resiliency.
* Serve as SME for Databricks architecture, including security model, cluster governance, Unity Catalog, Delta Lake strategy, and optimization frameworks.
 Technical Leadership \&amp; Engineering Excellence
* Act as the highest\-level escalation point for complex platform issues.
* Set engineering standards and coding conventions for all data engineering domains.
* Mentor senior engineers and architects; promote best practices and thought leadership.
* Evaluate emerging technologies to enhance scalability and operational efficiency.
 Platform Operations, Governance \&amp; Security
* Own platform governance, including workspace lifecycle, cluster policy enforcement, and compliance.
* Drive adoption of monitoring and observability tools (ELK, CloudWatch, Databricks native logging).
* Implement FinOps strategies for cost management and forecasting.
* Ensure platform resilience, disaster recovery readiness, and high availability.
 Cross\-Functional Leadership \&amp; Delivery
* Lead globally distributed platform engineering teams (onshore, offshore, vendor partners).
* Partner with Security, Enterprise Architecture, and CloudOps to align standards and governance.
* Drive quarterly planning, roadmap execution, and platform enhancements.
* Communicate risks, KPIs, and modernization opportunities to executive stakeholders.
**Required Experience/Qualifications**
* 8\-10\+ years of experience in Data Engineering, Platform Engineering, Distributed Systems, or Software Engineering.
* Deep hands\-on expertise in Databricks engineering and administration: Cluster policies \&amp; cost governance; Workspace architecture; Unity Catalog \&amp; data access models; Delta Lake performance tuning; Job orchestration \&amp; pipeline optimization
* Advanced AWS experience with: S3 lifecycle tiers, encryption, cross\-account architectures; MSK provisioning, tuning, scaling, monitoring; EC2, VPC networking, IAM role design; Lambda for serverless automation
* Strong background in backend/datastore technologies (Oracle, MongoDB).
* Expert\-level knowledge of Kafka, Spark, distributed computing, and real\-time ingestion frameworks.
* Proficiency in Python, SQL, and Shell scripting.
* Prior leadership experience managing platform teams and offshore delivery models.
* Proven ability to define and enforce platform standards across large organizations.
* Excellent communication and stakeholder influence skills.
**Preferred Experience**
* Experience with Databricks Unity Catalog rollout at enterprise scale.
* Experience creating reusable Spark frameworks or platform accelerators.
* Familiarity with Databricks Serverless, DLT, or Photon.
* Knowledge of Kubernetes, container orchestration, and microservices patterns.
* AWS or Databricks professional certifications.
* Telecom or large enterprise digital commerce experience.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Amazon Web Services (AWS); Artificial Intelligence (AI); Collaboration; Databricks Platform; ETL Design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50">
      <c r="A50" t="inlineStr">
        <is>
          <t>li-4320951375</t>
        </is>
      </c>
      <c r="B50" t="inlineStr">
        <is>
          <t>Data Engineer ( Bigdata with AWS &amp; Snowflake)</t>
        </is>
      </c>
      <c r="C50" t="inlineStr">
        <is>
          <t>Tata Consultancy Services</t>
        </is>
      </c>
      <c r="D50" t="inlineStr">
        <is>
          <t>linkedin</t>
        </is>
      </c>
      <c r="E50" t="inlineStr"/>
      <c r="F50" t="inlineStr"/>
      <c r="G50" t="inlineStr">
        <is>
          <t>Bethesda, MD</t>
        </is>
      </c>
      <c r="H50" t="inlineStr"/>
      <c r="I50" t="inlineStr">
        <is>
          <t>**Job Description**
* Involved in the Study of the business logic and coordinate with the client to gather the requirements.
* Experience with Hive, Nifi, Airflow, Snowflake and Kafka
* Experience in Cloud environments, particularly AWS \- EC2, S3, Lambda
* Experience in Unit testing, integration testing for Spark scripts
* Scripting with Bash, CSH, Shell, or Python
* Designing and implementing large\-scale ingest systems in a Big Data environment
* Optimizing all stages of the data life cycle, from initial planning, to ingest, through final display and beyond
* Designing and implementing data extraction, cleansing, transformation, loading, and replication/distribution capabilities
* Developing custom solutions/code to ingest and exploit new and existing data sources
* Working with Sponsor development teams to improve application performance
* Providing support to maintain, optimize, troubleshoot, and configure the AWS/spark/Hadoop environment as needed
* Collaborating with team\-mates, other service providers, vendors, and users to develop new and more efficient method
* Experience with CI/CD pipelines, unit tests, integration, and regression testing
* Significant experience with Airflow
* Strong ability to manage competing priorities and communication to multiple stakeholders
* Bachelor’s degree in computer science, Computer Engineering, or a related discipline with experience in software design and development.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Range\-$100,000\-$130,000 a year</t>
        </is>
      </c>
    </row>
    <row r="51">
      <c r="A51" t="inlineStr">
        <is>
          <t>li-4359417809</t>
        </is>
      </c>
      <c r="B51" t="inlineStr">
        <is>
          <t>Lead Software Engineer - Data Platform Engineering (Hybrid)</t>
        </is>
      </c>
      <c r="C51" t="inlineStr">
        <is>
          <t>Northwell Health</t>
        </is>
      </c>
      <c r="D51" t="inlineStr">
        <is>
          <t>linkedin</t>
        </is>
      </c>
      <c r="E51" t="inlineStr"/>
      <c r="F51" t="inlineStr"/>
      <c r="G51" t="inlineStr">
        <is>
          <t>Melville, NY</t>
        </is>
      </c>
      <c r="H51" t="inlineStr"/>
      <c r="I51" t="inlineStr">
        <is>
          <t>174903
**Job Description**
 We're seeking a hands\-on Lead Software Engineer to help build the future of our data infrastructure. In this role, you'll architect and develop greenfield services while evolving our existing platform into a best\-in\-class data solution that powers analytics, ML, and business intelligence across the organization. Leads team members to provide direct input to the overall engineering process and to team meetings. Coordinates within a team environment which is essential to work on various aspects of the platform and products, as is a devotion of collaboration to problem solve, design sophistically, and increase product quality. You'll split your time between writing code, making architectural decisions, and mentoring the team, all while solving complex problems around data ingestion, processing, storage, and access at scale. This is a rare opportunity to shape critical infrastructure from the ground up.
 Job Responsibility
* Leads the design and development of solutions to various problems either independently or in a team environment; designs and maintains efficient code that is reliable.
* Guides the creation of technical documents such as a design specification document.
* Ensures applications are performing at high capacity, responsiveness, and quality.
* Finds solutions to reduce issues and defects.
* Maintains that the platform's code and data are organized, automated, and of high quality.
* Guides junior team personnel by recommending software design and development opportunities/best practices.
* Employees use knowledge and skills to contribute to the development of functional objectives and principles to achieve goals in innovative ways. Problems addressed are of diverse scope and complexity ranging from moderate to substantial.
* Uses knowledge and skills to contribute to the development of functional objectives and principles to achieve goals in innovative ways. Problems addressed are of diverse scope and complexity ranging from moderate to substantial.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5\-7 years of relevant experience and progressive experience where team leadership was demonstrated, required.
**Highly Preferred**
* Extensive Google Cloud Platform (GCP) experience
* Previous experience as a Data Platform Engineer for a large organization
* Experience in/ with Python (FastAPI), Next.JS
* Experience with infrastructure as code, specifically Terraform
* Experience building and operating GKE
* Experience with Airflow, DBT, and/ or Dataform
* Experience with OpenLineage, OpenMetadata and data contracts
* Additional Salary Detail The salary range and/or hourly rate listed is a good faith determination of potential base compensation that may be offered to a successful applicant for this position at the time of this job advertisement and may be modified in the future. When determining a team member's base salary and/or rate, several factors may be considered as applicable (e.g., location, specialty, service line, years of relevant experience, education, credentials, negotiated contracts, budget and internal equity).</t>
        </is>
      </c>
    </row>
    <row r="52">
      <c r="A52" t="inlineStr">
        <is>
          <t>li-4294858556</t>
        </is>
      </c>
      <c r="B52" t="inlineStr">
        <is>
          <t>Tech Lead Fullstack, Search Data Engineer</t>
        </is>
      </c>
      <c r="C52" t="inlineStr">
        <is>
          <t>Yahoo</t>
        </is>
      </c>
      <c r="D52" t="inlineStr">
        <is>
          <t>linkedin</t>
        </is>
      </c>
      <c r="E52" t="inlineStr"/>
      <c r="F52" t="inlineStr"/>
      <c r="G52" t="inlineStr"/>
      <c r="H52" t="inlineStr"/>
      <c r="I52" t="inlineStr">
        <is>
          <t>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
**About Yahoo**
 Yahoo is a global media and tech company that connects people to their passions. We reach hundreds of millions of people around the world, bringing them closer to what they love – from finance and sports, to shopping, gaming and news – with the trusted products, content and tech that fuel their day. For partners, we provide a full\-stack platform for businesses to amplify growth and drive more meaningful connections across advertising, search and media.
**About Search**
 Yahoo Search is one of the most highly scaled applications on the planet. We hire world class engineers to support our ambitious product and platform goals. Our engineers work in a highly collaborative environment with a strong emphasis on technical excellence and innovation. This is a unique opportunity as we’re reimagining the future of Search, to reinvent how users find information and accomplish their goals. To achieve this vision, we’re integrating new technology and expanding our infrastructure. This role demands strategic partnership, analytical thinking, exceptional planning and execution skills, ambitious innovation, obsession with quality and user needs, and a passion for solving complex problems. If you’re someone who enjoys being part of high performing teams, this role is for you!
**About You**
 As a Fullstack Tech Lead you will play a critical role in delivering innovation and growth for the Search business by taking charge of the technical direction and execution of our fullstack applications and data systems. You will be responsible for technical oversight of a team of engineers, performing code reviews to ensure code quality, performance, and security. Your technical expertise, leadership skills, and strategic vision will drive the success of our fullstack data projects and contribute to the overall growth of the company. You are passionate about software development and building highly scalable distributed solutions that enable delightful user experiences and measurable business growth. You will work closely with the product and design teams to plan, experiment and release features in collaboration with other engineering partners and business stakeholders. If you are interested in joining a world\-class team of passionate people and industry veterans who care about code quality, architecture, design and user experience as much as having fun together, then we’d like to talk to you.
**Responsibilities**
* Lead and own delivery of fullstack applications within a cross\-functional product squad, ensuring alignment with business goals, security standards, and regulatory requirements
* Define and implement scalable, robust, and maintainable application architecture and system design
* Collaborate closely with product managers, UX/UI designers, frontend and fullstack engineers, and other stakeholders to understand business requirements and translate them into technical solutions
* Collaborate with Architects, AI/ML engineers and Data scientists to understand and design robust, scalable, and resilient data components using both streaming and batch processing technologies.
* Lead the migration of legacy data components to a modern, cloud\-first architecture on GCP and AWS
* Conduct code reviews and provide technical guidance to development teams to ensure adherence to architectural principles, coding standards, and best practices
* Evaluate third\-party tools, frameworks, and APIs for integration into applications, considering factors such as security, performance, and scalability
* Drive continuous improvement initiatives in development processes, tooling, and automation to enhance efficiency, quality, and time\-to\-market
* Act as a technical mentor and coach to engineers, fostering a culture of learning, innovation, and excellence within the development team
* Communicate complex technical concepts and technical decisions effectively to both technical and non\-technical stakeholders, including senior management and external partners
**Qualifications**
* BS in Computer Science, or equivalent degree/experience
* 7\+ years of industry experience working with large\-scale distributed systems
* 7\+ years of hands\-on, professional software development experience in one or more general purpose programming languages such as Java or Python
* Expertise in fullstack development with a strong understanding of both backend and frontend systems
* Experience with data processing frameworks and workflow management tools
* Strong experience with REST, HTTP, and the ability to design and implement maintainable APIs
* Experience with Big Data, modern databases, cloud services, infrastructure, and serverless on common platforms such as AWS, GCP, Azure, etc.
* Ability to ensure code quality through unit testing, code reviews, and adherence to standards and best practices
* Experience in performance optimization, scalability planning, and troubleshooting of applications to ensure optimal user experience and reliability
* Ability to mentor and coach development teams, providing technical guidance, code reviews, and training sessions on application architecture best practices
* Deep understanding and commitment to software engineering principles and processes and continuous improvement through measurement
* Strong organizational skills, the ability to prioritize tasks and to deliver projects on schedule
* Excellent written and verbal communication skills, with a proven history of being able to work and collaborate effectively with non\-technical team members and stakeholders in a remote environment
**Preferred Qualifications**
* Experience with GCP/AWS cloud ecosystem tools, BigQuery, Airflow, BQETL, DBT\-core
* Experience with modern cloud warehouses like BigQuery, Snowflake, Redshift, Databricks, or Dremio
* Experience with SCRUM or similar Agile development methodology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$143,625\.00 \- $299,375\.00/yr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53">
      <c r="A53" t="inlineStr">
        <is>
          <t>li-4344847801</t>
        </is>
      </c>
      <c r="B53" t="inlineStr">
        <is>
          <t>Software Engineer - Data Engineer (TS/SCI with Polygraph REQUIRED)</t>
        </is>
      </c>
      <c r="C53" t="inlineStr">
        <is>
          <t>General Dynamics Information Technology</t>
        </is>
      </c>
      <c r="D53" t="inlineStr">
        <is>
          <t>linkedin</t>
        </is>
      </c>
      <c r="E53" t="inlineStr"/>
      <c r="F53" t="inlineStr"/>
      <c r="G53" t="inlineStr">
        <is>
          <t>Chantilly, VA</t>
        </is>
      </c>
      <c r="H53" t="inlineStr"/>
      <c r="I53" t="inlineStr">
        <is>
          <t>****Job Description:****
**Type of Requisition:**
 Regular
****Clearance Level Must Currently Possess:****
 Top Secret SCI \+ Polygraph
****Clearance Level Must Be Able To Obtain:****
 Top Secret SCI \+ Polygraph
****Public Trust/Other Required:****
 None
****Job Family:****
 Software Engineering
****Skills:****
**Job Qualifications:**
 Building Architecture, Complex Systems, Data Modeling, Distributed Architectures, Distributed Systems
****Certifications:****
 None
****Experience:****
 10 \+ years of related experience
****US Citizenship Required:****
 Yes
****Job Description:****
 We’re looking for a Software Engineer who is passionate about building modern, scalable solutions for ingesting and transforming data. This role blends back\-end engineering with data pipeline development and is perfect for someone who enjoys designing modular services and bringing structure to complex data environments.
 As part of our Agile team, you’ll design and develop software products and services that efficiently ingest, process, and manage data from a variety of sources. You’ll play a key role in building robust, reusable APIs and data pipelines that support critical operational and analytical systems.
****KEY RESPONSIBILITIES****
* Design and develop scalable backend services and data ingestion solutions.
* Perform data modeling, data mapping, and large\-scale file manipulation.
* Collaborate across disciplines in an Agile environment with minimal supervision.
* Drive innovation and process improvement with a hands\-on development approach.
* Optimize application for maximum speed and scalability.
****EDUCATION AND EXPERIENCE****
* Bachelor’s Degree in Computer Science, Electrical or Computer Engineering or a related technical discipline, or the equivalent combination of education, technical training, or work/military experience.
* At least five (5\) years of related experience software engineering experience.
****REQUIRED QUALIFICATIONS****
* Knowledge of NodeJS or Python
* Strong understanding of APIs, microservices, and distributed systems.
* Solid experience in building and maintaining ETL workflows and data pipelines.
* Excellent organizational, coordination, interpersonal and team building skills.
* Familiarization with NoSQL datastores.
****DESIRED QUALIFICATIONS****
* NiFi experience
* Hands\-on experience working with Elastic and RabbitMQ
* NoSQL experience (i.e. MongoDB)
* Distributed architecture creation
* Cloud based architecture creation or experience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The likely salary range for this position is $170,000 \- $230,000\. This is not, however, a guarantee of compensation or salary. Rather, salary will be set based on experience, geographic location and possibly contractual requirements and could fall outside of this range.
****Scheduled Weekly Hours:****
 40
****Travel Required:****
 None
****Telecommuting Options:****
 Onsite
**Work Location:**
 USA VA Chantilly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54">
      <c r="A54" t="inlineStr">
        <is>
          <t>li-4331554074</t>
        </is>
      </c>
      <c r="B54" t="inlineStr">
        <is>
          <t>Senior Trainer – Data Engineering</t>
        </is>
      </c>
      <c r="C54" t="inlineStr">
        <is>
          <t>Revature</t>
        </is>
      </c>
      <c r="D54" t="inlineStr">
        <is>
          <t>linkedin</t>
        </is>
      </c>
      <c r="E54" t="inlineStr"/>
      <c r="F54" t="inlineStr"/>
      <c r="G54" t="inlineStr">
        <is>
          <t>New Jersey, United States</t>
        </is>
      </c>
      <c r="H54" t="inlineStr"/>
      <c r="I54" t="inlineStr">
        <is>
          <t>**About the Role:** 
 We are looking for a
 **Senior Trainer \- Data Engineering** 
 with strong expertise in modern data platforms and AI\-driven data systems. The ideal candidate will be an experienced data engineer capable of delivering advanced training on end\-to\-end data engineering workflows \- from data ingestion and transformation to preparing high\-quality datasets for AI and machine learning applications.
 This role is central to training the next generation of Data Engineers and AI\-ready professionals, leveraging cutting\-edge tools such as Databricks, Apache Spark, Kafka, Airflow, Delta Lake, and Snowflake.
**About Revature:** 
 Revature is one of the largest and fastest\-growing employers of technology talent across the U.S., partnering with Fortune 500 companies, leading System Integrators, and Government Contractors to identify experienced professionals who can be effective leaders.
**Key Responsibilities:** 
* Deliver in\-depth, interactive, and hands\-on sessions on
 **advanced data engineering and AI integration** 
 .
* Train and mentor learners on:
* **Distributed processing** 
 using
 **Apache Spark** 
 and
 **Databricks.**
* **Data orchestration** 
 with
 **Airflow** 
 and
 **CI/CD pipelines** 
 for data workflows
* **Real\-time streaming** 
 using
 **Kafka** 
 and
 **Kinesis**
* **Lakehouse architectures** 
 using
 **Delta Lake** 
 ,
 **Snowflake** 
 , and
 **cloud\-native solutions**
* **Data preparation for AI/ML pipelines** 
 , including feature engineering and dataset versioning
* Working with
 **MLflow** 
 ,
 **Databricks AutoML** 
 , and
 **AI/ML integrations** 
 on cloud platforms
* Implementing
 **data governance, lineage, and monitoring** 
 best practices
* Guide learners through
 **AI\-ready data engineering projects** 
 , combining data pipelines with model development and deployment.
* Collaborate with curriculum designers to integrate emerging
 **AI and data science tools** 
 (e.g., Vector Databases, MLOps frameworks) into the training modules.
* Conduct performance evaluations, code reviews, and one\-on\-one learner mentoring sessions.
* Stay current with
 **AI trends** 
 ,
 **modern data infrastructure** 
 , and
 **cloud\-native innovations** 
 to continuously enrich the training experience.
**Required Skills \&amp; Qualifications:** 
* **Experience:** 
 5\+ years in
 **Data Engineering** 
 ,
 **Big Data** 
 , or
 **AI/ML Infrastructure Development** 
 .
**Technical Expertise:** 
* Strong programming skills in
 **Python (pandas \&amp; numpy)** 
 and
 **SQL** 
 .
* Hands\-on experience with
 **Databricks** 
 ,
 **Apache Spark** 
 , and
 **PySpark** 
 .
* Deep understanding of
 **data lakes** 
 ,
 **Delta Lake** 
 , and
 **lakehouse architecture** 
 .
* Proficiency with
 **streaming frameworks** 
 such as
 **Kafka** 
 or
 **Kinesis** 
 .
* Experience with
 **Airflow** 
 or other orchestration tools.
* Familiarity with
 **MLflow** 
 ,
 **TensorFlow** 
 , or
 **PyTorch** 
 for data\-to\-AI workflows.
* Cloud expertise in
 **AWS (Glue, Redshift, Sagemaker)** 
 ,
 **Azure (Data Factory, Synapse, ML Studio)** 
 , or
 **GCP (Dataflow, Vertex AI, BigQuery)** 
 .
**Education:** 
* Bachelor’s or Master’s in Computer Science, Data Science, or related technical discipline.
* Excellent communication, presentation, and mentoring skills.
* Prior experience as a
 **corporate trainer, instructor, or mentor** 
 in a data/AI\-focused program is preferred.
* Ready to
 **deliver on\-site and virtual training** 
 .
**Preferred Skills/Attributes:** 
* Certifications such as:
 **Databricks Certified Data Engineer or Machine Learning Professional**
* **AWS Certified Machine Learning – Specialty**
* **Google Professional Data Engineer / ML Engineer**
* Familiarity with
 **AI model lifecycle management** 
 ,
 **feature stores** 
 , and
 **MLOps best practices** 
 .
* Demonstrated ability to
 **bridge data engineering and AI/ML domains** 
 .
* Passion for teaching, mentoring, and simplifying complex, end\-to\-end data and AI systems.
**Equal Opportunity Employer :** 
 Revature (“Company”) is an equal opportunity employer. We will extend equal opportunity to all individuals without regard to race, religion, color, sex, pregnancy, childbirth or related medical conditions, sexual orientation, gender identity, national origin, disability, age, genetic information, marital status, veteran status, or any other status protected under applicable federal, state, or local laws. This policy applies to all terms and conditions of employment, including but not limited to, hiring, placement, promotion, termination, layoff, recall, transfer, leaves of absence, benefits, compensation, and training. If you require accommodation to work, based on any of these protected factors, please notify the Human Resources Department, and the Company will evaluate the request and provide accommodation in accordance with applicable law.
 We seek to comply with all applicable federal, state, and local laws related to discrimination and will not tolerate interference with the ability of any of the Company's employees to perform their job duties. Our policy reflects and affirms the Company's commitment to the principles of fair employment and the elimination of all discriminatory practices.
**Note:** 
 Work authorization in the country you are applying to is required. Revature does not sponsor work visas</t>
        </is>
      </c>
    </row>
    <row r="55">
      <c r="A55" t="inlineStr">
        <is>
          <t>li-4344827143</t>
        </is>
      </c>
      <c r="B55" t="inlineStr">
        <is>
          <t>Senior Software Engineer, Data Engineering</t>
        </is>
      </c>
      <c r="C55" t="inlineStr">
        <is>
          <t>Airbnb</t>
        </is>
      </c>
      <c r="D55" t="inlineStr">
        <is>
          <t>linkedin</t>
        </is>
      </c>
      <c r="E55" t="inlineStr"/>
      <c r="F55" t="inlineStr"/>
      <c r="G55" t="inlineStr"/>
      <c r="H55" t="inlineStr"/>
      <c r="I5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currently hiring for multiple teams:*
 Guest Data: Understanding how guests and hosts use Airbnb allows us to give them the best possible experience. The Guest Data team, part of the Guest \&amp; Host organization, is dedicated to developing top\-tier tools, frameworks, and data models that offer a data\-driven perspective on guest experiences on Airbnb products. Our primary stakeholders include analytics and data science partners, ML engineers, and product and engineering leaders involved in the core booking flow.
 Supply and One Community (BizTech) \- Team is building a platform for Airbnb to acquire high quality supply for its product lines such as Homes, Hotels, Experiences and Services. High quality supply in the right geograhies is a key lever to Airbnb’s growth. One Community offers host clubs for geo\-graphically colocated hosts to communicate. Host clubs offers a meaningful education, announcements and tool of communication in disaster scenarios, it’s an important input to measure host engagement.
 The Supply \&amp; Insights Data and AI team provides rich, high\-quality data assets to power insights that enable Airbnb and our hosts to be competitive in our marketplaces. The team is composed of Engineers specializing in Data, Analytics, Backend and Machine Learning, and we work closely with a wide range of teams across the company, including Data Science, Strategic Finance, Sales Operations, and Product Engineering in order to see our work through to business impact.
**The Difference You Will Make**
 Guest Data: As a Senior Data Engineer, you will help build our data strategy, develop top\-tier data models and tooling, and provide technical leadership to a team of senior data engineers. You have the opportunity to influence critical aspects of the Airbnb experience, including Search and Checkout, while collaborating with long\-standing xfn partners across Product, Analytics Engineering, Data Science, Infrastructure, and AI/ML. Your work will impact the quality of the Airbnb product experience for millions of daily visitors, making it an exciting opportunity for anyone passionate about data and its transformative potential.
 Supply and One Community (BizTech) \- As a Senior Data Engineer, you will help build and execute our data strategy, develop top\-tier data models and tooling, and provide technical leadership to data practitioners in the organization. Supply organization uses Salesforce for their workflows offering you an opportunity to build a paved path to exchange data between Airbnb and its vendor efficiently and in near real\-time with an opportunity to influence vendor data exchange at Airbnb. Your work will impact the quality of the Airbnb experience for hosts and allow Airbnb to acquire, onboard high quality hosts. You will be collaborating with long\-standing xfn partners across Product, Analytics Engineering, Data Science, Infrastructure, and AI/ML.
**A Typical Day**
* Design, build, and maintain robust and efficient data pipelines that collect, process, and store data from various sources, including user interactions, listing details, and external data feeds.
* Develop data models that enable the efficient analysis and manipulation of data for merchandising optimization. Ensure data quality, consistency, and accuracy.
* Build scalable data pipelines (SparkSQL \&amp; Scala) leveraging Airflow scheduler/executor framework
* Collaborate with cross\-functional teams, including Data Scientists, Product Managers, and Software Engineers, to define data requirements, and deliver data solutions that drive merchandising and sales improvements.
* Contribute to the broader Data Engineering community at Airbnb to influence tooling and standards to improve culture and productivity
* Improve code and data quality by leveraging and contributing to internal tools to automatically detect and mitigate issues
**Your Expertise**
* 5\-9\+ years of relevant industry experience with a BS/Masters, or 2\+ years with a PhD
* Experience with distributed processing technologies and frameworks, such as Hadoop, Spark, Kafka, and distributed storage systems (e.g., HDFS, S3\)
* Demonstrated ability to analyze large data sets to identify gaps and inconsistencies, provide data insights, and advance effective product solutions
* Expertise with ETL schedulers such as Apache Airflow, Luigi, Oozie, AWS Glue or similar frameworks
* Solid understanding of data warehousing concepts and hands\-on experience with relational databases (e.g., PostgreSQL, MySQL) and columnar databases (e.g., Redshift, BigQuery, HBase, ClickHouse)
* Excellent written and verbal communication skills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56">
      <c r="A56" t="inlineStr">
        <is>
          <t>li-4359616581</t>
        </is>
      </c>
      <c r="B56" t="inlineStr">
        <is>
          <t>Data Engineer</t>
        </is>
      </c>
      <c r="C56" t="inlineStr">
        <is>
          <t>Aegistech</t>
        </is>
      </c>
      <c r="D56" t="inlineStr">
        <is>
          <t>linkedin</t>
        </is>
      </c>
      <c r="E56" t="inlineStr"/>
      <c r="F56" t="inlineStr"/>
      <c r="G56" t="inlineStr">
        <is>
          <t>New York, United States</t>
        </is>
      </c>
      <c r="H56" t="inlineStr"/>
      <c r="I56" t="inlineStr">
        <is>
          <t>Our Financial Services client is seeking a full\-time Data Engineer. This position is hybrid, with 3 days a week in the Midtown NYC office. No sponsorship is being offered for this position.
**Role description:** 
 The successful candidate will be a key member of the HR Technology team, responsible for developing and maintaining global HR applications with a primary focus on the HR Analytics ecosystem. This role combines technical expertise with HR domain knowledge to deliver robust data solutions that enable advanced analytics and data science initiatives.
**Key Responsibilities:** 
* Manage and support HR business applications, including problem resolution and issue ownership.
* Design and develop an ETL/ELT layer for HR data integration and ensure data quality and consistency
* Provide architecture solutions for Data Modeling, Data Warehousing, and Data Governance
* Develop and maintain data ingestion processes using Informatica, Python, and related technologies
* Support data analytics and data science initiatives with optimized data structures and AI/ML tools
* Manage vendor products and their integrations with internal/external applications.
* Gather requirements and translate functional needs into technical specifications.
* Perform QA testing and impact analysis across the BI ecosystem
* Maintain system documentation and knowledge repositories
* Provide technical guidance and manage stakeholder communications
**Required Skills \&amp; Experience:** 
* Bachelor’s degree in computer science or engineering with 4\+ years of delivery and maintenance work experience in the Data and Analytics space.
* Strong hands\-on experience with data management, data warehouse/data lake design, data modeling, ETL Tools, advanced SQL, and Python programming.
* Exposure to AI \&amp; ML technologies and experience tuning models and building LLM integrations.
* Experience conducting Exploratory Data Analysis (EDA) to identify trends and patterns, and report key metrics.
* Extensive database development experience in MS SQL Server/ Oracle and SQL scripting.
* Demonstrable working knowledge of tools in the CI/CD pipeline, primarily GitLab and Jenkins
* Proficiency in using collaboration tools like Confluence, SharePoint, and JIRA
* Analytical skills to model business functions, processes, and data flow within or between systems.
* Strong problem\-solving skills to debug complex, time\-critical production incidents.
* Good interpersonal skills to engage with senior stakeholders in functional business units and IT teams.
* Experience with Cloud Data Lake technologies such as Snowflake and knowledge of HR data models would be a plus.</t>
        </is>
      </c>
    </row>
    <row r="57">
      <c r="A57" t="inlineStr">
        <is>
          <t>li-4332204706</t>
        </is>
      </c>
      <c r="B57" t="inlineStr">
        <is>
          <t>Data Engineer</t>
        </is>
      </c>
      <c r="C57" t="inlineStr">
        <is>
          <t>Haystack</t>
        </is>
      </c>
      <c r="D57" t="inlineStr">
        <is>
          <t>linkedin</t>
        </is>
      </c>
      <c r="E57" t="inlineStr"/>
      <c r="F57" t="inlineStr"/>
      <c r="G57" t="inlineStr"/>
      <c r="H57" t="inlineStr"/>
      <c r="I57" t="inlineStr">
        <is>
          <t>**Senior Zero Trust Data Analytics Engineer \| Alexandria, VA \| Remote\-Friendly \| $95,000 \- $130,000** 
 We're working with Govcio on this exciting opportunity.
 Join Govcio as a Senior Zero Trust Data Analytics Engineer and play a pivotal role in securing critical U.S. Coast Guard programs. Leverage your expertise in data analytics, Zero Trust architecture, and cutting\-edge tools like Power BI and SQL to drive tangible security improvements and influence strategic decisions.
**The Role** 
 • Lead the engineering of systems to define, collect, analyze, and report on key metrics for Zero Trust effectiveness.
 • Design and implement data infrastructure to measure ZT enablement and track maturity goals.
 • Develop and automate executive\-level dashboards and reports using Power BI, visualizing ZT performance and compliance.
 • Utilize advanced data engineering to correlate security data from SIEM, EDR, and IAM logs for anomaly detection and policy enforcement.
 • Provide actionable recommendations to leadership for optimizing ZT investments and accelerating maturity progression.
**What You'll Need** 
 • 8\+ years of hands\-on experience in data analysis, engineering, or science, with 3\+ years specifically in IT security measurement.
 • Deep expertise in Power BI for creating complex, automated operational and executive dashboards.
 • Mastery of SQL and proficiency in Python/R for data engineering and statistical analysis, with a track record of complex data modeling.
 • Strong understanding of Zero Trust architecture models (NIST SP 800\-207\) and compliance frameworks (DoD, FISMA, RMF).
**What's On Offer** 
 • Make a significant impact on national security by securing critical government programs.
 • Flexible work environment with remote options.
 • Comprehensive benefits package and opportunities for continuous learning and career development.
 • Join a collaborative team that values innovation and invests in its people.
**Apply via Haystack today!**</t>
        </is>
      </c>
    </row>
    <row r="58">
      <c r="A58" t="inlineStr">
        <is>
          <t>li-4331974260</t>
        </is>
      </c>
      <c r="B58" t="inlineStr">
        <is>
          <t>Data Engineer - Databricks</t>
        </is>
      </c>
      <c r="C58" t="inlineStr">
        <is>
          <t>Jobs via Dice</t>
        </is>
      </c>
      <c r="D58" t="inlineStr">
        <is>
          <t>linkedin</t>
        </is>
      </c>
      <c r="E58" t="inlineStr"/>
      <c r="F58" t="inlineStr"/>
      <c r="G58" t="inlineStr"/>
      <c r="H58" t="inlineStr"/>
      <c r="I58" t="inlineStr">
        <is>
          <t>Dice is the leading career destination for tech experts at every stage of their careers. Our client, Contract Staffing Recruiters, is seeking the following. Apply via Dice today!
 Databricks experience is a must. Looking for a leader that loves Databricks and can work on fast moving team.
* Design and develop ETL Processes that will transform a variety of raw data, flat files, xl spreadsheets into SQL Databases
* Understands the concept of Data marts and Data lakes and experience with migrating legacy systems to data marts/lake
* Uses additional cloud technologies (e.g., understands concept of Cloud services like Azure SQL server)
* Maintain comprehensive project documentation
* Aptitude to learn new technologies and the ability to perform continuous research, analysis, and process improvement.
* Strong interpersonal and communication skills to be able to work in a team environment to include customer and contractor technical, end users, and management team members.
* Manage multiple projects, responsibilities and competing priorities.
**Experience Needed:**
* Programming languages, frameworks, and file formats such as: Python, SQL, PLSQL, and VB
* Database platforms such as: Oracle, SQL Server, MySQL
* Big data concepts and technologies such as Synapse \&amp; Databricks</t>
        </is>
      </c>
    </row>
    <row r="59">
      <c r="A59" t="inlineStr">
        <is>
          <t>li-4344991222</t>
        </is>
      </c>
      <c r="B59" t="inlineStr">
        <is>
          <t>Sr. Specialist Solutions Architect - Data Engineering</t>
        </is>
      </c>
      <c r="C59" t="inlineStr">
        <is>
          <t>Databricks</t>
        </is>
      </c>
      <c r="D59" t="inlineStr">
        <is>
          <t>linkedin</t>
        </is>
      </c>
      <c r="E59" t="inlineStr"/>
      <c r="F59" t="inlineStr"/>
      <c r="G59" t="inlineStr">
        <is>
          <t>Baltimore, MD</t>
        </is>
      </c>
      <c r="H59" t="inlineStr"/>
      <c r="I59" t="inlineStr">
        <is>
          <t>FEQ127R51
 Specialist Solutions Architect \- Data Engineering
 As a Specialist Solutions Architect (SSA) \- Data Engineering, you will guide customers in building big data solutions on Databricks that span a large variety of use cases. You will be in a customer\-facing role, working with and supporting Solution Architects. The role requires hands\-on production experience with Apache Spark, pipeline orchestration, performance tuning, OLTP databases, and Python application development. SSAs help customers through design and successful implementation, while aligning their technical roadmap for expanding the usage of the Databricks Platform. As a deep go\-to\-expert reporting to the Specialist Field Engineering Manager, you will continue to strengthen your technical skills through mentorship, learning, and internal training programs, and establish yourself as a Subject Matter Expert in areas like Streaming, Performance Tuning, OLTP, etc.
**The Impact You Will Have**
* Provide technical leadership to guide strategic customers to successful implementations on big data projects, ranging from architectural design to data engineering to model deployment
* Architect production data pipelines, including end\-to\-end pipeline performance testing and optimization
* Become a leading technical expert in areas such as data lake technology, big data streaming, or big data ingestion and workflows
* Assist Solution Architects with more advanced aspects of the technical sale including custom proof of concept content, estimating workload sizing, and custom architectures
* Provide tutorials and training to improve community adoption (including hackathons and conference presentations)
* Contribute to the Databricks Community
**What We Look For**
* 5\+ years of experience in a technical role with expertise in at least one of the following:
+ Software Engineer/Data Engineer: data ingestion, streaming technologies \- such as Spark Streaming and Kafka, performance tuning, troubleshooting, and debugging Spark or other big data solutions
+ Data Applications Engineer: Build use cases that use data \- such as risk modeling, fraud detection, and customer life\-time value. Experience with OLTP backends and full\-stack data application development, including Streamlit, Dash, Gradio, or Node.js
+ Hands\-on Solutions Architect in one of these areas, able to write/supervise production\-grade code
* Production experience with Apache Spark or Databricks
* Maintain and extend production data systems to evolve with complex needs
* Production programming experience in Python or Scala/Java
* Very comfortable with some flavor of SQL, whether SparkSQL, Postgres, or a Data Warehouse
* Familiar with at least one of AWS, Azure, or GCP
* Deep Specialty Expertise in at least one of the following areas:
+ Experience scaling big data workloads that are performant and cost\-effective
+ Experience with Development Tools for CI/CD, Unit and Integration testing, Automation and Orchestration, REST API, BI tools and SQL Interfaces (e.g. Jenkins)
+ Experience designing data solutions on cloud infrastructure and services, such as AWS, Azure, or GCP, using best practices in cloud security and networking
+ Experience implementing industry\-specific data analytics use cases
* Degree in a quantitative discipline (Computer Science, Applied Mathematics, Operations Research)
* Ability to travel up to 30% when needed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$196,200—$274,650 USD
 Zone 2 Pay Range
 $196,200—$274,650 USD
 Zone 3 Pay Range
 $196,200—$274,650 USD
 Zone 4 Pay Range
 $196,200—$274,650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60">
      <c r="A60" t="inlineStr">
        <is>
          <t>li-4344832340</t>
        </is>
      </c>
      <c r="B60" t="inlineStr">
        <is>
          <t>Sr. Specialist Solutions Architect - Data Engineering</t>
        </is>
      </c>
      <c r="C60" t="inlineStr">
        <is>
          <t>Databricks</t>
        </is>
      </c>
      <c r="D60" t="inlineStr">
        <is>
          <t>linkedin</t>
        </is>
      </c>
      <c r="E60" t="inlineStr"/>
      <c r="F60" t="inlineStr"/>
      <c r="G60" t="inlineStr">
        <is>
          <t>Pittsburgh, PA</t>
        </is>
      </c>
      <c r="H60" t="inlineStr"/>
      <c r="I60" t="inlineStr">
        <is>
          <t>FEQ127R51
 Specialist Solutions Architect \- Data Engineering
 As a Specialist Solutions Architect (SSA) \- Data Engineering, you will guide customers in building big data solutions on Databricks that span a large variety of use cases. You will be in a customer\-facing role, working with and supporting Solution Architects. The role requires hands\-on production experience with Apache Spark, pipeline orchestration, performance tuning, OLTP databases, and Python application development. SSAs help customers through design and successful implementation, while aligning their technical roadmap for expanding the usage of the Databricks Platform. As a deep go\-to\-expert reporting to the Specialist Field Engineering Manager, you will continue to strengthen your technical skills through mentorship, learning, and internal training programs, and establish yourself as a Subject Matter Expert in areas like Streaming, Performance Tuning, OLTP, etc.
**The Impact You Will Have**
* Provide technical leadership to guide strategic customers to successful implementations on big data projects, ranging from architectural design to data engineering to model deployment
* Architect production data pipelines, including end\-to\-end pipeline performance testing and optimization
* Become a leading technical expert in areas such as data lake technology, big data streaming, or big data ingestion and workflows
* Assist Solution Architects with more advanced aspects of the technical sale including custom proof of concept content, estimating workload sizing, and custom architectures
* Provide tutorials and training to improve community adoption (including hackathons and conference presentations)
* Contribute to the Databricks Community
**What We Look For**
* 5\+ years of experience in a technical role with expertise in at least one of the following:
+ Software Engineer/Data Engineer: data ingestion, streaming technologies \- such as Spark Streaming and Kafka, performance tuning, troubleshooting, and debugging Spark or other big data solutions
+ Data Applications Engineer: Build use cases that use data \- such as risk modeling, fraud detection, and customer life\-time value. Experience with OLTP backends and full\-stack data application development, including Streamlit, Dash, Gradio, or Node.js
+ Hands\-on Solutions Architect in one of these areas, able to write/supervise production\-grade code
* Production experience with Apache Spark or Databricks
* Maintain and extend production data systems to evolve with complex needs
* Production programming experience in Python or Scala/Java
* Very comfortable with some flavor of SQL, whether SparkSQL, Postgres, or a Data Warehouse
* Familiar with at least one of AWS, Azure, or GCP
* Deep Specialty Expertise in at least one of the following areas:
+ Experience scaling big data workloads that are performant and cost\-effective
+ Experience with Development Tools for CI/CD, Unit and Integration testing, Automation and Orchestration, REST API, BI tools and SQL Interfaces (e.g. Jenkins)
+ Experience designing data solutions on cloud infrastructure and services, such as AWS, Azure, or GCP, using best practices in cloud security and networking
+ Experience implementing industry\-specific data analytics use cases
* Degree in a quantitative discipline (Computer Science, Applied Mathematics, Operations Research)
* Ability to travel up to 30% when needed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$196,200—$274,650 USD
 Zone 2 Pay Range
 $196,200—$274,650 USD
 Zone 3 Pay Range
 $196,200—$274,650 USD
 Zone 4 Pay Range
 $196,200—$274,650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61">
      <c r="A61" t="inlineStr">
        <is>
          <t>li-4338988323</t>
        </is>
      </c>
      <c r="B61" t="inlineStr">
        <is>
          <t>Lead Data Engineer - Branch Workplace Technology</t>
        </is>
      </c>
      <c r="C61" t="inlineStr">
        <is>
          <t>JPMorganChase</t>
        </is>
      </c>
      <c r="D61" t="inlineStr">
        <is>
          <t>linkedin</t>
        </is>
      </c>
      <c r="E61" t="inlineStr"/>
      <c r="F61" t="inlineStr"/>
      <c r="G61" t="inlineStr">
        <is>
          <t>Westerville, OH</t>
        </is>
      </c>
      <c r="H61" t="inlineStr"/>
      <c r="I61" t="inlineStr">
        <is>
          <t>**Job Description**
 We have an exciting and rewarding opportunity for you to take your Data engineering career to the next level.
 As a Lead Data Engineer JPMorgan Chase within the Consumer \&amp; Community Bank \- Branch Workplace Technology team, you serve as a expert Data Engineer on agile teams to design and deliver trusted market\-leading technology products in a secure, stable, and scalable way. You are responsible for leading critical data functions from architecture, modelling, transformation, modernization, migration, protection, security and governance in support of CCB Branch initiatives and objectives.
**Job Responsibilities**
* Deliver end\-to\-end data solutions on cloud infrastructure leveraging the latest technologies and the best industry practices.
* Use domain modelling techniques to allow us to build best in class business products.
* Guide the evolution of logical and physical data models to support emerging business use cases and technological advancements
* Build solutions that avoid single points of failure, using scalable architectural patterns.
* Develop secure code so that our customers and ourselves are protected from malicious actors.
* Promptly investigate and fix issues and ensure they do not resurface in the future.
* Make sure our releases happen with zero downtime for our end\-users and Keeping us up to date by continuously updating our technologies and patterns.
* Structure software so that it is easy to understand, test and evolve.
* See that our data is written and read in a way that's optimized for our needs.
* Keep an eye on performance, making sure we use the right approach to identify and solve problems and ensure our systems are reliable and easy to operate.
* Support the products you've built through their entire lifecycle, including in production and during incident management
**Required Qualifications, Capabilities And Skills**
* Formal training or certification on data engineering concepts and 5\+ years applied experience.
* Recent hands\-on professional experience as a data engineer
* Expertise with Relational databases like Oracle, SQL Server and Postgres
* Proficient with AWS cloud technologies and distributed systems
* Proficiency with data transformation frameworks and data pipeline orchestration tools
* Experience with data governance frameworks
* Prior experience with managing large volumes of data and optimizing data processing
* Experience in coding with Java or Python programming language and experience in designing and implementing effective tests (unit, component, integration, end\-to\-end, performance, etc.)
* Excellent written and verbal communication skills
* Understanding of event\-base architecture, data streaming and messaging frameworks
* Coach other team members on coding practices, design principles, and implementation patterns that lead to high\-quality maintainable solutions.
* Manage stakeholders and effectively prioritize work across multiple work streams.
**Preferred Qualifications, Capabilities And Skills**
* Experience in working in a highly regulated environment / industry
* Understanding of incremental data processing and versioning
* Understanding of RESTful APIs and web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62">
      <c r="A62" t="inlineStr">
        <is>
          <t>li-4359478953</t>
        </is>
      </c>
      <c r="B62" t="inlineStr">
        <is>
          <t>Junior Data Engineer</t>
        </is>
      </c>
      <c r="C62" t="inlineStr">
        <is>
          <t>The Value Maximizer</t>
        </is>
      </c>
      <c r="D62" t="inlineStr">
        <is>
          <t>linkedin</t>
        </is>
      </c>
      <c r="E62" t="inlineStr"/>
      <c r="F62" t="inlineStr"/>
      <c r="G62" t="inlineStr">
        <is>
          <t>Pennsylvania, United States</t>
        </is>
      </c>
      <c r="H62" t="inlineStr"/>
      <c r="I62" t="inlineStr">
        <is>
          <t>Job Title: Junior Data Engineer
**Location:** 
 Pittsburgh, PA / Cleveland, OH
 **Company:** 
 PNC Bank
 **Experience:** 
 1\-2 years
 **Employment Type:** 
 Full\-Time
**Job Description**
 PNC Bank is seeking a
 **Junior Data Engineer** 
 to support the design, development, and maintenance of scalable data pipelines and data platforms that enable analytics, reporting, and regulatory compliance. This role is ideal for early\-career professionals eager to build hands\-on experience in enterprise data engineering within the financial services domain.
 Key Responsibilities
 Assist in building and maintaining
 **ETL/ELT pipelines** 
 to ingest, transform, and load data from multiple source systems.Support development of
 **batch and near real\-time data processing** 
 workflows.Work with structured and semi\-structured data using
 **SQL and Python** 
 .Participate in data validation, reconciliation, and quality checks to ensure accuracy and completeness.Collaborate with senior data engineers, data analysts, and business stakeholders to understand data requirements.Help manage data storage solutions such as
 **data warehouses and data lakes** 
 .Assist with
 **documentation** 
 of data models, pipelines, and operational processes.Follow
 **data governance, security, and compliance standards** 
 relevant to banking and financial services.Monitor data pipelines and troubleshoot failures under guidance.Support deployment and version control using
 **Git and CI/CD practices** 
 .
**Required Qualifications**
 Bachelor's degree in
 **Computer Science, Information Systems, Engineering, or a related field** 
 .1\-3 years of experience or strong academic/project experience in
 **data engineering or data analytics** 
 .Proficiency in
 **SQL** 
 (joins, subqueries, performance tuning basics).Working knowledge of
 **Python** 
 for data processing.Basic understanding of
 **ETL concepts** 
 , data modeling, and data warehousing.Familiarity with relational databases (Oracle, PostgreSQL, SQL Server, or similar).Exposure to cloud platforms (
 **AWS, Azure, or GCP** 
 ) is a plus.Experience with version control tools such as
 **Git** 
 .
**Preferred / Nice\-to\-Have Skills**
 Exposure to
 **Big Data technologies** 
 (Spark, Hadoop).Familiarity with
 **cloud data services** 
 (AWS S3, Glue, Redshift, Azure Data Factory, Snowflake).Understanding of
 **banking or financial data** 
 , including transactions, risk, or regulatory reporting.Knowledge of
 **data quality frameworks** 
 and basic data governance concepts.Experience with workflow orchestration tools (Airflow, Control\-M).
 Soft Skills
 Strong analytical and problem\-solving skills.Willingness to learn and adapt in a regulated environment.Good communication and documentation skills.Ability to work effectively in a
 **team\-oriented, Agile environment** 
 .</t>
        </is>
      </c>
    </row>
    <row r="63">
      <c r="A63" t="inlineStr">
        <is>
          <t>li-4331996695</t>
        </is>
      </c>
      <c r="B63" t="inlineStr">
        <is>
          <t>Data Engineer</t>
        </is>
      </c>
      <c r="C63" t="inlineStr">
        <is>
          <t>Deltek</t>
        </is>
      </c>
      <c r="D63" t="inlineStr">
        <is>
          <t>linkedin</t>
        </is>
      </c>
      <c r="E63" t="inlineStr"/>
      <c r="F63" t="inlineStr"/>
      <c r="G63" t="inlineStr"/>
      <c r="H63" t="inlineStr"/>
      <c r="I63" t="inlineStr">
        <is>
          <t>We’re seeking a Data Engineer to join our Enterprise Data \&amp; Intelligence team during an exciting transformation from a legacy SQL Server enterprise data warehouse to Snowflake as our Enterprise\-wide intelligent data platform. You’ll play a critical role in building and maintaining data pipelines that not only power today’s analytics but also lay the foundation for tomorrow’s unified trusted data foundation, self\-service analytics, semantic layers, and AI/ML capabilities to enable strategic data capabilities.
 This position requires someone who combines strong technical skills with deep understanding of data warehousing fundamentals and the ability to translate complex technical concepts for diverse stakeholders. You’ll work on everything from pipeline development to transformation logic in dbt, ensuring our intelligent data platform delivers reliable, well\-structured data that empowers both traditional reporting and advanced analytics use cases.
* Design, develop, and maintain data pipelines that feed our Snowflake intelligent data platform using Python, Fivetran, and other modern ETL/ELT tools
* Build and maintain transformation logic in dbt, converting SQL Server stored procedures to modular, testable dbt models on Snowflake
* Develop dimensional data models following best practices, creating the foundation for semantic layers and self\-service analytics
* Translate complex SQL Server stored procedures and SSIS packages from our legacy EDW database to dbt models and cloud\-native solutions
* Implement proper grain definition, ensure additivity of facts, and maintain dimensional consistency across data marts to support both BI and future ML workloads
* Create dbt tests, documentation, and lineage to ensure data quality and transparency
* Partner with analytics teams, business stakeholders, and subject matter experts across the enterprise to understand requirements, validate business logic, and translate them into robust technical solutions that scale with our platform’s intelligence capabilities
* Develop and enforce data quality standards that ensure our platform remains trustworthy for both human and AI consumers
* Contribute to our migration strategy from traditional EDW database to intelligent data platform architecture through analytical problem\-solving and strategic thinking
* Containerize data applications using Docker and deploy to Kubernetes environments
* Facilitate knowledge transfer sessions and documentation to ensure the entire team understands new patterns and approaches
 Qualifications :
**Technical Skills** 
* **Strong SQL expertise** 
 with ability to write complex, optimized queries and understand execution plans
* **Snowflake experience** 
 including understanding of virtual warehouses, micro\-partitions, and cloud data warehouse best practices
* **dbt proficiency** 
 including:
* Building modular, reusable data models
* Writing custom tests and macros
* Understanding materializations (tables, views, incremental models)
* Documentation and lineage best practices
* Converting stored procedure logic to dbt models
* **Python proficiency** 
 for data engineering tasks (pandas, SQLAlchemy, pipeline orchestration)
* **Deep understanding of dimensional modeling and data warehousing fundamentals** 
 including:
* Fact and dimension table design patterns
* Slowly changing dimensions (Type 1, 2, 3\)
* Grain declaration and consistency
* Additivity and semi\-additive measures
* Conformed dimensions and bus matrix design
* Experience building production data pipelines with proper error handling, logging, and monitoring
* Understanding of modern data stack concepts (ELT vs ETL, data lakehouse, streaming vs batch)
* Version control proficiency with Git
**Professional Skills** 
* Strong analytical mindset with the ability to break down complex problems and evaluate multiple solution approaches
* Clear communication skills to articulate technical decisions, trade\-offs, and recommendations to both technical and non\-technical audiences
* Demonstrated ability to work effectively across teams and business units, building consensus around enterprise data standards and driving solutions forward
* Experience mentoring others and sharing knowledge to elevate team capabilities
**Preferred Qualifications** 
* Fivetran experience or comparable tools
* SQL Server and SSIS background to aid in stored procedure to dbt migration
* Container orchestration with Docker and Kubernetes
* Azure DevOps and CI/CD pipeline development
* Building and maintaining deployment pipelines for dbt projects
* Automated testing and validation of data transformations
* DataOps practices and principles
* Understanding of data governance and data quality frameworks essential for platform intelligence
* Experience with federated BI approaches and semantic layer design
* Familiarity with Power BI
* Knowledge of availability groups, failover clusters, or similar HA/DR concepts</t>
        </is>
      </c>
    </row>
    <row r="64">
      <c r="A64" t="inlineStr">
        <is>
          <t>li-4359429383</t>
        </is>
      </c>
      <c r="B64" t="inlineStr">
        <is>
          <t>Junior Data Engineer</t>
        </is>
      </c>
      <c r="C64" t="inlineStr">
        <is>
          <t>The Value Maximizer</t>
        </is>
      </c>
      <c r="D64" t="inlineStr">
        <is>
          <t>linkedin</t>
        </is>
      </c>
      <c r="E64" t="inlineStr"/>
      <c r="F64" t="inlineStr"/>
      <c r="G64" t="inlineStr">
        <is>
          <t>Ohio, OH</t>
        </is>
      </c>
      <c r="H64" t="inlineStr"/>
      <c r="I64" t="inlineStr">
        <is>
          <t>Job Title: Junior Data Engineer
**Location:** 
 Pittsburgh, PA / Cleveland, OH
 **Company:** 
 PNC Bank
 **Experience:** 
 1\-2 years
 **Employment Type:** 
 Full\-Time
**Job Description**
 PNC Bank is seeking a
 **Junior Data Engineer** 
 to support the design, development, and maintenance of scalable data pipelines and data platforms that enable analytics, reporting, and regulatory compliance. This role is ideal for early\-career professionals eager to build hands\-on experience in enterprise data engineering within the financial services domain.
 Key Responsibilities
 Assist in building and maintaining
 **ETL/ELT pipelines** 
 to ingest, transform, and load data from multiple source systems.Support development of
 **batch and near real\-time data processing** 
 workflows.Work with structured and semi\-structured data using
 **SQL and Python** 
 .Participate in data validation, reconciliation, and quality checks to ensure accuracy and completeness.Collaborate with senior data engineers, data analysts, and business stakeholders to understand data requirements.Help manage data storage solutions such as
 **data warehouses and data lakes** 
 .Assist with
 **documentation** 
 of data models, pipelines, and operational processes.Follow
 **data governance, security, and compliance standards** 
 relevant to banking and financial services.Monitor data pipelines and troubleshoot failures under guidance.Support deployment and version control using
 **Git and CI/CD practices** 
 .
**Required Qualifications**
 Bachelor's degree in
 **Computer Science, Information Systems, Engineering, or a related field** 
 .1\-3 years of experience or strong academic/project experience in
 **data engineering or data analytics** 
 .Proficiency in
 **SQL** 
 (joins, subqueries, performance tuning basics).Working knowledge of
 **Python** 
 for data processing.Basic understanding of
 **ETL concepts** 
 , data modeling, and data warehousing.Familiarity with relational databases (Oracle, PostgreSQL, SQL Server, or similar).Exposure to cloud platforms (
 **AWS, Azure, or GCP** 
 ) is a plus.Experience with version control tools such as
 **Git** 
 .
**Preferred / Nice\-to\-Have Skills**
 Exposure to
 **Big Data technologies** 
 (Spark, Hadoop).Familiarity with
 **cloud data services** 
 (AWS S3, Glue, Redshift, Azure Data Factory, Snowflake).Understanding of
 **banking or financial data** 
 , including transactions, risk, or regulatory reporting.Knowledge of
 **data quality frameworks** 
 and basic data governance concepts.Experience with workflow orchestration tools (Airflow, Control\-M).
 Soft Skills
 Strong analytical and problem\-solving skills.Willingness to learn and adapt in a regulated environment.Good communication and documentation skills.Ability to work effectively in a
 **team\-oriented, Agile environment** 
 .</t>
        </is>
      </c>
    </row>
    <row r="65">
      <c r="A65" t="inlineStr">
        <is>
          <t>li-4359678119</t>
        </is>
      </c>
      <c r="B65" t="inlineStr">
        <is>
          <t>Data Engineer</t>
        </is>
      </c>
      <c r="C65" t="inlineStr">
        <is>
          <t>Blue Zones Health</t>
        </is>
      </c>
      <c r="D65" t="inlineStr">
        <is>
          <t>linkedin</t>
        </is>
      </c>
      <c r="E65" t="inlineStr"/>
      <c r="F65" t="inlineStr"/>
      <c r="G65" t="inlineStr">
        <is>
          <t>Los Angeles, CA</t>
        </is>
      </c>
      <c r="H65" t="inlineStr"/>
      <c r="I65" t="inlineStr">
        <is>
          <t>**Role Overview** 
 We are seeking a 
 **Data Engineer** 
  who brings deep experience in health plans and healthcare startups, and who thrives in transforming fragmented, archaic data workflows into reliable, scalable systems. This role sits at the intersection of operations, finance, utilization management, and technology, enabling the organization to measure impact, manage performance, and scale with confidence. 
 You will not only build data infrastructure, but you will also help define how data works at Blue Zones Health. 
**Why This Role Matters** 
 Blue Zones Health operates at the intersection of human care and hard data. This role ensures that the insights behind our mission are as strong as the care we deliver—unlocking data trapped in outdated systems and turning it into a strategic asset for scale and impact. 
 The compensation range for this role is $150,000 \- $180,000 annually.
**What You’ll Do** 
**Modern Data Infrastructure for Healthcare Reality** 
* Design, build, and maintain scalable data pipelines that integrate:
 o
 Health plan eligibility and attribution files 
 o
 Claims and utilization data 
 o  Enrollment, engagement, and coaching activity data 
 o  Vendor and partner datasets 
* Write and optimize SQL to create analytics\-ready data models used across the company.
* Normalize and reconcile healthcare data from multiple sources into a single source of truth.
**Operational \&amp; Financial Enablement** 
* Partner closely with Operations and Finance to support:
 o  Provider reporting and contract performance across different contract types 
 o  Unit economics and margin analysis 
 o  Capacity, utilization, and workforce planning 
 o  Revenue recognition and reconciliation 
* Translate ambiguous business questions into structured, trustworthy data outputs.
* Replace manual spreadsheets and one\-off analyses with automated, auditable pipelines.
**Driving Innovation in Legacy Systems** 
* Identify bottlenecks and inefficiencies in healthcare data workflows and redesign them for speed and accuracy.
* Introduce modern data engineering practices into environments shaped by:
 o  Flat files 
 o  Manual handoffs 
 o  Inconsistent schemas 
* Balance pragmatism and innovation—shipping value quickly while building for scale.
**Cross\-Functional Leadership** 
* Work across 
 **Operations, Technology, Finance, and Clinical** 
  teams as a trusted data partner.
* Help non\-technical stakeholders understand data constraints, tradeoffs, and opportunities.
* Shape data definitions and metrics that align with how care is actually delivered.
**People Leadership \&amp; Team Growth** 
* Mentor and manage junior data engineers or analytics professionals as the team scales.
* Establish best practices for documentation, testing, version control, and data quality.
* Contribute to hiring, onboarding, and team culture within the data function.
**What We’re Looking For** 
**Required** 
* 7\+ years of experience in data engineering or analytics engineering roles.
* Strong SQL expertise and experience building production\-grade data models.
* Hands\-on experience working with health plan or payer data (claims, eligibility, attribution, utilization).
* Experience in startup or high\-growth healthcare environments.
* Demonstrated success modernizing or replacing legacy data workflows.
* Experience leading, mentoring, or managing others.
* Strong communication skills and ability to work across technical and non\-technical teams.
**Preferred** 
* Experience supporting value\-based care or population health programs.
* Familiarity with healthcare financial models (PMPM, shared savings, unit economics).
* Experience with cloud data warehouses and modern ELT tools.
* Exposure to compliance or audit\-driven data environments.
**What Success Looks Like at Blue Zones Health** 
* Data is trusted, accessible, and actively used across the organization.
* Ops and Finance no longer rely on fragile spreadsheets or manual reconciliations.
* Performance, cost, and outcomes can be measured clearly and confidently.
* Legacy healthcare data workflows are replaced with scalable, automated systems.
* The data function grows with strong foundations and thoughtful leadership.
 For more information about
 **Blue Zones Health** 
 , check us out at www.bluezoneshealth.com.
**Blue Zones Health** 
 does not discriminate on the basis of race, color, religion, national origin, sex, sexual orientation, gender identity or expression, age, disability, veteran status, or any other protected status under applicable law.</t>
        </is>
      </c>
    </row>
    <row r="66">
      <c r="A66" t="inlineStr">
        <is>
          <t>li-4332274403</t>
        </is>
      </c>
      <c r="B66" t="inlineStr">
        <is>
          <t>Data Engineer I (AWS, Databricks, PySpark)</t>
        </is>
      </c>
      <c r="C66" t="inlineStr">
        <is>
          <t>Travelers</t>
        </is>
      </c>
      <c r="D66" t="inlineStr">
        <is>
          <t>linkedin</t>
        </is>
      </c>
      <c r="E66" t="inlineStr"/>
      <c r="F66" t="inlineStr"/>
      <c r="G66" t="inlineStr">
        <is>
          <t>Atlanta, GA</t>
        </is>
      </c>
      <c r="H66" t="inlineStr"/>
      <c r="I66"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$109,300\.00 \- $180,200\.00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Applicants must be authorized to work for ANY employer in the U.S. The company does not sponsor/support H\-1B petitions, TN, or Forms I\-983/STEM OPT, for this role.
**What Will You Do?**
*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 Bachelor’s Degree in STEM related field or equivalent.
* Six years of related experience.
* Proficient use of tools, techniques, and manipulation including Cloud platforms, programming languages, and an understanding of data engineering practices.
* Experience with ETL development in data lake and data warehouse (preferably Snowflake)
* Exhibited hands\-on experience in building data pipelines and reusable components using AWS Services and PySpark, and Snowflake within the last two years
* Exposure to Databricks Unity Catalog and UniForm is a plus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67">
      <c r="A67" t="inlineStr">
        <is>
          <t>li-4359628273</t>
        </is>
      </c>
      <c r="B67" t="inlineStr">
        <is>
          <t>Analytics Engineer, People Analytics</t>
        </is>
      </c>
      <c r="C67" t="inlineStr">
        <is>
          <t>EquipmentShare</t>
        </is>
      </c>
      <c r="D67" t="inlineStr">
        <is>
          <t>linkedin</t>
        </is>
      </c>
      <c r="E67" t="inlineStr"/>
      <c r="F67" t="inlineStr"/>
      <c r="G67" t="inlineStr">
        <is>
          <t>St Louis, MO</t>
        </is>
      </c>
      <c r="H67" t="inlineStr"/>
      <c r="I67" t="inlineStr">
        <is>
          <t>**Build the Future with Us —** 
 EquipmentShare is Hiring a Analytics Engineer, People Analytics
 At EquipmentShare, we’re not just filling a role —
 **we’re assembling the best team on the planet to build something that’s never been built before** 
 . We’re on a mission to transform an industry that’s been stuck in the past by empowering contractors and communities through innovative technology, real\-time support, and a team that truly cares.
 We’re hiring a
 **Analytics Engineer, People Analytics** 
 for our Corporate HQ in
 **Columbia, MO** 
 and we’re looking for someone who’s ready to grow with us, bring energy and drive to their work, and help us build the future of construction. This position is fully remote.
 Serve as the point person for building and maintaining scalable data pipelines and data structures to support EquipmentShare’s People Analytics initiatives. Partners with HR, Finance, and the People Analytics team to manage data infrastructure and ETL processes efficiently, while contributing to internal tooling, automation, and AI/LLM initiatives.
**Primary Responsibilities**
* Develop SQL and Python pipelines extracting and transforming data from Workday, LMS, Qualtrics, and email inboxes via Fivetran.
* Maintain Snowflake/dbt data models, views, tasks, and transformations.
* Monitor pipelines, implement automated testing, and proactively resolve data quality or workflow issues.
* Build dashboards and analytics solutions using internal tools (e.g., Looker).
* Codify business rules into models, transformations, and automated testing frameworks.
* Support day\-to\-day reporting and analytics, reducing complexity in accessing and querying cross\-functional data.
**Core Focus Areas**
* Build and maintain scalable data pipelines and data structures to support People Analytics initiatives.
* Partner with Payroll, HR, Finance, IT, and other analytics teams to deliver structured, secure, and reliable data solutions.
* Contribute to internal tooling, automation, and AI/LLM\-driven projects, such as chatbots and workflow automation.
* Establish execution plans from start to finish for data initiatives and ensure successful implementation.
* Take strong ownership of data quality, integrity, and operational reliability across analytics pipelines.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 and you drive
 *us* 
 forward.
 We’re a team of problem\-solvers, go\-getters, and builders. And we’re looking for teammates who take pride in doing meaningful work and want to be part of
 **building something special** 
 .
**Perks \&amp; Benefits**
* Competitive compensation
* Full medical, dental, and vision coverage for full\-time employees
* Generous PTO \+ paid holidays
* 401(k) \+ company match
* Gym membership stipend \+ wellness programs (earn PTO and prizes!)
* Company events, food truck nights, and monthly team dinners
* 16 hours of paid volunteer time per year — give back to the community you call home
* Career advancement, leadership training, and professional development opportunities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 See challenges as opportunities
* Embrace change and continuous improvement
* Bring energy, effort, and optimism every day
**Skills \&amp; Qualifications**
* Desire to thrive in a fast\-paced environment and strong ability to adapt as priorities, timelines, and project scope shift.
* Strong verbal and written communication skills
* Ability to work without constant supervision and is a self starter
* Ability to work quickly and think logically, especially under pressure
* Thrives on learning and growth opportunities; desires new challenges and enjoys a good puzzle
* Sound communication skills and the ability to influence and manage cross\-functional stakeholders.
* Knowledge of payroll and benefit modules preferred.
* Detail oriented, but able to pivot and re\-prioritize efforts as required.
* Ability to use diplomacy and tact when handling problems
* Ability to be flexible and adapt to change in a positive manner
**Education And Experience**
* Bachelor’s degree in data analytics, data science, statistics, information technology, or a related field.
* At least 4 years of SQL experience, creating complex queries and scalable ETL solutions.
* At least 3 years of Python experience, building and automating data pipelines and processes.
* At least 2 years of experience in data modeling, including building production\-ready data structures and transformations.
* Experience with Snowflake, dbt, or similar data warehousing and modeling platforms.
* Experience developing test automation and workflow orchestration using tools such as Airflow, Dagster, GitLab CI/CD, or Jenkins.
* Experience reporting and querying cross\-functional HR, People Analytics, or operational data.
* Experience with Git for version control and collaborative development.
* Familiarity with cloud environments (AWS preferred) and modern data engineering tools, operating in a managed DevOps framework with primary responsibility for the application and data layer.
**Physical Requirements**
* Prolonged periods sitting at a desk and working on a computer.
* Must be able to lift 10 pounds at times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
***Employment is contingent on passing a background check. Additionally, some roles require passing a drug test, depending on the job responsibilities.***</t>
        </is>
      </c>
    </row>
    <row r="68">
      <c r="A68" t="inlineStr">
        <is>
          <t>li-4359726117</t>
        </is>
      </c>
      <c r="B68" t="inlineStr">
        <is>
          <t>Data Engineer</t>
        </is>
      </c>
      <c r="C68" t="inlineStr">
        <is>
          <t>Recology</t>
        </is>
      </c>
      <c r="D68" t="inlineStr">
        <is>
          <t>linkedin</t>
        </is>
      </c>
      <c r="E68" t="inlineStr"/>
      <c r="F68" t="inlineStr"/>
      <c r="G68" t="inlineStr">
        <is>
          <t>California, United States</t>
        </is>
      </c>
      <c r="H68" t="inlineStr"/>
      <c r="I68" t="inlineStr">
        <is>
          <t>City:
**Sacramento**
 Location:
**1074 \- Recology Service Center \- Sacramento office**
 Subsidiary Name:
**Recology Service Center North**
****Role****
 Under limited general direction, develops and maintains data lake repository, data warehouse, and data mapping infrastructure with the ultimate goal to make data accessible so that the organization can use it to evaluate and optimize their performance. Demonstrated expertise designing, developing and maintaining scalable data pipelines and ETL processes to support enterprise data needs.
 This is a hybrid position, with three days per week in\-office and the rest remote.
**Essential Responsibilities**
* Creates and maintains optimal data pipeline architecture.
* Assembles large, complex data sets that meet functional / non\-functional business requirements.
* Performs unit testing and mock data generation.
* Uses relational data best practices, including referential integrity and query optimization (Oracle, MySQL, SQL Server).
* Participates in agile software planning and development activities, including daily standups, user story and task organization and grooming activities, and effort estimation.
* Analyzes business and technical requirements to develop documentation, designs, code, and tests.
* Maintains source control hygiene (branch protection, git\-flow).
* CI/CD includes build, test, and automated deployment (like Jenkins, Travis, and DevOps).
* Other duties as assigned.
****Qualifications****
* 5\+ years of experience in a data engineer role.
* Significant experience working with relational database technologies such as Oracle \&amp; SQL Server.
* Advanced working SQL knowledge and experience working with relational databases, query authoring (SQL), as well as working familiarity with a variety of databases.
* Outstanding analytical, quantitative, problem\-solving, and programming skills.
* Demonstrated expertise designing, developing and maintaining scalable data pipelines and ETL processes to support enterprise data needs.
* Full\-stack development experience.
* Willingness to jump in, learn new tech, and work effectively across full stack.
* Experience reviewing and executing plans and performance tuning.
* Experience working with common languages and frameworks such as C\# or Java.
* In\-depth understanding of modern application design principles, DevOps \&amp; Microservices.
* Relevant certifications from cloud provides (e.g., AWS Certified Data Analytics, Azure Data Engineering, etc.).
* Strong written and verbal communication skills, including ability to convey proposed solutions through natural language, diagrams, and design patterns.
* Ability to work both independently and collaboratively.
* High school diploma or GED required.
* Bachelor's degree preferred.
****Recology Offers****
* An ecologically innovative company that finds and mentors people committed to protecting the environment and sustaining our communities.
* The largest employee\-owned resource recovery company in the industry with terrific benefits to help you prosper.
* A creative and caring culture that values community, diversity, altruism, accountability, collaboration, and learning by doing.
* An inspired company mission driven to use and return resources to their best and highest use through the practice of the 4R’s: Reduce, Re\-use, Recycle, and Recologize.
* Distinct professional challenges to connect with, care for, and grow community that sees a world without waste.
****Recology Benefits May Include****
* Paid time off and paid holidays.
* Health and wellness benefits including medical, dental, and vision.
* Retirement plans (Employee Stock Ownership Plan, 401(k) with match).
* Annual wellness incentives.
* Employee Assistance Program (EAP).
* Educational assistance.
* Commuting benefits.
* Employee referral program.
****Supplemental Information****
 Reasonable accommodations may be made to enable individuals with disabilities to perform the essential functions of this job; and pursuant to applicable law, we will consider for employment qualified applicants with criminal records. It is important that you provide accurate information on the job application, inaccurate information may cause delays in the processing of your application and/or may disqualify you as a candidate.
 Recology is an equal opportunity employer committed to supporting an inclusive work environment where employees are valued, heard, and provided development opportunities. Qualified applicants will receive consideration for employment without regard to race, color, religion, sex, national origin, citizenship, disability, protected veteran status, or any other basis that is prohibited by law.
*This description is not intended and should not be construed to be an exhaustive list of all responsibilities, skills, effort, work conditions, and benefits associated with the job.*</t>
        </is>
      </c>
    </row>
    <row r="69">
      <c r="A69" t="inlineStr">
        <is>
          <t>li-4330597543</t>
        </is>
      </c>
      <c r="B69" t="inlineStr">
        <is>
          <t>Senior Data Engineer</t>
        </is>
      </c>
      <c r="C69" t="inlineStr">
        <is>
          <t>Peerspace</t>
        </is>
      </c>
      <c r="D69" t="inlineStr">
        <is>
          <t>linkedin</t>
        </is>
      </c>
      <c r="E69" t="inlineStr"/>
      <c r="F69" t="inlineStr"/>
      <c r="G69" t="inlineStr"/>
      <c r="H69" t="inlineStr"/>
      <c r="I69" t="inlineStr">
        <is>
          <t>**Senior Data Engineer** 
**About Peerspace** 
 Peerspace is the leading and category defining online marketplace for venue rentals for meetings, productions, and events. We open doors to the most inspiring spaces around the world, from lofts and mansions to storefronts and studios. Over $500M has been transacted through the platform, and our investors include GV (Google Ventures) and Foundation Capital.
**Role Overview** 
 As a Senior Data Engineer, you will be a key leader within our data team, taking ownership of major components of Peerspace’s data infrastructure. You will design, build, and optimize robust and scalable data pipelines into our production BigQuery data warehouse, leveraging tools like DBT and Segment. Your work will directly empower our BI tools, reporting, Marketing, and Data Science initiatives by ensuring a highly reliable and performant data ecosystem. You will mentor other engineers, lead complex projects, and set high standards for data quality and engineering excellence.
**Qualifications:** 
 You are a great fit for this role if you have:
 ●
 **Experience:** 
 5\-8 years in data engineering, with a proven track record of designing, building, and owning production data pipelines.
 ●
 **Technical Skills:** 
 ○ Deep expertise with cloud\-based data warehousing, particularly designing and optimizing schemas in BigQuery.
 ○ Advanced proficiency with DBT for creating sophisticated, scalable, and maintainable data transformation models.
 ○ Significant experience with tools like Segment for architecting data collection and event streaming strategies.
 ○ Proven ability to integrate and model numerous third\-party data sources to build a comprehensive and authoritative data ecosystem.
 ●
 **Architectural Mindset:** 
 Strong ability to design scalable, resilient data systems and make informed technical trade\-offs. You have an eye for detail and a passion for data integrity.
 ●
 **Collaboration \&amp; Mentorship:** 
 A history of effective collaboration with cross\-functional teams and experience mentoring junior engineers on technical concepts and best practices.
 ●
 **Impact:** 
 A track record of delivering high\-impact data projects from conception to completion, driving measurable improvements in data quality, availability, and utility. You are a domain expert in multiple business areas.
 ●
 **Ownership Mindset:** 
 A proactive approach to identifying opportunities for improvement, leading technical initiatives, and staying at the forefront of data engineering technologies.
**Responsibilities:** 
 In this role, you will be responsible for:
 ●
 **Data Warehousing:** 
 Owning and evolving our data pipelines into BigQuery, leading efforts to improve performance, scalability, and cost\-efficiency.
 ●
 **Data Transformation:** 
 Architecting and implementing advanced data models using DBT, establishing best practices for testing, documentation, and code quality.
 ●
 **Integration:** 
 Leading the design and implementation of integrations with Segment and other third\-party sources, ensuring data consistency and reliability across the platform.
 ●
 **Project Leadership:** 
 Taking ownership of complex data projects, from gathering requirements with BI, Marketing, and Data Science teams to delivering robust, production\-ready solutions.
 ●
 **Mentorship:** 
 Guiding and mentoring other data engineers, leading code reviews, and fostering a culture of technical excellence and continuous improvement.
 Why Peerspace?
 Peerspace is proudly certified as a Great Place to Work™ and we're a remote first company with team members located in cities around the globe. Beyond competitive salary and equity compensation, we provide:
 ● 100% employee coverage of medical, dental and vision insurance
 ● $500 annual professional development allowance
 ● Discount on all Peerspace bookings
 ● Laptop, high res display, and stipend to setup home office
 ● Monthly cell phone and internet credit
 ● Coworking membership if needed (in lieu of home office)
 ● Flexible take it as you need it time off policy
 ● Wellness Fridays observed company wide
 ● Annual in\-person, all company offsites and team\-building events
 The annual salary range for this role is $160,000 to $175,000\. The actual salary will vary depending on experience, skills, and abilities as well as internal equity and market data.
 Diversity
 At Peerspace, we're dedicated to creating a team that's diverse, equitable and inclusive. We believe bringing people together from different backgrounds and identities makes us stronger and better serves the Peerspace community. We'd especially like to encourage applicants from different backgrounds, locations, and experiences.
 At Peerspace, we are committed to maintaining a secure and transparent hiring experience. Please be aware that scammers sometimes impersonate companies like ours by posting fake job listings or reaching out to job seekers in misleading ways. All legitimate communication from Peerspace will come from an official @peerspace.com email address. We do not contact candidates through personal email accounts, third\-party messaging apps such as WhatsApp or Microsoft Teams, or through the Peerspace platform's internal messaging system. All Interviews are conducted only by phone or Zoom, and we will never ask for sensitive personal or financial information such as your Social Security number or bank details during the early stages of the hiring process. If you receive any message that seems suspicious or does not align with these practices, please contact us immediately at help@peerspace.com so we can investigate. We only post our job openings and process applications, through our official careers page at
 https://jobs.lever.co/peerspace
 .</t>
        </is>
      </c>
    </row>
    <row r="70">
      <c r="A70" t="inlineStr">
        <is>
          <t>li-4331576676</t>
        </is>
      </c>
      <c r="B70" t="inlineStr">
        <is>
          <t>Data Engineer I (AWS, PySpark, Snowflake)</t>
        </is>
      </c>
      <c r="C70" t="inlineStr">
        <is>
          <t>Travelers</t>
        </is>
      </c>
      <c r="D70" t="inlineStr">
        <is>
          <t>linkedin</t>
        </is>
      </c>
      <c r="E70" t="inlineStr"/>
      <c r="F70" t="inlineStr"/>
      <c r="G70" t="inlineStr">
        <is>
          <t>Atlanta, GA</t>
        </is>
      </c>
      <c r="H70" t="inlineStr"/>
      <c r="I70"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$109,300\.00 \- $180,200\.00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Applicants must be authorized to work for ANY employer in the U.S. The company does not sponsor/support H\-1B petitions, TN, or Forms I\-983/STEM OPT, for this role.
**What Will You Do?**
*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 Bachelor’s Degree in STEM related field or equivalent.
* Six years of related experience.
* Proficient use of tools, techniques, and manipulation including Cloud platforms, programming languages, and an understanding of data engineering practices.
* Experience with ETL development in data lake and data warehouse (preferably Snowflake)
* Exhibited hands\-on experience in building data pipelines and reusable components using AWS Services and PySpark, and Snowflake within the last two years
* Exposure to Databricks Unity Catalog and UniForm is a plus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71">
      <c r="A71" t="inlineStr">
        <is>
          <t>li-4359750864</t>
        </is>
      </c>
      <c r="B71" t="inlineStr">
        <is>
          <t>Data Engineer</t>
        </is>
      </c>
      <c r="C71" t="inlineStr">
        <is>
          <t>D2 Consulting</t>
        </is>
      </c>
      <c r="D71" t="inlineStr">
        <is>
          <t>linkedin</t>
        </is>
      </c>
      <c r="E71" t="inlineStr"/>
      <c r="F71" t="inlineStr"/>
      <c r="G71" t="inlineStr">
        <is>
          <t>Springfield, VA</t>
        </is>
      </c>
      <c r="H71" t="inlineStr"/>
      <c r="I71" t="inlineStr">
        <is>
          <t>* ACTIVE TS/SCI SECURITY CLEARANCE REQUIRED\*\*
 We’re looking for a talented
 **Data Engineer** 
 to join our mission\-driven team and help design, build, and optimize secure, scalable systems. In this role, you’ll have the opportunity to work with a modern cloud environment, develop robust data pipelines, and support projects that directly impact critical operations. You’ll collaborate with engineers, analysts, and stakeholders to transform data into powerful insights and efficient solutions.
**Your contributions will include:**
* Designing and maintaining ETL processes to move and transform large\-scale data efficiently.
* Building and optimizing SQL models to support analytics and business logic.
* Developing solutions in Python, SQL, Spark, PowerShell, and C\#.
* Creating scalable and secure applications and services in AWS (Glue, Lambda, Redshift, EC2, S3\).
* Supporting SQL Server environments for database management and integration.
* Applying DevSecOps practices to ensure secure, high\-quality code delivery.
* Collaborating in SCRUM teams using Jira and Git\-based workflows.
* Partnering with analysts to deliver data solutions that enable impactful data analysis and decision\-making.
**What you’ll bring to the team (Must\-Haves):**
* **Programming experience:**
+ Python (3\+ years)
+ SQL (3\+ years)
+ Spark
+ PowerShell
+ C\#
* **Cloud tools expertise:**
+ AWS (3\+ years) with strong hands\-on experience in Glue, Lambda, and Redshift
+ Experience with EC2, S3, and SQL Server
+ Proficiency with Git for version control
* Proven experience with:
+ **ETL development** 
 and large\-scale data processing
+ **SQL modeling and optimization**
+ **Data analysis** 
 and building systems that support decision\-making
+ **DevSecOps best practices** 
 in development and deployment
+ Agile development using SCRUM frameworks with Jira
* Strong problem\-solving mindset, ability to work independently, and excellent communication skills.
**Why you’ll love this role:**
 You’ll get to solve challenging problems, work with cutting\-edge AWS tools, and make an impact in a role that blends software engineering with data\-driven decision\-making. This position offers the chance to sharpen your technical skills, collaborate with a highly skilled team, and contribute to projects that matter.
**Additional Information**
* All your information will be kept confidential according to EEO guidelines.
* Compensation is unique to each candidate and relative to the skills and experience they bring to the position. This does not guarantee a specific salary as compensation is based upon multiple factors such as education, experience, certifications, and other requirements, and may fall outside of the above\-stated range.
* Highlights of our benefits include Health/Dental/Vision, 401(k) match, Accrued PTO, STD/LTD/Life Insurance, Referral Bonuses, professional development reimbursement, and more!
*D2 Consulting is committed to a merit\-based recruitment process and encourages applications from all qualified individuals. As a Veteran\-Owned Small Business, we particularly welcome applications from veterans who have the requisite skills and experience. Job applicants that are interested in one of our openings and may require a reasonable accommodation to participate in the job application or interview process, should contact us to request an accommodation.*</t>
        </is>
      </c>
    </row>
    <row r="72">
      <c r="A72" t="inlineStr">
        <is>
          <t>li-4359735955</t>
        </is>
      </c>
      <c r="B72" t="inlineStr">
        <is>
          <t>Data Engineer</t>
        </is>
      </c>
      <c r="C72" t="inlineStr">
        <is>
          <t>SteerBridge</t>
        </is>
      </c>
      <c r="D72" t="inlineStr">
        <is>
          <t>linkedin</t>
        </is>
      </c>
      <c r="E72" t="inlineStr"/>
      <c r="F72" t="inlineStr"/>
      <c r="G72" t="inlineStr">
        <is>
          <t>Washington, DC</t>
        </is>
      </c>
      <c r="H72" t="inlineStr"/>
      <c r="I72" t="inlineStr">
        <is>
          <t>We're Hiring: Data Engineers (Mid\-Level 3\+ Years) Are you passionate about building data pipelines that power real\-time insights and smarter decision\-making?
 SteerBridge Strategies, a Veteran\-led small business, is seeking Data Engineers to join our growing team based at our headquarters in Tysons Corner (Vienna, VA). This role offers the chance to support a major federal transformation effort by modernizing and optimizing complex data systems at scale. At SteerBridge, we're more than government contractors we are a high\-impact team of Veterans and professionals solving meaningful problems with precision and purpose. Our projects span AI/ML, cloud architecture, and large\-scale data engineering to help modernize critical federal systems.
 What You'll Do: As a Data Engineer, you'll work alongside architects, analysts, and scientists to design efficient data flows, enhance data quality, and ensure secure, reliable pipelines for both real\-time and batch processing environments. You will: Develop, optimize, and maintain ETL/ELT pipelines for structured and unstructured data Use tools like dbt, Informatica, Azure Data Factory, and Databricks for transformation and workflow automation Write performant SQL queries and Python/JavaScript scripts for data parsing, ingestion, and cleanup Conduct data profiling, linkage, validation, and quality checks across diverse sources Enable cloud\-based data processing (e.g., AWS S3, Azure Blob) and support API integration, collaborate across data science, engineering, and stakeholder teams to deliver accurate and actionable data products. Maintain technical documentation for pipelines, data structures, and infrastructure support secure data governance practices and performance tuning in modern cloud platforms
 Veteran\-strong leadership and collaborative team culture \_\_ Apply Now! If you're ready to engineer systems that make a difference, join SteerBridge and help modernize federal data operations that drive meaningful impact.
 SteerBridge Strategies is committed to equal employment opportunity and nondiscrimination for all employees and qualified applicants without regard to a person's race, color, gender, age, religion, national origin, ancestry, disability, veteran status, genetic information, sexual orientation, or any characteristic protected under applicable law. SteerBridge Strategies will make reasonable accommodations for qualified individuals with known disabilities in accordance with applicable law. Qualifications
* U.S. Citizenship and the ability to obtain a government security clearance
* Bachelor's degree in computer science or a related field 3\+ years of relevant experience in data engineering or data pipeline development
* Experience with SQL, Python, and cloud platforms like Azure, AWS, or GCP Familiarity with ETL tools and frameworks such as dbt, Informatica, or Apache Airflow
* Preferred Qualifications: Experience with modern data warehousing (Snowflake, Redshift) and orchestration tools (e.g., Spark, Airflow) Understanding of compliance and security protocols (e.g., HIPAA, CCPA, NIST)
* Strong data modeling skills and ability to translate requirements into scalable data solutions
* Excellent communication skills and ability to work in cross\-functional environments
* Location: Must be local to the Washington, D.C. area and able to work on\-site at our Vienna, VA office (5 days/week).
* Relocation assistance is available for non\-local candidates.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3">
      <c r="A73" t="inlineStr">
        <is>
          <t>li-4331926244</t>
        </is>
      </c>
      <c r="B73" t="inlineStr">
        <is>
          <t>Data Engineer II</t>
        </is>
      </c>
      <c r="C73" t="inlineStr">
        <is>
          <t>Cleveland Clinic</t>
        </is>
      </c>
      <c r="D73" t="inlineStr">
        <is>
          <t>linkedin</t>
        </is>
      </c>
      <c r="E73" t="inlineStr"/>
      <c r="F73" t="inlineStr"/>
      <c r="G73" t="inlineStr">
        <is>
          <t>Cleveland, OH</t>
        </is>
      </c>
      <c r="H73" t="inlineStr"/>
      <c r="I73" t="inlineStr">
        <is>
          <t>Join the Cleveland Clinic team where you will work alongside passionate caregivers and make a lasting, meaningful impact on patient care. Here, you will receive endless support and appreciation while building a rewarding career with one of the most respected healthcare organizations in the world.
 As Data Engineer, you will support the organization’s enterprise database needs by developing, maintaining, and enhancing internal and customer\-facing databases and applications. You will use your skills and expertise to collaborate with technical and non\-technical stakeholders to define metrics, automate reporting, and identify opportunities for automation. The role focuses on ETL development, including processing, transforming, and moving large volumes of data, while supporting clear communication and collaboration across multidisciplinary teams.
 Everyone at Cleveland Clinic is a caregiver. As part of our IT and cybersecurity team, you’ll do more than explore and expand your discipline and skills, you’ll impact patients everywhere by delivering world\-class care. Help our teams stay connected, up to date and equipped with the groundbreaking tools and technologies that are changing patients’ lives.
**A caregiver in this position works remotely out of Ohio, Florida, or Nevada, Monday\-Friday 8:00 a.m. – 4:30 p.m. or 9:00 a.m. – 5:00 p.m.**
 A caregiver who excels in this role will:
* Assist and support the overall database need of Cleveland Clinic.
* Support the creation of various analytics and .NET applications through databases, such as MS SQL and Airflow.
* Work in a team of database developers, software developers and business analysts to deliver database analytics and web\-based applications.
* Develop, maintain and enhance databases and applications for internal purposes and customer reporting.
* Administer existing databases and the analysis, design and creation of new databases.
* Perform data modeling, database optimization, understanding and implementation of schemas and the ability to interpret and write complex code.
* Monitor systems for optimum performance and capacity constraints.
* Design, implement and support ETL processes.
* Establish database standards, documentation and best practices.
* Handle multiple projects while supporting existing production databases and processes.
* Perform support, development and administrative activities as required.
 Minimum qualifications for the ideal future caregiver include:
* Bachelor's degree in computer science, engineering or related field
* Three years database development experience Additional experience may offset degree requirement.
* Solid understanding of database and .NET computing environment concepts
* Excellent knowledge of current technologies and project management skills
* Diverse technology background required along with strong verbal and written communication skills
 Preferred qualifications for the ideal future caregiver include:
* Master's Degree
* Programming experience with an emphasis on coding that scales well and is optimized for use in high\-volume environment
* Experience building ETL processes/pipelines and automating scheduling of these processes
* Experience in SQL, Airflow, Python, Snowflake, DBT, and GIT preferred
****Physical Requirements:****
* Ability to communicate and exchange accurate information.
* Ability to perform work in a stationary position for extended periods.
* Ability to work with physical records or operate a computer or other office equipment.
* In some locations, ability to travel throughout the hospital system.
* In some locations ability to move up to 25 lbs.
****Personal Protective Equipment:****
* Follows standard precautions using personal protective equipment as required.
**Pay Range**
 Minimum Annual Salary: $69,600\.00
 Maximum Annual Salary: $106,132\.50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74">
      <c r="A74" t="inlineStr">
        <is>
          <t>li-4348032626</t>
        </is>
      </c>
      <c r="B74" t="inlineStr">
        <is>
          <t>Data Engineer</t>
        </is>
      </c>
      <c r="C74" t="inlineStr">
        <is>
          <t>Cognition</t>
        </is>
      </c>
      <c r="D74" t="inlineStr">
        <is>
          <t>linkedin</t>
        </is>
      </c>
      <c r="E74" t="inlineStr"/>
      <c r="F74" t="inlineStr"/>
      <c r="G74" t="inlineStr"/>
      <c r="H74" t="inlineStr"/>
      <c r="I74" t="inlineStr">
        <is>
          <t>**We are an applied AI lab building end\-to\-end software agents.**
 We're the makers of Devin, the first AI software engineer, and Windsurf, the AI\-native IDE. Together, they represent our vision for collaborative AI teammates that enable engineers to focus on more interesting problems and empower teams to strive for more ambitious goals.
 Our team is small and talent\-dense. Among our founding team, we have world\-class competitive programmers, former founders, and leaders from companies at the cutting edge of AI including Scale AI, Palantir, Cursor, Waymo, Tesla, Lunchclub, Modal, Google DeepMind, and Nuro.
 Building Devin and Windsurf is just the first step—our hardest challenges still lie ahead. If you’re excited to solve some of the world’s biggest problems and build AI that can reason on real\-world tasks, apply to join us.
**About The Role**
 We’re hiring a technical Data Engineer to own our full data stack – from database architecture and pipelines to integrations and reporting. You’ll design and maintain the systems that keep our data reliable, accessible, and actionable across the company with a particular focus on product and GTM reporting.
**In This Role You Will**
* Design and manage database architecture and data models
* Build and maintain ETL/ELT pipelines and orchestration workflows
* Create and manage new data integrations across internal and external systems
* Own business reporting: datasets, dashboards, metrics, and self\-serve analytics
* Ensure data quality, observability, governance, and documentation
**Requirements For The Role**
* 4\+ years in a data engineering, data science, or full\-stack data role
* Expert SQL and strong Python (or R)
* Experience with data modeling, warehouse architecture, and BI\-oriented schema design
* Hands\-on experience with ETL/ELT tools (dbt, Airflow, Dagster, etc.)
* Experience building or maintaining BI reporting (Metabase a plus)
* Strong knowledge of statistics and experimentation
* Based in SF or NYC</t>
        </is>
      </c>
    </row>
    <row r="75">
      <c r="A75" t="inlineStr">
        <is>
          <t>li-4359648678</t>
        </is>
      </c>
      <c r="B75" t="inlineStr">
        <is>
          <t>Staff Data Engineer (PySpark)</t>
        </is>
      </c>
      <c r="C75" t="inlineStr">
        <is>
          <t>Wizard AI</t>
        </is>
      </c>
      <c r="D75" t="inlineStr">
        <is>
          <t>linkedin</t>
        </is>
      </c>
      <c r="E75" t="inlineStr"/>
      <c r="F75" t="inlineStr"/>
      <c r="G75" t="inlineStr"/>
      <c r="H75" t="inlineStr"/>
      <c r="I75" t="inlineStr">
        <is>
          <t>**About Us**
 Wizard is the top\-performing AI Shopping Agent, delivering the best products from across the web with unmatched accuracy, quality, and trust.
**The Role**
 We are seeking a Staff Data Engineer with deep expertise in PySpark to join our data team. This is a hands\-on technical role for someone passionate about building scalable data systems, mentoring engineers and shaping data strategy. You’ll architect systems that power high performance batch and real time data processing, enable advanced analytics and accelerate our AI initiatives.
**Key Responsibilities**
* Design and evolve scalable, distributed data infrastructure across cloud platforms
* Build and maintain real time and batch data processing pipelines supporting analytics and AI/ML workloads
* Develop and manage integrations with third party e\-commerce platforms to expand our data ecosystem
* Ensure data availability, reliability and quality through monitoring and automated auditing
* Partner with engineering, AI and product teams on data solutions for business critical needs
* Mentor and support data engineers, establishing best practices and code quality standards
**You**
* 5\+ years of software development and data engineering experience with demonstrated ownership of production grade data infrastructure
* Bachelor's degree in Computer Science or a related field, or equivalent practical experience.
* Deep expertise scaling Spark in production (Databricks, EMR, etc)
* Strong understanding of distributed computing and modern data modeling for scalable systems
* Proficient in Python with experience implementing software engineering best practices
* Hands\-on experience with both relational (MySQL / PostgreSQL) and NoSQL (MongoDB, DynamoDB, Cassandra) databases
* Strong communicator with experience influencing cross functional stakeholders
**Nice to Have**
* Experience working in early\-stage, high\-growth environments
* Familiarity with MLOps pipelines and integrating ML models into data workflows.
* Passionate about problem\-solving with a proactive approach to finding innovative solutions.
**Compensation \&amp; Benefits**
 The expected base salary range for this role is $208,000 – $235,000 USD, and will vary based on skills, experience, role level, and geographic location. Final compensation will be determined by considering these factors alongside overall role scope and responsibilities.
 In addition to base salary, Wizard offers:
* Equity in the form of stock options
* Medical, dental, and vision coverage
* 401(k) plan
* Flexible PTO and company holidays
* Fully remote work within the United States
* Periodic company\-wide offsites and team gatherings
 Wizard is committed to fair, transparent, and competitive compensation practices.</t>
        </is>
      </c>
    </row>
    <row r="76">
      <c r="A76" t="inlineStr">
        <is>
          <t>li-4359656478</t>
        </is>
      </c>
      <c r="B76" t="inlineStr">
        <is>
          <t>Data Engineer</t>
        </is>
      </c>
      <c r="C76" t="inlineStr">
        <is>
          <t>Valzo Soft Solutions</t>
        </is>
      </c>
      <c r="D76" t="inlineStr">
        <is>
          <t>linkedin</t>
        </is>
      </c>
      <c r="E76" t="inlineStr"/>
      <c r="F76" t="inlineStr"/>
      <c r="G76" t="inlineStr"/>
      <c r="H76" t="inlineStr"/>
      <c r="I76" t="inlineStr">
        <is>
          <t>**Job Title:** 
 Data Engineer
**Location:** 
 Remote (USA)
**Work Mode:** 
 Remote
**Experience:** 
 4–10\+ Years
**Employment Type:** 
 Full Time / C2C
**Visa Status:** 
 All Visas Applicable
**Job Description:** 
 We are seeking an experienced
 **Data Engineer** 
 to design, build, and maintain scalable data pipelines and data platforms. The ideal candidate will have strong experience in data engineering tools, cloud platforms, and big data technologies, supporting analytics and business intelligence initiatives.
**Key Responsibilities:** 
* Design, develop, and maintain
 **ETL/ELT data pipelines**
* Build and optimize
 **data warehouses and data lakes**
* Work with structured and unstructured data from multiple sources
* Ensure data quality, reliability, and performance
* Collaborate with data analysts, data scientists, and business teams
* Implement data security and governance best practices
* Troubleshoot and optimize existing data workflows
**Required Skills:** 
* Strong experience in
 **SQL** 
 and database design
* Hands\-on experience with
 **Python / Scala**
* Experience with
 **ETL tools** 
 (Airflow, Informatica, Talend, dbt, etc.)
* Strong experience with
 **Big Data technologies** 
 (Spark, Hadoop)
* Experience with
 **Cloud platforms** 
 : AWS / Azure / GCP
* Knowledge of
 **Data Warehousing concepts**
**Good to Have:** 
* Experience with
 **Snowflake, Redshift, BigQuery**
* Experience in
 **Kafka / real\-time streaming**
* CI/CD and DevOps exposure
* Cloud certifications</t>
        </is>
      </c>
    </row>
    <row r="77">
      <c r="A77" t="inlineStr">
        <is>
          <t>li-4331594958</t>
        </is>
      </c>
      <c r="B77" t="inlineStr">
        <is>
          <t>Data Engineer</t>
        </is>
      </c>
      <c r="C77" t="inlineStr">
        <is>
          <t>AARATECH</t>
        </is>
      </c>
      <c r="D77" t="inlineStr">
        <is>
          <t>linkedin</t>
        </is>
      </c>
      <c r="E77" t="inlineStr"/>
      <c r="F77" t="inlineStr"/>
      <c r="G77" t="inlineStr"/>
      <c r="H77" t="inlineStr"/>
      <c r="I77"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78">
      <c r="A78" t="inlineStr">
        <is>
          <t>li-4332243895</t>
        </is>
      </c>
      <c r="B78" t="inlineStr">
        <is>
          <t>Data Engineer - Houston, SQL, Oracle, data modeling</t>
        </is>
      </c>
      <c r="C78" t="inlineStr">
        <is>
          <t>IntagHire</t>
        </is>
      </c>
      <c r="D78" t="inlineStr">
        <is>
          <t>linkedin</t>
        </is>
      </c>
      <c r="E78" t="inlineStr"/>
      <c r="F78" t="inlineStr"/>
      <c r="G78" t="inlineStr">
        <is>
          <t>Houston, TX</t>
        </is>
      </c>
      <c r="H78" t="inlineStr"/>
      <c r="I78" t="inlineStr">
        <is>
          <t>**Job Title** 
 : Senior Data Engineer
**Job Type:** 
 Full\-time
**Location:** 
 Houston, TX (On\-site required)
**About the Role:** 
 We are seeking a Senior Data Engineer to support a high\-visibility initiative for a large enterprise client. This role will focus on the development, optimization, and support of data pipelines and platforms that enable cloud\-based business applications.
 The Senior Data Engineer will work closely with a Senior Data Architect and cross\-functional technical teams to translate architectural designs into scalable, reliable data solutions. The ideal candidate is hands\-on, execution\-focused, and comfortable working in complex, enterprise environments.
 This position requires the candidate to be on\-site at our client's office in Houston, TX. Furthermore, the position entails an average of 20% travel.
**Responsibilities:** 
* Partner with the Senior Data Architect to implement and operationalize data architecture designs.
* Build, enhance, and maintain scalable and reliable data pipelines supporting cloud\-based applications.
* Develop and optimize ETL/ELT processes primarily for structured data.
* Work with relational database platforms, including Oracle and Microsoft SQL Server.
* Ensure data quality, performance, and reliability across data workflows.
* Collaborate with application and platform teams to support external\-facing and internal systems.
* Troubleshoot and resolve data pipeline, performance, and reliability issues.
* Contribute to documentation, best practices, and continuous improvement initiatives.
**Requirements:** 
* 6\+ years of experience in data engineering roles.
* Strong expertise in SQL and relational data modeling.
* Hands\-on experience with Oracle and Microsoft SQL Server.
* Experience building and supporting data solutions in a cloud environment (AWS, Azure, or GCP).
* Proven ability to work closely with data architects and cross\-functional teams.
**Preferred Qualifications:** 
* Google Cloud Platform (GCP) experience preferred.
* Experience working in large enterprise or highly regulated environments.
* Familiarity with data orchestration, pipeline automation, and monitoring tools.
* Experience supporting data platforms used by external stakeholders or customers.
 If you are a highly motivated individual with a passion for solving complex problems, we encourage you to apply for this exciting opportunity.</t>
        </is>
      </c>
    </row>
    <row r="79">
      <c r="A79" t="inlineStr">
        <is>
          <t>li-4352292191</t>
        </is>
      </c>
      <c r="B79" t="inlineStr">
        <is>
          <t>Data Engineer, Production Analytics</t>
        </is>
      </c>
      <c r="C79" t="inlineStr">
        <is>
          <t>Carvana</t>
        </is>
      </c>
      <c r="D79" t="inlineStr">
        <is>
          <t>linkedin</t>
        </is>
      </c>
      <c r="E79" t="inlineStr"/>
      <c r="F79" t="inlineStr"/>
      <c r="G79" t="inlineStr">
        <is>
          <t>Tempe, AZ</t>
        </is>
      </c>
      <c r="H79" t="inlineStr"/>
      <c r="I79" t="inlineStr">
        <is>
          <t>**About Carvana**
 At Carvana, we’re changing the way people buy and sell cars. With an ambitious vision and a fundamentally different approach designed to be fun, fast, and fair, Carvana became the fastest\-growing automotive retailer in history. We expanded nationally, went public on the New York Stock Exchange, sold our 1 millionth car, and reached the Fortune 500, all in just eight years.
 Today, with 4 million retail customers and counting, Carvana is both the fastest\-growing and the most profitable public automotive retailer, and we’re just getting started. We continue to raise the bar for our customers as we tackle the enormous opportunity still ahead in the largest consumer vertical.
 Working here means being part of a team that embraces change, celebrates creative problem solving, and always strives to be better. At Carvana, you’ll have the opportunity to take on meaningful challenges, learn quickly, and help shape the future of automotive retail. If you’re driven to grow and make an impact as part of a collaborative team, you’ll fit right in. Learn more about what it’s like to work here from the people that already do.
**About The Team And Position**
 Have you ever wished the analytics projects you worked on could have visible and tangible benefits? The production analytics team owns advanced analytics (data science, optimization, data mining, etc.) in Carvana’s vertically integrated vehicle inspection and reconditioning centers. Our team can walk through these centers and see our work in action.
 We're launching a high\-priority initiative to build a clean analytical data layer that will make running future analysis faster than ever. By creating curated fact tables with the right level of granularity, we'll enable our team to focus on generating insights and driving business impact. As a Data Engineer, you'll work closely with our Lead Data Engineer to design, implement, and own these foundational systems. This is a build\-and\-own role with high visibility across the organization due to its strategic importance.
**What You’ll Be Doing** 
* Building and maintaining curated analytical data layer:
+ Reverse engineering existing BI reporting systems to understand embedded business logic and calculation rules.
+ Designing and implementing clean fact tables in Snowflake that pre\-apply business rules and handle data quality issues.
+ Developing robust stored procedures using zero\-downtime deployment patterns.
+ Creating validation frameworks to ensure data accuracy against production systems.
+ Converting complex business logic into maintainable data structures.
+ Owning and maintaining the data systems you build, iterating as business needs evolve.
* Supporting broader data engineering initiatives:
+ Building and maintaining ETL pipelines for analytics workflows.
+ Supporting, and perhaps developing, APIs to support data science projects and operational systems.
+ Collecting data from external APIs and web sources.
+ Building prototype dashboards in Sigma to support our BI platform transition.
+ Contributing to the team's Python codebase for data processing and automation.
* Collaborating and growing:
+ Working under the technical direction of our Lead Data Engineer with daily code reviews and architectural guidance.
+ Documenting data models, business rules, and technical decisions.
+ Participating in architecture discussions and design reviews.
+ Partnering with analysts to understand analytical requirements and pain points.
**What You Should Have**
* Bachelor's degree in Computer Science, Engineering, Mathematics, Statistics, or a related field.
* Strong SQL skills \- you can write complex queries involving joins, aggregations, window functions, and CTEs.
* Proficiency in Python for data processing and automation.
* Understanding of data warehouse concepts and dimensional modeling fundamentals.
* Familiarity with Git\-based version control, branching, and pull requests.
* Strong analytical mindset with attention to detail \- you don't assume data is correct, you validate it.
* Excellent communication skills to explain technical concepts clearly.
* Eagerness to learn and grow through technical mentorship and code reviews.
* A relentless drive to push work into production and see tangible impact.
* An attitude that rocks.
**It would be great if you also had**
* Experience with Snowflake or other cloud\-based data warehouses (Google Cloud Platform, AWS, Azure).
* Hands\-on experience with BI tools like Tableau and/or Sigma, understanding how analysts consume data.
* Knowledge of data quality validation techniques and testing frameworks.
* Experience building APIs (e.g., FastAPI, Flask) or consuming APIs as data sources.
* Exposure to manufacturing or operations analytics environments.
* Understanding of Agile/iterative development practices.
* Experience with containerized code (Docker, Kubernetes).
* Familiarity with DevOps principles and CI/CD pipelines.
**Legal stuff**
 Hiring is contingent on passing a complete background check. This role is not eligible for visa sponsorship.
 Carvana is an equal employment opportunity employer. All applicants receive consideration for employment without regard to race, color, religion, gender, sexual orientation, gender identity or expression, marital status, national origin, age, mental or physical disability, protected veteran status, or genetic information, or any other basis protected by applicable law. Carvana also prohibits harassment of applicants or employees based on any of these protected categories.
 Please note this job description is not designed to contain a comprehensive listing of activities, duties, or responsibilities that are required of the employee for this job. Duties, responsibilities, and activities may change at any time with or without notice.</t>
        </is>
      </c>
    </row>
    <row r="80">
      <c r="A80" t="inlineStr">
        <is>
          <t>li-4359628274</t>
        </is>
      </c>
      <c r="B80" t="inlineStr">
        <is>
          <t>Analytics Engineer, People Analytics</t>
        </is>
      </c>
      <c r="C80" t="inlineStr">
        <is>
          <t>EquipmentShare</t>
        </is>
      </c>
      <c r="D80" t="inlineStr">
        <is>
          <t>linkedin</t>
        </is>
      </c>
      <c r="E80" t="inlineStr"/>
      <c r="F80" t="inlineStr"/>
      <c r="G80" t="inlineStr">
        <is>
          <t>Kansas City, MO</t>
        </is>
      </c>
      <c r="H80" t="inlineStr"/>
      <c r="I80" t="inlineStr">
        <is>
          <t>**Build the Future with Us —** 
 EquipmentShare is Hiring a Analytics Engineer, People Analytics
 At EquipmentShare, we’re not just filling a role —
 **we’re assembling the best team on the planet to build something that’s never been built before** 
 . We’re on a mission to transform an industry that’s been stuck in the past by empowering contractors and communities through innovative technology, real\-time support, and a team that truly cares.
 We’re hiring a
 **Analytics Engineer, People Analytics** 
 for our Corporate HQ in
 **Columbia, MO** 
 and we’re looking for someone who’s ready to grow with us, bring energy and drive to their work, and help us build the future of construction. This position is fully remote.
 Serve as the point person for building and maintaining scalable data pipelines and data structures to support EquipmentShare’s People Analytics initiatives. Partners with HR, Finance, and the People Analytics team to manage data infrastructure and ETL processes efficiently, while contributing to internal tooling, automation, and AI/LLM initiatives.
**Primary Responsibilities**
* Develop SQL and Python pipelines extracting and transforming data from Workday, LMS, Qualtrics, and email inboxes via Fivetran.
* Maintain Snowflake/dbt data models, views, tasks, and transformations.
* Monitor pipelines, implement automated testing, and proactively resolve data quality or workflow issues.
* Build dashboards and analytics solutions using internal tools (e.g., Looker).
* Codify business rules into models, transformations, and automated testing frameworks.
* Support day\-to\-day reporting and analytics, reducing complexity in accessing and querying cross\-functional data.
**Core Focus Areas**
* Build and maintain scalable data pipelines and data structures to support People Analytics initiatives.
* Partner with Payroll, HR, Finance, IT, and other analytics teams to deliver structured, secure, and reliable data solutions.
* Contribute to internal tooling, automation, and AI/LLM\-driven projects, such as chatbots and workflow automation.
* Establish execution plans from start to finish for data initiatives and ensure successful implementation.
* Take strong ownership of data quality, integrity, and operational reliability across analytics pipelines.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 and you drive
 *us* 
 forward.
 We’re a team of problem\-solvers, go\-getters, and builders. And we’re looking for teammates who take pride in doing meaningful work and want to be part of
 **building something special** 
 .
**Perks \&amp; Benefits**
* Competitive compensation
* Full medical, dental, and vision coverage for full\-time employees
* Generous PTO \+ paid holidays
* 401(k) \+ company match
* Gym membership stipend \+ wellness programs (earn PTO and prizes!)
* Company events, food truck nights, and monthly team dinners
* 16 hours of paid volunteer time per year — give back to the community you call home
* Career advancement, leadership training, and professional development opportunities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 See challenges as opportunities
* Embrace change and continuous improvement
* Bring energy, effort, and optimism every day
**Skills \&amp; Qualifications**
* Desire to thrive in a fast\-paced environment and strong ability to adapt as priorities, timelines, and project scope shift.
* Strong verbal and written communication skills
* Ability to work without constant supervision and is a self starter
* Ability to work quickly and think logically, especially under pressure
* Thrives on learning and growth opportunities; desires new challenges and enjoys a good puzzle
* Sound communication skills and the ability to influence and manage cross\-functional stakeholders.
* Knowledge of payroll and benefit modules preferred.
* Detail oriented, but able to pivot and re\-prioritize efforts as required.
* Ability to use diplomacy and tact when handling problems
* Ability to be flexible and adapt to change in a positive manner
**Education And Experience**
* Bachelor’s degree in data analytics, data science, statistics, information technology, or a related field.
* At least 4 years of SQL experience, creating complex queries and scalable ETL solutions.
* At least 3 years of Python experience, building and automating data pipelines and processes.
* At least 2 years of experience in data modeling, including building production\-ready data structures and transformations.
* Experience with Snowflake, dbt, or similar data warehousing and modeling platforms.
* Experience developing test automation and workflow orchestration using tools such as Airflow, Dagster, GitLab CI/CD, or Jenkins.
* Experience reporting and querying cross\-functional HR, People Analytics, or operational data.
* Experience with Git for version control and collaborative development.
* Familiarity with cloud environments (AWS preferred) and modern data engineering tools, operating in a managed DevOps framework with primary responsibility for the application and data layer.
**Physical Requirements**
* Prolonged periods sitting at a desk and working on a computer.
* Must be able to lift 10 pounds at times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
***Employment is contingent on passing a background check. Additionally, some roles require passing a drug test, depending on the job responsibilities.***</t>
        </is>
      </c>
    </row>
    <row r="81">
      <c r="A81" t="inlineStr">
        <is>
          <t>li-4358264339</t>
        </is>
      </c>
      <c r="B81" t="inlineStr">
        <is>
          <t>Data Engineer</t>
        </is>
      </c>
      <c r="C81" t="inlineStr">
        <is>
          <t>NBCUniversal</t>
        </is>
      </c>
      <c r="D81" t="inlineStr">
        <is>
          <t>linkedin</t>
        </is>
      </c>
      <c r="E81" t="inlineStr"/>
      <c r="F81" t="inlineStr"/>
      <c r="G81" t="inlineStr">
        <is>
          <t>New York, NY</t>
        </is>
      </c>
      <c r="H81" t="inlineStr"/>
      <c r="I81"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Our Media Group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an unequaled scale, our teams make the most out of every opportunity to collaborate and learn from one another. We’re always looking for ways to innovate faster, accelerate our growth, and consistently offer the very best in the consumer experience. But most of all, we’re backed by a culture of respect. We embrace authenticity and inspire people to thrive.
 As part of the Media Group Decision Sciences team, the Data Engineer will be responsible for creating a connected data ecosystem that unleashes the power of our streaming data with a focus on international propositions. We gather data from across all customer/prospect journeys in near real\-time, to allow fast feedback loops across territories; combined with our strategic data platform, this data ecosystem is at the core of being able to make intelligent customer and business decisions.
 In this role, the Data Engineer will share responsibilities in the development and maintenance of optimized and highly available data pipelines that facilitate deeper analysis and reporting by the business, as well as support ongoing operations related to the Media Group data ecosystem.
**Responsibilities include, but are not limited to:**
* Develop and maintain batch and streaming data pipelines according to business and technical requirements.
* Deliver observable, reliable and secure software, embracing “you build it, you run it” mentality, and focus on automation.
* Continually work on improving the codebase and have active participation in all aspects of the team, including agile ceremonies.
* Take an active role in story definition, assisting business stakeholders with acceptance criteria.
* Work with Principal Engineers and Architects to share and contribute to the broader technical vision.
* Practice and champion best practices, striving towards excellence and raising the bar within the department.
* Operationalize data processing systems (DevOps) and system observability (SRE)
**Qualifications**
**Qualifications**
* 1\+ years relevant experience in Data Engineering
* Experience of near Real Time \&amp; Batch Data Pipeline development in a similar Big Data Engineering role.
* Programming skills with an OOP language (e.g., Java, C\+\+)
* Proficient with SQL
* Experience working in a cloud environment such as Google Cloud Platform or AWS
* Hands on programming experience of the following (or similar) technologies:
	+ Kubernetes, Docker
	+ Apache Beam, Apache Flink, Apache Spark
	+ Google BigQuery, Snowflake
	+ Google BigTable
	+ Google Pub/Sub, Kafka
	+ Apache Airflow
* Experience implementing observability around data pipelines using SRE best practices.
* Experience in processing structured and unstructured data into a form suitable for analysis and reporting with integration with a variety of data metric providers ranging from advertising, web analytics, and consumer devices.
* Bachelors’ degree with a specialization in Computer Science, Engineering, Physics, other quantitative field or equivalent industry experience.
**Desired Characteristics**
* Strong Test\-Driven Development background, with understanding of levels of testing required to continuously deliver value to production.
* Experience with large\-scale video assets
* Ability to work effectively across functions, disciplines, and levels
* Team\-oriented and collaborative approach with a demonstrated aptitude, enthusiasm and willingness to learn new methods, tools, practices, and skills
* Ability to recognize discordant views and take part in constructive dialogue to resolve them
* Pride and ownership in your work and confident representation of your team to other parts of the business
**Additional Requirements**
* Hybrid: This position has been designated as hybrid, which currently requires contributing from the office a minimum of three days per week. Beginning January 5, 2026, hybrid employees will be required to work from the office a minimum of four days per week. The Company reserves the right to change in\-office requirements at any time.
*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$100,000 \- $135,000\.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82">
      <c r="A82" t="inlineStr">
        <is>
          <t>li-4359656367</t>
        </is>
      </c>
      <c r="B82" t="inlineStr">
        <is>
          <t>Senior Data Engineer</t>
        </is>
      </c>
      <c r="C82" t="inlineStr">
        <is>
          <t>Basil Systems</t>
        </is>
      </c>
      <c r="D82" t="inlineStr">
        <is>
          <t>linkedin</t>
        </is>
      </c>
      <c r="E82" t="inlineStr"/>
      <c r="F82" t="inlineStr"/>
      <c r="G82" t="inlineStr"/>
      <c r="H82" t="inlineStr"/>
      <c r="I82" t="inlineStr">
        <is>
          <t>Hi, this is Eric 👋 We’re hiring a stellar Data Engineer to join our engineering org at Basil Systems.
**About Basil Systems** 
 At Basil Systems, we're revolutionizing healthcare data access and insights for the life sciences industry. We've built powerful platforms that help pharmaceutical and medical device companies navigate complex regulatory landscapes, accelerate product development, and ultimately bring life\-saving innovations to market faster. Our SaaS platforms transform disconnected data sources into actionable intelligence, empowering organizations to make data\-driven decisions that improve patient outcomes and save lives.
**The Role** 
 We are seeking a
 **Senior Data Engineer** 
 to own and advance the data infrastructure that powers our healthcare insights platform. As our engineering team scales and we expand our data capabilities, we need someone who can build reliable, scalable pipelines while ensuring data quality across increasingly complex regulatory sources.
**Key Responsibilities** 
* Design, build, and maintain robust ETL processes for healthcare regulatory data
* Integrate new data sources as we onboard customers and expand platform capabilities
* Optimize pipeline performance and reliability
* Ensure data accuracy and consistency across complex transformation workflows
**Qualifications** 
* 5\+ years of professional experience as a data engineer or in a similar role
* Experience with Apache Spark and distributed computing
* Familiarity with common ML algorithms and their applications
* Knowledge of or willingness to learn and work with Generative AI technologies
* Experience with developing for distributed cloud platforms
* Experience with MongoDB / ElasticSearch and technologies like BigQuery
* Strong commitment to engineering best practices
**Nice\-to\-Haves** 
* Solid understanding of modern security practices, especially in healthcare data contexts
* Subject matter expertise in LifeSciences / Pharma / MedTech
**This role might not be for you if...** 
* You're a heavy process advocate and want enterprise\-grade Scrum or rigid methodologies
* You have a need for perfect clarity before taking action
* You have a big company mindset
**What We Offer** 
* Competitive salary
* Health and vision benefits
* Attractive equity package
* Flexible work environment (remote\-friendly)
* Opportunity to work on impactful projects that are helping bring life\-saving medical products to market
* Be part of a mission\-driven team solving real healthcare challenges at a critical scaling point
**Our Culture** 
 At Basil Systems, we value flexibility and support a distributed team. We actively employ and support remote team members across different geographies, allowing you to work when, where, and how you work best. We are committed to building a diverse, inclusive, and safe work environment for everyone. Our team is passionate about using technology to make a meaningful difference in healthcare.
**How to Apply** 
 If you're excited about this opportunity and believe you'd be a great fit for our team, please send your resume and a brief introduction to
 **engineering\-jobs@basilsys.com.** 
 Basil Systems is an equal opportunity employer. We welcome applicants of all backgrounds and experiences.</t>
        </is>
      </c>
    </row>
    <row r="83">
      <c r="A83" t="inlineStr">
        <is>
          <t>li-4331975008</t>
        </is>
      </c>
      <c r="B83" t="inlineStr">
        <is>
          <t>Data Engineer III</t>
        </is>
      </c>
      <c r="C83" t="inlineStr">
        <is>
          <t>AmTrust Financial Services, Inc.</t>
        </is>
      </c>
      <c r="D83" t="inlineStr">
        <is>
          <t>linkedin</t>
        </is>
      </c>
      <c r="E83" t="inlineStr"/>
      <c r="F83" t="inlineStr"/>
      <c r="G83" t="inlineStr"/>
      <c r="H83" t="inlineStr"/>
      <c r="I83" t="inlineStr">
        <is>
          <t>**Overview**
 As a Data Engineer (Analytics Specialist), you will build robust data warehouse/marts/sets which will enable business users to make informed decisions. You will use advanced SQL tools to move large amounts of data and build complex algorithms.
**Responsibilities**
* Collaborates with stakeholders, data engineers, and data scientists to ensure analytics data needs align with organizational goals and priorities and elevate our business processes.
* Develops ETL processes to extract data from various sources, transform it into a format suitable for analysis across AmTrust.
* Create moderately complex data models that describe the relationship between different data entities. Develop database schemas that are optimized for querying and analysis.
* Design advanced validation and cleansing processing to identify and fix data quality issues for quality and accuracy of the data throughout
* Medium\-to\-Advanced level understanding of business processes of a variety of areas in the company including finance, operations, underwriting, sales, claims, and actuarial to develop a deep understanding of the workflow and the relevant data to produce insights for the larger organization.
* Work with IT resources to integrate data warehouse data, test and validate report building, process automation, and dashboard development.
**Qualifications**
* 5\-10 years minimum experience writing SQL, DAX, SSAS, and creating SSIS Packages
* Knowledge of Software Development Life Cycle, Git, Agile
* Undergraduate degree in Computer Science, Information Systems, Engineering, or equivalent years of work experience.
 \#AmTrust
**What We Offer**
 AmTrust Financial Services offers a competitive compensation package and excellent career advancement opportunities. Our benefits include: Medical \&amp; Dental Plans, Life Insurance, including eligible spouses \&amp; children, Health Care Flexible Spending, Dependent Care, 401k Savings Plans, Paid Time Off.
 AmTrust strives to create a diverse and inclusive culture where thoughts and ideas of all employees are appreciated and respected. This concept encompasses but is not limited to human differences with regard to race, ethnicity, gender, sexual orientation, culture, religion or disabilities.
 AmTrust values excellence and recognizes that by embracing the diverse backgrounds, skills, and perspectives of its workforce, it will sustain a competitive advantage and remain an employer of choice. Diversity is a business imperative, enabling us to attract, retain and develop the best talent available. We see diversity as more than just policies and practices. It is an integral part of who we are as a company, how we operate and how we see our future.</t>
        </is>
      </c>
    </row>
    <row r="84">
      <c r="A84" t="inlineStr">
        <is>
          <t>li-4331955919</t>
        </is>
      </c>
      <c r="B84" t="inlineStr">
        <is>
          <t>Data Engineer - Databricks (P&amp;C Insurance)</t>
        </is>
      </c>
      <c r="C84" t="inlineStr">
        <is>
          <t>Sogeti</t>
        </is>
      </c>
      <c r="D84" t="inlineStr">
        <is>
          <t>linkedin</t>
        </is>
      </c>
      <c r="E84" t="inlineStr"/>
      <c r="F84" t="inlineStr"/>
      <c r="G84" t="inlineStr"/>
      <c r="H84" t="inlineStr"/>
      <c r="I84" t="inlineStr">
        <is>
          <t>**All Sogeti Prospective Candidates Must:** 
* Possess a Bachelors and/or Masters Degree from an accredited institution.
* Must have valid work authorization that does not currently and/or will not require future require sponsorship of a visa for employment authorization in the US by Sogeti\-Capgemini.
**About the job:** 
 We are looking for experienced
 **Data Engineers** 
 to join our team and help design, build, and optimize data solutions that drive business insights and decision\-making. This role requires strong technical expertise and a collaborative mindset to deliver high\-quality data products.
**What you will do at Sogeti:** 
* Develop and maintain scalable data pipelines using
 **Azure Data Factory** 
 .
* Build and optimize data workflows and transformations in
 **Databricks** 
 .
* Design and implement data models to support analytics and reporting.
* Create and manage
 **Power BI** 
 dashboards and reports for business stakeholders.
* Ensure data quality, security, and compliance with organizational standards.
* Collaborate with data scientists, analysts, and business teams to deliver actionable insights.
**What you will bring:** 
* 5\+ years of experience in data engineering roles (mid/senior level).
* Strong proficiency with:
 **Azure Data Factory, Databricks and Power BI**
* Solid understanding of ETL processes, data modeling, and cloud\-based data architecture.
* Experience in the insurance industry (property \&amp; casualty preferred).
* Excellent problem\-solving skills and ability to work independently.
* Familiarity with
 **Azure Synapse Analytics** 
 or similar cloud data warehouses.
* Programming experience in
 **Python** 
 or
 **Scala** 
 for data processing.
* Knowledge of data governance and security best practices.
**Education:** 
 Bachelor's or Master’s degree in Computer Science, Software Engineering, or a related field.
**Life at Sogeti:** 
 Sogeti supports all aspects of your well\-being throughout the changing stages of your life and career. For eligible employees, we offer:
* Flexible work options
* 401(k) with 150% match up to 6%
* Employee Share Ownership Plan
* Medical, Prescription, Dental \&amp; Vision Insurance
* Life Insurance
* 100% Company\-Paid Mobile Phone Plan
* 3 Weeks PTO \+ 7 Paid Holidays
* Paid Parental Leave
* Adoption, Surrogacy \&amp; Cryopreservation Assistance
* Subsidized Back\-up Child/Elder Care \&amp; Tutoring
* Career Planning \&amp; Coaching
* $5,250 Tuition Reimbursement \&amp; 20,000\+ Online Courses
* Employee Resource Groups
* Counseling \&amp; Support for Physical, Financial, Emotional \&amp; Spiritual Well\-being
* Disaster Relief Programs
**About Sogeti** 
 Part of the Capgemini Group, Sogeti makes business value through technology for organizations that need to implement innovation at speed and want a local partner with global scale. With a hands\-on culture and close proximity to its clients, Sogeti implements solutions that will help organizations work faster, better, and smarter. By combining its agility and speed of implementation through a DevOps approach, Sogeti delivers innovative solutions in quality engineering, cloud and application development, all driven by AI, data and automation.
 Become Your Best \| www.sogeti.us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http://www.capgemini.com/resources/equal\-employment\-opportunity\-is\-the\-law
 Applicants for employment in the US must have valid work authorization that does not now and/or will not in the future require sponsorship of a visa for employment authorization in the US by Capgemini.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$125,000 \- 165,000\.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row>
    <row r="85">
      <c r="A85" t="inlineStr">
        <is>
          <t>li-4335245236</t>
        </is>
      </c>
      <c r="B85" t="inlineStr">
        <is>
          <t>Data Engineer I</t>
        </is>
      </c>
      <c r="C85" t="inlineStr">
        <is>
          <t>Inspira Financial</t>
        </is>
      </c>
      <c r="D85" t="inlineStr">
        <is>
          <t>linkedin</t>
        </is>
      </c>
      <c r="E85" t="inlineStr"/>
      <c r="F85" t="inlineStr"/>
      <c r="G85" t="inlineStr">
        <is>
          <t>Oak Brook, IL</t>
        </is>
      </c>
      <c r="H85" t="inlineStr"/>
      <c r="I85" t="inlineStr">
        <is>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
**Job Summary \&amp; Responsibilities**
 We are seeking a talented entry level Data Engineer who can create scalable data platform solutions while collaborating with an experienced team of product development professionals. You will join a cross\-functional, DevOps based, Agile team responsible for the entire product development life cycle, encompassing conception, discovery, framing, development, deployment, measurement, and continuous improvement. As a Data Engineer, you should possess expertise in modern data\-centric coding languages, development frameworks, and third\-party libraries. Additionally, we value individuals who are team players, possess a keen eye for visual design, and prioritize outcomes over outputs. If you are ready to advance your career and contribute to a rapidly growing company dedicated to delivering innovative products and ensuring an exceptional client experience, we eagerly await your application!
 At Inspira, we believe in empowering engineers to build smarter platforms \- one where human expertise is amplified, not replaced, by AI tools. We seek engineers who have demonstrated experience using AI responsibly to accelerate their development workflow, improve code quality, and solve complex problems more efficiently.
 The Data Engineer I will report to the Data Engineering Manager in the Data Engineering Team.
**Duties \&amp; Responsibilities**
 By collaborating closely with fellow product development team members, data engineers play a pivotal role in driving team\-level success through the demonstration of the following key attributes:
* Collaborating with Users, Engineers, Designers, and Product Managers to foster ideation and deliver cutting\-edge software solutions.
* Employing Test First and Acceptance Criteria Driven approaches to continuously test and deliver high\-quality software.
* Designing and developing data pipelines while adhering to industry best practices and standards.
* Ensuring solutions meet non\-functional requirements, such as security, performance, maintainability, scalability, usability, and reliability.
* Develop and maintain basic Extract, Transform, Load (ETL) and Extract, Load, Transform (ELT) data pipelines in Talend.
* Write and optimize SQL queries for data analysis, data extraction, data manipulation and writing and modifying existing SQL queries for better performance in Snowflake.
* Clean, validate, and transform raw data to ensure quality and integrity.
* Learn and apply techniques in evolving technologies such as Generative and Agentic AI
* Train and assist with data modeling and the management of databases, such as relational and NoSQL databases.
* Help troubleshoot issues with data infrastructure and pipelines as and when Prod support schedules require to be on call rotation.
* Contribute to documenting data workflows and best practices.
* Perform performance tuning and monitoring of data processes.
* Actively pursuing continuous professional growth by staying updated on new development tools, programming techniques, and computing equipment. Engaging in educational opportunities, keeping informed through professional publications, nurturing personal and professional networks, and actively participating in relevant professional organizations.
* Through the successful execution of these responsibilities, the data engineer will make significant contributions to the overall achievements of our team and organization!
**Preferred Qualifications**
**Education \&amp; Experience:**
* 0\-2 years of experience in Data Engineering.
* Bachelor’s degree preferred in Computer Science, Computer Engineering, Software Engineering, Statistics, Data Science, or similar/related Engineering/Science based disciplines.
* Microsoft Certified Azure Data Fundamentals preferred
* Snowflake SnowPro Certification preferred
* Snowflake SnowPro Certification Data Engineer preferred
**Skills \&amp; Abilities**
 The ideal candidate will have a proven track record of demonstration:
* Strong Programming Skills: Proficiency in programming languages such as SQL/T\-SQL, Python is essential. Data engineers should have a deep understanding of data structures, algorithms, and the ability to write clean, efficient, and maintainable code.
* Data / Database Skills: Knowledge and competence with relational and noSQL databases (e.g., SQL Server, MongoDB) including proficiency with Data Definition Languages, Data Mark\-Up Languages and ability to design and create database tables, views, functions and stored procedures
* Design and implement OLAP databases to serve internal and external consumer use cases
* Design and implement resilient and performant data pipeline and transformation processes
* Design and implement hybrid data cloud services, leveraging public could providers (i.e. Azure) and specialty providers (i.e. Snowflake)
* Cloud Skills: Experience working in Hybrid and Cloud based environments where essentially all things are handled “as code” and promoted via automated pipelines which incorporate audit, quality, and security controls.
* Support the development of enterprise data warehouse strategy ensuring rapid delivery while taking responsibility for applying standards, principles, theories, and concepts
* Support enterprise data governance initiatives, and drive efforts in defining data standards, designing classification taxonomies, developing data management processes, ensuring proper meta\-data management
* Work cross\-functionally with other internal business units, such as marketing and operations
* Data Engineering Tools/Platforms
* Platform/Framework (Snowflake, Azure MSSQL)
* ETL (Qlik Replicate, Talend, SSIS)
* Job Orchestration (ActiveBatch, Tidal, Airflow)
* Entity Data Modeling (ER/Studio, Erwin)
* Problem\-Solving and Analytical Skills: Data engineers must possess strong problem\-solving abilities and the capacity to analyze complex technical challenges. They should be able to break down problems into manageable components and devise effective solutions.
* Software Product Development Lifecycle: Familiarity with the software development lifecycle (SDLC) is crucial. This includes understanding requirements gathering, system design, implementation, testing, deployment, and maintenance in an Agile/Scaled Agile manner. Experience with Scrum, Kanban, Extreme Programming, or other outcome based iterative development approach required.
* Knowledge of Development Tools and Frameworks: Data engineers should be proficient in using development tools and frameworks relevant to their domain. This can include version control systems (e.g., Git), integrated development environments (e.g., Visual Studio Code, IntelliJ), and frameworks specific to data platform development
* Collaboration and Communication: Effective collaboration with cross\-functional teams is vital for data engineers. Strong communication skills, both written and verbal, enable them to clearly express ideas, collaborate with colleagues, and convey technical concepts to non\-technical stakeholders.
* Continuous Learning: The field of software engineering is constantly evolving, so a mindset of continuous learning is crucial. Staying updated with new technologies, programming languages, frameworks, and industry trends is highly valued.
* Testing and Debugging: Proficiency in automated software testing techniques, including unit testing, integration testing, and debugging, is important for ensuring the reliability and quality of software applications.
* Knowledge of Security Best Practices: Strong understanding of secure coding practices and the ability to apply them effectively in software development. Ability to implement security controls, conduct code reviews, and perform security\-focused testing, ensuring adherence to industry standards and minimizing the risk of potential exploits.
* Compliance: Familiarity with regulatory compliance requirements and industry\-specific security standards, such as GDPR, HIPAA, PCI\-DSS, and ISO 27001\. Ability to design and implement software solutions that meet these compliance standards, ensuring the protection of sensitive data and maintaining regulatory compliance.
* System Design and Architecture: Data engineers should have a solid understanding of data platform system design principles and architecture patterns. This includes scalability, performance optimization, and the ability to design robust and efficient software systems.
* Adaptability and Flexibility: Data engineers often encounter changing requirements, tight deadlines, and evolving technologies. Being adaptable, flexible, and able to quickly learn and adapt to new tools and frameworks is crucial.
* Strong experience with advanced analytics tools for Object\-oriented/object function scripting using languages such as Python
* Strong experience in working with and optimizing existing ETL processes and data integration and data preparation flows and helping to move them in production
* Exceptional analytical skills and strong attention to detail
* Ability to prioritize, plan and take initiative
* Highly self\-motivated and directed
* Experience in a high availability environment preferred
* Knowledge of ITIL/ITSM Foundational practices and framework preferred
**Pay Range**
 $68,800\-$79,600 per year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t>
        </is>
      </c>
    </row>
    <row r="86">
      <c r="A86" t="inlineStr">
        <is>
          <t>li-4359606353</t>
        </is>
      </c>
      <c r="B86" t="inlineStr">
        <is>
          <t>Data Engineer</t>
        </is>
      </c>
      <c r="C86" t="inlineStr">
        <is>
          <t>Veeva Systems</t>
        </is>
      </c>
      <c r="D86" t="inlineStr">
        <is>
          <t>linkedin</t>
        </is>
      </c>
      <c r="E86" t="inlineStr"/>
      <c r="F86" t="inlineStr"/>
      <c r="G86" t="inlineStr"/>
      <c r="H86" t="inlineStr"/>
      <c r="I86" t="inlineStr">
        <is>
          <t>**About The Company** 
 Veeva Systems is a pioneering organization dedicated to transforming the life sciences industry through innovative cloud\-based solutions. As a mission\-driven company, Veeva is committed to helping healthcare and pharmaceutical companies bring therapies to patients more efficiently and effectively. Recognized as one of the fastest\-growing SaaS companies in history, Veeva surpassed $2 billion in revenue in its last fiscal year, demonstrating extensive growth potential and a strong market presence. The company upholds core values such as Doing the Right Thing, Customer Success, Employee Success, and Speed, which guide its strategic initiatives and operational excellence.
 In 2021, Veeva made history by becoming a public benefit corporation (PBC), legally committed to balancing the interests of customers, employees, society, and investors. As a flexible, Work Anywhere organization, Veeva supports remote and hybrid work models, empowering employees to thrive in their preferred environments. Headquartered in the San Francisco Bay Area with offices across more than 15 countries, Veeva continues to expand its global footprint, driving innovation in the industry and making a positive impact on communities worldwide.
**About The Role** 
 The role involves ensuring the reliability, accuracy, and safety of Veeva's AI Agents through comprehensive evaluation and validation methodologies. The successful candidate will play a critical role in maintaining high standards for AI system performance, focusing on systematic testing, data quality, and continuous improvement. This position requires a meticulous, analytical mindset with a passion for product quality and a keen interest in cutting\-edge AI technologies, particularly large language models (LLMs).
 Key responsibilities include defining evaluation strategies, assessing LLM output integrity, designing high\-fidelity datasets, automating evaluation pipelines, conducting root cause analysis, and communicating performance metrics to cross\-functional teams. The role offers the flexibility to work remotely within Canada or the US, fostering collaboration within a dynamic and innovative environment. The ideal candidate will possess strong problem\-solving skills, excellent communication abilities, and a deep understanding of AI evaluation techniques to contribute to Veeva’s mission of advancing life sciences through reliable AI systems.
**Qualifications** 
* Bachelor’s degree in Data Science, Machine Learning, Computer Science, or a related field
* Minimum of 5\+ years of experience in designing and deploying automated evaluation pipelines for AI systems
* Proficiency in Python programming for developing custom evaluation frameworks and automation scripts
* Deep understanding of large language models (LLMs), prompt engineering, and common failure modes such as hallucination and incoherence
* Experience with quality metrics including task success rate, semantic similarity, and sentiment analysis
* Strong knowledge of data quality principles, bias detection, and validation techniques
* Ability to create adversarial and diverse test datasets to uncover edge cases and system biases
* Experience debugging agentic AI systems, including tracing internal reasoning and action sequences
* Excellent communication skills to articulate technical findings to engineering and product teams
* Unrestricted right to work in the United States or Canada; sponsorship is not provided
**Responsibilities** 
* Define and implement comprehensive evaluation strategies for new AI Agents, ensuring test data reflects real\-world scenarios and potential failure modes
* Programmatically and manually assess the quality of LLM\-generated content against predefined metrics such as accuracy, relevance, and safety standards
* Design, curate, and generate high\-quality, diverse test datasets, including challenging prompts and scenarios to evaluate AI robustness
* Develop and maintain scalable automated evaluation pipelines to enable continuous validation of AI behavior and prevent regressions
* Conduct root cause analysis to identify and address issues related to model performance degradations or defects
* Document, track, and communicate evaluation results, performance metrics, and bug statuses to development and product teams
* Collaborate with engineering teams to improve model performance, safety, and reliability based on evaluation insights
* Stay updated on advancements in AI evaluation methodologies and incorporate best practices into testing frameworks
**Benefits** 
* Comprehensive medical, dental, and vision insurance coverage
* Basic life insurance and other health\-related benefits
* Flexible paid time off (PTO) and company\-paid holidays
* Retirement savings programs to support long\-term financial security
* Participation in a 1% charitable giving program
* Opportunity to work remotely within Canada or the US, supporting work\-life balance
* Engagement in a mission\-driven organization with a focus on innovation and societal impact
 Equal Opportunity
 Veeva Systems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 protected by applicable laws or regulations.</t>
        </is>
      </c>
    </row>
    <row r="87">
      <c r="A87" t="inlineStr">
        <is>
          <t>li-4359735905</t>
        </is>
      </c>
      <c r="B87" t="inlineStr">
        <is>
          <t>Sr. Data Engineer</t>
        </is>
      </c>
      <c r="C87" t="inlineStr">
        <is>
          <t>WellSky</t>
        </is>
      </c>
      <c r="D87" t="inlineStr">
        <is>
          <t>linkedin</t>
        </is>
      </c>
      <c r="E87" t="inlineStr"/>
      <c r="F87" t="inlineStr"/>
      <c r="G87" t="inlineStr">
        <is>
          <t>Overland Park, KS</t>
        </is>
      </c>
      <c r="H87" t="inlineStr"/>
      <c r="I87" t="inlineStr">
        <is>
          <t>The
 **Sr Data Engineer** 
 is responsible for designing, building, and maintaining scalable data pipelines, infrastructure, and data visualization to support our data\-driven decision\-making processes. The scope of this job includes collaborating with data scientists, analysts, solutions partners, and other stakeholders to increase data quality, accessibility, and security.
**Key Responsibilities:**
* Create, develop, maintain, and leverage data pipelines, data models, reporting, and dashboards to solve business problems or assigned tasks in coordination with multiple teams.
* Develop and maintain data solutions to enable new or existing solutions and BI development for the data warehouse and data visualization solutions.
* Enhance and document workflows for complex data\-related challenges by identifying patterns, trends, and anomalies in the data, and find ways to optimize data processing and storage to promote data quality through automation.
* Develop understanding of different WellSky solutions and become a subject matter expertise in the healthcare domain.
* Identify opportunities in code reviews and contribute to the development of best practices and coding standards.
* Adhere to WellSky core values, ensure PHI data security, and adapt to changing BI technologies.
* Leverage AI tools and platforms as an integral part of daily responsibilities to enhance decision\-making, streamline workflows, and drive data\-informed outcomes.
* Perform other job duties as assigned.
**Required Qualifications:** 
* Bachelor’s degree or relevant work experience
* 4\-6 years of relevant work experience
* Strong SQL skills with hands\-on experience developing and supporting data pipelines and data warehouse solutions
* Experience with SQL Server data integration and ETL development (including SSIS or equivalent)
* Experience with cloud\-based data platforms and services, preferably within GCP environments
**Preferred Qualifications:** 
* Experience with Snowflake data warehouse development and management
* Experience with DBT for ELT/ETL processes, data modeling, testing, and documentation
* GCP expertise, especially with Cloud SQL, BigQuery, and DataStream
* Experience with data replication tools such as HVR (or similar CDC/replication technologies)
* Experience supporting BI/reporting environments such as Tableau through well\-modeled, performant datasets
* Healthcare industry experience
**Job Expectations:**
* Willing to work additional or irregular hours as needed
* Must work in accordance with applicable security policies and procedures to safeguard company and client information
* Must be able to sit and view a computer screen for extended periods of time
 WellSky is where independent thinking and collaboration come together to create an authentic culture. We thrive on innovation, inclusiveness, and cohesive perspectives. At WellSky you can make a difference.
 WellSky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WellSky is proud to be a drug\-free workplace.
 Applicants for U.S.\-based positions with WellSky must be legally authorized to work in the United States. Verification of employment eligibility will be required at the time of hire. Certain client\-facing positions may be required to comply with applicable requirements, such as immunizations and occupational health mandates.
 Here are some of the exciting benefits full\-time teammates are eligible to receive at WellSky:
* Excellent medical, dental, and vision benefits
* Mental health benefits through TelaDoc
* Prescription drug coverage
* Generous paid time off, plus 13 paid holidays
* Paid parental leave
* 100% vested 401(K) retirement plans
* Educational assistance up to $2500 per year</t>
        </is>
      </c>
    </row>
    <row r="88">
      <c r="A88" t="inlineStr">
        <is>
          <t>li-4331556395</t>
        </is>
      </c>
      <c r="B88" t="inlineStr">
        <is>
          <t>Senior Principal Data Engineer</t>
        </is>
      </c>
      <c r="C88" t="inlineStr">
        <is>
          <t>UKG</t>
        </is>
      </c>
      <c r="D88" t="inlineStr">
        <is>
          <t>linkedin</t>
        </is>
      </c>
      <c r="E88" t="inlineStr"/>
      <c r="F88" t="inlineStr"/>
      <c r="G88" t="inlineStr"/>
      <c r="H88" t="inlineStr"/>
      <c r="I88" t="inlineStr">
        <is>
          <t>**Why UKG**
 At UKG, the work you do matters. The code you ship, the decisions you make, and the care you show a customer all add up to real impact. Today, tens of millions of workers start and end their days with our workforce operating platform. Helping people get paid, grow in their careers, and shape the future of their industries. That’s what we do.
 We never stop learning. We never stop challenging the norm. We push for better, and we celebrate the wins along the way. Here, you’ll get flexibility that’s real, benefits you can count on, and a team that succeeds together. Because at UKG, your work matters—and so do you.
**About The Role**
 As a Senior Principal Data Engineer within the Enterprise Data \&amp; Analytics Office, you will lead the design, evolution, and operational excellence of Nexus, UKG’s unified, GCP\-based data platform, enabling analytics, AI, and enterprise decision\-making at scale.
 You will translate architectural vision into reliable, scalable, cost\-efficient data systems, lead platform modernization efforts, and set the engineering bar for data ingestion, transformation, and operational analytics across UKG.
**Key Responsibilities**
 Enterprise Data Engineering Leadership
* Drive the implementation of standardized medallion architecture (Bronze–Silver–Gold) across all domains.
* Establish and enforce engineering patterns for batch, streaming, CDC, and event\-driven pipelines.
* Drive design patterns for Fact and Dimension modeling, data mesh, and change data capture (CDC).
 Platform \&amp; Pipeline Excellence
* Design and evolve scalable data pipelines using GCP\-native services (BigQuery, GCS, Composer, Pub/Sub, Dataflow) and Databricks (Delta Lake, DLT).
* Ensure platform reliability, performance, and scalability for petabyte\-scale analytics workloads.
* Lead engineering decisions around partitioning, clustering, query optimization, and cost controls (FinOps).
* Own observability standards (freshness, SLAs, error handling, monitoring).
 Engineering Standards, Quality \&amp; Governance
* Define and enforce engineering standards for data quality, testing, CI/CD, and production readiness.
* Implement automated data quality frameworks, lineage, and metadata integration in partnership with Data Governance and Architecture teams.
* Ensure all pipelines meet SOX, security, and auditability requirements.
* Partner with Architects to ensure engineering implementations align to enterprise reference architectures.
 Cross\-Functional Delivery \&amp; Influence
* Partner with Product Managers, Product Owners, Architects, and Analytics leaders to deliver high\-impact data capabilities.
* Act as the technical escalation point for complex production issues and platform risks.
* Influence roadmap decisions by balancing technical feasibility, delivery velocity, and long\-term sustainability.
* Support ESE Agile delivery by enabling architecture runway and reducing technical blockers.
 Mentorship \&amp; Organizational Impact
* Mentor Principal, Senior, and Mid\-level Data Engineers, raising the overall engineering maturity of the organization.
* Lead by example through design reviews, code reviews, and engineering forums.
* Build reusable frameworks, libraries, and accelerators that scale engineering productivity.
* Foster a culture of ownership, quality, and continuous improvement.
**Basic Qualifications**
* 15\+ years of experience in data engineering, data platforms, or large\-scale analytics systems.
* Proven leadership delivering enterprise\-scale data platforms and migrations.
* Deep hands\-on experience large (Petabyte) scale operating data platforms .
 Technical Expertise
* GCP (required): BigQuery, GCS, Cloud Composer, Pub/Sub, Dataflow, Dataform, Dataproc, Dataplex
* Databricks: Delta Lake, Delta Live Tables, Spark, Unity Catalog
* Strong proficiency in Python, SQL, Spark, and distributed systems
* Expertise in data modeling, ELT patterns, CDC, and streaming architectures
* Experience supporting AI/ML pipelines, feature stores, and analytics consumption
* Strong understanding of Dimensional Modeling, ELT and modern data lakehouse patterns.
 Leadership \&amp; Collaboration
* Proven ability to influence without authority across engineering, product, and architecture teams.
* Strong communication skills with both technical and executive audiences.
* Track record of mentoring senior engineers and leading complex initiatives.
**Preferred Qualifications**
* Experience modernizing legacy warehouses and ETL platforms.
* Familiarity with Data Mesh execution and domain\-aligned data products.
* Experience implementing FinOps practices for analytics platforms.
* Exposure to AI/ML enablement, feature engineering, or agent\-driven analytics.
* Google Cloud certifications (Data Engineer, Architect) preferred
**Company Overview**
 UKG is the Workforce Operating Platform that puts workforce understanding to work. With the world's largest collection of workforce insights, and people\-first AI, our ability to reveal unseen ways to build trust, amplify productivity, and empower talent, is unmatched. It's this expertise that equips our customers with the intelligence to solve any challenge in any industry — because great organizations know their workforce is their competitive edge. Learn more at ukg.com.
 Equal Opportunity Employer
 UKG is an equal opportunity employer. We evaluate qualified applicants without regard to race, color, disability, religion, sex, age, national origin, veteran status, genetic information, and other legally protected categories.
 View The EEO Know Your Rights poster
 UKG participates in E\-Verify. View the E\-Verify posters here.
 It is unlawful in Massachusetts to require or administer a lie detector test as a condition of employment or continued employment. An employer who violates this law shall be subject to criminal penalties and civil liability.
 Disability Accommodation in the Application and Interview Process
 For individuals with disabilities that need additional assistance at any point in the application and interview process, please email UKGCareers@ukg.com.
 The pay range for this position is $184,300\.00 to $230,000 however, base pay offered may vary depending on skills, experience, job\-related knowledge and location. This position is also eligible for a short\-term incentive and a long\-term incentive as part of total compensation. Information about UKG’s comprehensive benefits can be reviewed on our careers site at https://www.ukg.com/about\-us/careers/benefits</t>
        </is>
      </c>
    </row>
    <row r="89">
      <c r="A89" t="inlineStr">
        <is>
          <t>li-4352228411</t>
        </is>
      </c>
      <c r="B89" t="inlineStr">
        <is>
          <t>Data Engineer (SME)</t>
        </is>
      </c>
      <c r="C89" t="inlineStr">
        <is>
          <t>BAE Systems, Inc.</t>
        </is>
      </c>
      <c r="D89" t="inlineStr">
        <is>
          <t>linkedin</t>
        </is>
      </c>
      <c r="E89" t="inlineStr"/>
      <c r="F89" t="inlineStr"/>
      <c r="G89" t="inlineStr">
        <is>
          <t>Herndon, VA</t>
        </is>
      </c>
      <c r="H89" t="inlineStr"/>
      <c r="I89" t="inlineStr">
        <is>
          <t>**Job Description**
 BAE Systems, a top\-ten prime contractor to the U.S. Department of Defense, enables the U.S. government to transform data into intelligence and provides engineering, integration and sustainment support for critical military platforms and systems. Intelligence \&amp; Security provides services and products to the Department of Defense, the government, federal law enforcement officials, and troops deployed around the world.
 At BAE Systems, we promote a strong, collaborative culture and provide our employees with the tools, skills and training they need to succeed. We are all about trust, camaraderie and a shared ambition to lead the world in defense technologies and national security services. We offer flexible work environment to support the balance in your life and keep you performing at your best. Be a part of a company that is part of the community; driven to improve our future and protect our freedom.
 As a Data Engineer, you are responsible for designing data models, building data warehouses and data lakes, automating data pipelines and working with datasets of all sizes. You will optimize overall data/information flow by reducing redundancy and enabling accessibility within security boundaries. You apply data extraction, transformation and loading techniques in order to connect large data sets from a variety of sources. You create data collection frameworks for structured and unstructured data. Your solutions and create cyber and operational analytic tools for consumers that assist them in building and optimizing downstream products inclusive of constructing dataset procedures that can help with data mining, modeling, and production. You use and develop standards, tools, processes and governance for capturing, modeling, storing, and delivering data for the enterprise.
 ABC
**Required Education, Experience, \&amp; Skills**
 We are actively seeking Systems Engineers to perform as a Data Engineer with a minimum of 16 years' experience. Information Technology or Engineer Bachelor's or Master’s Degrees are preferred. Specific skills should include the following:
* Experience integrating diverse data streams
* Experience with data transfer tools (Ex: NiFi, Cribl, etc)
* Establishes data standards and acts as custodian of IT and service delivery data sets and streams
* Experience in analyzing complex networks and systems
* Experience in analyzing log data from various network components and operating systems
* Knowledge of complex environments involving shared networks and multiple security enclaves
* Systems Engineer with Data Engineer background
* Ability to manage and troubleshoot data feeds
* Splunk familiarization
* Python
**Preferred Education, Experience, \&amp; Skills**
* Security Development and Operations (SecDevOps)
* Hands on Splunk Experience and Certifications
* Scripting tools to include Python, ShellScript, or Ansible
* Cloud security controls and implementation
* Public, private and hybrid Cloud experience (AWS, Microsoft Azure, etc.)
* AWS Certified Security Specialty
**Pay Information**
 Full\-Time Salary Range: $146670 \- $249330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This position will be posted for at least 5 calendar days. The posting will remain active until the position is filled, or a qualified pool of candidates is identified.</t>
        </is>
      </c>
    </row>
    <row r="90">
      <c r="A90" t="inlineStr">
        <is>
          <t>li-4331996049</t>
        </is>
      </c>
      <c r="B90" t="inlineStr">
        <is>
          <t>Data Engineer</t>
        </is>
      </c>
      <c r="C90" t="inlineStr">
        <is>
          <t>Piper Companies</t>
        </is>
      </c>
      <c r="D90" t="inlineStr">
        <is>
          <t>linkedin</t>
        </is>
      </c>
      <c r="E90" t="inlineStr"/>
      <c r="F90" t="inlineStr"/>
      <c r="G90" t="inlineStr">
        <is>
          <t>Columbia, MD</t>
        </is>
      </c>
      <c r="H90" t="inlineStr"/>
      <c r="I90" t="inlineStr">
        <is>
          <t>**Piper Companies** 
 is seeking a
 **Data Engineer** 
 to cluster large datasets across various container and data platforms for a healthcare and health services project. The
 **Data Engineer** 
 will work hands\-on with challenging data engineering, data management, and analytics projects. This job opens for applications on 12/12/2025\. Applications for this job will be accepted for at least 30 days from the posting date.
**Responsibilities of the Data Engineer** 
**include:**
* Achieve and maintain proficiency with cluster and framework sizing, installation, debugging, performance optimization, migration, security and automation
* Collaborate with data scientists, analysts, business users, and IT teams to design, implement, and deploy data services and analytics.
* Use Continuous Integration/Continuous Delivery (CI/CD) concepts to engineer a standardized data environment
* Recommend and advise on optimal data models for data ingestion, integration, and visualization
* Integrate data from a variety of data source types
**Qualifications for the Data Engineer** 
**include:**
* 6 years of experience with data engineering in a Microsoft technology environment
* Experience with Microsoft: Databricks, Data Factory, Fabric, Dynamics 365, Power BI, Purview and Lakehouse or OneLake
* 3\+ years cloud experience: Azure
* Bachelors or Masters Degree in STEM field
* Microsoft certifications are a bonus
**Compensation for the Data Engineer include:**
* Contract: $70/hr W2
* Salary: $140,000
* Comprehensive benefits: Medical, Dental, Vision, 401K, PTO, Sick Leave if required by law, and Holidays
 Keywords:
 Dynamics 365, ERP, CRM, MS, Fabric, Databrick, Data Brick, Data Factory, Datafactory, purview, data lake, One Lake, Data warehouse, data architecture, data architect, data developer</t>
        </is>
      </c>
    </row>
    <row r="91">
      <c r="A91" t="inlineStr">
        <is>
          <t>li-4349612432</t>
        </is>
      </c>
      <c r="B91" t="inlineStr">
        <is>
          <t>Analytics Engineer</t>
        </is>
      </c>
      <c r="C91" t="inlineStr">
        <is>
          <t>Astrana Health</t>
        </is>
      </c>
      <c r="D91" t="inlineStr">
        <is>
          <t>linkedin</t>
        </is>
      </c>
      <c r="E91" t="inlineStr"/>
      <c r="F91" t="inlineStr"/>
      <c r="G91" t="inlineStr">
        <is>
          <t>Alhambra, CA</t>
        </is>
      </c>
      <c r="H91" t="inlineStr"/>
      <c r="I91" t="inlineStr">
        <is>
          <t>**Department:** 
 Data \- Analytics
**Location:** 
 1668 S. Garfield Ave. 2nd Floor, Alhambra, CA 91801
**Compensation:** 
 $115,000 \- $130,000 / year
**Description**
 We are currently seeking a highly motivated Healthcare Analytics Engineer I. This role will work closely with data scientists, software engineers, data engineers, and clinical leaders to produce deliverables for internal and external clients. With over a million managed lives across the country and terabytes of data generated, our teams need to be continuously equipped with the tools and insights to drive strategy and innovation to further our core values of improving patient outcomes and empowering our providers.
**Our Values:** 
* *Put Patients First*
* *Empower Entrepreneurial Provider and Care Teams*
* *Operate with Integrity \&amp; Excellence*
* *Be Innovative*
* *Work As One Team*
**What You'll Do**
* Use best software engineering practices to implement quality measures, risk adjustment models, and other metrics for datasets originating from internal and external clients.
* Develop high quality, maximally available data models which are intuitive to data analysts and trusted by stakeholders.
* Maintain and enhance/upgrade the existing Risk Adjustment score calculator for generating RAF scores for the Medicare Advantage population.
* Adept at building scalable data solutions and collaborating with downstream analysts to ensure clarity and usability of datasets related to Risk Adjustment, RAF scores, and HCC gap closure
* Build scalable ELT pipelines and business intelligence dashboards as needed, embracing automation wherever possible.
* Acquire deep domain knowledge in healthcare operations and track regulatory developments related to analytical products you maintain.
* Apply data quality checks which proactively identify data issues and distributional shifts to ensure accuracy of downstream analytical products.
* With guidance, take ownership of one or several reporting domains, interfacing business stakeholders to understand and deliver their requests.
**Qualifications**
* Bachelor’s degree in computer science, data science, analytics, statistics, or related field; master’s degree preferred.
* Expertise in Azure Databricks, PySpark, and SQL, specializing in Medicare Advantage Risk Adjustment and Quality Metrics
* Knowledge of professional software engineering practices and best practices for the full software development life cycle (SDLC), including documentation, coding standards, code reviews, source control management, build processes, testing, and operations.
* Experience in working with large datasets.
* Experience with cloud\-computing platforms such as Azure.
* Experience working in the healthcare industry
* Familiarity with database management systems such as MongoDB or Microsoft SQL Server.
* Strong written and oral communication skills.
**Environmental Job Requirements and Working Conditions**
* This position is remotely based in the U.S.
* The total compensation target pay range for this role is: $115,000 \- $130,000\. Actual compensation will be determined based on geographic location (current or future), experience, and other job\-related factors.
 Astrana Health is proud to be an Equal Employment Opportunity and Affirmative Action employer. We do not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All employment is decided based on qualifications, merit, and business need. If you require assistance in applying for open positions due to a disability, please email us at
 **humanresourcesdept@astranahealth.com** 
 to request an accommodation.
**Additional Information:**
 The job description does not constitute an employment agreement between the employer and employee and is subject to change by the employer as the needs of the employer and requirements of the job change.</t>
        </is>
      </c>
    </row>
    <row r="92">
      <c r="A92" t="inlineStr">
        <is>
          <t>li-4342076251</t>
        </is>
      </c>
      <c r="B92" t="inlineStr">
        <is>
          <t>Senior Data Platform Engineer</t>
        </is>
      </c>
      <c r="C92" t="inlineStr">
        <is>
          <t>Progress Software</t>
        </is>
      </c>
      <c r="D92" t="inlineStr">
        <is>
          <t>linkedin</t>
        </is>
      </c>
      <c r="E92" t="inlineStr"/>
      <c r="F92" t="inlineStr"/>
      <c r="G92" t="inlineStr">
        <is>
          <t>Raleigh, NC</t>
        </is>
      </c>
      <c r="H92" t="inlineStr"/>
      <c r="I92" t="inlineStr">
        <is>
          <t>We are Progress (Nasdaq: PRGS) – the trusted provider of software that enables our customers to develop, deploy and manage responsible, AI\-powered applications and experiences with agility and ease.
 We’re proud to have a diverse, global team where we value the individual and enrich our culture by considering varied perspectives, because we believe people power progress. Join us as a Senior Data Platform Engineer and help us do what we do best: propelling business forward. This will be a hybrid role so splitting your time between your home office and our Raleigh NC office. Candidates must already reside in that area to be considered, as we can not office any relocation packages at this time.
 In this role, you will be the senior expert responsible for the reliability, performance, and scalability of ShareFile core databases. You’ll own and operate our MongoDB / MongoDB Atlas and Microsoft SQL Server environments, while also guiding the use of complementary technologies like Redis, DynamoDB, and Elasticsearch. You’ll keep our databases healthy and secure, troubleshoot complex production issues, and partner with engineering teams to design resilient data solutions.
**In This Role, You Will**
* Act as the primary owner for MongoDB / MongoDB Atlas and Microsoft SQL Server environments
* Administer databases: security, user management, configuration, backup and recovery
* Monitor database health, performance, and capacity, and take proactive action when needed
* Troubleshoot and resolve production issues, including participation in an on\-call rotation
* Perform regular maintenance: patching, upgrades, index and statistics maintenance
* Optimize queries, indexes, and schemas to improve performance and reduce cost
* Support development teams with data modeling, query design, and performance best practices
* Contribute automation scripts and tooling for provisioning, monitoring, and routine operations
* Document standards, procedures, and runbooks for database operations
**Your Background**
* 5\+ years of professional database experience, including 3\+ as a primary DBA/Database Engineer
* Strong expertise in MongoDB / MongoDB Atlas in production (design, operations, performance tuning)
* Strong expertise in Microsoft SQL Server (installation, configuration, HA/DR, performance tuning)
* Excellent SQL skills and experience with T\-SQL and PL/SQL or similar procedural extensions
* Proven experience running, maintaining, and monitoring mission\-critical production databases
* Strong troubleshooting skills across database, OS, and application layers
* Experience working with both Linux/Unix and Windows environments
* Clear written and verbal communication and a customer\-focused mindset
**Additionally, It Would Be Beneficial If You Have**
* Hands\-on experience with Redis, DynamoDB, MySQL and Elasticsearch
* Programming or scripting in Python, PowerShell, Bash, C\#, Go, Java, or Node.js
* Experience with cloud platforms (AWS/Azure/GCP) and infrastructure\-as\-code tools (Ansible, Terraform)
* Experience supporting agile development teams and CI/CD for database changes
 Base Salary Range: $136,000 \- $168,000
 This position is also eligible to participate in our performance\-based annual corporate bonus plan. Final base compensation is determined by a number of factors, including but not limited to job\-related skills, education, demonstrable experience, and allowance for future and continued salary growth. We also offer a robust benefits package, with details below.
**If this sounds like you and fits your experience and career goals, we’d be happy to chat.**
**What we offer in return is the opportunity to experience a great company culture with wonderful colleagues to learn from and collaborate with and also to enjoy:**
* Medical, dental, vision, life \&amp; disability, and financial benefits (including 401(k) retirement savings plan. Tuition Reimbursement program. Additional voluntary benefits including crucial illness/hospital indemnity, identity theft protection, auto \&amp; home insurance, legal, and pet insurance.
* Competitive salary, bonus, and best\-in\-class Employee Stock Purchase Program (ESPP) with a 27\-month lookback
* Flexible paid vacation time, paid day off for your birthday, and company holidays. A variety of leave plans, including Parental Leave.
* Employee Assistance Program (EAP) and an employee well\-being program focusing on physical, mental, and financial health.
 Apply Now!</t>
        </is>
      </c>
    </row>
    <row r="93">
      <c r="A93" t="inlineStr">
        <is>
          <t>li-4359478500</t>
        </is>
      </c>
      <c r="B93" t="inlineStr">
        <is>
          <t>InsideTrack Analytics Engineer</t>
        </is>
      </c>
      <c r="C93" t="inlineStr">
        <is>
          <t>InsideTrack</t>
        </is>
      </c>
      <c r="D93" t="inlineStr">
        <is>
          <t>linkedin</t>
        </is>
      </c>
      <c r="E93" t="inlineStr"/>
      <c r="F93" t="inlineStr"/>
      <c r="G93" t="inlineStr"/>
      <c r="H93" t="inlineStr"/>
      <c r="I93" t="inlineStr">
        <is>
          <t>We’re looking for a talented Analytics Engineer to join our analytics team! At InsideTrack, we are passionate about student success. We partner with colleges and universities to improve enrollment, persistence, completion and career readiness. Our student support methodology uncovers first\-hand feedback about student goals and challenges. Through strategic guidance, staff training and student coaching, we help institutions turn this feedback into actionable insights that drive exceptional student outcomes. As a non\-profit organization, our partners turn to us as thought leaders in higher education. We offer these partners access to a comprehensive range of student success solutions as well as the latest research and insights impacting the industry. We’ve proudly supported more than 3\.5 million learners since 2001 and currently serve over 380 partners, empowering our partners to uplevel their student success outcomes. Join us and the leading institutions, foundations and others working to bring the transformative power of education to all individuals.
 The Analytics Engineer is part of a remote work team that is responsible for real\-time business metrics aggregation, data warehousing and querying, schema and data management as well as a number of other analytics infrastructure systems. The incumbent, along with the remote work team, will strive to architect, develop, and deploy world\-class data systems to empower every tier of our mission\-driven company, as well as build scalable systems that enable self\-service access to sophisticated data and analyses.
**Essential Job Functions**
* Design, build, and maintain data models foundational to the company’s internal and client\-facing reporting and analytics.
* Investigate bug root causes and implement fixes.
* Design, build, and support a data warehouse for the company’s business.
* Create and support various ELT scripts, jobs, and technologies.
* Tune and optimize data storage technologies.
* Review pull requests and test team member’s code and features.
* Interact with data analysts and power users to define metrics to build data models.
* Collaborate with team members to remove blockers and design new features.
* Function as data expert to advise users on the usage of structured and unstructured data.
* Support APIs, tools, and 3rd party products to extract data from Cloud/SaaS applications.
**Education Requirements**
* Bachelor’s degree in Computer Technology, Information Systems or related field (preferred)
**Experience Requirements**
* Minimum of two (2\) years of applicable work experience
* Knowledge and experience with data warehousing architecture and data modeling best practices
* Ability to build and optimize data sets and architectures Experience with cloud base data warehousing such as Snowflake
* Ability to clean and transform data for use in analytics and reporting
* Exposure to one or more EL tools and a solid understanding of pipelines; understanding of third\-party data integration tools such as Fivetran, Stitch
* Ability to build processes that support data transformation, workload management, data structures, dependency and metadata
* Expert knowledge of SQL
* Experience with dbt
* Excellent analytic skills associated with working on structured datasets
* Care deeply about data quality and governance; able to document data and definitions
* Experience with Github and CI/CD practices
* Experience working in an Agile software development environment that is highly collaborative
* Ability to perform root cause analysis on external and internal processes and data to identify opportunities for improvement
* Able to prioritize, work independently in a less structured, remote work setting
* Team player and receptive to giving and receiving feedback, with the ability to effectively collaborate with and communicate complex topics to an audience of diverse backgrounds and skills
**Experience Preferences**
* Background and experience in higher education
* Experience with Looker and LookML
* Experience with Salesforce Education Data Architecture
* Experience with Infrastructure as code such as Terraform
 $90,000 \- $110,000 a year
**TYPICAL PHYSICAL \&amp; MENTAL DEMANDS:** 
 Requires prolonged sitting with some bending, stooping and stretching; eye\-hand coordination and manual dexterity sufficient to operate a keyboard, telephone, and other office equipment. Requires sufficient range of hearing and eyesight to record, prepare and communicate appropriate reports on a laptop computer. Also requires moderate to intense concentration due to complexity and/or need to meet deadlines, and flexibility to readily adapt to a changing environment.
 We really want to get to know you as a person, and the unique skills and gifts that you can bring to the position. Therefore, we highly encourage you not to use an AI program during the application/consideration process.</t>
        </is>
      </c>
    </row>
    <row r="94">
      <c r="A94" t="inlineStr">
        <is>
          <t>li-4359684751</t>
        </is>
      </c>
      <c r="B94" t="inlineStr">
        <is>
          <t>Data Engineer</t>
        </is>
      </c>
      <c r="C94" t="inlineStr">
        <is>
          <t>BioSpace</t>
        </is>
      </c>
      <c r="D94" t="inlineStr">
        <is>
          <t>linkedin</t>
        </is>
      </c>
      <c r="E94" t="inlineStr"/>
      <c r="F94" t="inlineStr"/>
      <c r="G94" t="inlineStr">
        <is>
          <t>Lexington, MA</t>
        </is>
      </c>
      <c r="H94" t="inlineStr"/>
      <c r="I94"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The AD Technology Development and Implementation team within Analytical Development, Pharmaceutical Sciences \- Takeda is in search of a Data Engineer to design, implement, and deploy event driven ETL (Extract, Transform, Load) data pipelines that ingest and process structured and unstructured laboratory records into Takeda’s data architecture for efficient use of data and information. Our team leverages modern data platforms, best practices, and advanced predictive modeling to analyze laboratory methods and characterization data and unlock actionable insights.
**In this role, a typical day might include the following:**
* Develop and maintain Analytical Development (AD) digital transformation road map. Deliver established vision, roadmap, projects, and timeline to support the digital transformation of analytical laboratory results.
* Support large database activities, design and maintain open\-source code extraction algorithms
* Assume technical ownership on digital transformation projects, which include but are not limited to data analytics and predictive modeling, dashboards using Spotfire, Tableau, Power BI, and open\-sourced coding (i.e., R and Python)
* Develop and maintain core software engineering infrastructure within data platform engineering \&amp; operations, including data wrangling, data logging, performance benchmarking, and multi\-platform integration
* Contribute to multiple software engineering efforts, including data engineering/analytic pipelines, and data platforms
* Coordinate with other development teams to promote collaborative data management efforts, interoperability, and shared infrastructure
* Monitor data capture systems to identify inefficiencies and remove bottlenecks
* Support R\&amp;D Digital, Data \&amp; Technology projects, working closely with domain experts and internal/external partners to mature POCs into production\-quality tools
**What You Bring To Takeda**
* To be considered for this role you must have a B.S. degree in computer science, software engineering, or a related field with 8\+ years of relevant industry experience, M.S. and 6\+ years of relevant industry experience.
* Combined experience in the analytical environment utilizing SQL, Cloud environments, AWS, Python, Dev\-Ops and R Studio.
* Experience with ETL pipelines, data pre\-processing, and statistical concepts and can work in multiple languages (Python, R, Scala, C/C\+\+, SQL).
* Exposure to cloud computing environments and technologies in the data \&amp; analytics engineering domain (Spark, Databricks, data lakes, data QA tools, ML tools) are a plus but not required.
* Strong understanding of analytical software (Spotfire, Minitab, JMP, MATLAB) and demonstrated experience contributing to and maintaining multi\-contributor software projects (open or closed source), pipelines, and/or enterprise systems required.
* Previous direct involvement in technology implementations for use in biologics, pharmaceuticals or devices, either in manufacturing operations or support function is highly desirable.
* Interacts with vendors of applications, integrators and consultants during front end studies, design workshops and system implementation.
* Will need to be able to collaborate with other coworkers and work with multi\-functional teams of developers, engineers, and scientists.
**Takeda Compensation And Benefits Summary**
 We understand compensation is an important factor as you consider the next step in your career. We are committed to equitable pay for all employees, and we strive to be more transparent with our pay practices.
**For Location:**
 Lexington, MA
**U.S. Base Salary Range**
 $111,800\.00 \- $175,670\.00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Lexington, MA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t>
        </is>
      </c>
    </row>
    <row r="95">
      <c r="A95" t="inlineStr">
        <is>
          <t>li-4331946984</t>
        </is>
      </c>
      <c r="B95" t="inlineStr">
        <is>
          <t>Senior Analytics Engineer</t>
        </is>
      </c>
      <c r="C95" t="inlineStr">
        <is>
          <t>RemoteHunter</t>
        </is>
      </c>
      <c r="D95" t="inlineStr">
        <is>
          <t>linkedin</t>
        </is>
      </c>
      <c r="E95" t="inlineStr"/>
      <c r="F95" t="inlineStr"/>
      <c r="G95" t="inlineStr"/>
      <c r="H95" t="inlineStr"/>
      <c r="I95" t="inlineStr">
        <is>
          <t>About the Opportunity:
 A financial technology company based in Boston, Massachusetts with team members across the United States, Dominican Republic, and Canada is focused on unlocking capital for small businesses. The Analytics Engineering team plays a central role in the data ecosystem by converting raw data into actionable insights, building and optimizing data infrastructure, and developing data pipelines for business intelligence, advanced analytics, and predictive modeling. The Senior Analytics Engineer will design, construct, and maintain data models while collaborating with teams such as Data Engineering, Data Science, DevOps, and Business Intelligence, managing a modern analytics platform using tools like dbt, Fivetran, Snowflake, Census, and Tableau.
 Responsibilities:
 • Design, develop, and optimize scalable dimensional data models and marts using dbt, enforcing the DRY principle
 • Serve as primary liaison with the Data Science team to convert features into production\-ready data variables for predictive models
 • Collaborate with the Data Engineering team to deploy and orchestrate data variables feeding production machine learning models
 • Partner with Core Technology teams on application schema changes and data migrations, ensuring data accuracy and minimal disruption
 • Work with DevOps to monitor and maintain high\-performance streaming pipelines for real\-time analytics
 • Review Analytics team code, coach junior members, and enforce standards for style, maintainability, and performance
 • Evaluate, integrate, and operationalize third\-party data sources to enrich the data ecosystem
 • Champion data governance and quality through automated data quality checks, data cataloging, and compliance with security and regulatory standards
 Requirements:
 • 4\+ years of experience in Analytics Engineering, Data Engineering, or Business Intelligence
 • 2\+ years of experience developing and maintaining production\-level data transformation pipelines using dbt or equivalent Python scripting
 • 2\+ years experience with cloud\-based data warehouses such as Snowflake or Redshift
 • Advanced proficiency in SQL and data modeling
 • Ability to translate complex business needs and ambiguous requirements into scalable technical data solutions
 • Experience with business intelligence tools like Looker, Tableau, or similar
 • Bonus: Hands\-on experience with Python for data scripting, automation, or predictive modeling support
 Compensation:
 • Annual Targeted Salary: $145,000 to $170,000 USD
 • Annual Target Bonus: 10%
 Benefits \&amp; Perks:
 • Medical, dental, and vision insurance
 • Commuter benefits
 • Flexible time\-off policy
 • Paid parental leave
 • 401k match for US employees
 • Wellness reimbursement
 • Volunteering days
 • Annual professional development budget
 • Charitable donation match
 • Remote\-first work environment with flexible location options and premiere office locations for in\-person collaboration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6">
      <c r="A96" t="inlineStr">
        <is>
          <t>li-4352420539</t>
        </is>
      </c>
      <c r="B96" t="inlineStr">
        <is>
          <t>Databricks Data Engineer - Senior - Consulting - Miami</t>
        </is>
      </c>
      <c r="C96" t="inlineStr">
        <is>
          <t>EY</t>
        </is>
      </c>
      <c r="D96" t="inlineStr">
        <is>
          <t>linkedin</t>
        </is>
      </c>
      <c r="E96" t="inlineStr"/>
      <c r="F96" t="inlineStr"/>
      <c r="G96" t="inlineStr">
        <is>
          <t>Austin, TX</t>
        </is>
      </c>
      <c r="H96" t="inlineStr"/>
      <c r="I9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7">
      <c r="A97" t="inlineStr">
        <is>
          <t>li-4352219670</t>
        </is>
      </c>
      <c r="B97" t="inlineStr">
        <is>
          <t>Databricks Data Engineer - Senior - Consulting - Miami</t>
        </is>
      </c>
      <c r="C97" t="inlineStr">
        <is>
          <t>EY</t>
        </is>
      </c>
      <c r="D97" t="inlineStr">
        <is>
          <t>linkedin</t>
        </is>
      </c>
      <c r="E97" t="inlineStr"/>
      <c r="F97" t="inlineStr"/>
      <c r="G97" t="inlineStr">
        <is>
          <t>Denver, CO</t>
        </is>
      </c>
      <c r="H97" t="inlineStr"/>
      <c r="I9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98">
      <c r="A98" t="inlineStr">
        <is>
          <t>li-4359676735</t>
        </is>
      </c>
      <c r="B98" t="inlineStr">
        <is>
          <t>Oliver Wyman - Principal Data Engineer</t>
        </is>
      </c>
      <c r="C98" t="inlineStr">
        <is>
          <t>Marsh</t>
        </is>
      </c>
      <c r="D98" t="inlineStr">
        <is>
          <t>linkedin</t>
        </is>
      </c>
      <c r="E98" t="inlineStr"/>
      <c r="F98" t="inlineStr"/>
      <c r="G98" t="inlineStr">
        <is>
          <t>New York, NY</t>
        </is>
      </c>
      <c r="H98" t="inlineStr"/>
      <c r="I98" t="inlineStr">
        <is>
          <t>**Locations: Boston, New York, Chicago, Washington DC, Toronto, Montreal**
**Principal Engineer**
**\_\_\_\_**
**Who We Are**
***Oliver Wyman Performance Transformation***
 is a ground\-breaking division within
 *Oliver Wyman* 
 delivering world\-class solutions to give our clients a competitive edge. We work across the full technology stack from databases and analytics to APIs and web and mobile applications. With a mixture of over 700 consultants, specialists and support professionals in 16 major cities across the world, we’re committed to growth that retains our start\-up agility while expanding our opportunities for world\-class work.
***Oliver Wyman***
 is a global leader in management consulting. With a staff of over 4000 across 30 countries, Oliver Wyman combines deep industry knowledge with specialized expertise in strategy, operations, risk management, and organization transformation.
**\_\_\_\_**
**The Role And Responsibilities**
 No two OW Performance Transformation projects are the same
 *.* 
 You’ll be working with hugely varied and diverse teams to deliver unique and unprecedented strategy and product delivery across industries. The
 **Principal Engineer** 
 at
 **Oliver Wyman Performance Transformation** 
 is crucial to defining, designing, and delivering solutions that achieve breakthrough impact for our clients – all enabled by best\-in\-class DevSecOps model, Agile practices, architecture and tech stack.
 As a
 **Principal Engineer** 
 , you will work alongside Oliver Wyman partners in Performance Transformation and other practice groups, engage directly with clients to understand their business challenges, and craft optimal solutions to be delivered by OW Performance Transformation specialists and consultants delivering strategy, or products into production. You will own all technology and engineering responsibilities for a cross\-functional team covering technology, data science, customer experience and design.
 When you are a product builder, you will be hands\-on defining the architecture, tech stack, leading the engineering team while working with the product owner and designer. You will be instrumental in helping to validate build feasibility, operating costs, handle risk as well as key aspects of security, performance, resiliency, and scalability. Cost benefit and trade\-off analysis will be key as you work with the team to build something amazing.
 You will collocate with the team regularly or occasionally, working remotely at other times.
 We’re also hoping you’ll be able to bring us experience with at least one of the following:
* Financial services and/or capital markets
* Health and life sciences domain
* Insurance (individual or group)
* Consumer, retail, energy, or transportation domain
 \_\_\_\_
**Your Experience**
 We believe in and practice servant leadership here, so your primary goal is to bring the best out of the other talented technologists on the team, not to do it all yourself.
**What you’ll get to do:**
* Provide hands\-on technical leadership, training and mentoring staff
* Develop DevSecOps, CI/CD, release engineering strategies applying DORA, SPACE, and other industry leading metrics advocating developer productivity and product stability
* Lead change management initiatives, helping our clients navigate and embrace new ways of working
* Help to improve the OW Performance Transformation Architecture and Engineering specialty
* Design and architect innovative, modern cloud\-native digital experiences that are scalable, resilient, and secure
* Communicate complex technical concepts clearly to both technical and non\-technical stakeholders
* Write code alongside your development team
* Work with state\-of\-the\-art technologies to solve genuine, real\-world problems
* Champion good agile practices that provide a foundation for iterative product development
* Build strong relationships with product managers, designers, customer experience and human insights experts
* Enjoy working in a diverse, dynamic, collaborative, transparent, environment where everyone's ideas and opinions are equally valued
* Cross\-pollinate good practices and insights between projects and groups within the firm
* Travel 10 – 25% of the time to collaborate with distributed teams or clients as needed
**What you’ll bring:**
 For the
 **Principal Engineer** 
 role, we are looking for senior hands\-on technologists with 10\+ years of extensive software engineering experience. The ideal candidate is an excellent communicator and has experience working with both technical and non\-technical colleagues in a cross\-functional environment. The ideal candidate also has experience pitching and explaining technical architecture and strategy to both technical and non\-technical audiences.
 Additionally, you should bring:
* Experience with scalable architecture whilst leading and inspiring software development teams
* Hands\-on development and delivery experience with a broad mix of languages and technologies
* Real passion for solving customer friction through simple and effective software
* Strong people skills that contribute to an open and collaborative environment
* Experience working with Agile and Lean approaches such as Continuous Integration and Delivery, TDD, and Rapid Prototyping
* Experience communicating technical vision to a variety of team members
* Ability to embrace and reduce uncertainty through continual validated learning
* Practical experience with refactoring, design patterns, design driven development, system and application design, and application security
* Experience with small teams that move fast
 We’re also hoping you’ll be able to show us experience with some of the following. You don't need deep experience with everything here to apply; still, some depth in one or more of these will go a long way:
* How to work with structured and unstructured data
* Multiple programming languages and frameworks with in\-depth skills in at least one of the following: JavaScript, NodeJS, React, Python, Go, .NET
* Designing and deploying applications on cloud native infrastructure with providers such as AWS, Azure, or Google using patterns such as serverless or managed services
* Container technologies such as Docker and Kubernetes and microservices
* Infrastructure as Code such as AWS CloudFormation and Terraform
* Ideally some familiarity with CX and HTML5/CSS3
* Search technologies such as Elastic / ELK or LucidWorks
* Authentication/Authorization APIs such as OKTA
**What we offer you:**
* An opportunity to play a key role in the design, development and commercialization of software and hardware products aimed at disrupting B2B and B2C markets across a wide range of business domains.
* Help our clients across a variety of industries think deeply about their engineering and technical strategy ranging from organizational transformation to product re\-engineering
* The opportunity to work within a deeply accomplished team with direct exposure to some of the world's most influential organizations.
* A structured career development program with both technical and leadership tracks.
* A competitive salary and benefits complemented with a flexible learning \&amp; development budget (including attending conferences), enabling you to choose the right path for your own development.
* A level of autonomy and self\-management that you won’t typically find at other companies.
**\_\_\_\_**
**OUR VALUES \&amp; CULTURE**
 We’re serious about making OW Performance Transformation a rewarding, enjoyable, and balanced place to work.
* Rewarding work We’ve worked hard to earn our reputation for high quality work. That reputation allows us to work with major brands at all levels on incredibly exciting projects. Combine that with Oliver Wyman’s status as one of the Fortune 100 “Best Companies to Work For”, and you get a rewarding combination of challenge, support and recognition.
* Progressive employment Flat organizational structures, resolute I\&amp;D values and a commitment to rewarding good work make for a progression path truly based on merit. A menu of healthcare options, 401k matching, and a culture of continuous improvement means your work gets more rewarding over time. We are committed to providing our people with growth opportunities via professional training, personal development, and diverse roles and responsibilities.
* Enjoyable days We want our team members to build a career here—and to be happy. That makes us serious about caring for, mentoring, developing and sponsoring each other. This commitment also leads to opportunities for social impact and community work on company time.
* Balanced lives Our work is demanding, and we want you to have the best work\-life balance you can.
 We’ll work with you to accommodate your personal life with flexible hours and the ability to work from home.
**\_\_\_\_**
**How To Apply**
 If you like what you’ve read, we’d love to hear from you! You can find this and other roles and submit your CV at https://careers.marshmclennan.com/global/en/oliver\-wyman\-search. And please include a short note introducing yourself and what you’re looking for.
 The application process will include both technical testing and team fit interviews.
**Oliver Wyman is an equal opportunity employer.**
*Our commitment to diversity is genuine, deep and growing. We’re not perfect, but we’re working hard right now to make our teams balanced, representative and diverse.*
***\_\_\_\_***
**About Oliver Wyman**
 Oliver Wyman is a global leader in management consulting. With offices in more than 70 cities across 30 countries, Oliver Wyman combines deep industry knowledge with specialized expertise in strategy, operations, risk management, and organization transformation. The firm has more than 6,000 professionals around the world who work with clients to optimize their business, improve their operations and risk profile, and accelerate their organizational performance to seize the most attractive opportunities. Oliver Wyman is a business of Marsh McLennan \[NYSE: MMC]. For more information, visit www.oliverwyman.com. Follow Oliver Wyman on Twitter @OliverWyman.
 Marsh McLennan and its Affiliates are EOE Minority/Female/Disability/Vet/Sexual Orientation/Gender Identity employers.
 The applicable base salary range for this role is $240,000\-$260,000\.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
 Marsh McLennan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veteran status (including protected veterans), or any other characteristic protected by applicable law. If you have a need that requires accommodation, please let us know by contacting reasonableaccommodations@mmc.com.
 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**R\_330567**</t>
        </is>
      </c>
    </row>
    <row r="99">
      <c r="A99" t="inlineStr">
        <is>
          <t>li-4352332476</t>
        </is>
      </c>
      <c r="B99" t="inlineStr">
        <is>
          <t>Databricks Data Engineer - Senior - Consulting - Miami</t>
        </is>
      </c>
      <c r="C99" t="inlineStr">
        <is>
          <t>EY</t>
        </is>
      </c>
      <c r="D99" t="inlineStr">
        <is>
          <t>linkedin</t>
        </is>
      </c>
      <c r="E99" t="inlineStr"/>
      <c r="F99" t="inlineStr"/>
      <c r="G99" t="inlineStr">
        <is>
          <t>Tampa, FL</t>
        </is>
      </c>
      <c r="H99" t="inlineStr"/>
      <c r="I9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0">
      <c r="A100" t="inlineStr">
        <is>
          <t>li-4352342429</t>
        </is>
      </c>
      <c r="B100" t="inlineStr">
        <is>
          <t>Databricks Data Engineer - Senior - Consulting - Miami</t>
        </is>
      </c>
      <c r="C100" t="inlineStr">
        <is>
          <t>EY</t>
        </is>
      </c>
      <c r="D100" t="inlineStr">
        <is>
          <t>linkedin</t>
        </is>
      </c>
      <c r="E100" t="inlineStr"/>
      <c r="F100" t="inlineStr"/>
      <c r="G100" t="inlineStr">
        <is>
          <t>Buffalo, NY</t>
        </is>
      </c>
      <c r="H100" t="inlineStr"/>
      <c r="I10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1">
      <c r="A101" t="inlineStr">
        <is>
          <t>li-4331966492</t>
        </is>
      </c>
      <c r="B101" t="inlineStr">
        <is>
          <t>Senior Data Engineer</t>
        </is>
      </c>
      <c r="C101" t="inlineStr">
        <is>
          <t>SafeStreets</t>
        </is>
      </c>
      <c r="D101" t="inlineStr">
        <is>
          <t>linkedin</t>
        </is>
      </c>
      <c r="E101" t="inlineStr"/>
      <c r="F101" t="inlineStr"/>
      <c r="G101" t="inlineStr">
        <is>
          <t>Lehi, UT</t>
        </is>
      </c>
      <c r="H101" t="inlineStr"/>
      <c r="I101" t="inlineStr">
        <is>
          <t>**About the Role** 
 SafeStreets is seeking a Senior Data Engineer to lead the design and implementation of scalable data infrastructure that powers analytics, reporting, and AI/ML initiatives across the organization. This role is for experienced engineers who can drive architectural decisions, mentor team members, and deliver high\-impact data solutions that support business\-critical decisions.
**What You’ll Do** 
* Lead the design and architecture of scalable data warehouse solutions in Snowflake
* Design, build, and optimize complex ETL/ELT pipelines to ingest, transform, and store data from multiple sources
* Architect and implement real\-time streaming data pipelines using Kafka
* Define and implement data modeling standards and best practices across the organization
* Drive technical decisions on data platform tooling, architecture, and infrastructure
* Collaborate with cross\-functional teams to align data solutions with business objectives
* Implement enterprise\-grade data quality frameworks, monitoring, and alerting systems
* Architect integrations between Salesforce and centralized data platforms
* Mentor junior and mid\-level data engineers on best practices and technical skills
* Lead data\-focused code reviews and technical design discussions
* Champion data governance, security, and compliance initiatives
**Required Qualifications** 
* 5\+ years of experience in data engineering or related data\-focused roles
* Expert\-level proficiency in SQL and advanced relational database design
* Extensive experience designing and building ETL/ELT pipelines at scale using tools such as Apache Airflow, dbt, or similar
* Strong proficiency in Python for data processing and pipeline development
* Deep experience with Snowflake, including performance optimization and best practices
* Experience with streaming data platforms, particularly Kafka
* Strong understanding of data modeling concepts and ability to design optimal schemas for various use cases
* Experience leading technical projects and mentoring engineers
* Strong architectural thinking and communication skills
* Track record of delivering high\-quality, production\-grade data solutions
**Preferred Qualifications** 
* Experience with Salesforce data extraction, APIs, and enterprise integration patterns
* Experience designing and implementing real\-time streaming architectures at scale
* Proficiency with BI tools and supporting self\-service analytics
* Experience with AWS services (S3, Glue, Lambda, Kinesis)
* Experience with data governance frameworks and data catalog tools
* Experience with CI/CD pipelines and infrastructure\-as\-code for data platforms
* Exposure to machine learning pipelines, feature stores, and MLOps practices
* Experience with data mesh or modern data architecture patterns
* Interest in AI systems and building data foundations for ML/AI initiatives
**What We Offer** 
* Competitive salary and benefits
* Collaborative, supportive engineering culture
* Clear growth and leveling opportunities
* Meaningful, real\-world technical challenges
* Inclusive and respectful workplace</t>
        </is>
      </c>
    </row>
    <row r="102">
      <c r="A102" t="inlineStr">
        <is>
          <t>li-4352302556</t>
        </is>
      </c>
      <c r="B102" t="inlineStr">
        <is>
          <t>Databricks Data Engineer - Senior - Consulting - Miami</t>
        </is>
      </c>
      <c r="C102" t="inlineStr">
        <is>
          <t>EY</t>
        </is>
      </c>
      <c r="D102" t="inlineStr">
        <is>
          <t>linkedin</t>
        </is>
      </c>
      <c r="E102" t="inlineStr"/>
      <c r="F102" t="inlineStr"/>
      <c r="G102" t="inlineStr">
        <is>
          <t>Atlanta, GA</t>
        </is>
      </c>
      <c r="H102" t="inlineStr"/>
      <c r="I10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3">
      <c r="A103" t="inlineStr">
        <is>
          <t>li-4352229262</t>
        </is>
      </c>
      <c r="B103" t="inlineStr">
        <is>
          <t>Databricks Data Engineer - Senior - Consulting - Miami</t>
        </is>
      </c>
      <c r="C103" t="inlineStr">
        <is>
          <t>EY</t>
        </is>
      </c>
      <c r="D103" t="inlineStr">
        <is>
          <t>linkedin</t>
        </is>
      </c>
      <c r="E103" t="inlineStr"/>
      <c r="F103" t="inlineStr"/>
      <c r="G103" t="inlineStr">
        <is>
          <t>Englewood, CO</t>
        </is>
      </c>
      <c r="H103" t="inlineStr"/>
      <c r="I10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4">
      <c r="A104" t="inlineStr">
        <is>
          <t>li-4359666611</t>
        </is>
      </c>
      <c r="B104" t="inlineStr">
        <is>
          <t>Oliver Wyman - Principal Data Engineer</t>
        </is>
      </c>
      <c r="C104" t="inlineStr">
        <is>
          <t>Marsh</t>
        </is>
      </c>
      <c r="D104" t="inlineStr">
        <is>
          <t>linkedin</t>
        </is>
      </c>
      <c r="E104" t="inlineStr"/>
      <c r="F104" t="inlineStr"/>
      <c r="G104" t="inlineStr">
        <is>
          <t>Chicago, IL</t>
        </is>
      </c>
      <c r="H104" t="inlineStr"/>
      <c r="I104" t="inlineStr">
        <is>
          <t>**Locations: Boston, New York, Chicago, Washington DC, Toronto, Montreal**
**Principal Engineer**
**\_\_\_\_**
**Who We Are**
***Oliver Wyman Performance Transformation***
 is a ground\-breaking division within
 *Oliver Wyman* 
 delivering world\-class solutions to give our clients a competitive edge. We work across the full technology stack from databases and analytics to APIs and web and mobile applications. With a mixture of over 700 consultants, specialists and support professionals in 16 major cities across the world, we’re committed to growth that retains our start\-up agility while expanding our opportunities for world\-class work.
***Oliver Wyman***
 is a global leader in management consulting. With a staff of over 4000 across 30 countries, Oliver Wyman combines deep industry knowledge with specialized expertise in strategy, operations, risk management, and organization transformation.
**\_\_\_\_**
**The Role And Responsibilities**
 No two OW Performance Transformation projects are the same
 *.* 
 You’ll be working with hugely varied and diverse teams to deliver unique and unprecedented strategy and product delivery across industries. The
 **Principal Engineer** 
 at
 **Oliver Wyman Performance Transformation** 
 is crucial to defining, designing, and delivering solutions that achieve breakthrough impact for our clients – all enabled by best\-in\-class DevSecOps model, Agile practices, architecture and tech stack.
 As a
 **Principal Engineer** 
 , you will work alongside Oliver Wyman partners in Performance Transformation and other practice groups, engage directly with clients to understand their business challenges, and craft optimal solutions to be delivered by OW Performance Transformation specialists and consultants delivering strategy, or products into production. You will own all technology and engineering responsibilities for a cross\-functional team covering technology, data science, customer experience and design.
 When you are a product builder, you will be hands\-on defining the architecture, tech stack, leading the engineering team while working with the product owner and designer. You will be instrumental in helping to validate build feasibility, operating costs, handle risk as well as key aspects of security, performance, resiliency, and scalability. Cost benefit and trade\-off analysis will be key as you work with the team to build something amazing.
 You will collocate with the team regularly or occasionally, working remotely at other times.
 We’re also hoping you’ll be able to bring us experience with at least one of the following:
* Financial services and/or capital markets
* Health and life sciences domain
* Insurance (individual or group)
* Consumer, retail, energy, or transportation domain
 \_\_\_\_
**Your Experience**
 We believe in and practice servant leadership here, so your primary goal is to bring the best out of the other talented technologists on the team, not to do it all yourself.
**What you’ll get to do:**
* Provide hands\-on technical leadership, training and mentoring staff
* Develop DevSecOps, CI/CD, release engineering strategies applying DORA, SPACE, and other industry leading metrics advocating developer productivity and product stability
* Lead change management initiatives, helping our clients navigate and embrace new ways of working
* Help to improve the OW Performance Transformation Architecture and Engineering specialty
* Design and architect innovative, modern cloud\-native digital experiences that are scalable, resilient, and secure
* Communicate complex technical concepts clearly to both technical and non\-technical stakeholders
* Write code alongside your development team
* Work with state\-of\-the\-art technologies to solve genuine, real\-world problems
* Champion good agile practices that provide a foundation for iterative product development
* Build strong relationships with product managers, designers, customer experience and human insights experts
* Enjoy working in a diverse, dynamic, collaborative, transparent, environment where everyone's ideas and opinions are equally valued
* Cross\-pollinate good practices and insights between projects and groups within the firm
* Travel 10 – 25% of the time to collaborate with distributed teams or clients as needed
**What you’ll bring:**
 For the
 **Principal Engineer** 
 role, we are looking for senior hands\-on technologists with 10\+ years of extensive software engineering experience. The ideal candidate is an excellent communicator and has experience working with both technical and non\-technical colleagues in a cross\-functional environment. The ideal candidate also has experience pitching and explaining technical architecture and strategy to both technical and non\-technical audiences.
 Additionally, you should bring:
* Experience with scalable architecture whilst leading and inspiring software development teams
* Hands\-on development and delivery experience with a broad mix of languages and technologies
* Real passion for solving customer friction through simple and effective software
* Strong people skills that contribute to an open and collaborative environment
* Experience working with Agile and Lean approaches such as Continuous Integration and Delivery, TDD, and Rapid Prototyping
* Experience communicating technical vision to a variety of team members
* Ability to embrace and reduce uncertainty through continual validated learning
* Practical experience with refactoring, design patterns, design driven development, system and application design, and application security
* Experience with small teams that move fast
 We’re also hoping you’ll be able to show us experience with some of the following. You don't need deep experience with everything here to apply; still, some depth in one or more of these will go a long way:
* How to work with structured and unstructured data
* Multiple programming languages and frameworks with in\-depth skills in at least one of the following: JavaScript, NodeJS, React, Python, Go, .NET
* Designing and deploying applications on cloud native infrastructure with providers such as AWS, Azure, or Google using patterns such as serverless or managed services
* Container technologies such as Docker and Kubernetes and microservices
* Infrastructure as Code such as AWS CloudFormation and Terraform
* Ideally some familiarity with CX and HTML5/CSS3
* Search technologies such as Elastic / ELK or LucidWorks
* Authentication/Authorization APIs such as OKTA
**What we offer you:**
* An opportunity to play a key role in the design, development and commercialization of software and hardware products aimed at disrupting B2B and B2C markets across a wide range of business domains.
* Help our clients across a variety of industries think deeply about their engineering and technical strategy ranging from organizational transformation to product re\-engineering
* The opportunity to work within a deeply accomplished team with direct exposure to some of the world's most influential organizations.
* A structured career development program with both technical and leadership tracks.
* A competitive salary and benefits complemented with a flexible learning \&amp; development budget (including attending conferences), enabling you to choose the right path for your own development.
* A level of autonomy and self\-management that you won’t typically find at other companies.
**\_\_\_\_**
**OUR VALUES \&amp; CULTURE**
 We’re serious about making OW Performance Transformation a rewarding, enjoyable, and balanced place to work.
* Rewarding work We’ve worked hard to earn our reputation for high quality work. That reputation allows us to work with major brands at all levels on incredibly exciting projects. Combine that with Oliver Wyman’s status as one of the Fortune 100 “Best Companies to Work For”, and you get a rewarding combination of challenge, support and recognition.
* Progressive employment Flat organizational structures, resolute I\&amp;D values and a commitment to rewarding good work make for a progression path truly based on merit. A menu of healthcare options, 401k matching, and a culture of continuous improvement means your work gets more rewarding over time. We are committed to providing our people with growth opportunities via professional training, personal development, and diverse roles and responsibilities.
* Enjoyable days We want our team members to build a career here—and to be happy. That makes us serious about caring for, mentoring, developing and sponsoring each other. This commitment also leads to opportunities for social impact and community work on company time.
* Balanced lives Our work is demanding, and we want you to have the best work\-life balance you can.
 We’ll work with you to accommodate your personal life with flexible hours and the ability to work from home.
**\_\_\_\_**
**How To Apply**
 If you like what you’ve read, we’d love to hear from you! You can find this and other roles and submit your CV at https://careers.marshmclennan.com/global/en/oliver\-wyman\-search. And please include a short note introducing yourself and what you’re looking for.
 The application process will include both technical testing and team fit interviews.
**Oliver Wyman is an equal opportunity employer.**
*Our commitment to diversity is genuine, deep and growing. We’re not perfect, but we’re working hard right now to make our teams balanced, representative and diverse.*
***\_\_\_\_***
**About Oliver Wyman**
 Oliver Wyman is a global leader in management consulting. With offices in more than 70 cities across 30 countries, Oliver Wyman combines deep industry knowledge with specialized expertise in strategy, operations, risk management, and organization transformation. The firm has more than 6,000 professionals around the world who work with clients to optimize their business, improve their operations and risk profile, and accelerate their organizational performance to seize the most attractive opportunities. Oliver Wyman is a business of Marsh McLennan \[NYSE: MMC]. For more information, visit www.oliverwyman.com. Follow Oliver Wyman on Twitter @OliverWyman.
 Marsh McLennan and its Affiliates are EOE Minority/Female/Disability/Vet/Sexual Orientation/Gender Identity employers.
 The applicable base salary range for this role is $240,000\-$260,000\.
 The base pay offered will be determined on factors such as experience, skills, training, location, certifications, and education, and any applicable minimum wage requirements. Decisions will be determined on a case\-by\-case basis.
 In addition to the base salary, this position may be eligible for performance\-based incentives.
 We are excited to offer a competitive total rewards package which includes health and welfare benefits, tuition assistance, 401K savings and other retirement programs as well as employee assistance programs.
 Oliver Wyman, a business of Marsh McLennan (NYSE: MMC), is a management consulting firm combining deep industry knowledge with specialized expertise to help clients optimize their business, improve operations and accelerate performance.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oliverwyman.com, or follow on LinkedIn and X.
 Marsh McLennan is committed to embracing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veteran status (including protected veterans), or any other characteristic protected by applicable law. If you have a need that requires accommodation, please let us know by contacting reasonableaccommodations@mmc.com.
 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**R\_330567**</t>
        </is>
      </c>
    </row>
    <row r="105">
      <c r="A105" t="inlineStr">
        <is>
          <t>li-4352292488</t>
        </is>
      </c>
      <c r="B105" t="inlineStr">
        <is>
          <t>Databricks Data Engineer - Senior - Consulting - Miami</t>
        </is>
      </c>
      <c r="C105" t="inlineStr">
        <is>
          <t>EY</t>
        </is>
      </c>
      <c r="D105" t="inlineStr">
        <is>
          <t>linkedin</t>
        </is>
      </c>
      <c r="E105" t="inlineStr"/>
      <c r="F105" t="inlineStr"/>
      <c r="G105" t="inlineStr">
        <is>
          <t>Fort Worth, TX</t>
        </is>
      </c>
      <c r="H105" t="inlineStr"/>
      <c r="I10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6">
      <c r="A106" t="inlineStr">
        <is>
          <t>li-4352332473</t>
        </is>
      </c>
      <c r="B106" t="inlineStr">
        <is>
          <t>Databricks Data Engineer - Senior - Consulting - Miami</t>
        </is>
      </c>
      <c r="C106" t="inlineStr">
        <is>
          <t>EY</t>
        </is>
      </c>
      <c r="D106" t="inlineStr">
        <is>
          <t>linkedin</t>
        </is>
      </c>
      <c r="E106" t="inlineStr"/>
      <c r="F106" t="inlineStr"/>
      <c r="G106" t="inlineStr">
        <is>
          <t>St Louis, MO</t>
        </is>
      </c>
      <c r="H106" t="inlineStr"/>
      <c r="I10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7">
      <c r="A107" t="inlineStr">
        <is>
          <t>li-4331976060</t>
        </is>
      </c>
      <c r="B107" t="inlineStr">
        <is>
          <t>Data engineer</t>
        </is>
      </c>
      <c r="C107" t="inlineStr">
        <is>
          <t>Jobs via Dice</t>
        </is>
      </c>
      <c r="D107" t="inlineStr">
        <is>
          <t>linkedin</t>
        </is>
      </c>
      <c r="E107" t="inlineStr"/>
      <c r="F107" t="inlineStr"/>
      <c r="G107" t="inlineStr"/>
      <c r="H107" t="inlineStr"/>
      <c r="I107" t="inlineStr">
        <is>
          <t>Dice is the leading career destination for tech experts at every stage of their careers. Our client, Analytics Solutions, is seeking the following. Apply via Dice today!
**Job Title: Data engineer**
**Location: Remote**
**Duration: Long Term Contract**
**Proficiency:**
* Architecture(for Lead) \+ hands\-on build; can understand \&amp; build campaigns following the standards, CI/CD, monitoring.
* Python\-heavy orchestration (workflow execution, status tracking, retries), integration patterns, production hardening.
* BigQuery scripting, stored procedures, dynamic SQL, performance tuning, partitioning/clustering strategies.
* API/service development, security, deployment automation on Google Cloud Platform.
**Technology Expectations**
**Core(Must have)**
* BigQuery SQL \&amp; scripting (procedures, dynamic SQL, temp/operational tables, performance)
* Python (orchestration, config\-driven execution, logging/error handling)
* Git \+ CI/CD (code review, automated deployments, environment promotion)
* Onshore\-focused(Lead \- must have, developers \- good to have)
* Google Cloud Platform services (as applicable): Cloud Composer/Airflow, Cloud Run, Pub/Sub, GCS, Secret Manager, Cloud Logging/Monitoring, IAM
* Metadata/config\-driven design (YAML/config tables), execution\-status tracking, testing strategy.
* Teradata SQL (BTEQ concepts, Teradata functions/qualify/volatile tables equivalents)
* BigQuery translation patterns \+ validation/reconciliation</t>
        </is>
      </c>
    </row>
    <row r="108">
      <c r="A108" t="inlineStr">
        <is>
          <t>li-4352312475</t>
        </is>
      </c>
      <c r="B108" t="inlineStr">
        <is>
          <t>Databricks Data Engineer - Senior - Consulting - Miami</t>
        </is>
      </c>
      <c r="C108" t="inlineStr">
        <is>
          <t>EY</t>
        </is>
      </c>
      <c r="D108" t="inlineStr">
        <is>
          <t>linkedin</t>
        </is>
      </c>
      <c r="E108" t="inlineStr"/>
      <c r="F108" t="inlineStr"/>
      <c r="G108" t="inlineStr">
        <is>
          <t>Arlington, VA</t>
        </is>
      </c>
      <c r="H108" t="inlineStr"/>
      <c r="I10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09">
      <c r="A109" t="inlineStr">
        <is>
          <t>li-4352246353</t>
        </is>
      </c>
      <c r="B109" t="inlineStr">
        <is>
          <t>Databricks Data Engineer - Manager - Consulting - Miami</t>
        </is>
      </c>
      <c r="C109" t="inlineStr">
        <is>
          <t>EY</t>
        </is>
      </c>
      <c r="D109" t="inlineStr">
        <is>
          <t>linkedin</t>
        </is>
      </c>
      <c r="E109" t="inlineStr"/>
      <c r="F109" t="inlineStr"/>
      <c r="G109" t="inlineStr">
        <is>
          <t>Iselin, NJ</t>
        </is>
      </c>
      <c r="H109" t="inlineStr"/>
      <c r="I10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0">
      <c r="A110" t="inlineStr">
        <is>
          <t>li-4352332478</t>
        </is>
      </c>
      <c r="B110" t="inlineStr">
        <is>
          <t>Databricks Data Engineer - Senior - Consulting - Miami</t>
        </is>
      </c>
      <c r="C110" t="inlineStr">
        <is>
          <t>EY</t>
        </is>
      </c>
      <c r="D110" t="inlineStr">
        <is>
          <t>linkedin</t>
        </is>
      </c>
      <c r="E110" t="inlineStr"/>
      <c r="F110" t="inlineStr"/>
      <c r="G110" t="inlineStr">
        <is>
          <t>Greenville, SC</t>
        </is>
      </c>
      <c r="H110" t="inlineStr"/>
      <c r="I11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1">
      <c r="A111" t="inlineStr">
        <is>
          <t>li-4352410668</t>
        </is>
      </c>
      <c r="B111" t="inlineStr">
        <is>
          <t>Databricks Data Engineer - Manager - Consulting - Miami</t>
        </is>
      </c>
      <c r="C111" t="inlineStr">
        <is>
          <t>EY</t>
        </is>
      </c>
      <c r="D111" t="inlineStr">
        <is>
          <t>linkedin</t>
        </is>
      </c>
      <c r="E111" t="inlineStr"/>
      <c r="F111" t="inlineStr"/>
      <c r="G111" t="inlineStr">
        <is>
          <t>Orlando, FL</t>
        </is>
      </c>
      <c r="H111" t="inlineStr"/>
      <c r="I11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2">
      <c r="A112" t="inlineStr">
        <is>
          <t>li-4352332469</t>
        </is>
      </c>
      <c r="B112" t="inlineStr">
        <is>
          <t>Databricks Data Engineer - Manager - Consulting - Miami</t>
        </is>
      </c>
      <c r="C112" t="inlineStr">
        <is>
          <t>EY</t>
        </is>
      </c>
      <c r="D112" t="inlineStr">
        <is>
          <t>linkedin</t>
        </is>
      </c>
      <c r="E112" t="inlineStr"/>
      <c r="F112" t="inlineStr"/>
      <c r="G112" t="inlineStr">
        <is>
          <t>Hoboken, NJ</t>
        </is>
      </c>
      <c r="H112" t="inlineStr"/>
      <c r="I11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3">
      <c r="A113" t="inlineStr">
        <is>
          <t>li-4352209912</t>
        </is>
      </c>
      <c r="B113" t="inlineStr">
        <is>
          <t>Databricks Data Engineer - Manager - Consulting - Miami</t>
        </is>
      </c>
      <c r="C113" t="inlineStr">
        <is>
          <t>EY</t>
        </is>
      </c>
      <c r="D113" t="inlineStr">
        <is>
          <t>linkedin</t>
        </is>
      </c>
      <c r="E113" t="inlineStr"/>
      <c r="F113" t="inlineStr"/>
      <c r="G113" t="inlineStr">
        <is>
          <t>Secaucus, NJ</t>
        </is>
      </c>
      <c r="H113" t="inlineStr"/>
      <c r="I11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4">
      <c r="A114" t="inlineStr">
        <is>
          <t>li-4352229254</t>
        </is>
      </c>
      <c r="B114" t="inlineStr">
        <is>
          <t>Databricks Data Engineer - Manager - Consulting - Miami</t>
        </is>
      </c>
      <c r="C114" t="inlineStr">
        <is>
          <t>EY</t>
        </is>
      </c>
      <c r="D114" t="inlineStr">
        <is>
          <t>linkedin</t>
        </is>
      </c>
      <c r="E114" t="inlineStr"/>
      <c r="F114" t="inlineStr"/>
      <c r="G114" t="inlineStr">
        <is>
          <t>Columbus, OH</t>
        </is>
      </c>
      <c r="H114" t="inlineStr"/>
      <c r="I11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5">
      <c r="A115" t="inlineStr">
        <is>
          <t>li-4352332464</t>
        </is>
      </c>
      <c r="B115" t="inlineStr">
        <is>
          <t>Databricks Data Engineer - Manager - Consulting - Miami</t>
        </is>
      </c>
      <c r="C115" t="inlineStr">
        <is>
          <t>EY</t>
        </is>
      </c>
      <c r="D115" t="inlineStr">
        <is>
          <t>linkedin</t>
        </is>
      </c>
      <c r="E115" t="inlineStr"/>
      <c r="F115" t="inlineStr"/>
      <c r="G115" t="inlineStr">
        <is>
          <t>Philadelphia, PA</t>
        </is>
      </c>
      <c r="H115" t="inlineStr"/>
      <c r="I11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6">
      <c r="A116" t="inlineStr">
        <is>
          <t>li-4352420532</t>
        </is>
      </c>
      <c r="B116" t="inlineStr">
        <is>
          <t>Databricks Data Engineer - Manager - Consulting - Miami</t>
        </is>
      </c>
      <c r="C116" t="inlineStr">
        <is>
          <t>EY</t>
        </is>
      </c>
      <c r="D116" t="inlineStr">
        <is>
          <t>linkedin</t>
        </is>
      </c>
      <c r="E116" t="inlineStr"/>
      <c r="F116" t="inlineStr"/>
      <c r="G116" t="inlineStr">
        <is>
          <t>New Brunswick, NJ</t>
        </is>
      </c>
      <c r="H116" t="inlineStr"/>
      <c r="I11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7">
      <c r="A117" t="inlineStr">
        <is>
          <t>li-4352238170</t>
        </is>
      </c>
      <c r="B117" t="inlineStr">
        <is>
          <t>Databricks Data Engineer - Manager - Consulting - Miami</t>
        </is>
      </c>
      <c r="C117" t="inlineStr">
        <is>
          <t>EY</t>
        </is>
      </c>
      <c r="D117" t="inlineStr">
        <is>
          <t>linkedin</t>
        </is>
      </c>
      <c r="E117" t="inlineStr"/>
      <c r="F117" t="inlineStr"/>
      <c r="G117" t="inlineStr">
        <is>
          <t>Buffalo, NY</t>
        </is>
      </c>
      <c r="H117" t="inlineStr"/>
      <c r="I11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8">
      <c r="A118" t="inlineStr">
        <is>
          <t>li-4352255159</t>
        </is>
      </c>
      <c r="B118" t="inlineStr">
        <is>
          <t>Databricks Data Engineer - Manager - Consulting - Miami</t>
        </is>
      </c>
      <c r="C118" t="inlineStr">
        <is>
          <t>EY</t>
        </is>
      </c>
      <c r="D118" t="inlineStr">
        <is>
          <t>linkedin</t>
        </is>
      </c>
      <c r="E118" t="inlineStr"/>
      <c r="F118" t="inlineStr"/>
      <c r="G118" t="inlineStr">
        <is>
          <t>Miami, FL</t>
        </is>
      </c>
      <c r="H118" t="inlineStr"/>
      <c r="I11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19">
      <c r="A119" t="inlineStr">
        <is>
          <t>li-4359418715</t>
        </is>
      </c>
      <c r="B119" t="inlineStr">
        <is>
          <t>Senior Data Engineer</t>
        </is>
      </c>
      <c r="C119" t="inlineStr">
        <is>
          <t>Capital One</t>
        </is>
      </c>
      <c r="D119" t="inlineStr">
        <is>
          <t>linkedin</t>
        </is>
      </c>
      <c r="E119" t="inlineStr"/>
      <c r="F119" t="inlineStr"/>
      <c r="G119" t="inlineStr">
        <is>
          <t>Chicago, IL</t>
        </is>
      </c>
      <c r="H119" t="inlineStr"/>
      <c r="I11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0">
      <c r="A120" t="inlineStr">
        <is>
          <t>li-4352238175</t>
        </is>
      </c>
      <c r="B120" t="inlineStr">
        <is>
          <t>Databricks Data Engineer - Senior - Consulting - Miami</t>
        </is>
      </c>
      <c r="C120" t="inlineStr">
        <is>
          <t>EY</t>
        </is>
      </c>
      <c r="D120" t="inlineStr">
        <is>
          <t>linkedin</t>
        </is>
      </c>
      <c r="E120" t="inlineStr"/>
      <c r="F120" t="inlineStr"/>
      <c r="G120" t="inlineStr">
        <is>
          <t>Wichita, KS</t>
        </is>
      </c>
      <c r="H120" t="inlineStr"/>
      <c r="I12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1">
      <c r="A121" t="inlineStr">
        <is>
          <t>li-4352282473</t>
        </is>
      </c>
      <c r="B121" t="inlineStr">
        <is>
          <t>Databricks Data Engineer - Manager - Consulting - Miami</t>
        </is>
      </c>
      <c r="C121" t="inlineStr">
        <is>
          <t>EY</t>
        </is>
      </c>
      <c r="D121" t="inlineStr">
        <is>
          <t>linkedin</t>
        </is>
      </c>
      <c r="E121" t="inlineStr"/>
      <c r="F121" t="inlineStr"/>
      <c r="G121" t="inlineStr">
        <is>
          <t>Westlake Village, CA</t>
        </is>
      </c>
      <c r="H121" t="inlineStr"/>
      <c r="I12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2">
      <c r="A122" t="inlineStr">
        <is>
          <t>li-4352352486</t>
        </is>
      </c>
      <c r="B122" t="inlineStr">
        <is>
          <t>Databricks Data Engineer - Manager - Consulting - Miami</t>
        </is>
      </c>
      <c r="C122" t="inlineStr">
        <is>
          <t>EY</t>
        </is>
      </c>
      <c r="D122" t="inlineStr">
        <is>
          <t>linkedin</t>
        </is>
      </c>
      <c r="E122" t="inlineStr"/>
      <c r="F122" t="inlineStr"/>
      <c r="G122" t="inlineStr">
        <is>
          <t>Memphis, TN</t>
        </is>
      </c>
      <c r="H122" t="inlineStr"/>
      <c r="I12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3">
      <c r="A123" t="inlineStr">
        <is>
          <t>li-4352282471</t>
        </is>
      </c>
      <c r="B123" t="inlineStr">
        <is>
          <t>Databricks Data Engineer - Manager - Consulting - Miami</t>
        </is>
      </c>
      <c r="C123" t="inlineStr">
        <is>
          <t>EY</t>
        </is>
      </c>
      <c r="D123" t="inlineStr">
        <is>
          <t>linkedin</t>
        </is>
      </c>
      <c r="E123" t="inlineStr"/>
      <c r="F123" t="inlineStr"/>
      <c r="G123" t="inlineStr">
        <is>
          <t>Chicago, IL</t>
        </is>
      </c>
      <c r="H123" t="inlineStr"/>
      <c r="I12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4">
      <c r="A124" t="inlineStr">
        <is>
          <t>li-4352292484</t>
        </is>
      </c>
      <c r="B124" t="inlineStr">
        <is>
          <t>Databricks Data Engineer - Manager - Consulting - Miami</t>
        </is>
      </c>
      <c r="C124" t="inlineStr">
        <is>
          <t>EY</t>
        </is>
      </c>
      <c r="D124" t="inlineStr">
        <is>
          <t>linkedin</t>
        </is>
      </c>
      <c r="E124" t="inlineStr"/>
      <c r="F124" t="inlineStr"/>
      <c r="G124" t="inlineStr">
        <is>
          <t>Louisville, KY</t>
        </is>
      </c>
      <c r="H124" t="inlineStr"/>
      <c r="I12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5">
      <c r="A125" t="inlineStr">
        <is>
          <t>li-4359606899</t>
        </is>
      </c>
      <c r="B125" t="inlineStr">
        <is>
          <t>Senior Data Engineer</t>
        </is>
      </c>
      <c r="C125" t="inlineStr">
        <is>
          <t>Capital One</t>
        </is>
      </c>
      <c r="D125" t="inlineStr">
        <is>
          <t>linkedin</t>
        </is>
      </c>
      <c r="E125" t="inlineStr"/>
      <c r="F125" t="inlineStr"/>
      <c r="G125" t="inlineStr">
        <is>
          <t>McLean, VA</t>
        </is>
      </c>
      <c r="H125" t="inlineStr"/>
      <c r="I12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Data Engineer
 New York, NY: $176,500 \- $201,400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6">
      <c r="A126" t="inlineStr">
        <is>
          <t>li-4352401723</t>
        </is>
      </c>
      <c r="B126" t="inlineStr">
        <is>
          <t>Databricks Data Engineer - Manager - Consulting - Miami</t>
        </is>
      </c>
      <c r="C126" t="inlineStr">
        <is>
          <t>EY</t>
        </is>
      </c>
      <c r="D126" t="inlineStr">
        <is>
          <t>linkedin</t>
        </is>
      </c>
      <c r="E126" t="inlineStr"/>
      <c r="F126" t="inlineStr"/>
      <c r="G126" t="inlineStr">
        <is>
          <t>Birmingham, AL</t>
        </is>
      </c>
      <c r="H126" t="inlineStr"/>
      <c r="I12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7">
      <c r="A127" t="inlineStr">
        <is>
          <t>li-4352420529</t>
        </is>
      </c>
      <c r="B127" t="inlineStr">
        <is>
          <t>Databricks Data Engineer - Manager - Consulting - Miami</t>
        </is>
      </c>
      <c r="C127" t="inlineStr">
        <is>
          <t>EY</t>
        </is>
      </c>
      <c r="D127" t="inlineStr">
        <is>
          <t>linkedin</t>
        </is>
      </c>
      <c r="E127" t="inlineStr"/>
      <c r="F127" t="inlineStr"/>
      <c r="G127" t="inlineStr">
        <is>
          <t>Tulsa, OK</t>
        </is>
      </c>
      <c r="H127" t="inlineStr"/>
      <c r="I12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8">
      <c r="A128" t="inlineStr">
        <is>
          <t>li-4352420530</t>
        </is>
      </c>
      <c r="B128" t="inlineStr">
        <is>
          <t>Databricks Data Engineer - Manager - Consulting - Miami</t>
        </is>
      </c>
      <c r="C128" t="inlineStr">
        <is>
          <t>EY</t>
        </is>
      </c>
      <c r="D128" t="inlineStr">
        <is>
          <t>linkedin</t>
        </is>
      </c>
      <c r="E128" t="inlineStr"/>
      <c r="F128" t="inlineStr"/>
      <c r="G128" t="inlineStr">
        <is>
          <t>Milwaukee, WI</t>
        </is>
      </c>
      <c r="H128" t="inlineStr"/>
      <c r="I12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29">
      <c r="A129" t="inlineStr">
        <is>
          <t>li-4352332471</t>
        </is>
      </c>
      <c r="B129" t="inlineStr">
        <is>
          <t>Databricks Data Engineer - Manager - Consulting - Miami</t>
        </is>
      </c>
      <c r="C129" t="inlineStr">
        <is>
          <t>EY</t>
        </is>
      </c>
      <c r="D129" t="inlineStr">
        <is>
          <t>linkedin</t>
        </is>
      </c>
      <c r="E129" t="inlineStr"/>
      <c r="F129" t="inlineStr"/>
      <c r="G129" t="inlineStr">
        <is>
          <t>Salt Lake City, UT</t>
        </is>
      </c>
      <c r="H129" t="inlineStr"/>
      <c r="I12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30">
      <c r="A130" t="inlineStr">
        <is>
          <t>li-4352302557</t>
        </is>
      </c>
      <c r="B130" t="inlineStr">
        <is>
          <t>Databricks Data Engineer - Senior - Consulting - Miami</t>
        </is>
      </c>
      <c r="C130" t="inlineStr">
        <is>
          <t>EY</t>
        </is>
      </c>
      <c r="D130" t="inlineStr">
        <is>
          <t>linkedin</t>
        </is>
      </c>
      <c r="E130" t="inlineStr"/>
      <c r="F130" t="inlineStr"/>
      <c r="G130" t="inlineStr">
        <is>
          <t>Charleston, WV</t>
        </is>
      </c>
      <c r="H130" t="inlineStr"/>
      <c r="I13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Senior**
 We are seeking a highly skilled Senior Consultant Data Engineer with expertise in cloud data engineering, specifically Databricks. The ideal candidate will have strong client management and communication skills, along with a proven track record of successful end\-to\-end implementations in data engineering projects.
**The opportunity**
 In this role, you will design and build analytics solutions that deliver significant business value. You will collaborate with other data and analytics professionals, management, and stakeholders to ensure that technical requirements align with business needs. Your responsibilities will include creating scalable data architecture and modeling solutions that support the entire data asset lifecycle.
**Your Key Responsibilities**
 As a Senior Data Engineer, you will play a pivotal role in transforming data into actionable insights. Your time will be spent on various responsibilities, including:
* Designing, building, and operating scalable on\-premises or cloud data architecture.
* Analyzing business requirements and translating them into technical specifications.
* Optimizing data flows for target data platform designs.
* Design, develop, and implement data engineering solutions using Databricks on cloud platforms (e.g., AWS, Azure, GCP).
* Collaborate with clients to understand their data needs and provide tailored solutions that meet their business objectives.
* Lead end\-to\-end data pipeline development, including data ingestion, transformation, and storage.
* Ensure data quality, integrity, and security throughout the data lifecycle.
* Provide technical guidance and mentorship to junior data engineers and team members.
* Communicate effectively with stakeholders, including technical and non\-technical audiences, to convey complex data concepts.
* Manage client relationships and expectations, ensuring high levels of satisfaction and engagement.
* Stay updated with the latest trends and technologies in data engineering and cloud computing.
 This role offers the opportunity to work with cutting\-edge technologies and stay ahead of industry trends, ensuring you gain a competitive advantage in the market. The position may require regular travel to meet with external clients.
**Skills And Attributes For Success**
 To thrive in this role, you will need a blend of technical and interpersonal skills. Your ability to communicate effectively and build relationships will be crucial. Here are some key attributes we look for:
* Strong analytical and decision\-making skills.
* Proficiency in cloud computing and data architecture design.
* Experience in data integration and security.
* Ability to manage complex problem\-solving scenarios.
**To qualify for the role, you must have**
* A Bachelor’s degree in Computer Science, Engineering, or a related field required (4\-year degree). Master’s degree preferred
* Typically, no less than 2 \- 4 years relevant experience in data engineering, with a focus on cloud data solutions.
* 5\+ years of experience in data engineering, with a focus on cloud data solutions.
* Expertise in Databricks and experience with Spark for big data processing.
* Proven experience in at least two end\-to\-end data engineering implementations, including:
* Implementation of a data lake solution using Databricks, integrating various data sources, and enabling analytics for business intelligence.
* Development of a real\-time data processing pipeline using Databricks and cloud services, delivering insights for operational decision\-making.
* Strong programming skills in languages such as Python, Scala, or SQL.
* Experience with data modeling, ETL processes, and data warehousing concepts.
* Excellent problem\-solving skills and the ability to work independently and as part of a team.
* Strong communication and interpersonal skills, with a focus on client management.
**Required Expertise for Senior Consulting Projects:**
* Strategic Thinking: Ability to align data engineering solutions with business strategies and objectives.
* Project Management: Experience in managing multiple projects simultaneously,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**Ideally, you’ll also have**
* Experience with data quality management.
* Familiarity with semantic layers in data architecture.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You should be adaptable, collaborative, and driven by a desire to achieve excellence in every project you undertake.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31">
      <c r="A131" t="inlineStr">
        <is>
          <t>li-4352282474</t>
        </is>
      </c>
      <c r="B131" t="inlineStr">
        <is>
          <t>Databricks Data Engineer - Manager - Consulting - Miami</t>
        </is>
      </c>
      <c r="C131" t="inlineStr">
        <is>
          <t>EY</t>
        </is>
      </c>
      <c r="D131" t="inlineStr">
        <is>
          <t>linkedin</t>
        </is>
      </c>
      <c r="E131" t="inlineStr"/>
      <c r="F131" t="inlineStr"/>
      <c r="G131" t="inlineStr">
        <is>
          <t>Las Vegas, NV</t>
        </is>
      </c>
      <c r="H131" t="inlineStr"/>
      <c r="I13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32">
      <c r="A132" t="inlineStr">
        <is>
          <t>li-4352246355</t>
        </is>
      </c>
      <c r="B132" t="inlineStr">
        <is>
          <t>Databricks Data Engineer - Manager - Consulting - Miami</t>
        </is>
      </c>
      <c r="C132" t="inlineStr">
        <is>
          <t>EY</t>
        </is>
      </c>
      <c r="D132" t="inlineStr">
        <is>
          <t>linkedin</t>
        </is>
      </c>
      <c r="E132" t="inlineStr"/>
      <c r="F132" t="inlineStr"/>
      <c r="G132" t="inlineStr">
        <is>
          <t>Providence, RI</t>
        </is>
      </c>
      <c r="H132" t="inlineStr"/>
      <c r="I13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33">
      <c r="A133" t="inlineStr">
        <is>
          <t>li-4352372344</t>
        </is>
      </c>
      <c r="B133" t="inlineStr">
        <is>
          <t>Databricks Data Engineer - Manager - Consulting - Miami</t>
        </is>
      </c>
      <c r="C133" t="inlineStr">
        <is>
          <t>EY</t>
        </is>
      </c>
      <c r="D133" t="inlineStr">
        <is>
          <t>linkedin</t>
        </is>
      </c>
      <c r="E133" t="inlineStr"/>
      <c r="F133" t="inlineStr"/>
      <c r="G133" t="inlineStr">
        <is>
          <t>Charleston, WV</t>
        </is>
      </c>
      <c r="H133" t="inlineStr"/>
      <c r="I13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Data Engineering – Manager**
 We are looking for a dynamic and experienced Manager of Data Engineering to lead our team in designing and implementing complex cloud analytics solutions with a strong focus on Databricks. The ideal candidate will possess deep technical expertise in data architecture, cloud technologies, and analytics, along with exceptional leadership and client management skills.
**The opportunity:**
 In this role, you will design and build analytics solutions that deliver significant business value. You will collaborate with other data and analytics professionals, management, and stakeholders to ensure that business requirements are translated into effective technical solutions. Key responsibilities include:
* Understanding and analyzing business requirements to translate them into technical requirements.
* Designing, building, and operating scalable data architecture and modeling solutions.
* Staying up to date with the latest trends and emerging technologies to maintain a competitive edge.
**Key Responsibilities:**
 As a Data Engineering Manager, you will play a crucial role in managing and delivering complex technical initiatives. Your time will be spent across various responsibilities, including:
* Leading workstream delivery and ensuring quality in all processes.
* Engaging with clients on a daily basis, actively participating in working sessions, and identifying opportunities for additional services.
* Implementing resource plans and budgets while managing engagement economics.
 This role offers the opportunity to work in a dynamic environment where you will face challenges that require innovative solutions. You will learn and grow as you guide others and interpret internal and external issues to recommend quality solutions. Travel may be required regularly based on client needs.
**Skills and attributes for success:**
 To thrive in this role, you should possess a blend of technical and interpersonal skills. The following attributes will make a significant impact:
* Lead the design and development of scalable data engineering solutions using Databricks on cloud platforms (e.g., AWS, Azure, GCP).
* Oversee the architecture of complex cloud analytics solutions, ensuring alignment with business objectives and best practices.
* Manage and mentor a team of data engineers, fostering a culture of innovation, collaboration, and continuous improvement.
* Collaborate with clients to understand their analytics needs and deliver tailored solutions that drive business value.
* Ensure the quality, integrity, and security of data throughout the data lifecycle, implementing best practices in data governance.
* Drive end\-to\-end data pipeline development, including data ingestion, transformation, and storage, leveraging Databricks and other cloud services.
* Communicate effectively with stakeholders, including technical and non\-technical audiences, to convey complex data concepts and project progress.
* Manage client relationships and expectations, ensuring high levels of satisfaction and engagement.
* Stay abreast of the latest trends and technologies in data engineering, cloud computing, and analytics.
* Strong analytical and problem\-solving abilities.
* Excellent communication skills, with the ability to convey complex information clearly.
* Proven experience in managing and delivering projects effectively.
* Ability to build and manage relationships with clients and stakeholders.
**To qualify for the role, you must have:**
* Bachelor’s degree in computer science, Engineering, or a related field required; Master’s degree preferred.
* Typically, no less than 4 \- 6 years relevant experience in data engineering, with a focus on cloud data solutions and analytics.
* Proven expertise in Databricks and experience with Spark for big data processing.
* Strong background in data architecture and design, with experience in building complex cloud analytics solutions.
* Experience in leading and managing teams, with a focus on mentoring and developing talent.
* Strong programming skills in languages such as Python, Scala, or SQL.
* Excellent problem\-solving skills and the ability to work independently and as part of a team.
* Strong communication and interpersonal skills, with a focus on client management.
**Required Expertise for Managerial Role:**
* Strategic Leadership: Ability to align data engineering initiatives with organizational goals and drive strategic vision.
* Project Management: Experience in managing multiple projects and teams, ensuring timely delivery and adherence to project scope.
* Stakeholder Engagement: Proficiency in engaging with various stakeholders, including executives, to understand their needs and present solutions effectively.
* Change Management: Skills in guiding clients through change processes related to data transformation and technology adoption.
* Risk Management: Ability to identify potential risks in data projects and develop mitigation strategies.
* Technical Leadership: Experience in leading technical discussions and making architectural decisions that impact project outcomes.
* Documentation and Reporting: Proficiency in creating comprehensive documentation and reports to communicate project progress and outcomes to clients.
**Large\-Scale Implementation Programs:**
* Enterprise Data Lake Implementation: Led the design and deployment of a cloud\-based data lake solution for a Fortune 500 retail client, integrating data from multiple sources (e.g., ERPs, POS systems, e\-commerce platforms) to enable advanced analytics and reporting capabilities.
* Real\-Time Analytics Platform: Managed the development of a real\-time analytics platform using Databricks for a financial services organization, enabling real\-time fraud detection and risk assessment through streaming data ingestion and processing.
* Data Warehouse Modernization: Oversaw the modernization of a legacy data warehouse to a cloud\-native architecture for a healthcare provider, implementing ETL processes with Databricks and improving data accessibility for analytics and reporting.
**Ideally, you’ll also have:**
* Experience with advanced data analytics tools and techniques.
* Familiarity with machine learning concepts and applications.
* Knowledge of industry trends and best practices in data engineering.
* Familiarity with cloud platforms (AWS, Azure, GCP) and their data services.
* Knowledge of data governance and compliance standards.
* Experience with machine learning frameworks and tools.
**What we look for:**
 We seek individuals who are not only technically proficient but also possess the qualities of top performers, including a strong sense of collaboration, adaptability, and a passion for continuous learning. If you are driven by results and have a desire to make a meaningful impact, we want to hear from you.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$125,500 to $230,200\. The base salary range for New York City Metro Area, Washington State and California (excluding Sacramento) is $150,700 to $261,600\.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134">
      <c r="A134" t="inlineStr">
        <is>
          <t>li-4352412152</t>
        </is>
      </c>
      <c r="B134" t="inlineStr">
        <is>
          <t>Data Engineer (L5) - Ads</t>
        </is>
      </c>
      <c r="C134" t="inlineStr">
        <is>
          <t>Netflix</t>
        </is>
      </c>
      <c r="D134" t="inlineStr">
        <is>
          <t>linkedin</t>
        </is>
      </c>
      <c r="E134">
        <f>HYPERLINK("https://www.linkedin.com/jobs/view/4352412152", "https://www.linkedin.com/jobs/view/4352412152")</f>
        <v/>
      </c>
      <c r="F134" t="inlineStr"/>
      <c r="G134" t="inlineStr"/>
      <c r="H134" t="inlineStr"/>
      <c r="I134"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**About The Team**
 Ads Data Engineering team sits at the core of building a data ecosystem that will power Netflix’ understanding and decision making about what impact ads have on our business. This team’s main focus is to build rich, connected, and easily accessible data products about ad inventories, forecasting, targeting, ad serving, pacing and much more. We are looking for passionale, mature, and curious software engineers with strong data intuition, analytical mindset and ad ecosystem experience, to contribute to the team’s impact in a quickly evolving.
 We are hiring for several different roles, ranging from senior to staff level for this team.
**Who are you?**
* Beyond talented, you are curious, creative, and tenacious.
* Sharp communicator who can break down and explain complex data problems in clear and concise language.
* You have an extensive background and strong technical expertise working with data at scale, experience with advertising data (preferred) and understand how to build for privacy, and business impact
* You have a high tolerance for ambiguity and fast\-changing context
* Hands\-on experience building batch or streaming production data pipelines, ideally using one or more distributed processing frameworks such as Spark, Flink or Hive/Hadoop
* Knowledge in data modeling and establishing data architecture across multiple systems
* Thrive in a fast paced environment, and see yourself as a partner with the business with the shared goal of moving the business forward.
* Create code that is understandable, simple, and clean, and take pride in its beauty.
* Love freedom and hate being micromanaged. Given context, you're capable of self\-direction.
* Passionate about data quality and delivering effective data to impact the business.
**What will you do?**
* Architect, strengthen, and expand the core data products that scale our Ads business. You’ll get on a team of talented data engineers and envision how all the data elements from multiple sources should fit together as a whole, and then execute on that plan.
* Fully own critical portions of Netflix' Ads data products. Collaborate with stakeholders to understand needs, model tables using software engineering and data warehouse best practices, and develop large scale data processing solutions to ensure the timely delivery of high quality data.
* Partner with Analytics Engineers, Data Scientists, and Software Engineers to create data products that will serve analysis, ML and reporting needs intuitively
* Develop best practices for governance of data sets with sensitive information
* Build strong and collaborative partnerships with data scientists, analytics engineers, and Machine Learning practitioners
**What (ideally) do you know?**
* Domains related to advertising, data privacy, GDPR
* Data warehousing, data modeling, and data transformation for both batch and streaming
* Hands on command programming languages such as python, scala or java as well data exploration using sql
* Expert at building performant data pipelines and optimizing existing workflows for new features
* Big Data tech \- Hadoop, Spark, Flink, Stream processing, Hive, Presto, etc.
* Experience with sourcing and modeling data from application APIs
* Team based software development tools and best practices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$170,000 \- $720,000\.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35">
      <c r="A135" t="inlineStr">
        <is>
          <t>li-4352431536</t>
        </is>
      </c>
      <c r="B135" t="inlineStr">
        <is>
          <t>Analytics Engineer</t>
        </is>
      </c>
      <c r="C135" t="inlineStr">
        <is>
          <t>Paycom</t>
        </is>
      </c>
      <c r="D135" t="inlineStr">
        <is>
          <t>linkedin</t>
        </is>
      </c>
      <c r="E135">
        <f>HYPERLINK("https://www.linkedin.com/jobs/view/4352431536", "https://www.linkedin.com/jobs/view/4352431536")</f>
        <v/>
      </c>
      <c r="F135" t="inlineStr"/>
      <c r="G135" t="inlineStr">
        <is>
          <t>Grapevine, TX</t>
        </is>
      </c>
      <c r="H135" t="inlineStr"/>
      <c r="I135" t="inlineStr">
        <is>
          <t>Paycom is seeking a highly skilled and self\-motivated Data Analyst to join our team, responsible for transforming complex data into actionable insights that drive business growth and inform strategic decision\-making. As a Data Analyst, you will design, build, and maintain large\-scale data pipelines, develop predictive models, and apply AI and machine learning techniques to uncover trends, patterns, and anomalies. You will collaborate with cross\-functional teams to deliver data\-driven solutions, communicate findings to stakeholders, and drive business outcomes through data\-driven decision support. If you have a passion for data analysis, a talent for storytelling with data, and experience working with cutting\-edge technologies, we encourage you to apply for this exciting opportunity.
**Responsibilities**
* Build data pipelines following the most optimum industry standards
* Build forecasting models to understand user behavior and user retention
* Clean and preprocess data to ensure accuracy and consistency
* Automate workflows and data processing tasks
* Perform exploratory data analysis to uncover trends, patterns, and anomalies
* Apply AI and machine learning techniques to derive insights from complex datasets
* Create visually appealing and interactive dashboards, reports, and presentations
* Communicate findings and recommendations to stakeholders using data visualization tools
* Collaborate with cross\-functional teams to design and deliver actionable insights
* Identify and address data quality issues and discrepancies
* Implement data quality controls and monitoring mechanisms
* Partner with business units to define key performance indicators (KPIs) and metrics
* Analyze business processes and operations to identify opportunities for improvement
* Provide decision support through ad\-hoc analysis and scenario modeling.</t>
        </is>
      </c>
    </row>
    <row r="136">
      <c r="A136" t="inlineStr">
        <is>
          <t>li-4359930027</t>
        </is>
      </c>
      <c r="B136" t="inlineStr">
        <is>
          <t>Senior Data Engineer</t>
        </is>
      </c>
      <c r="C136" t="inlineStr">
        <is>
          <t>Roo</t>
        </is>
      </c>
      <c r="D136" t="inlineStr">
        <is>
          <t>linkedin</t>
        </is>
      </c>
      <c r="E136">
        <f>HYPERLINK("https://www.linkedin.com/jobs/view/4359930027", "https://www.linkedin.com/jobs/view/4359930027")</f>
        <v/>
      </c>
      <c r="F136" t="inlineStr"/>
      <c r="G136" t="inlineStr"/>
      <c r="H136" t="inlineStr"/>
      <c r="I136" t="inlineStr">
        <is>
          <t>**What We Do**
 We’re on a mission to empower animal healthcare professionals with opportunities to earn more and achieve greater flexibility in their careers and personal lives.
 Powered by groundbreaking technology, Roo has built the industry\-leading veterinary staffing platform, connecting Veterinarians, Technicians, and Assistants with animal hospitals for relief work and hiring opportunities. Roo empowers the largest network of over 20,000 veterinary professionals to help more than 9,000 animal hospitals provide quality care to more pets.
 Together, we’ve provided more than 3 million hours of healthcare, helping Veterinarians earn more than $200 million.
**About The Role**
 Data is at the core of what we do at Roo. Our growing data team is tight\-knit, essential, and recognized for the high\-quality, innovative work we deliver. You will be right at the center of this work as we build and maintain the systems that power Roo’s most impactful initiatives. This role will push you to use every part of your data and analytics engineering skill set to develop an extensible data ecosystem that serves humans, machine learning models, and internal AI agents alike.
**Your Responsibilities**
* **Data Pipelines \&amp; Integrations:** 
 Design, develop, and maintain reliable end\-to\-end data pipelines (both batch and streaming) that connect internal and external systems in ways that best support marketplace growth, customer experience, and operational efficiency.
* **Data Storage, Warehousing \&amp; Database Support:** 
 Contribute to the performance, scalability, and reliability of our entire data ecosystem. Cultivate our dbt/Snowflake environment, develop and maintain our data\-centric AWS assets, and partner with product engineers to support the health and efficiency of our transactional databases.
* **Data Transformation \&amp; Analytics Support (dbt):** 
 Work with analysts and other data stakeholders to engineer data structures and orchestrate workflows that encode core business logic. Produce clean, well\-structured datasets that underpin traditional reporting, analyst experimentation, and ML and agentic AI use cases.
* **Data Quality, Governance \&amp; Metric Trust:** 
 Implement observability, testing, monitoring, validation, and documentation to ensure accuracy, stability, and consistency throughout the data stack. Help shape shared definitions, metrics, and data semantics across the company.
* **Business Collaboration \&amp; Insight Enablement:** 
 Join cross\-functional squads and tiger teams to rapidly translate evolving data needs into scalable and extensible data models, metrics, and analytical frameworks. You will favor iterative delivery over one\-shot solutions to support fast\-moving OKRs and drive meaningful incremental progress week to week.
* **Technical Expertise \&amp; Mentorship:** 
 Bring strong expertise in modern code quality, data modeling, and data stack patterns. Mentor data stakeholders throughout the organization, share best practices, and meaningfully contribute to architectural and tooling decisions as the data stack evolves.
**Qualifications**
* Expert\-level SQL and data modeling skills (5\+ years of experience)
* Intermediate proficiency with data\-centric Python packages and Node.js data interaction frameworks like Kysely, Prisma, and Sequelize
* Deep experience with Snowflake, dbt, MySQL, and AWS data services
**About You**
* You care deeply about data quality, scalability, and clarity of purpose. You take pride in crafting systems that other engineers and analysts enjoy using and extending.
* You collaborate naturally with product engineers, data analysts, and business stakeholders, and you are comfortable translating ambiguity into clear technical plans.
* You are resilient and adaptable. You don’t lose your footing when priorities shift, you work well with uncertainty and experimentation, and you make thoughtful decisions even when speed matters.
* You thrive in fast\-growing environments and value iterative development. You know how to deliver impact quickly while still building toward a healthy, extensible stack.
* You bring experience across multiple business domains, such as product, marketing, sales, finance, and operations.
* You enjoy mentoring teammates, raising the technical bar, and contributing thoughtful perspectives to architectural decisions.
* You handle multiple simultaneous priorities well, communicate clearly, and maintain crisp expectation\-setting with partners across the company.
 Exact compensation may vary based on skills, experience, and location.
 California pay range: $170,000 USD \- $220,000 USD
 New York pay range: $170,000 USD \- $220,000 USD
 Washington pay range: $180,000 USD \- $200,000 USD
 Colorado pay range: $145,000 USD \- $190,000 USD
 Texas pay range: $145,000 USD \- $190,000 USD
 North Carolina pay range: $135,000 USD \- $175,000 USD
**Core Values**
 Our Core Values are what shape us as an organization and we're looking for people who exhibit the same values in their professional life; Bias to Urgency, Drive Measurable Impact, Seek Understanding, Solve Customer Problems and Have Fun!
**What to expect from working at Roo!**
 For permanent, full time employees, we offer:
* Accelerated growth \&amp; learning potential.
* Stipends for home office setup, continuing education, and monthly wellness.
* Comprehensive health benefits to fit your needs with base medical plan covered at 100% with optional premium buy up plans.
* 401K
* Unlimited Paid Time Off.
* Paid Maternity/Paternity and reproductive care leave.
* Gifts on your birthday \&amp; anniversary.
* Opportunity for domestic travel, including for regional team building events.
 Overall, you would be part of a mission\-driven company that will significantly empower the lives of all veterinary professionals and the health of the overall animal industry that seeks massive innovation.
 We have diverse, passionate \&amp; driven team members from a variety of backgrounds, and Roo is an Equal Opportunity Employer. All qualified applicants will receive consideration for employment without regard to race, color, religion, sex, sexual orientation, gender identity, national origin, disability, or veteran status. We are committed to creating an inclusive environment for all employees and candidates. We understand that your individual experience may not check every box but we still encourage you to apply even if you are not confident in every expectation listed.
 Ready to join the Roo\-volution?!</t>
        </is>
      </c>
    </row>
    <row r="137">
      <c r="A137" t="inlineStr">
        <is>
          <t>li-4359990637</t>
        </is>
      </c>
      <c r="B137" t="inlineStr">
        <is>
          <t>Data Engineer</t>
        </is>
      </c>
      <c r="C137" t="inlineStr">
        <is>
          <t>Batesville</t>
        </is>
      </c>
      <c r="D137" t="inlineStr">
        <is>
          <t>linkedin</t>
        </is>
      </c>
      <c r="E137">
        <f>HYPERLINK("https://www.linkedin.com/jobs/view/4359990637", "https://www.linkedin.com/jobs/view/4359990637")</f>
        <v/>
      </c>
      <c r="F137" t="inlineStr"/>
      <c r="G137" t="inlineStr"/>
      <c r="H137" t="inlineStr"/>
      <c r="I137" t="inlineStr">
        <is>
          <t>At Batesville, you will be a part of a dynamic team committed to excellence and innovation. A recognized leader in the death care industry in North America, we are committed to our mission of helping families honor the lives of those they love®. We are currently seeking a
 **Data Engineer** 
 to join our team.
**Your Role At Batesville**
 As a, you will be responsible for playing a key role in building and maintaining the enterprise data ecosystem, enabling data accessibility and supporting analytics initiatives. This position collaborates with cross\-functional teams to design and implement scalable data solutions using modern tools and best practices
**How You’ll Be Rewarded**
* Batesville is a family. You will be part of a family of highly committed associates who are passionate about our company, committed to our customers and excited about our future.
* The expected base salary range for this role is $80,000 to $100,000 per year. Actual compensation within this range will be based on a variety of factors, including but not limited to qualifications, skills, experience, and location.
* In addition to base salary, this position may be eligible for performance\-based bonuses or other forms of incentive compensation.
* IMMEDIATE ELIGIBILITY – Comprehensive medical, dental and vision insurance, as well as prescription coverage, short\-term disability, Employee Assistance Program (EAP), and more.
* Generous 401K Matching Program
* Paid time off
* Opportunities for development and advancement
**What You’ll Do**
* Design, implement, and maintain efficient data models and architectures for enterprise use
* Develop, optimize, and maintain data pipelines for ingestion, transformation, and storage across on\-premises and cloud environments
* Participate in modernization efforts, including transitioning from legacy ETL solutions to cloud\-based frameworks
* Collaborate with IT, data science, and business intelligence teams to align data solutions with business objectives
* Implement and optimize ETL/ELT processes to integrate data from diverse sources (API, XML, JSON, Parquet, etc.)
* Ensure data quality, integrity, and security across all platforms and pipelines
* Create and maintain documentation for data models, architecture, and ETL processes
* Stay current with industry trends and emerging technologies
**What You’ll Bring**
* Bachelor’s degree in computer science, Information Systems, or equivalent experience
* 3–5 years of experience in data engineering or related field
**Nice To Haves**
* Proficiency in SQL and experience with relational and non\-relational databases
* Hands\-on experience with modern data engineering tools and cloud platforms (Azure preferred)
* Familiarity with ETL tools and frameworks; experience with Databricks, Fivetran, and Azure Data Factory is highly desirable
* Knowledge of data modeling, data warehousing concepts, and data governance best practices.
* Experience with programming languages such as Python or Scala
* Understanding of version control (Git) and Agile principles
* Strong problem\-solving and analytical skills
* Ability to work independently and collaboratively in cross\-functional teams
**Physical Requirements**
 To perform this job successfully, the physical demands listed are representative of those that must be met by an employee. Reasonable accommodation(s) may be made to enable individuals with disabilities to perform essential functions.
 While performing the duties of this job, the employee is regularly required to sit, stand, walk, use hands to handle and feel, reach with hands and arms, talk, and hear. The employee may occasionally be required to crouch, or lift items as heavy as 25 lbs. This job may require the employee to see with clarity at both near and far distances.
 ,
**Join the Batesville family and apply today!**
**Who We Are**
 A cornerstone in the death care industry, Batesville has distinguished itself from all others through our commitment to quality, service, and innovation. For more than 115 years, Batesville has been dedicated to serving the needs of licensed funeral professionals and helping families honor the lives of those they love.® With annual revenues of approximately $600 million, Batesville is a leader, providing a comprehensive portfolio of burial and cremation products, memorialization offerings, profit\-enhancing merchandising systems and leading\-edge technology solutions.
 At Batesville, Our Associates Are Our Strongest Asset. We Strive To Attract, Hire, And Develop The Best And Brightest To Ensure Our Place In The Future. Batesville Has a Strong Culture Of Achievement, Which Is Underpinned By These Five Core Values
* Individual worth and integrity
* Excellence in execution
* Spirit of continuous learning and improvement
* Courage
* Customer focus and partnership
**What Sets Us Apart**
**Making a difference:** 
 Helping families honor the lives of those they love® isn’t just our mission. It’s why we do what we do every day to make every Batesville product the best it can be.
**Development is a priority:** 
 We promote learning and development from Day 1\. From our
 *Experience Batesville* 
 onboarding program to self\-guided courses on Batesville University, there are numerous opportunities to advance your skills. We encourage associates to create Individual Development Plans (IDPs) to help drive career\-focused discussions and advancement.
**Putting customers first:** 
 We value the funeral professional’s role in serving families and are committed to doing our part to ensure their success.
**We Have Fun!** 
 We work hard, but when it’s time to play, we get creative – and competitive. We provide numerous engagement activities to bring people together across the organization.
**We Give Back** 
 : We support our communities by assisting in fundraising events and volunteer programs to help those in need.
 *\*These services are not available at all Batesville locations.*
**DISCLAIMER:** 
 The above information in this job description has been designed to indicate the general nature and level of work performed by the employee within this classification. It is not designed to contain or be interpreted as a comprehensive inventory of all duties, responsibilities and qualifications required of any employee assigned to this job. Nothing in this job description restricts management’s right to assign duties and responsibilities to this job at any time.
 At Batesville, we strive to build a diverse workforce through equal\-opportunity employment that embraces and leverages the differences each individual has to offer. We are an Equal Employment Opportunity/ Affirmative Action Employer of minorities/females/disabled/veterans.</t>
        </is>
      </c>
    </row>
    <row r="138">
      <c r="A138" t="inlineStr">
        <is>
          <t>li-4331598277</t>
        </is>
      </c>
      <c r="B138" t="inlineStr">
        <is>
          <t>Senior Data Engineer</t>
        </is>
      </c>
      <c r="C138" t="inlineStr">
        <is>
          <t>Serif Health</t>
        </is>
      </c>
      <c r="D138" t="inlineStr">
        <is>
          <t>linkedin</t>
        </is>
      </c>
      <c r="E138">
        <f>HYPERLINK("https://www.linkedin.com/jobs/view/4331598277", "https://www.linkedin.com/jobs/view/4331598277")</f>
        <v/>
      </c>
      <c r="F138">
        <f>HYPERLINK("https://www.ycombinator.com/companies/serif-health/jobs/mUkfunc-senior-data-engineer?utm_source=syn_li&amp;urlHash=e5bL", "https://www.ycombinator.com/companies/serif-health/jobs/mUkfunc-senior-data-engineer?utm_source=syn_li&amp;urlHash=e5bL")</f>
        <v/>
      </c>
      <c r="G138" t="inlineStr"/>
      <c r="H138" t="inlineStr"/>
      <c r="I138" t="inlineStr">
        <is>
          <t>**About Serif Health**
 At
 **Serif Health** 
 , we are taking the complexity out of the cost of healthcare. Our mission is to make healthcare pricing and contracting more transparent, easier to understand, fairer, and ultimately more affordable for all. New price transparency regulations have made a wealth of healthcare pricing and reimbursement data publicly available for the first time, but it is still extremely hard to ingest, organize, and actually use this data to understand the cost of care. That’s where we come in.
 Serif Health is building healthcare price intelligence data products and APIs to power the future of more transparent healthcare. Our world\-class team aggregates, enhances, and distributes trillions of healthcare pricing data points each month for a growing list of B2B \&amp; Enterprise customers. Thanks to our tight focus and high level of expertise, we have strong customer traction, high NPS and inbound referral rates, and a top 1% balance sheet.
 We’re looking for a
 **Senior Data Engineer** 
 who will help us build and maintain our data platform and data products to empower our customers to derive meaningful insights for their transparency needs.
**What You’ll Do**
* Own the development and maintenance of the Serif Health data platform which includes the data warehouse/lakehouse and orchestration pipelines
* Design thoughtful data models for Serif Health’s suite of data products that help effectively answer end user’s questions
* Identify areas for further optimizing existing data pipelines or products
* Partner with internal stakeholders to understand complex customer or product requirements; creatively devise solutions to achieve them
* Balance the tradeoffs between cost, performance, complexity, maintainability, scalability, and development speed when implementing data products and pipelines
* Keep abreast of industry developments and best practices in data operations engineering
**What We Expect**
* Deep expertise with Databricks/Spark, Snowflake and similar distributed data warehousing tools.
* Experience with data orchestration tools such as Airflow, Prefect, Dagster or similar ETL orchestration tools
* Strong Python and SQL skills
* Comfort with efficiently handling large data volumes (50TB\+, 500BB\+ rows added monthly)
* Strong product intuition and empathy for end users; ability to translate complex user questions into data assets
* High attention to detail, excellent written and verbal communication skills, and professionalism.
* Ability to work independently in a fast\-moving, distributed team environment.
**What We'd Love To See (Bonus)**
* Experience with healthcare data: medical claims, prescription drugs, life sciences, procedures pricing or billing.
* Prior experience in data science, machine learning, or statistics
* Prior commercial experience in a customer success engineering or data operations role working directly with enterprise customers
* Prior work in a startup or high\-growth software company environment.
**Job Location:** 
 Anywhere in the U.S. \- Serif Health is a remote\-first company with team members across all US time zones. We hold company gatherings at least quarterly in rotating locations across the U.S. for team members to get to know each other and collaborate in\-person.</t>
        </is>
      </c>
    </row>
    <row r="139">
      <c r="A139" t="inlineStr">
        <is>
          <t>li-4358760203</t>
        </is>
      </c>
      <c r="B139" t="inlineStr">
        <is>
          <t>Data Engineer III - Remote (6001)</t>
        </is>
      </c>
      <c r="C139" t="inlineStr">
        <is>
          <t>itD</t>
        </is>
      </c>
      <c r="D139" t="inlineStr">
        <is>
          <t>linkedin</t>
        </is>
      </c>
      <c r="E139">
        <f>HYPERLINK("https://www.linkedin.com/jobs/view/4358760203", "https://www.linkedin.com/jobs/view/4358760203")</f>
        <v/>
      </c>
      <c r="F139" t="inlineStr"/>
      <c r="G139" t="inlineStr"/>
      <c r="H139" t="inlineStr"/>
      <c r="I139" t="inlineStr">
        <is>
          <t>itD is seeking a
 **Data Engineer** 
 to design, build, and maintain scalable advertising data pipelines that power revenue reporting, analytics, and decision\-making across monetization platforms. This role contributes directly to data reliability, performance, and insight generation by delivering high\-quality datasets that support advertising efficiency and business growth. The ideal candidate brings deep experience in ads data platform engineering, data pipeline development, and revenue metrics analysis, with a proven ability to deliver reliable, production\-grade data solutions.
**Location:** 
 Remote (U.S.\-based; Pacific Time collaboration preferred)
 We provide comprehensive medical benefits, a 401(k) plan, paid holidays, and more. Please note that we are only considering direct W2 candidates at this time, as we are unable to offer sponsorship.
**Responsibilities**
* Develop, maintain, and optimize large\-scale advertising data pipelines and warehouse tables supporting monetization and reporting use cases.
* Build and author scalable, high\-performance ETL/ELT pipelines with strict SLA requirements.
* Support revenue metrics reporting, KPI development, and opportunity score calculations used for advertising insights.
* Perform data quality validation, troubleshoot pipeline and data issues, and conduct root cause analysis to ensure data integrity.
* Provide technical guidance on data source selection, data modeling, and SQL/Presto query optimization.
* Assist with data governance, privacy compliance, and Tier\-0 certification processes for critical data assets (tables, pipelines, dashboards).
* Collaborate with cross\-functional teams including product, sales, analytics, and engineering to deliver actionable, high\-quality data and support ad hoc data requests.
**Internal Responsibilities**
* Attend regular internal practice community meetings.
* Collaborate with your itD practice team on industry thought leadership.
* Complete client case studies and learning material (blogs, media material).
* Build out material to contribute to the Digital Transformation practice.
* Attend internal itD networking events (in person and virtual).
* Work with leadership on career fast\-track opportunities.
**Required Qualifications And Skills**
* 3–5 years of experience in data engineering, with a focus on advertising, monetization, or revenue\-focused data platforms.
* Advanced SQL expertise with deep experience using Presto for large\-scale data analysis and pipeline development.
* Proven experience designing and building scalable ETL/ELT pipelines and data warehouses.
* Strong data modeling experience supporting analytical and reporting use cases.
* Strong Python coding experience for data processing, pipeline development, and automation.
* Extensive experience with KPI and revenue metrics reporting, including metric design, analysis, and visualization.
* Demonstrated expertise in data quality management, troubleshooting, and root cause analysis.
* Solid understanding of advertising data models, campaign structures, and ads reporting requirements.
* Excellent written and verbal communication skills for technical documentation and stakeholder collaboration.
**Preferred Qualifications And Skills**
* Experience with Hive tables and data warehouse optimization.
* Knowledge of data governance, privacy compliance, and permission management frameworks.
* Experience supporting Tier\-0 or highly critical data assets with strict SLAs.
* Ability to work effectively with cross\-functional teams including sales, product, and analytics.
* Prior experience in large\-scale advertising or monetization platforms.
* Exposure to AI\-driven analytics or advanced data use cases.
**Education**
* Bachelor’s degree in a relevant field or equivalent work experience required.
**Company Description**
 About itD: We are part of a new generation of consulting and software development company that blends diversity, innovation, and integrity with real business results. Our structure rejects any strong hierarchy, empowering us to deliver excellent results. We are a woman\- and minority\-led firm. Every day, we challenge ourselves to be considerate, fair and to re\-think what great outcomes mean for our customers. This permeates down to how we approach every interaction, on every project, for every client. You’ll thrive here if you are a dynamic self\-starter, a difference\-maker or someone who wants to deliver great results, without constraints.
 The itD Digital Experience: Joining us means you’ll be part of our global community, you have a say about your own career journey, and you’ll get a chance to give back to causes that matter. You will experience working with Fortune 500 companies and high\-performance teams across numerous industries. itD offers our employees excellent benefits such as medical, dental, vision, life insurance, paid holidays, 401K \+ matching, networking \&amp; career learning and development programs. We are growing and we want to see you grow! Visit https://itdtech.com/careers to learn more about what working at itD can mean for you.
 All qualified applicants will receive consideration for employment without regard to race, color, religion, sex, sexual orientation, gender identity, national origin, age, disability or protected veteran status, or any other legally protected basis, in accordance with applicable law. itD is committed to working with and providing reasonable accommodation to individuals with disabilities. If, because of a medical condition or disability, you need a reasonable accommodation for any part of the application process, or to perform the essential functions of a position, please contact us at recruiting@itdtech.com and let us know the nature of your request and your contact information.
**Additional Info**
 Dynamic environment in a culture of respect, empowerment and recognition for a job well done, apply today!</t>
        </is>
      </c>
    </row>
    <row r="140">
      <c r="A140" t="inlineStr">
        <is>
          <t>li-4332216517</t>
        </is>
      </c>
      <c r="B140" t="inlineStr">
        <is>
          <t>Senior Data Engineer</t>
        </is>
      </c>
      <c r="C140" t="inlineStr">
        <is>
          <t>COVU</t>
        </is>
      </c>
      <c r="D140" t="inlineStr">
        <is>
          <t>linkedin</t>
        </is>
      </c>
      <c r="E140">
        <f>HYPERLINK("https://www.linkedin.com/jobs/view/4332216517", "https://www.linkedin.com/jobs/view/4332216517")</f>
        <v/>
      </c>
      <c r="F140" t="inlineStr"/>
      <c r="G140" t="inlineStr">
        <is>
          <t>Los Angeles, CA</t>
        </is>
      </c>
      <c r="H140" t="inlineStr"/>
      <c r="I140" t="inlineStr">
        <is>
          <t>Location: Los Angeles (On\-Site)
 Salary Range: $120K\-$180K \+ COVU shares
**About COVU** 
 COVU is a venture\-backed technology startup transforming the insurance industry. We empower independent agencies with AI\-driven insights and digitized operations, enabling them to manage risk more effectively. Our team is building an AI\-first company set to redefine the future of insurance distribution.
**Role Overview** 
 We are seeking an experienced and product\-focused Senior Data Engineer to be a core member of our Platform product team. This is a high\-impact role where you will play a pivotal part in evolving our core data infrastructure.
 Your primary mission will be to develop key components of our "Policy Journal" \- the foundational data asset that will serve as the single source of truth for all policy, commission, and client accounting information. You will work closely with the Lead Data Engineer and business stakeholders to translate requirements into robust data models and scalable pipelines that drive analytics and operational efficiency for our agents, managers, and leadership.
 This role requires a blend of greenfield development, strategic refactoring of existing systems, and a deep understanding of how to create trusted, high\-quality data products.
**What You’ll Do:** 
* Develop the Policy Journal: Be a primary builder of our master data solution that unifies policy, commission, and accounting data from sources like IVANS and Applied EPIC. You will implement the data models and pipelines that create the "gold record" powering our platform.
* Ensure Data Quality and Reliability: Implement robust data quality checks, monitoring, and alerting to ensure the accuracy and timeliness of all data pipelines. You will champion and contribute to best practices in data governance and engineering.
* Build the Foundational Analytics Platform: Implement and enhance our new analytics framework using modern tooling (e.g., Snowflake, dbt, Airflow). You will build and optimize critical data pipelines, transforming raw data into clean, reliable, and performant dimensional models for business intelligence.
* Modernize Core ETL Processes: Systematically refactor our existing Java \&amp; SQL (PostgreSQL) based ETL system. You will identify and resolve core issues (e.g., data duplication, performance bottlenecks), strategically rewriting critical components in Python and migrating orchestration to Airflow.
* Implement Data Quality Frameworks: Working within our company's QA strategy, you will build and execute automated data validation frameworks. You will be responsible for writing tests that ensure the accuracy, completeness, and integrity of our data pipelines and the Policy Journal.
* Collaborate and Contribute to Design: Partner with product managers, the Lead Data Engineer, and business stakeholders to understand complex business requirements. You will be a key technical contributor, translating business needs into well\-designed and maintainable solutions.
**What We're Looking For:** 
* 5\+ years of experience in data engineering, with a proven track record of building and maintaining scalable data pipelines in production.
* Expert\-level proficiency in Python and SQL.
* Strong experience with modern data stack technologies, including a cloud data warehouse (Snowflake or Redshift), a workflow orchestrator (Airflow is highly preferred), and data transformation tools.
* Hands\-on experience with AWS data services (e.g., S3, Glue, Lambda, RDS).
* Experience in the insurance technology (insurtech) industry and familiarity with insurance data concepts (e.g., policies, commissions, claims).
* Demonstrated ability to contribute to the design and implementation of robust data models (e.g., dimensional modeling) for analytics and reporting.
* A pragmatic problem\-solver who can analyze and refactor complex legacy systems. While you won't be writing new Java code, the ability to read and understand existing Java/Hibernate logic is a strong plus.
* Excellent communication skills and the ability to collaborate effectively with both technical and non\-technical stakeholders.
**Bonus Points For:** 
* Direct experience working with data from Agency Management Systems like Applied EPIC, Nowcerts, EZlynx, etc…
* Direct experience working with Carrier data (Accord XML, IVANS AL3\)
* Experience with business intelligence tools like Tableau, Looker, or Power BI.
* Prior experience in a startup or fast\-paced agile environment.
**Application Process:** 
1. Intro call with People team
2. Technical interviews
3. Final interview with leaders</t>
        </is>
      </c>
    </row>
    <row r="141">
      <c r="A141" t="inlineStr">
        <is>
          <t>li-4359980608</t>
        </is>
      </c>
      <c r="B141" t="inlineStr">
        <is>
          <t>Data Engineer, Revenue Technology</t>
        </is>
      </c>
      <c r="C141" t="inlineStr">
        <is>
          <t>The New York Times</t>
        </is>
      </c>
      <c r="D141" t="inlineStr">
        <is>
          <t>linkedin</t>
        </is>
      </c>
      <c r="E141">
        <f>HYPERLINK("https://www.linkedin.com/jobs/view/4359980608", "https://www.linkedin.com/jobs/view/4359980608")</f>
        <v/>
      </c>
      <c r="F141" t="inlineStr"/>
      <c r="G141" t="inlineStr">
        <is>
          <t>New York, NY</t>
        </is>
      </c>
      <c r="H141" t="inlineStr"/>
      <c r="I141"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Role**
 The position of the Data Engineer will be part of the Partner Revenue team that develops and deploys data platforms for advanced analytics and data processing. The Data Engineer defines and builds the data pipelines to promote faster, better, data\-informed decision\-making within the business.
 The role is a hybrid position requiring 3 days a week in the office. You will report to the Director of Partner Revenue Technology.
**Responsibilities**
* You will develop scalable data and ETL solutions
* You will develop scalable data platform components
* You will support existing platforms and implement data pipelines that ingest, transform, and curate data
* You will support any future migrations to new platforms using cloud\-based technologies
* Demonstrate support and understanding of our value of journalistic independence and a commitment to our mission to seek the truth and help people understand the world
**Basic Qualifications**
* 2\+ years knowledge and experience in SQL for querying and data modeling
* 2\+ years experience with any ETL frameworks or tools preferably Pentaho Data Integration or similar tools
* Demonstrated programming skills in Python and Shell scripting or similar language
**Preferred Qualifications**
* Knowledge in data modeling and data warehouse concepts and have technical abilities to develop and debug complex code using AWS/GCP cloud infrastructure
* Experience with ETL Tools, Shell scripting, SQL, Python, Java, Airflow, dbt with the understanding of data flows, data warehouse architecture, ETL concepts and processing of structured and unstructured data
* Proven knowledge of CI/CD practices and version control (Git)
* Demonstrated ability to code with VSCode or similar IDE tools with the ability to use AI coding assistant tools such as cursor and github copilot
 This role requires limited on\-call hours. An on\-call schedule will be determined when you join, taking into account team size and other variables.
 REQ\-019432
 The annual base pay range for this role is between:
 $110,000 \- $130,000 USD
 For roles in the U.S., dependent on your role, you may be eligible for variable pay, such as an annual bonus and restricted stock. Benefits may include medical, dental and vision benefits, Flexible Spending Accounts (F.S.A.s), a company\-matching 401(k) plan, paid vacation, paid sick days, paid parental leave, tuition reimbursement and professional development programs.
 For roles outside of the U.S., information on benefits will be provided during the interview process.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
 The Company encourages those with criminal histories to apply, and will consider their applications in a manner consistent with applicable "Fair Chance" laws, including but not limited to the NYC Fair Chance Act, the Los Angeles Fair Chance Initiative for Hiring Ordinance, the San Francisco Fair Chance Ordinance, the Los Angeles County Fair Chance Ordinance for Employers, and the California Fair Chance Act.
 For information about The New York Times' privacy practices for job applicants click here.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NYTapplicants@nytimes.com. You can also file a report with the Federal Trade Commission or your state attorney general.</t>
        </is>
      </c>
    </row>
    <row r="142">
      <c r="A142" t="inlineStr">
        <is>
          <t>li-4332275417</t>
        </is>
      </c>
      <c r="B142" t="inlineStr">
        <is>
          <t>Senior Data Engineer</t>
        </is>
      </c>
      <c r="C142" t="inlineStr">
        <is>
          <t>Chorus Innovations</t>
        </is>
      </c>
      <c r="D142" t="inlineStr">
        <is>
          <t>linkedin</t>
        </is>
      </c>
      <c r="E142">
        <f>HYPERLINK("https://www.linkedin.com/jobs/view/4332275417", "https://www.linkedin.com/jobs/view/4332275417")</f>
        <v/>
      </c>
      <c r="F142" t="inlineStr"/>
      <c r="G142" t="inlineStr">
        <is>
          <t>Austin, TX</t>
        </is>
      </c>
      <c r="H142" t="inlineStr"/>
      <c r="I142" t="inlineStr">
        <is>
          <t>**About Us**
 Chorus Innovations is a fast\-growing healthcare technology company with an adaptive platform as a service (PaaS) that enables the rapid development of mobile, desktop, text messaging and interactive voice applications. Chorus’ platform currently powers transformative healthcare, biomedical research and community health projects across institutions and public health agencies nationwide. We believe every community should have world\-class health technology so they can thrive.
 Our mission is to improve the lives of people and communities by democratizing technology development in health and research.
**About the Role**
 We’re seeking a Senior Data Engineer to help design and build the infrastructure that powers data\-driven decision\-making and workflow automation across our healthcare platform. You’ll work closely with internal teams, partners, and stakeholders to define and deliver clean, reliable, and scalable data pipelines, with a strong focus on interoperability with EHR systems and healthcare APIs.
 This is a high\-impact role where you’ll influence architecture, data modeling, integration strategy, and client engagement in a regulated and data\-rich environment with a team of engineers dedicated to building the highest quality systems.
**What You’ll Be Doing**
 As a Senior Data Engineer at Chorus, you’ll be flexing your skills across, and providing real impact.
**You’ll be:**
* Owning and evolving internal data pipelines that support analytics, operations, and end applications
* Enabling self\-service analytics and operational insights via semantic layers and tools (e.g. Metabase, Looker, Tableau, Power BI, etc…)
* Designing and maintaining integrations with external healthcare systems (EHRs, FHIR\-based APIs, HL7 interfaces, Slack, Google, etc.)
* Collaborating on the development and maintenance of our central Data Warehouse, ensuring clean schema, lineage, and query performance
* Collaborating with product, engineering, and client delivery teams to understand and translate customer domain knowledge into structured data solutions
* Building workflow automation to support care management, reporting, and operational tasks.
* Championing data quality, observability, and governance, especially in regulated healthcare environments in team
* Mentoring engineers and contribute to a culture of knowledge sharing, technical excellence, and continuous improvement
**What We’re Looking For**
* 8\+ years of experience in data engineering or similar roles
* Strong experience with modern data pipeline tools (e.g., Airflow, dbt, dlt, Dagster)
* Proficiency in SQL and Python (or equivalent data engineering languages)
* Experience integrating with EHRs or healthcare APIs (e.g., FHIR, HL7, SMART on FHIR).
* Experience working with HIPAA\-compliant data practices, security models, and systems (e.g. encryption, access controls, audit logging, data segregation, data retention, breach detection)
* Experience with data modeling and designing data warehouses (e.g., Snowflake, BigQuery, Redshift, or Postgres\-based solutions)
* Strong communication skills with the ability to work with both technical and non\-technical stakeholders
* Prior experience in client\-facing or consultative roles is a plus
**Nice to Have**
* Experience with healthcare data standards (LOINC, SNOMED, ICD\-10, etc.)
* Exposure to workflow engines, rule engines, or care coordination platforms
* Experience structuring data architecture for MLOps usecases
* Familiarity with infrastructure\-as\-code and cloud\-native tools (e.g., Terraform, AWS/GCP/Azure)
* Familiarity with container orchestration tools (e.g. Kubernetes, OpenShift)
* Background in building data platforms in high\-compliance environments
**Why You’ll Love Working with Us:**
* Engage with an exciting, fast\-growing, and diverse group of coworkers dedicated to improving lives by breaking down technology barriers.
* Work in a culturally rich environment that values diversity and inclusivity, ensuring a welcoming and supportive atmosphere for all employees
* Full medical, dental, vision and life insurance benefits
* 401K matching
* Company stock options
* Unlimited paid vacation
* Performance bonuses
* Company support for career and skill development
* Fun company events and outings
* Chorus is an equal opportunity employer with a commitment to diversity and inclusion
**Compensation Disclosure**
 The anticipated base salary for this position is $160,000 to $175,000 based on the Los Angeles market. The base salary offered may vary depending on several factors, including the applicant's qualifications, relevant experience, specific skills, level of education, certifications, and the geographic location where the role will be performed.
 Please note that the listed compensation details apply to the base salary only and do not include additional elements of the total compensation package, such as performance bonuses, stock options, or benefits. The final compensation package will be determined by evaluating the candidate’s qualifications in relation to market standards and internal pay equity.
 Chorus Innovations values diversity as a core principle of the work we do and the communities we serve. We are committed to equal employment opportunity, and we do not discriminate on the basis of race, color, religious creed, citizenship, marital status, age, national origin, ancestry, physical or mental disability, medical condition, genetic information, sex, sexual orientation, military and veteran status, gender, gender identity, gender expression, or any other protected characteristic.
**Disability Accommodation for Applicants to Chorus Innovations**
 At Chorus Innovations, we are committed to fostering an inclusive and accessible workplace environment for all individuals, including job applicants with disabilities. We recognize the value that individuals with diverse abilities bring to our organization and are dedicated to providing equal opportunities for all applicants.
 If you require accommodations at any stage of the job application process due to a disability, please inform us of your needs. We will do our best to work with you to ensure that reasonable accommodations are made to facilitate your participation in the recruitment process.
 Please note that accommodations will be provided in a manner that respects your privacy and confidentiality. Disclosing a disability or requesting accommodations will not affect your candidacy or opportunities for employment with Chorus Innovations.
 To request accommodations or discuss your needs further, please contact careers@joinchorus.com. We encourage you to reach out as early as possible to ensure that appropriate arrangements can be made.
 Thank you for considering Chorus Innovations as a potential employer. We look forward to the opportunity to work together and to creating an inclusive workplace where all individuals can thrive.</t>
        </is>
      </c>
    </row>
    <row r="143">
      <c r="A143" t="inlineStr">
        <is>
          <t>li-4358590565</t>
        </is>
      </c>
      <c r="B143" t="inlineStr">
        <is>
          <t>Data Engineer</t>
        </is>
      </c>
      <c r="C143" t="inlineStr">
        <is>
          <t>Interactive Resources - iR</t>
        </is>
      </c>
      <c r="D143" t="inlineStr">
        <is>
          <t>linkedin</t>
        </is>
      </c>
      <c r="E143">
        <f>HYPERLINK("https://www.linkedin.com/jobs/view/4358590565", "https://www.linkedin.com/jobs/view/4358590565")</f>
        <v/>
      </c>
      <c r="F143" t="inlineStr"/>
      <c r="G143" t="inlineStr"/>
      <c r="H143" t="inlineStr"/>
      <c r="I143" t="inlineStr">
        <is>
          <t>**Job Title:** 
 Data Analytics Engineer
**Location:** 
 Hybrid – On\-site 2 days per week in the Denver Metro Area
**Job Type:** 
 Permanent / Direct Hire
**Compensation:** 
 Up to $110,000 – $135,000 per year, depending on experience
**About the Role** 
 A growing national organization in the healthcare services sector is seeking a
 **Data Analytics Engineer** 
 to join its analytics team. This position sits within a collaborative data group that supports multiple business units through a shared services model, providing excellent opportunities for professional growth and cross\-functional impact.
 The ideal candidate is passionate about turning data into actionable insight, building scalable data models, and driving business decisions through high\-quality analytics solutions. You’ll work closely with other data professionals and key stakeholders to design infrastructure and reporting that fuel operational excellence across a broad, distributed enterprise.
**Key Responsibilities** 
* Design, develop, and maintain scalable data pipelines and ETL (Extract, Transform, Load) processes for large, diverse datasets.
* Collaborate with engineering, analytics, and business teams to define data requirements and translate them into effective technical solutions.
* Build and optimize data models to ensure efficient data storage, retrieval, and analysis.
* Implement and uphold data governance practices to ensure accuracy, consistency, and compliance across systems.
* Develop and maintain dashboards, reports, and data visualizations that deliver actionable insights to leadership teams.
* Aggregate and standardize data from systems such as EHRs, finance, marketing, and operational platforms into unified analytics models to support performance scorecards and decision\-making tools.
**Required Skills \&amp; Qualifications** 
* Bachelor’s degree in Data Analytics, Data Science, Computer Science, or a related field.
* 2\+ years of experience in a data or business analytics role.
* Strong proficiency in SQL and solid understanding of data modeling, ETL frameworks, and data warehousing concepts.
* Excellent communication skills with experience engaging both technical and non\-technical stakeholders.
* Proven ability to independently own projects from concept through delivery.
* Detail\-oriented and organized, with a commitment to maintaining thorough documentation.
**Preferred Skills** 
* Experience with cloud\-based data platforms such as Snowflake.
* Familiarity with data transformation tools like dbt, or a willingness to learn and implement them.
* Proficiency in data visualization tools such as Power BI or Tableau.
* Exposure to healthcare\-related datasets (e.g., claims or EHR data) and an understanding of compliance frameworks such as HIPAA.
* Working knowledge of Python for data manipulation or automation.
* Understanding of machine learning concepts and how they can be applied within analytics solutions.
* Experience working in an Agile development environment.
* Familiarity with version control tools such as Git.
**Additional Information** 
 This is a hybrid position requiring two on\-site days per week in the Denver metro area. The organization values proactive problem\-solvers who are both technically strong and business\-minded. You’ll join a team where collaboration, curiosity, and continual learning are encouraged.</t>
        </is>
      </c>
    </row>
    <row r="144">
      <c r="A144" t="inlineStr">
        <is>
          <t>li-4331527344</t>
        </is>
      </c>
      <c r="B144" t="inlineStr">
        <is>
          <t>Data Engineer</t>
        </is>
      </c>
      <c r="C144" t="inlineStr">
        <is>
          <t>Linde</t>
        </is>
      </c>
      <c r="D144" t="inlineStr">
        <is>
          <t>linkedin</t>
        </is>
      </c>
      <c r="E144">
        <f>HYPERLINK("https://www.linkedin.com/jobs/view/4331527344", "https://www.linkedin.com/jobs/view/4331527344")</f>
        <v/>
      </c>
      <c r="F144">
        <f>HYPERLINK("https://praxair.taleo.net/careersection/2/jobdetail.ftl?job=25001963&amp;src=LinkedIn&amp;urlHash=eMTd", "https://praxair.taleo.net/careersection/2/jobdetail.ftl?job=25001963&amp;src=LinkedIn&amp;urlHash=eMTd")</f>
        <v/>
      </c>
      <c r="G144" t="inlineStr">
        <is>
          <t>The Woodlands, TX</t>
        </is>
      </c>
      <c r="H144" t="inlineStr"/>
      <c r="I144" t="inlineStr">
        <is>
          <t>**Responsibility**
 In this position, you’ll convert large amounts of data into actionable insights in the LGUS Equipment Health Center (EHC). Together with rotating, electrical, and process experts, you will continuously improve advanced diagnostics and health analytical systems
**Purpose**
 The primary focus will be in developing scalable MS\-SQL, GE historian, Tableau\-based and Power BI applications building on existing or new code for data mining, statistical analysis, and prediction systems. With these applications, the EHC will continuously monitor and improve the reliability, efficiency, maintenance, total lifetime cost and safety of plant equipment.
**Principle Responsibilities**
* Lead, develop and manage Equipment Health Center KPIs.
* Analyze operational data from multiple sources and transform them into information by leveraging a variety of statistical techniques such as segmentation, regression, survival analysis, principal component analysis, scenario and sensitivity analysis, neural networks, and machine learning
* Create visualizations and/or interactive dashboards for displaying results to the EHC rotating and electrical experts using open\-source and commercially available visualization and dashboard tools.
* Work with discipline experts to develop and build predictive models \&amp; new predictive technologies.
* Cooperate closely with CoE software and tool developers on the further development of existing predictive technologies and the development of new ones.
* Work with regional reliability teams to set implementation goals of predictive technology tools, assist with tool implementation and track the progress.
* Collaborate with subject matter experts and productivity team to evaluate and track the benefits of predictive technologies.
* Research and prioritize AI use cases
* Coordinate external data service and development with providers
* Support EHC engineers and consultants in the process of extracting, transforming and loading data to ensure proper data delivery and data quality
* Conduct regular market research for efficient remote monitoring and data analytics methods to continuously improve EHC efficiency and effectiveness
* Build data storytelling tools for communication efforts
* Train/coach team members and peers and actively share expertise.
**Key Interfaces**
* Predictive technologies global experts (CoE)
* Rotating and electrical equipment specialists
* Data science and digital team peer groups
* Automation and operational technology specialists
* Regional reliability and maintenance peer groups
* Information technology team and cloud services.
* Linde productivity team
**Key Behaviors**
* Strong in interdisciplinary teamwork.
* Potential to act as a Change Manager and catalyst for changes.
* Demonstrated ability to challenge status quo and improve existing processes/programs
* Strong in implementation and organization
* Willingness to travel to production sites as needed.
**Desired Skills**
* Strong analytical and quantitative skills
* Experience with Microsoft tools and SharePoint development
* Excellent communication skills in English
* Strong technical aptitude with the ability to analyze data and interpret information
* Knowledge of predictive modeling, test design, and database querying
* Strong intellectual curiosity with a desire to continue learning, exploring, improving, and revising methods of data analysis
* Experience with VBA code or equivalent and SQL (MS/T\-SQL) including stored procedures, indexes, jobs, etc.
* Familiarity with data visualization tools (e.g. Tableau, D3, SSRS, Power BI etc.) is a plus
* Familiarity with scripting and data analysis programming languages (e.g. Python, R, etc.)
* Familiarity with plant\-wide industrial Historian (e.g. GE Proficy)
* Willingness to build knowledge of theory and operation of rotating and electrical equipment.
**Required Qualifications/Experience**
* Bachelor’s or master’s degree in computer science or engineering and 2\+ years of relevant work experience in a related field
* First\-hand experience in predictive technologies and tool development.
**About Linde**
 Linde is a leading global industrial gases and engineering company with 2024 sales of $33 billion. We live our mission of making our world more productive every day by providing high\-quality solutions, technologies and services which are making our customers more successful and helping to sustain and protect our planet.
**Culture**
 At Linde, we strive to create a work environment that treats all employees with respect, supports new thoughts and ideas, encourages growth and development, celebrates our differences, and embraces inclusion. Linde is committed to remaining an employer of choice for the diverse, ever\-increasing pool of global talent.
 For more information about the company and its products and services, please visit www.linde.com.
**Benefits**
 Linde Gases US offers competitive compensation and an outstanding benefits package. Enjoy access to health, dental, disability, and life insurance, paid holidays and vacation, 401(k) matching, pension benefits, an employee discount program, and opportunities for educational and professional growth. Additional compensation may vary depending on the position and organizational level. Build your future with us while making an impact every day!
*All qualified applicants will receive consideration for employment without regard to race, color, religion, sex, national origin, age, disability, protected veteran status, pregnancy, sexual orientation, gender identity or expression, or any other reason prohibited by applicable law.*
**Primary Location**
 Texas\-The Woodlands
**Schedule**
 Full\-time
**Job**
 Engineering
**Unposting Date**
 Ongoing</t>
        </is>
      </c>
    </row>
    <row r="145">
      <c r="A145" t="inlineStr">
        <is>
          <t>li-4352265322</t>
        </is>
      </c>
      <c r="B145" t="inlineStr">
        <is>
          <t>Data Engineer, Security Products</t>
        </is>
      </c>
      <c r="C145" t="inlineStr">
        <is>
          <t>OpenAI</t>
        </is>
      </c>
      <c r="D145" t="inlineStr">
        <is>
          <t>linkedin</t>
        </is>
      </c>
      <c r="E145">
        <f>HYPERLINK("https://www.linkedin.com/jobs/view/4352265322", "https://www.linkedin.com/jobs/view/4352265322")</f>
        <v/>
      </c>
      <c r="F145">
        <f>HYPERLINK("https://jobs.ashbyhq.com/openai/a6fa0dda-b09f-48cd-98d0-7b82de26ecb3?utm_source=8lvZy0eqYJ&amp;urlHash=2jbp", "https://jobs.ashbyhq.com/openai/a6fa0dda-b09f-48cd-98d0-7b82de26ecb3?utm_source=8lvZy0eqYJ&amp;urlHash=2jbp")</f>
        <v/>
      </c>
      <c r="G145" t="inlineStr">
        <is>
          <t>San Francisco, CA</t>
        </is>
      </c>
      <c r="H145" t="inlineStr"/>
      <c r="I145" t="inlineStr">
        <is>
          <t>**About The Team**
 Security Products is on a mission to transform cybersecurity by leveraging AI to give defenders a decisive advantage.
 Born out of OpenAI’s security research program and incubated with Sam Altman’s encouragement, the Security Products team is taking the breakthroughs we’ve developed internally and bringing them to the world. Our tools are already protecting OpenAI’s own systems, and we’re looking to scale their impact to the world.
 We are a lean, high\-caliber team
 **operating at the frontier of AI and security** 
 . We blend security research with product engineering to explore what’s possible, build what’s practical, and give defenders an unprecedented advantage – all while advancing the science of AI\-driven security itself.
**About The Role**
 As a Data Engineer on this team, you’ll help invent and build the next generation of AI\-powered cybersecurity products. You’ll take the lead in building our data pipelines, core tables, and analytics to ensure our products are robust, reliable, and impactful.
 This is a fast\-moving, high\-ownership role. You’ll collaborate closely with security experts, AI researchers, and product engineers, shaping both the technical foundation and the product direction of a team that is scaling quickly. You don’t need to be a security expert to succeed here – just someone excited to solve meaningful problems and build tools that materially improve defenders’ capabilities.
**What You’ll Do**
* Design, build and manage our data pipelines, ensuring all user event data is seamlessly integrated into our data warehouse.
* Develop canonical datasets to track key product insights including security outcomes, engagement and usage, and performance.
* Work directly with internal and external customers to deeply understand their workflows and translate them into intuitive, powerful product experiences.
* Work collaboratively with cross\-functional partners, including Infrastructure, Data Science, Product, Marketing, Go\-To\-Market, and Research to solve problems and enable product success.
* Implement robust and fault\-tolerant systems for data ingestion and processing.
* Participate in data architecture and engineering decisions, bringing your strong experience and knowledge to bear.
* Ensure the security, integrity, and compliance of data according to industry and company standards.
* Help shape the engineering culture, architecture, and processes of a new business unit with a critical mission.
**What We’re Looking For**
* Have 3\+ years of experience as a data engineer and 8\+ years of any software engineering experience (including data engineering).
* Proficiency in at least one programming language commonly used within Data Engineering, such as Python, Scala, or Java.
* Familiarity with public cloud environments (Azure or AWS) and infrastructure tooling (Kubernetes, Terraform, etc.).
* Experience with distributed processing technologies and frameworks, such as Hadoop, Flink and distributed storage systems (e.g., HDFS, S3\).
* Expertise with any of ETL schedulers such as Airflow, Dagster, Prefect or similar frameworks.
* Solid understanding of Spark and ability to write, debug and optimize Spark code.
* Ability to thrive in a fast\-paced environment where problems may be ambiguous, emerging, or rapidly evolving.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46">
      <c r="A146" t="inlineStr">
        <is>
          <t>li-4352460011</t>
        </is>
      </c>
      <c r="B146" t="inlineStr">
        <is>
          <t>Data Engineer Entry Level</t>
        </is>
      </c>
      <c r="C146" t="inlineStr">
        <is>
          <t>USAA</t>
        </is>
      </c>
      <c r="D146" t="inlineStr">
        <is>
          <t>linkedin</t>
        </is>
      </c>
      <c r="E146">
        <f>HYPERLINK("https://www.linkedin.com/jobs/view/4352460011", "https://www.linkedin.com/jobs/view/4352460011")</f>
        <v/>
      </c>
      <c r="F146">
        <f>HYPERLINK("https://dsp.prng.co/HfYQS5b&amp;urlHash=ABuV", "https://dsp.prng.co/HfYQS5b&amp;urlHash=ABuV")</f>
        <v/>
      </c>
      <c r="G146" t="inlineStr">
        <is>
          <t>San Antonio, TX</t>
        </is>
      </c>
      <c r="H146" t="inlineStr"/>
      <c r="I146"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USAA is seeking a motivated entry level Data Engineer to join the team. In this entry\-level position, you will play a vital role in developing and supporting data\-driven solutions for Data Governance reporting and analytics, focusing on areas such as data management, data quality, and standards adherence. In this role, you will develop and support data pipelines and ETL processes and contribute to the design and implementation of data warehousing solutions. In addition to these core tasks, you will get the opportunity to write and complete SQL queries for data extraction, transformation, and loading. In this role, you will collaborate with data analysts and stakeholders to understand data requirements and deliver effective solutions.
 We offer a flexible work environment that requires an individual to be
 **in the office 4 days per week.** 
 This position will be based in San Antonio, TX. Relocation assistance is
 **not** 
 available for this position.
**What You'll Do**
* Assists in the full life cycle of data engineering to include analysis, solution design, data pipeline engineering, testing, deployment, scheduling, and production support.
* May assist in the implementation of technical solutions for data engineering and analytic systems.
* Executes tests scripts and may begin to deploy data pipeline code with assistance from senior team members.
* Monitors the execution of data pipelines in the production environment. May begin to troubleshoot and return failures to service. Escalates failures through proper channels to ensure timely resolution.
* Participates in design and code review sessions.
* Actively participates in Agile ceremonies such as daily standup, iteration planning, backlog grooming, and retrospective sessions.
* Develops basic familiarity of data management best practices by participating in trainings, reviewing documentation, and reading code from existing solutions.
* Develops knowledge and understanding of business products and processes.
* Builds on data management principles and methodologies to include new and emerging related technologies.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OR Approved certification from CodeUp, Galvanize, VetFIT (Veterans for IT) or eFIT (Employees for IT)
* Up to 2 years of data engineering, data analysis or software development experience implementing data solutions.
* Basic understanding of one or more of the following: SQL, Relational Databases, Python, UNIX, UNIX Shell Scripting (Bash), Cloud Data Engineering (AWS/GCP), Cloud Data Warehousing (Snowflake, Redshift), Control\-M, ETL Tools (Datastage, Informatica, DBT), Big Data Technologies (Hadoop Stack).
* Basic understanding of Agile methodology practices.
* Analytical and problem\-solving skills.
* Familiarity of Cloud technologies and tools.
**What Sets You Apart**
* Successfully completed the USAA IT Internship in 2024 or 2025
* Experience with Structured Query Language (SQL) on Relational Databases
* Experience with Python or UNIX Shell Scripting
* Knowledge of Data Warehousing or Data Mart concepts
* Knowledge of Cloud database technologies such as Snowflake, Redshift, BigQuery, PostgreSQL
* Familiarity with data management and governance practices
**Compensation range:** 
 The salary range for this position is $69,920\.00\-$125,850\.00
**USAA does not provide visa sponsorship for this role. Please do not apply for this role if at any time (now or in the future) you will need immigration support (i.e., H\-1B, TN, STEM OPT Training Plans, etc.).**
 USAA views its internship program as a pipeline to possible future employment. This is based on an individual’s graduation date, performance, role qualifications, and business need. To be considered for possible future employment opportunities interns must meet the full\-time work eligibility requirements for any given role. Thus, interns should ensure their sponsorship status and other provided information is accurately reflected on their intern application. Inadequate completion of your application may render you ineligible for further consideration in the hiring process.
**Compensation:** 
 USAA has an effective process for assessing market data and establishing ranges to ensure we remain competitive. You are paid within the hourly range based on your experience and market data of the position. The actual hourly rate for this role may vary by location.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Interns may not be eligible for all benefits, for more details on our outstanding benefits, please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147">
      <c r="A147" t="inlineStr">
        <is>
          <t>li-4352431345</t>
        </is>
      </c>
      <c r="B147" t="inlineStr">
        <is>
          <t>Data Platform Engineer</t>
        </is>
      </c>
      <c r="C147" t="inlineStr">
        <is>
          <t>Saragossa</t>
        </is>
      </c>
      <c r="D147" t="inlineStr">
        <is>
          <t>linkedin</t>
        </is>
      </c>
      <c r="E147">
        <f>HYPERLINK("https://www.linkedin.com/jobs/view/4352431345", "https://www.linkedin.com/jobs/view/4352431345")</f>
        <v/>
      </c>
      <c r="F147" t="inlineStr"/>
      <c r="G147" t="inlineStr"/>
      <c r="H147" t="inlineStr"/>
      <c r="I147" t="inlineStr">
        <is>
          <t>Data Platform Engineer at Global Asset Management firm
 Location: Midtown Manhattan or Greenwich, CT (Based in
 **either office location** 
 , with periodic travel between both)
 Schedule:
 **4 days per week in\-office** 
 , with
 **Friday WFH** 
 A leading
 **Global Asset Management Firm** 
 is seeking a Data Platform Engineer to help build a modern, enterprise data platform from the ground up. This is a high\-impact opportunity to be the
 **first permanent data hire** 
 under a new Head of Data, shaping how data is used across the business from day one.
**What you’ll bring:** 
 • Deep, hands\-on expertise with
 **Snowflake** 
 (architecture, performance tuning, and advanced platform features)
 • Strong
 **SQL and analytical** 
 skills
 • Buy\-side financial services experience
 • Experience integrating with platforms such as
 **Aladdin, eFront, Sentry** 
 , or similar investment systems
 • Experience building and supporting
 **data pipelines and integrations** 
 • Background in
 **private credit, loans** 
 , or broader asset management (PE, RE, hedge funds)
 • Understanding of
 **data quality, governance, and operational data flows** 
 • Proven ability to work closely with
 **business and technical stakeholders** 
 in fast\-paced environments
 If you’re excited about building a modern data platform with real ownership and impact \- or know someone who would be,
 **DM me** 
 📊🚀</t>
        </is>
      </c>
    </row>
    <row r="148">
      <c r="A148" t="inlineStr">
        <is>
          <t>li-4352431229</t>
        </is>
      </c>
      <c r="B148" t="inlineStr">
        <is>
          <t>Associate Data &amp; Analytics Engineer</t>
        </is>
      </c>
      <c r="C148" t="inlineStr">
        <is>
          <t>Decera Clinical</t>
        </is>
      </c>
      <c r="D148" t="inlineStr">
        <is>
          <t>linkedin</t>
        </is>
      </c>
      <c r="E148">
        <f>HYPERLINK("https://www.linkedin.com/jobs/view/4352431229", "https://www.linkedin.com/jobs/view/4352431229")</f>
        <v/>
      </c>
      <c r="F148" t="inlineStr"/>
      <c r="G148" t="inlineStr"/>
      <c r="H148" t="inlineStr"/>
      <c r="I148" t="inlineStr">
        <is>
          <t>Decera Clinical helps life sciences companies accelerate HCP adoption of breakthrough therapies through three divisions: Accredited Medical Education, HCP Insights, and Medical Communications. As the Scientific Activation™ company, Decera Clinical supports pharmaceutical and biotech partners in engaging HCPs with clear, credible information that strengthens clinical understanding and decision\-making. With more than twenty years of experience across major therapeutic areas, Decera Clinical delivers trusted scientific engagement that helps HCPs move from evidence to action. To learn more, visit deceraclinical.com.
 Our Data \&amp; Analytics team plays a critical role in this transformation by building the pipelines, platforms, and insights that power intelligent decision\-making and measurable impact across healthcare and education.
 We are seeking an
 **Associate Data \&amp; Analytics Engineer** 
 to join our growing data team. This is a hands\-on, cross\-functional, and learning\-oriented role that bridges data engineering, analytics, visualization, and emerging AI technologies.
 As an Associate Data \&amp; Analytics Engineer, you’ll help design, build, and maintain data pipelines and analytics systems that support our AI\-driven healthcare and education initiatives. You’ll work across the full data lifecycle — from ingestion and transformation to visualization and delivery — enabling actionable insights that shape better patient outcomes and learner experiences.
 This role is ideal for someone with 1–3 years of experience (or equivalent academic background) who’s eager to grow within a mission\-driven organization at the intersection of healthcare, data, and technology.
**Key Responsibilities**
 Data Engineering
* Support the design, development, and maintenance of data pipelines and integrations (e.g., using Databricks, SQL, or Python).
* Transform raw data into clean, analytics\-ready datasets following best practices for quality and performance.
* Identify, investigate, and resolve data anomalies or quality issues in coordination with business and engineering teams.
 Analytics \&amp; Ad Hoc Reporting
* Conduct exploratory analyses and create ad hoc or manual reports to support business questions and urgent needs.
* Partner with stakeholders to interpret findings and translate data into actionable insights.
* Maintain consistent documentation of data definitions, logic, and reporting standards.
 Visualization \&amp; Data Applications
* Build and maintain interactive dashboards and visualizations in Power BI, Databricks Dashboards, or custom Data Apps.
* Collaborate with stakeholders to define KPIs and ensure visualizations align with business goals.
* Support the rollout and improvement of data applications that make analytics more accessible across the organization.
 AI \&amp; Advanced Analytics Exploration
* Participate in exploratory projects using AI, ML, or LLM tools to enhance data workflows and automate insights.
* Assist with the development and evaluation of predictive models under senior guidance.
* Research emerging tools and methods that can improve analytics efficiency and scalability.
 Collaboration \&amp; Growth
* Work closely with data engineers, scientists, and business teams to understand systems and improve processes.
* Document workflows, share knowledge, and contribute to a culture of continuous improvement.
* Take initiative to develop technical and business domain expertise over time.
**Qualifications**
 Required
* Bachelor’s degree in Data Science, Computer Science, Statistics, Engineering, or a related field.
* 1–3 years of professional or academic experience in analytics, data engineering, or data visualization.
* Proficiency in SQL and basic familiarity with Python or PySpark.
* Hands\-on experience with Power BI, Databricks, or similar BI and data platforms.
* Strong analytical and troubleshooting skills, with attention to detail and data accuracy.
* Ability to communicate findings clearly to both technical and non\-technical audiences.
**Preferred**
* Experience with cloud data platforms (Azure, AWS, or GCP).
* Familiarity with ETL/ELT processes and data modeling (e.g., star schema, medallion architecture).
* Basic understanding of APIs, version control (Git), and CI/CD workflows.
* Exposure to AI/ML concepts or interest in exploring their practical use in analytics.
 Decera Clinical and its subsidiaries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non\-merit factor.</t>
        </is>
      </c>
    </row>
    <row r="149">
      <c r="A149" t="inlineStr">
        <is>
          <t>li-4359931435</t>
        </is>
      </c>
      <c r="B149" t="inlineStr">
        <is>
          <t>Senior Analytics Engineer</t>
        </is>
      </c>
      <c r="C149" t="inlineStr">
        <is>
          <t>Builder.io</t>
        </is>
      </c>
      <c r="D149" t="inlineStr">
        <is>
          <t>linkedin</t>
        </is>
      </c>
      <c r="E149">
        <f>HYPERLINK("https://www.linkedin.com/jobs/view/4359931435", "https://www.linkedin.com/jobs/view/4359931435")</f>
        <v/>
      </c>
      <c r="F149" t="inlineStr"/>
      <c r="G149" t="inlineStr">
        <is>
          <t>San Francisco, CA</t>
        </is>
      </c>
      <c r="H149" t="inlineStr"/>
      <c r="I149" t="inlineStr">
        <is>
          <t>**About the Role**
 We are looking for a builder who speaks the language of business. We need a
 **Senior Analytics Engineer** 
 to own the data architecture and modeling that powers our Finance, RevOps, and Executive decision\-making.
 In this role, you will sit at the intersection of Data Engineering and Business Intelligence. You won't just be moving data from point A to point B; you will be responsible for designing the "logic layer" of our business. You will work directly with stakeholders to understand business problems and engineer the systems that make that data accurate, accessible, and reliable. You understand that a "churn" metric isn't just a number; it's a specific business definition that needs to be modeled accurately and exposed seamlessly in internal customer facing BI tools like Sigma for stakeholders.
**As a Senior Analytics Engineer you will be responsible for…**
**Data Modeling \&amp; Systems Design**
* Own the design and maintenance of our Data Warehouse.
* Build clean, performant, and reliable data models (using SQL and dbt) that serve as the "single source of truth" for the company.
* Design the data architecture specifically for high\-stakes domains: Finance and Revenue Operations. You will ensure that the numbers reported to the board match the numbers in our BI tools.
**ETL \&amp; Pipeline Management**
* Manage and optimize data pipelines (ETL/ELT) to ingest data from business and product applications into our warehouse.
* Debug data failures and implement automated testing to catch data quality issues before they reach the dashboard.
**The "Business\-to\-Data" Translation**
* Act as the technical partner to the Finance and RevOps teams. You will attend their meetings, understand their strategic goals, and translate their requirements into technical specifications.
* Proactively identify gaps in our data collection strategies and work with Engineering/Product to ensure we are capturing the right data upstream.
**You will thrive in this role if...**
* **You are a hybrid:** 
 You might have started as a Data Analyst and grew tired of messy data, so you learned engineering. Or, you are a Data Engineer who cares more about how the data is used than the infrastructure it runs on.
* **You are a "Full\-Stack" Analyst:** 
 You are comfortable writing complex SQL, but you also understand software engineering principles like version control, CI/CD, and reusable code.
* **You value context:** 
 You don't just write a query; you ask, "Why are we measuring this?" and "How does this definition of 'Active User' impact our revenue reporting?"
* **You are a distinct communicator:** 
 You can explain a schema change to a Head of Finance and a business metric to a Backend Engineer.
**Requirements**
* **5\+ Years of experience:** 
 You have gotten your hands dirty working with engineering and GTM teams solving real cross functional data problems.
* **Advanced SQL:** 
 You can write complex, highly optimized SQL queries and are comfortable with window functions, CTEs, and query tuning.
* **Pipeline Tools:** 
 Experience with modern transformation tools (specifically dbt) and ingestion tools.
* **Scripting Language knowledge:** 
 Proficiency in Javascript / Python for scripting, automation and systems building.
* **Business Acumen:** 
 Experience working with corporate data (CRM, ERP, Billing systems) is highly preferred. You understand the difference between "Bookings" and "Revenue."
* **Cloud Native:** 
 You are familiar with the Google Cloud or other cloud ecosystems and understand how to use the systems available to you to solve problems.
 The items above are a starting point for a conversation, not a hard list of requirements. If this role excites you, we hope you will apply!
 The base salary range for this role is $170,000 \- $190,000 USD. This role is also eligible for meaningful company equity and benefits.
 This position is fully remote and open to candidates in multiple locations. Compensation may vary by country and local market and will be discussed early in the interview process. Final offer amounts are determined based on experience, role\-related knowledge, skills, and abilities.
**What Builder.io offers you:**
* **Unlimited time off.** 
 3 weeks is the minimum that we will ask you to take each year
* **Mental health days.** 
 We encourage you to take at least one per quarter to recharge
* **Paid parental leave.** 
 12 weeks of full pay for the birth and care of a newborn child, or for the placement of a child for adoption or foster care
* **$500 home office improvement budget.** 
 Help get what you need to be comfortable working in a digital\-first environment
* **$500 annual learning \&amp; development budget.** 
 Feel supported and empowered to continue developing your skills
* **Co\-working space reimbursement.** 
 Work from any WeWork at anytime with an All Access pass, or reimburse up to $300/month at another local co\-working space
* **Health Insurance.** 
 100% employer\-paid premiums for medical, dental, and vision insurance for employees, and 50% covered for eligible dependents
* **Additional Insurance.** 
 Depending on location, Builder covers your life insurance, short\- and long\-term disability, and you'll have access to supplemental benefits like accident and critical illness insurance
* **401k (for US based team members).** 
 Contribute to your financial future
* **Real equity.** 
 We have a four year vesting schedule with a one year cliff. We also have a ten (10!!) year exercise window 🤯 (yeah, we're pretty stoked about it!)
**About Builder.io:**
 Builder.io is pioneering the space between design and development, creating a new category of Visual Development Platform that transforms how teams build digital products.
 Our Visual Copilot technology bridges the gap between Figma designs and production code, enabling teams to build interactive features using natural language while working with their actual code, data, and APIs. Alongside our code generation capabilities, our CMS empowers organizations to skip code generation altogether and publish updates to any live site or app in a couple clicks.
 Trusted by leading mid\-market to enterprise\-level companies like JCrew, Vimeo, and Anheuser Busch, we're focused on eliminating the traditional bottlenecks between design, development, and content management.
*Builder.io is committed to growing an inclusive and diverse team. We are an equal opportunity employer. We do not discriminate based on race, ethnicity, color, ancestry, national origin, religion, sex, sexual orientation, gender identity, age, disability, veteran, genetic information, marital status or any other legally protected status.*</t>
        </is>
      </c>
    </row>
    <row r="150">
      <c r="A150" t="inlineStr">
        <is>
          <t>li-4306628623</t>
        </is>
      </c>
      <c r="B150" t="inlineStr">
        <is>
          <t>Sr. Data Engineer - Fintech Leader (Series D)</t>
        </is>
      </c>
      <c r="C150" t="inlineStr">
        <is>
          <t>Andiamo</t>
        </is>
      </c>
      <c r="D150" t="inlineStr">
        <is>
          <t>linkedin</t>
        </is>
      </c>
      <c r="E150">
        <f>HYPERLINK("https://www.linkedin.com/jobs/view/4306628623", "https://www.linkedin.com/jobs/view/4306628623")</f>
        <v/>
      </c>
      <c r="F150" t="inlineStr"/>
      <c r="G150" t="inlineStr">
        <is>
          <t>Boston, MA</t>
        </is>
      </c>
      <c r="H150" t="inlineStr"/>
      <c r="I150" t="inlineStr">
        <is>
          <t>Senior Data Engineer \- Fintech (Series D)
**About The Role**
 We are seeking a
 **Senior Data Engineer** 
 to help design and scale the data infrastructure powering a $200M Series D fintech firm. Our mission is to deliver secure, reliable, and intelligent financial technology products that serve customers globally. As a Senior Data Engineer, you’ll play a key role in building data systems that handle sensitive financial data, drive real\-time decisioning, and enable analytics across the organization.
 You’ll work closely with product managers, compliance experts, and engineering teams to ensure our data platforms not only scale with rapid growth but also meet the highest standards of accuracy, governance, and security. This is a hands\-on role with direct impact on how we manage, analyze, and deliver data across high\-value fintech applications.
 What You’ll Do
* Architect Scalable Pipelines: Build and optimize ETL/ELT workflows and real\-time streaming systems that power financial products and compliance reporting.
* Ensure Data Quality: Implement validation, lineage tracking, and governance practices to guarantee trustworthy financial datasets.
* Integrate Across Systems: Design data flows connecting payment processors, banking APIs, risk systems, and analytics platforms.
* Collaborate Cross\-Functionally: Work with risk, compliance, and product teams to deliver data solutions that satisfy regulatory and business requirements.
* Enable Advanced Analytics: Support data science and BI teams with reliable, structured, and high\-performance datasets.
* Drive Observability: Implement monitoring and alerting for data pipelines to ensure transparency and reliability in production.
* Mentor \&amp; Guide: Share best practices in data engineering with peers and contribute to shaping engineering culture in a scaling fintech environment.
 What We’re Looking For
* Professional Experience: 5\-8 years in data engineering, ideally within fintech, banking, or other regulated industries.
* Programming Skills: Expertise in Python or Scala, with strong SQL experience.
* Data Platforms: Hands\-on experience with modern warehouses (Snowflake, BigQuery, or Redshift) and data lakes.
* Streaming \&amp; Orchestration: Knowledge of Kafka, Spark, Flink, Airflow, dbt, or similar frameworks.
* Cloud Expertise: Proficiency with AWS, GCP, or Azure, including security and compliance tooling.
* Financial Data Understanding: Familiarity with transaction data, payments, or risk modeling systems is strongly preferred.
* Governance \&amp; Security: Experience with data privacy, encryption, and regulatory compliance (SOC 2, PCI, GDPR, etc.).
* Education: Bachelor’s or Master’s in Computer Science, Engineering, or related quantitative field.
 Why Join
 This is your opportunity to join a Series D fintech firm at an inflection point—scaling rapidly while redefining how financial services are built and delivered. As Senior Data Engineer, you’ll shape the systems that process sensitive financial data, ensure compliance at scale, and enable products trusted by customers worldwide. You’ll work with cutting\-edge technologies, a high\-performing team, and have the ability to leave a lasting mark on the fintech industry.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51">
      <c r="A151" t="inlineStr">
        <is>
          <t>li-4352403151</t>
        </is>
      </c>
      <c r="B151" t="inlineStr">
        <is>
          <t>Quant Data Engineer/Scientist : Alternative Data : Quant Trading : $300-400k+</t>
        </is>
      </c>
      <c r="C151" t="inlineStr">
        <is>
          <t>Hunter Bond</t>
        </is>
      </c>
      <c r="D151" t="inlineStr">
        <is>
          <t>linkedin</t>
        </is>
      </c>
      <c r="E151">
        <f>HYPERLINK("https://www.linkedin.com/jobs/view/4352403151", "https://www.linkedin.com/jobs/view/4352403151")</f>
        <v/>
      </c>
      <c r="F151" t="inlineStr"/>
      <c r="G151" t="inlineStr">
        <is>
          <t>Miami, FL</t>
        </is>
      </c>
      <c r="H151" t="inlineStr"/>
      <c r="I151" t="inlineStr">
        <is>
          <t>We are working with a fast\-growing quantitative investment fund at an early but well\-capitalised stage, looking to hire a Quant Data Engineer/Scientist to help build and scale their data platform supporting systematic equity and futures strategies.
 This is a highly technical role sitting close to the investment process, offering real ownership over market data infrastructure used in both research and live trading.
 As a Quant Developer / Data Engineer, you will play a key role in the acquisition, ingestion, and processing of large\-scale financial datasets. You’ll work closely with quantitative researchers to ensure data is robust, clean, and production\-ready.
 Key responsibilities include:
* Designing and maintaining data pipelines for market and alternative data
* Supporting historical backtesting and production deployment across equities and futures
* Managing data quality, validation, and versioning
* Optimising storage and retrieval for research and live systems
* Contributing to scalable, low\-latency infrastructure in a startup environment
 We’re looking for candidates with a strong background in financial data engineering, ideally within systematic trading or quant research environments.
 You should have experience with:
* Equity statistical arbitrage datasets, including core market data (Bloomberg, Refinitv, FactSet)
* Working with alternative datasets (e.g. fundamentals, events, sentiment, signals)
* Large\-scale time series data and cross\-sectional datasets
* Building data systems that support both research and production workflows
 Technical Skills
* Strong programming skills (Python essential; C\+\+/Java a plus)
* Experience with databases, data lakes, or columnar storage
* Familiarity with cloud\-based or distributed systems
* Solid understanding of market data structures for equities and futures
 Why Join?
* Start\-up culture with genuine roadmap to $1billion AUM
* Equity on offer alongside excellent base plus bonus
* Machine learning is core to the investment process, not an overlay
* Exposure to multiple asset classes within a unified research framework
* Opportunity to influence model design, data architecture and research standards</t>
        </is>
      </c>
    </row>
    <row r="152">
      <c r="A152" t="inlineStr">
        <is>
          <t>li-4352412089</t>
        </is>
      </c>
      <c r="B152" t="inlineStr">
        <is>
          <t>Quant Data Engineer/Scientist : Alternative Data : Quant Trading : $300-400k+</t>
        </is>
      </c>
      <c r="C152" t="inlineStr">
        <is>
          <t>Hunter Bond</t>
        </is>
      </c>
      <c r="D152" t="inlineStr">
        <is>
          <t>linkedin</t>
        </is>
      </c>
      <c r="E152">
        <f>HYPERLINK("https://www.linkedin.com/jobs/view/4352412089", "https://www.linkedin.com/jobs/view/4352412089")</f>
        <v/>
      </c>
      <c r="F152" t="inlineStr"/>
      <c r="G152" t="inlineStr">
        <is>
          <t>Connecticut, United States</t>
        </is>
      </c>
      <c r="H152" t="inlineStr"/>
      <c r="I152" t="inlineStr">
        <is>
          <t>We are working with a fast\-growing quantitative investment fund at an early but well\-capitalised stage, looking to hire a Quant Data Engineer/Scientist to help build and scale their data platform supporting systematic equity and futures strategies.
 This is a highly technical role sitting close to the investment process, offering real ownership over market data infrastructure used in both research and live trading.
 As a Quant Data Engineer, you will play a key role in the acquisition, ingestion, and processing of large\-scale financial datasets. You’ll work closely with quantitative researchers to ensure data is robust, clean, and production\-ready.
 Key responsibilities include:
* Designing and maintaining data pipelines for market and alternative data
* Supporting historical backtesting and production deployment across equities and futures
* Managing data quality, validation, and versioning
* Optimising storage and retrieval for research and live systems
* Contributing to scalable, low\-latency infrastructure in a startup environment
 We’re looking for candidates with a strong background in financial data engineering, ideally within systematic trading or quant research environments.
 You should have experience with:
* Equity statistical arbitrage datasets, including core market data (Bloomberg, Refinitv, FactSet)
* Working with alternative datasets (e.g. fundamentals, events, sentiment, signals)
* Large\-scale time series data and cross\-sectional datasets
* Building data systems that support both research and production workflows
 Technical Skills
* Strong programming skills (Python essential; C\+\+/Java a plus)
* Experience with databases, data lakes, or columnar storage
* Familiarity with cloud\-based or distributed systems
* Solid understanding of market data structures for equities and futures
 Why Join?
* Start\-up culture with genuine roadmap to $1billion AUM
* Equity on offer alongside excellent base plus bonus
* Machine learning is core to the investment process, not an overlay
* Exposure to multiple asset classes within a unified research framework
* Opportunity to influence model design, data architecture and research standards</t>
        </is>
      </c>
    </row>
    <row r="153">
      <c r="A153" t="inlineStr">
        <is>
          <t>li-4332245965</t>
        </is>
      </c>
      <c r="B153" t="inlineStr">
        <is>
          <t>Data Engineer</t>
        </is>
      </c>
      <c r="C153" t="inlineStr">
        <is>
          <t>Insight Global</t>
        </is>
      </c>
      <c r="D153" t="inlineStr">
        <is>
          <t>linkedin</t>
        </is>
      </c>
      <c r="E153">
        <f>HYPERLINK("https://www.linkedin.com/jobs/view/4332245965", "https://www.linkedin.com/jobs/view/4332245965")</f>
        <v/>
      </c>
      <c r="F153" t="inlineStr"/>
      <c r="G153" t="inlineStr">
        <is>
          <t>Santa Clara, CA</t>
        </is>
      </c>
      <c r="H153" t="inlineStr"/>
      <c r="I153" t="inlineStr">
        <is>
          <t>**Data Engineer \- Permanent Opportunity** 
**Location:** 
 Onsite – Santa Clara, CA
**Salary Range:** 
 $150,000 – $220,000
**About the Role** 
 We are seeking a highly skilled
 **Data Engineer** 
 to design, build, and maintain production\-grade data pipelines that process and transform massive datasets. In this role, you will work closely with data scientists and software engineers to ensure our data infrastructure is scalable, reliable, and cost\-efficient. Candidates with experience in cybersecurity or secure data practices are strongly preferred, as our projects focus on building pipelines for AI/ML\-driven threat detection and data loss prevention.
**What You’ll Do** 
* You will architect and deploy batch and streaming pipelines using
 **Apache Airflow** 
 and containerized workflows for cybersecurity use cases. Your work will involve containerizing data\-processing jobs with
 **Docker** 
 , orchestrating with
 **Kubernetes** 
 , and managing releases through
 **Helm charts** 
 .
* You’ll build high\-throughput data transformations using
 **Dask** 
 or
 **Apache Spark** 
 , maintain hybrid clusters across on\-prem and cloud environments, and optimize training jobs for performance and cost.
* Reliability is key—you’ll implement observability tools for logging, metrics, and alerting, troubleshoot production issues, and ensure SLA compliance. Collaboration is central to this role, as you’ll partner with cross\-functional teams to define data contracts, schemas, and enforce best practices like CI/CD, automated testing, and documentation.
* Finally, you’ll design and maintain data models and schemas for AI/ML continuous training workflows, ensuring efficient ingestion and storage in cloud environments.
**What We’re Looking For** 
* 3–5 years of experience designing and operating large\-scale production data pipelines.
* Strong proficiency in
 **Python** 
 for data engineering tasks.
* Expertise in
 **containerization and orchestration** 
 using Docker, Kubernetes, and Helm.
* Hands\-on experience with
 **Apache Airflow** 
 for workflow management.
* Practical experience with distributed frameworks like
 **Dask** 
 or
 **Apache Spark** 
 .
* Familiarity with deploying and managing services in cloud environments.
* Ability to write data services in
 **Go** 
 or
 **Rust** 
 .
* Hands\-on experience with
 **Google Cloud Platform** 
 (Pub/Sub, BigQuery, Cloud Storage, GKE) or equivalent experience with AWS/Azure.
* Exposure to ML pipelines and frameworks such as
 **Ray** 
 .
* Knowledge of
 **Infrastructure as Code** 
 tools like Terraform.
* Understanding of
 **data governance, encryption, and role\-based access control** 
 .
**Preferred:** 
 Background in cybersecurity or secure data engineering practices.
**Nice\-to\-Have** 
* Experience with Go programming language, acceleration frameworks like RAPIDS or Spark, multiple cloud platforms (AWS, GCP, Azure), and familiarity with data version control and MLOps practices.
**Current Focus** 
 You’ll be working on ingesting and processing massive volumes of data to support AI/ML models for cybersecurity threat detection and data loss prevention. This includes maintaining multiple complex pipelines and ensuring they scale effectively.</t>
        </is>
      </c>
    </row>
    <row r="154">
      <c r="A154" t="inlineStr">
        <is>
          <t>li-4332224934</t>
        </is>
      </c>
      <c r="B154" t="inlineStr">
        <is>
          <t>Data Engineer Lead with AWS</t>
        </is>
      </c>
      <c r="C154" t="inlineStr">
        <is>
          <t>Coforge</t>
        </is>
      </c>
      <c r="D154" t="inlineStr">
        <is>
          <t>linkedin</t>
        </is>
      </c>
      <c r="E154">
        <f>HYPERLINK("https://www.linkedin.com/jobs/view/4332224934", "https://www.linkedin.com/jobs/view/4332224934")</f>
        <v/>
      </c>
      <c r="F154" t="inlineStr"/>
      <c r="G154" t="inlineStr">
        <is>
          <t>Fort Mill, SC</t>
        </is>
      </c>
      <c r="H154" t="inlineStr"/>
      <c r="I154" t="inlineStr">
        <is>
          <t>**Role: Data Engineer Lead with AWS** 
**Location: Fort Mill, SC** 
**Key Skills: Data Lead, AWS Python, SQL Proficiency, AWS Services Expertise** 
**Experience: 09\+ years** 
**Mode of Hire: Full Time** 
**Skills Required:** 
* Expertise in designing scalable and efficient data architectures, including data pipelines and integration with various systems.
* Strong skills in programming languages such as Python, Java, and SQL for data handling, querying, and system integration.
* Ensuring data quality, security, and compliance with regulatory requirements
* Proficiency in AWS ecosystem and AWS Services, Glue, Lambda, S3
* Deep understanding of Spark job optimization
* Planning and overseeing Sqoop\-to\-Glue transitions</t>
        </is>
      </c>
    </row>
    <row r="155">
      <c r="A155" t="inlineStr">
        <is>
          <t>li-4359950670</t>
        </is>
      </c>
      <c r="B155" t="inlineStr">
        <is>
          <t>Senior Analytics Engineer</t>
        </is>
      </c>
      <c r="C155" t="inlineStr">
        <is>
          <t>Form Energy</t>
        </is>
      </c>
      <c r="D155" t="inlineStr">
        <is>
          <t>linkedin</t>
        </is>
      </c>
      <c r="E155">
        <f>HYPERLINK("https://www.linkedin.com/jobs/view/4359950670", "https://www.linkedin.com/jobs/view/4359950670")</f>
        <v/>
      </c>
      <c r="F155" t="inlineStr"/>
      <c r="G155" t="inlineStr">
        <is>
          <t>Somerville, MA</t>
        </is>
      </c>
      <c r="H155" t="inlineStr"/>
      <c r="I155" t="inlineStr">
        <is>
          <t>Are you ready to build America’s energy future? Form Energy is an American manufacturing and energy technology company. We’re revolutionizing energy storage with cost\-effective, multi\-day technology designed to keep the electric grid secure and reliable, even during extended periods of stress. By strengthening the electric system and reimagining what’s possible, we’re giving clean energy a whole new form!
 In recent years, Form Energy has earned a number of accolades, including being named by
 *TIME* 
 as a “Best Invention”,
 *MIT Technology Review* 
 as a “Top Climate Tech Company To Watch”, and
 *Fast Company* 
 as “One of the Next Big Things In Tech”. We are making rapid progress on our mission of delivering energy storage for a better world, and our team is growing just as rapidly to meet demand. We have signed contracts with leading electric utilities across the United States and production of our iron\-air batteries is underway at our first high\-volume manufacturing facility in West Virginia.
 Working for Form Energy is more than just a job, it’s a chance to be part of something extraordinary. And now \- right as we significantly scale up battery manufacturing \- might be the most exciting moment in the company’s history to join. We are assembling a team of highly talented and driven individuals across the country. Driven by our core values of humanity, excellence, and creativity, our team is determined to deliver on our mission and transform the energy landscape for the better.
**Feeling energized to make a meaningful impact on the world? Then keep reading \- you’ve come to the right place.**
 Role Description
 The Data Platform team is responsible for building and maintaining common, cloud\-based software and data infrastructure used across the company. This includes everything from our Snowflake data warehouse, to the K8s (EKS) clusters used to run our software, to the streaming platform that processes telemetry data from our product in the field. The Analytics Engineering function sits within the Data Platform team, and is responsible for transforming, enriching, and curating trusted datasets that are used across the organization. This role will work closely with lab, site software, and field operations teams to generate insights and expedite cycles of learning through data.
**What You'll Do**
* Build, review, and optimize data models/transformations in our data platform using tools like dbt, Apache Spark, or Delta Live Tables
* Work with our partner teams across Form to define and codify key product performance metrics
* Manage how data stores interact with analytical tools including Grafana, Hex, JMP, and Sigma. This may include managing these environments and providing support to users
* Work closely with other Software teams to ensure that data are consistent across sources upstream and data models. This will be in an environment where schema migrations are frequent for existing data sources, and new sources are regularly introduced.
* Help to build a strong data culture at Form
* Act as a collaborative member of a distributed software engineering team
**What You'll Bring**
* Minimum 7 years of professional experience as an analytics engineer, data engineer, data scientist, or other data professional
* Strong SQL and Python skills; experience working with dbt and Apache Spark desired
* Experience working with OLAP and time series databases like Snowflake, Databricks DBSQL, Clickhouse, and/or InfluxDB
* Experience using BI and data visualization tools like Sigma, Grafana, Tableau, or Superset
* Solid understanding of git and version control principles
* Working knowledge of electrochemistry and/or electrical systems is highly desired but not required
* Curiosity, creativity, and tenacity when it comes to problem solving
*Humanity is a cornerstone of Form Energy’s culture, and we make sure our compensation and benefits reflect that. Form Energy offers competitive salaries, stock options, and a holistic benefits package to ensure all employees have what they need to thrive while working here.*
*When it comes to you and your family’s health, we cover 100% of medical, dental, and vision premiums for full\-time employees \- and 80% of healthcare premiums for dependents. This starts from day one. We also offer at least 12 weeks of paid leave for new parents (up to 20 weeks for birthing parents), and generous vacation policies to give employees time to recharge when needed.*
*To build America’s energy future, we need everyone at the table. We are proud to be an equal opportunity employer, and encourage candidates from all backgrounds to apply to our open jobs.*
*If you may require reasonable accommodations to participate in our interview process, please contact accommodations@formenergy.com. Requests for accommodations will be treated with discretion.*
*Form Energy is committed to maintaining the privacy of our applicants. Please be aware that we will
 **never** 
 solicit sensitive personal information such as Social Security numbers or bank account details during the recruiting or hiring process.*
 Compensation Range: $111\.9K \- $160\.8K</t>
        </is>
      </c>
    </row>
    <row r="156">
      <c r="A156" t="inlineStr">
        <is>
          <t>li-4359960042</t>
        </is>
      </c>
      <c r="B156" t="inlineStr">
        <is>
          <t>Senior Data Engineer - Remote</t>
        </is>
      </c>
      <c r="C156" t="inlineStr">
        <is>
          <t>DriveTime</t>
        </is>
      </c>
      <c r="D156" t="inlineStr">
        <is>
          <t>linkedin</t>
        </is>
      </c>
      <c r="E156">
        <f>HYPERLINK("https://www.linkedin.com/jobs/view/4359960042", "https://www.linkedin.com/jobs/view/4359960042")</f>
        <v/>
      </c>
      <c r="F156">
        <f>HYPERLINK("https://jobs.drivetime.com/senior-data-engineer-remote/job/DB871D17D3BE70017E3B7C0F852F664D?source=LinkedIn-HC&amp;urlHash=e1aq", "https://jobs.drivetime.com/senior-data-engineer-remote/job/DB871D17D3BE70017E3B7C0F852F664D?source=LinkedIn-HC&amp;urlHash=e1aq")</f>
        <v/>
      </c>
      <c r="G156" t="inlineStr">
        <is>
          <t>Tempe, AZ</t>
        </is>
      </c>
      <c r="H156" t="inlineStr"/>
      <c r="I156" t="inlineStr">
        <is>
          <t>**What's Under The Hood**
 DriveTime Family of Brands is the largest privately owned used car sales finance \&amp; servicing company in the nation. Headquartered in Tempe, Arizona and Dallas, Texas, we create opportunities and improve the lives of our customers and our employees by placing a focus on putting the right customer, in the right vehicle, on the right terms and on their path to ownership.
 The DriveTime Family of Brands spans across DriveTime, Bridgecrest and SilverRock. You can find us at the intersection of technology and innovation as we use our proprietary tools and over two decades of industry knowledge to redefine the process of purchasing, financing, and protecting your vehicle.
**That's Nice, But What's the Job?**
**Job Description**
**This is not a position for which sponsorship will be provided. Individuals with temporary visas or who need sponsorship now or in the future are not eligible for hire at this time.**
 We are seeking a
 **Senior Data Engineer** 
 to lead the development, optimization, and governance of our data transformation and modeling processes. This role is pivotal in enabling analytics, data science, and business teams with high\-quality, well\-modeled, and analytics\-ready data products.
 As a senior member of our centralized Data Services organization, you will own the design and delivery of scalable data models using
 **dbt Core** 
 ,
 **Snowflake** 
 , and
 **Python** 
 , while integrating best practices in performance optimization, data quality, and CI/CD workflows via
 **GitHub** 
 or
 **Azure DevOps** 
 . You will collaborate closely with leadership, fellow engineers, analysts, and business stakeholders to translate complex data requirements into elegant, trusted data assets.
 In addition to being a hands\-on contributor, you will
 **serve as a technical lead and mentor** 
 , guiding a team of engineers, fostering a culture of continuous learning, and elevating our engineering standards across the data transformation lifecycle.
**Key Responsibilities**
* Lead the design and development of robust dbt Core models to transform raw data into trusted, analytics\-ready datasets in Snowflake
* Architect scalable and performant data models that align with business needs and support enterprise reporting, analytics, and AI initiatives.
* Collaborate across BI, analytics, and business teams to gather requirements and translate them into efficient ELT solutions.
* Implement data quality frameworks, documentation standards, and lineage tracking to ensure transparency and trust in our data ecosystem.
* Use Python to support automation, data validation, and performance monitoring across ELT pipelines.
* Monitor and optimize Snowflake query performance and cost efficiency.
* Guide and mentor other engineers, promoting skill development in dbt, CI/CD, and modern data architecture.
* Provide thought leadership on modern data transformation practices, helping to shape strategy, tooling, and best practices for the enterprise.
* Support data governance and metadata enrichment initiatives in alignment with enterprise data strategy.
**Qualifications:**
* 5\+ years of experience in data engineering, analytics engineering
* Advanced SQL skills and deep experience with dbt Core for data transformation and documentation.
* Expertise in Snowflake or similar modern cloud data platforms.
* Proficiency in Python for scripting, automation, and performance tuning.
* Strong understanding of dimensional modeling, ELT principles, and data warehousing best practices.
* Experience with Git\-based version control and CI/CD workflows (GitHub, Azure DevOps, Argo).
* Proven ability to lead technical projects and mentor other engineers.
* Excellent collaboration and communication skills, with the ability to work across technical and non\-technical teams.
* Demonstrated ability to drive innovation and influence best practices in data engineering through thought leadership.
* Bachelors Degree in Information Technology or related field
**Ideal Candidate Profile:**
 You're a highly technical and collaborative data engineer who thrives at the intersection of engineering and analytics. You bring expertise in modern data tooling and a passion for building trusted, scalable, and business\-aligned data products. You lead by example and elevate those around you through mentorship, partnership, and innovation.
**So What About the Perks? Perks matter**
* Work From Home. Feel free to rock the casual wear while still being camera ready. You will be working from your home office (in an approved city \&amp; state) and make sure you have a conducive and quiet workspace with no distractions and reliable and secure internet.
* Medical, dental, and vision, oh my! DriveTime Family of Brands covers a sizable amount of insurance premiums to ensure our employees receive top\-tier healthcare coverage.
* But Wait, There's More. 401(K), Company paid life insurance policy, short and long\-term disability coverage to name a few.
* Growth Opportunities. You grow, I grow, we all grow! But seriously, DriveTime Family of Brands is committed to providing its employees with every opportunity to grow professionally with roughly over 1,000 employees promoted year over year.
* Tuition Reimbursement. We're as passionate about your professional development as you are. With that, we'll put our money where our mouth is.
* Wellness Program. Health is wealth! This program includes self\-guided coaching and journeys, cash incentives and discounts on your medical premiums through engaging in fun activities!
* Gratitude is Green. We offer competitive pay across the organization, because, well... money matters!
* Paid Time Off. Not just lip service: we work hard, to play hard ! Paid time off includes (for all full\-time roles) wellness days, holidays, and good ole' fashioned YOU time! For our Part\-timers, don't fear you get some time too...vacation time is available \- the more you work, the more you earn!
**Anything Else? Absolutely.**
 DriveTime Family of Brands is Great Place to Work Certified! And get this: 90% of our rockstar employees say they feel right at home here. We could spend a lot of time having you read about ALL our awards, but we'll save time (and practice some humility) just naming a few others; Comparably Awards: Best Company for Diversity, Best Company Culture and Best Company Leadership, oh and don't forget Phoenix Business Journal Healthiest Employers (okay, we'll stop there)!
 Hiring is contingent upon successful completion of our background and drug screening process. DriveTime is a drug\-free, tobacco\-free workplace and an Equal Opportunity Employer.
 And when it comes to hiring, we don't just look for the right person for the job, we seek out the right person for DriveTime. Buckle up for plenty of opportunities to grow in a professional, fun, and high\-energy environment!</t>
        </is>
      </c>
    </row>
    <row r="157">
      <c r="A157" t="inlineStr">
        <is>
          <t>li-4359639086</t>
        </is>
      </c>
      <c r="B157" t="inlineStr">
        <is>
          <t>Senior Data Engineer</t>
        </is>
      </c>
      <c r="C157" t="inlineStr">
        <is>
          <t>Real Chemistry</t>
        </is>
      </c>
      <c r="D157" t="inlineStr">
        <is>
          <t>linkedin</t>
        </is>
      </c>
      <c r="E157">
        <f>HYPERLINK("https://www.linkedin.com/jobs/view/4359639086", "https://www.linkedin.com/jobs/view/4359639086")</f>
        <v/>
      </c>
      <c r="F157">
        <f>HYPERLINK("https://grnh.se/9i0551m58us&amp;urlHash=zS7T", "https://grnh.se/9i0551m58us&amp;urlHash=zS7T")</f>
        <v/>
      </c>
      <c r="G157" t="inlineStr"/>
      <c r="H157" t="inlineStr"/>
      <c r="I157" t="inlineStr">
        <is>
          <t>At Real Chemistry, making the world a healthier place isn’t just an aspiration—it’s our everyday reality. Our drive to transform healthcare is informed by our blend of deep scientific expertise, human\-centred creativity, and AI\-driven insights, fostering a unique environment where innovation thrives and our people are impact\-obsessed. As a global agency, we provide a full suite of services across healthcare communications and marketing to our clients, including top players in the pharmaceutical and biotech industries.
 Our culture is rooted in our people—we believe we are best together and are committed to excellence for both our clients and colleagues. Whether you're a seasoned professional or just starting your career, if you share our passion for healthcare and connection, we invite you to explore our opportunities.
 Discover your purpose. Embrace innovation. Experience .
 Spring \&amp; Bond, a part of Real Chemistry, is a digital media agency and consultancy helping pharmaceutical and medical device manuf]acturers build robust, omnichannel\-enabled media executions for both HCP and consumer audiences. Our focus is on client empowerment through services like customer journey planning, media strategy \&amp; activation, technology evaluation, in\-house capability development, and training.
 We are looking for a
 **Senior Data Engineer** 
 to help drive the design, build, and scale of our data infrastructure. This role will be responsible for architecting and maintaining multi\-cloud data platforms, optimizing ETL pipelines, and ensuring data quality and availability across the
 organization. As a senior member of the Data Engineering team, you will notonly deliver hands\-on technical solutions but also mentor junior engineers, guide best practices, and help shape the direction of our data engineering capabilities.
**What You'll Do**
* Architect and optimize robust, scalable ETL pipelines and workflows to ingest, transform, and deliver data from multiple sources.
* Ensure data integrity and governance through validation frameworks, schema design, and proactive monitoring.
* Leverage advanced SQL and programming skills to extract, transform, and analyze data efficiently.
* Develop automation using Python, Pandas, AWS Lambda, and related tools to improve operational efficiency.
* Design and manage data platforms, including Snowflake, Athena, Redshift, BigQuery, and other cloud\-based solutions.
* Collaborate cross\-functionally with analysts, strategists, and business leaders to translate business requirements into technical solutions.
* Mentor and coach junior data engineers, setting standards for code quality,
* documentation, and best practices.
* Lead vendor and partner integrations, ensuring seamless data delivery and alignment with internal standards.
* Communicate effectively with both technical and non\-technical stakeholders, providing clear insight and direction.
* Drive innovation, identifying opportunities to improve performance, scalability, and usability of our data systems.
**What You Should Have**
* Bachelor’s degree in Computer Science, Data Engineering, or related field—or equivalent experience.
* 5–7\+ years of experience in data engineering, with proven success building and scaling data systems.
* Expert knowledge of SQL and Python, including performance optimization and data manipulation libraries (e.g., Pandas).
* Strong experience with AWS data products (S3, Redshift, Athena, Lambda) and familiarity with multi\-cloud environments.
* Deep understanding of data modeling, schema design, and best practices for large\-scale data solutions.
* Demonstrated ability to design secure, reliable pipelines and troubleshoot complex issues.
* Experience leading projects and mentoring other engineers.
* Excellent communication, critical thinking, and problem\-solving skills.
* Comfortable managing multiple priorities and delivering in a fast\-paced environment.
**Great\-to\-Haves**
* Experience with data transformation and productivity tools (dbt, Jinja, etc.).
* Familiarity with Snowflake (Notebooks, Worksheets, VS Code plugin).
* Knowledge of data visualization platforms such as Looker Studio or similar BI tools.
* Exposure to digital marketing analytics and measurement frameworks.
**Pay Range:** 
 $120,000\-$145,000
 This is the pay range the Company believes it will pay for this position at the time of this posting. Consistent with applicable law, compensation will be determined based on job\-related, non\-discriminatory factors including but not limited to work experience, skills, certifications, and geographical location. The Company reserves the right to modify this pay range at any time.
 Real Chemistry is proud to be Great Place to Work® certified; check out what our people shared about our culture and workplace on our Great Places to Work Profile here.
 We believe we can do our best when feeling our best, which is why we’ve put together a benefits program designed to give you the support you and your family need at every stage of life. Real Chemistry offers a comprehensive benefit program and perks, tailored to your region. Globally, this includes offices in our key markets with free snacks to keep you running all day long, generous holiday and paid time off, options for private medical, dental, and vison plans, and support in saving for the future. Other perks include mental wellness coaching and support and access to more than 13,000 online classes with LinkedIn Learning. Learn more about our great benefits and perks and search specific offerings in your region at: www.realchemistrybenefits.com.
 Working with Real HART: Since the pandemic, we have adapted to how our people told us they want to work. We have office locations in cities in the US, UK, and Europe with many employees and clients that serve as hubs where and when they need us. For employees who are within an hour of one of our offices, we expect attendance in the office two days per week, either at a Real Chemistry office or onsite with clients. We are also actively opening new office locations, so if one opens near you, our Real HART policy will apply. We are not looking for attendance for the sake of attendance but believe that the opportunity to coordinate in\-office team meetings, 1:1 meetings with managers, taking advantage of on\-site learning, and connecting with client partners is a critical to delivering on our purpose of making healthcare what it should be. Outside of these offices, we have regions, where people work remotely but come together quarterly for collaboration, culture and learning opportunities. We call this our Real Hybrid and Regional Teams (Real HART) approach. Real Chemistry believes we are best together – and our workplace strategy fosters connection and collaboration in person – but also supports flexibility for our people.
 Real Chemistry is an Equal Opportunity employer. We continually strive to build and sustain an inclusive and equitable work environment where our employees feel empowered to leverage all they bring from their personal lived experience and professional expertise, to make our team the best in the industry. We encourage motivated and qualified applicants to apply without regard to race, color, religion, sex (including pregnancy), sexual orientation, gender identity/expression, ethnic or national origin, age, physical or mental disability, genetic information, marital information, or any other characteristic protected by federal, state, or local employment discrimination laws where Real Chemistry operates. Should you require accommodations throughout the interview process please let your recruiter know.
* Notice: Real Chemistry and its affiliates' names are being misused by scammers through messaging services, fake websites, and apps. Do not share personal or financial information or make payments to any unverified sources claiming to be connected to Real Chemistry. We are working to stop these unauthorized activities and protect our community. Read more here.</t>
        </is>
      </c>
    </row>
    <row r="158">
      <c r="A158" t="inlineStr">
        <is>
          <t>li-4331587138</t>
        </is>
      </c>
      <c r="B158" t="inlineStr">
        <is>
          <t>Data Engineer III</t>
        </is>
      </c>
      <c r="C158" t="inlineStr">
        <is>
          <t>FM</t>
        </is>
      </c>
      <c r="D158" t="inlineStr">
        <is>
          <t>linkedin</t>
        </is>
      </c>
      <c r="E158">
        <f>HYPERLINK("https://www.linkedin.com/jobs/view/4331587138", "https://www.linkedin.com/jobs/view/4331587138")</f>
        <v/>
      </c>
      <c r="F158">
        <f>HYPERLINK("https://jobs.fmglobalcareers.com/job/-/-/474/89349695600&amp;urlHash=EimE", "https://jobs.fmglobalcareers.com/job/-/-/474/89349695600&amp;urlHash=EimE")</f>
        <v/>
      </c>
      <c r="G158" t="inlineStr">
        <is>
          <t>Johnston, RI</t>
        </is>
      </c>
      <c r="H158" t="inlineStr"/>
      <c r="I158" t="inlineStr">
        <is>
          <t>Established nearly two centuries ago, FM is a leading mutual insurance company whose capital, scientific research capability and engineering expertise are solely dedicated to property risk management and the resilience of its policyholder\-owners. These owners, who share the belief that the majority of property loss is preventable, represent many of the world’s largest organizations, including one of every four Fortune 500 companies. They work with FM to better understand the hazards that can impact their business continuity to make cost\-effective risk management decisions, combining property loss prevention with insurance protection.
 Are you passionate about building robust data ecosystems that power advanced analytics and business insights? Join our dynamic team as a
 **Data Engineer III** 
 , where you’ll design and implement cutting\-edge data pipelines, integrate diverse data sources, and ensure the highest standards of data quality, security, and compliance. This is your opportunity to work on impactful projects that shape the future of data\-driven decision\-making.
**What You’ll Do**
* Architect \&amp; Innovate: Design and maintain scalable data pipelines and infrastructure for ingestion, integration, and storage of structured and unstructured data.
* Enable Analytics: Deliver clean, reliable datasets for Business Intelligence, Advanced Analytics, and Data Science teams.
* Optimize Performance: Implement modern practices using Microsoft Fabric, SQL Server, SSIS, Power BI Premium, and big data frameworks like Spark.
* Ensure Quality: Validate solutions through rigorous testing and maintain data integrity across all systems.
* Collaborate \&amp; Lead: Partner with Product Owners, Architects, Analysts, and Data Scientists on medium\-to\-large projects, and lead small\-to\-medium initiatives independently.
* Drive Continuous Improvement: Automate processes, optimize data delivery, and redesign infrastructure for scalability.
**What We’re Looking For**
* Prefer 4 year/bachelor’s degree or master’s degree in computer science, Information Technology, Computer Engineering, or equivalent experience
* 5\+ years relatable work experience
* Ability to design and optimize SQL queries across cloud data warehouses, with strong proficiency in T‑SQL.
* Skilled in data orchestration and ETL tools such as Azure Data Factory or SSIS, and eager to adopt Fabric Data Factory (Pipelines \&amp; Dataflows Gen2\).
* Background in CI/CD and version control for data solutions (e.g., Git, deployment pipelines), with interest in DevOps practices for analytics platforms.
* Familiarity with modern data lake architectures, including Delta Lake and medallion design patterns.
* Knowledge of columnar storage formats and lakehouse technologies such as Delta Lake and Parquet for scalable data processing.
* Hands\-on work with big data frameworks like Apache Spark (PySpark or Scala) for batch workloads is helpful.
* Understanding BI and semantic modeling concepts, including star schema design and performance tuning is helpful.
 Compensation, Grade, and Job Title will be determined based on qualifications, experience, and technical skillset.
 Well qualified candidates may be considered for a data engineer IV.
 The position is eligible to participate in FM's comprehensive Total Rewards program that includes an incentive plan, generous health and well\-being programs, a 401(k) and pension plan, career development opportunities, tuition reimbursement, flexible work, paid time off allowances and much more.
 FM is an Equal Opportunity Employer and is committed to attracting, developing, and retaining a diverse workforce.</t>
        </is>
      </c>
    </row>
    <row r="159">
      <c r="A159" t="inlineStr">
        <is>
          <t>li-4352452177</t>
        </is>
      </c>
      <c r="B159" t="inlineStr">
        <is>
          <t>Sr. Data Engineer (USC &amp; GC only - No C2C)</t>
        </is>
      </c>
      <c r="C159" t="inlineStr">
        <is>
          <t>Lenmar Consulting Inc</t>
        </is>
      </c>
      <c r="D159" t="inlineStr">
        <is>
          <t>linkedin</t>
        </is>
      </c>
      <c r="E159">
        <f>HYPERLINK("https://www.linkedin.com/jobs/view/4352452177", "https://www.linkedin.com/jobs/view/4352452177")</f>
        <v/>
      </c>
      <c r="F159" t="inlineStr"/>
      <c r="G159" t="inlineStr">
        <is>
          <t>Charlotte, NC</t>
        </is>
      </c>
      <c r="H159" t="inlineStr"/>
      <c r="I159" t="inlineStr">
        <is>
          <t>**Job Description**
 US Citizen and GC only at this time on W2 – No C2C
**Key skills include strong Snowflake expertise, advanced SQL proficiency, data extraction from APIs using Python and AWS Lambda, and experience with ETL/ELT processes. Workflow automation using AWS Airflow is essential, and experience with Fivetran and DBT is a plus.**
**Job Summary**
 We are looking for a hands\-on Senior Data Engineer with expertise in developing data ingestion pipelines. This role is crucial in designing, building, and maintaining our data infrastructure, focusing on creating scalable pipelines, ensuring data integrity, and optimizing performance.
**Job Responsibilities**
* Design, build, test, and implement scalable data pipelines using Python and SQL.
* Maintain and optimize our Snowflake data warehouse’s performance, including data ingestion and query optimization.
* Extract data from APIs using Python and AWS Lambda and automate workflows with AWS Airflow.
* Perform analysis and critical thinking to troubleshoot data\-related issues and implement checks/scripts to enhance data quality.
* Collaborate with other data engineers and architect to develop new pipelines and/or optimize existing ones.
* Maintain code via CI/CD processes as defined in our Azure DevOps platform.
**Job Qualifications**
* 7\+ years of experience in Data Engineering roles, with a focus on building and implementing scalable data pipelines for data ingestion.
* Expertise in Snowflake, including data ingestion and performance optimization.
* Strong SQL skills for writing efficient queries and optimizing existing ones.
* Proficiency in Python for data extraction from APIs using AWS Lambda, Glue, etc.
* Experience with AWS services such as Lambda, Airflow, Glue, S3, SNS, etc.
* Highly self\-motivated and detail\-oriented with strong communication skills.
* Familiarity with ETL/ELT processes.
* Experience with Fivetran and DBT is a plus.</t>
        </is>
      </c>
    </row>
    <row r="160">
      <c r="A160" t="inlineStr">
        <is>
          <t>li-4331526721</t>
        </is>
      </c>
      <c r="B160" t="inlineStr">
        <is>
          <t>Senior Data Engineer - Data Platform</t>
        </is>
      </c>
      <c r="C160" t="inlineStr">
        <is>
          <t>PTMA Financial Solutions</t>
        </is>
      </c>
      <c r="D160" t="inlineStr">
        <is>
          <t>linkedin</t>
        </is>
      </c>
      <c r="E160">
        <f>HYPERLINK("https://www.linkedin.com/jobs/view/4331526721", "https://www.linkedin.com/jobs/view/4331526721")</f>
        <v/>
      </c>
      <c r="F160">
        <f>HYPERLINK("https://ats.rippling.com/ptmacareers/jobs/dcb362ea-0ed4-4c28-a3c4-3bcac5e25d67&amp;urlHash=Hrop", "https://ats.rippling.com/ptmacareers/jobs/dcb362ea-0ed4-4c28-a3c4-3bcac5e25d67&amp;urlHash=Hrop")</f>
        <v/>
      </c>
      <c r="G160" t="inlineStr"/>
      <c r="H160" t="inlineStr"/>
      <c r="I160" t="inlineStr">
        <is>
          <t>**Senior Data Engineer \- Data Platform** 
 PTMA Financial Solutions, provides treasury management, liquidity management, and other financial products and services to the public sector. In addition to more than 12,000 local governments, school districts and other public entities, we also partner with over 1,000 financial institutions to help strengthen communities from coast to coast. Our family of financial services companies offers local government investment pool administration, investment advisory services, term investments, cashflow analysis, bond proceeds management, and public finance services for public entities plus stable deposit funding solutions for financial institutions. Our financial expertise, comprehensive products, and advanced technology help clients achieve more today for a better tomorrow. The firm’s primary operational hubs are in Denver, Colorado, and Naperville, Illinois, with other offices throughout the United States. 
**Position Summary** 
 Work Authorization (Required)
 Candidates must be authorized to work in the United States without employer sponsorship now or in the future. This role is not eligible for visa sponsorship or transfer.
 The Senior Data Engineer at PTMA Financial Solutions is a full\-time, long\-term senior role responsible for operating the company’s data platform in a regulated financial services environment. This role focuses on building, maintaining, and scaling a production\-grade Microsoft Fabric\-based data platform that supports analytics, reporting, and operational decision\-making.
 This is a permanent W\-2 role intended for a senior engineer seeking long\-term platform ownership, stability, and trusted system access. This is not a contract, consulting, or transitional position.
**Key Responsibilities** 
* Platform Standards, Reliability \&amp; Data Quality: Establish and maintain data engineering standards that ensure reliability, consistency, and audit readiness. Own data quality controls, validation processes, and reconciliation checks for critical financial datasets.
* Cross\-Functional Collaboration: Serve as the primary point of contact for cross\-functional data initiatives, translating business requirements into prioritized technical solutions.
* Platform Governance \&amp; Prioritization: Guide platform\-related decisions and govern data project priorities.
* Microsoft Fabric Ownership: Own and operate the core Microsoft Fabric data platform for PTMA. This includes designing and organizing the OneLake unified data lake, configuring capacities, and overseeing Fabric components and their integration.
* Data Pipeline Design: Lead the design and implementation of enterprise data pipelines and ETL/ELT processes to ingest, transform, and load data from a variety of sources.
* AI \&amp; Advanced Analytics Support: Partner with security, legal, and compliance teams to support approved analytics and AI use cases in accordance with internal governance and regulatory requirements.
* Regulatory Compliance \&amp; Data Governance: Ensure the data platform supports compliance with financial industry regulations and standards such as SOC 2, including audit trails, access controls, and data retention practices. This role requires eligibility for access to regulated financial systems and participation in U.S.\-based audit processes.
* Team Management \&amp; Mentorship: Provide technical guidance and mentorship to a small data team. Support day\-to\-day delivery, knowledge sharing, and technical decision\-making while collaborating with leadership on delivery priorities and technical planning.
**Required Qualifications:** 
* Education \&amp; Experience: bachelor’s or master’s degree in computer science, Data Engineering, Information Systems, or a related field. 8\+ years of experience in data engineering or data architecture.
* Technical Proficiency: Excellent SQL skills for data querying and performance tuning, and strong programming ability in Python for developing data pipelines and automation scripts. Deep understanding of relational databases, data modeling, and building data integration workflows.
* Cloud \&amp; Azure Expertise: Hands\-on experience with Microsoft Azure data services and architecture. This should include familiarity with tools such as Azure Data Factory or Synapse Pipelines, Azure Data Lake Storage, Azure Synapse Analytics or SQL pools, and related Azure infrastructure.
* Governance \&amp; Security: Solid understanding of data governance and security best practices. Comfortable implementing data access controls, encryption, masking of sensitive data, and user permission models. Knowledge of compliance standards and frameworks like SOC 2 for managing data securely is required. You should be able to design systems and policies that protect sensitive data and ensure privacy in line with industry regulations.
**Preferred Qualifications** 
* Industry Experience: Prior experience in the financial services sector or another highly regulated industry is highly desirable. Familiarity with the compliance, security, and data privacy obligations in these environments will help you hit the ground running. Experience working with investment or portfolio data, trading systems, or client reporting in a wealth management context would be a plus.
* Business Intelligence \&amp; Analytics Tools: Experience with data visualization or BI tools, especially Microsoft Power BI. Understanding of how to create and manage Power BI datasets, reports, and dashboards, and how they connect to the underlying data models.
 The pay range for this role is:
* 160,000 \- 180,000 USD per year (Colorado)</t>
        </is>
      </c>
    </row>
    <row r="161">
      <c r="A161" t="inlineStr">
        <is>
          <t>li-4352267183</t>
        </is>
      </c>
      <c r="B161" t="inlineStr">
        <is>
          <t>Data Engineer</t>
        </is>
      </c>
      <c r="C161" t="inlineStr">
        <is>
          <t>CFS</t>
        </is>
      </c>
      <c r="D161" t="inlineStr">
        <is>
          <t>linkedin</t>
        </is>
      </c>
      <c r="E161">
        <f>HYPERLINK("https://www.linkedin.com/jobs/view/4352267183", "https://www.linkedin.com/jobs/view/4352267183")</f>
        <v/>
      </c>
      <c r="F161">
        <f>HYPERLINK("https://pcrecruiter.cfstaffing.com/pcrbin/jobboard.aspx?b=6NIHIMUGS3DZWQALFNDP76RHPNMHJ4VBTPVXB4TFDYOBPXPKN7527ZWAVVRSTWMVIUKI3CBDJO2T2&amp;action=detail&amp;apply=y&amp;src=LinkedIn&amp;urlHash=hOUQ", "https://pcrecruiter.cfstaffing.com/pcrbin/jobboard.aspx?b=6NIHIMUGS3DZWQALFNDP76RHPNMHJ4VBTPVXB4TFDYOBPXPKN7527ZWAVVRSTWMVIUKI3CBDJO2T2&amp;action=detail&amp;apply=y&amp;src=LinkedIn&amp;urlHash=hOUQ")</f>
        <v/>
      </c>
      <c r="G161" t="inlineStr">
        <is>
          <t>Winter Park, FL</t>
        </is>
      </c>
      <c r="H161" t="inlineStr"/>
      <c r="I161" t="inlineStr">
        <is>
          <t>**Position:** 
 Data Engineer
**Salary:** 
 $100,000\-$115,000 \+ Bonus
**Benefits:** 
 Competitive Healthcare Plans, 34 Days of PTO, Onsite Gym, Wellness Programs, 401(k) match, etc.
**Location:** 
 Orlando, FL \| Onsite
**Summary of the Data Engineer:** 
 The Data Engineer will design, build, and maintain scalable data pipelines and platforms that support enterprise reporting, analytics, and data‑driven decision‑making. This role works closely with IT, data, and business teams to ensure data is accurate, accessible, secure, and ready for use across the organization. Here are a few reasons to apply:
* Outstanding benefits, including an onsite gym and 34 days of PTO.
* Leadership invested heavily in both the business and its people, fueling continued growth.
* Brand new, state\-of\-the\-art office is currently being built.
**Key Responsibilities Of The Data Engineer**
* Support and enhance the Enterprise Data Warehouse, ensuring reliable and accurate data flows.
* Design and implement on‑prem or cloud‑based data platforms, integrating enterprise data sources.
* Build and maintain ETL/ELT pipelines to ingest, transform, and optimize data.
* Develop and maintain data models for reporting, analytics, and advanced use cases (AI/ML).
* Implement data governance, quality, security, and compliance best practices.
* Enable self‑service analytics and real‑time data processing using modern data technologies.
* Collaborate with IT, analytics, and business teams to translate data needs into technical solutions.
* Mentor junior team members and contribute to data architecture and modernization initiatives.
**Preferred Experience Of The Data Engineer**
* Degree in Information Systems, Data Science, or related field.
* 5\+ years of experience in data engineering, data architecture, or related roles.
* Strong experience with Azure‑based data platforms and lakehouse architectures.
* Proficiency in ETL/ELT tools (SSIS, Azure Data Factory) and SQL‑based databases.
* Hands‑on experience with big data and streaming technologies (Databricks, Spark, Kafka, etc.).
* Familiarity with BI tools such as Power BI, Tableau, or Looker.
* Working knowledge of data governance, security, and compliance frameworks.
* Experience using Jira or similar ticketing systems.
**Bonus Experience Of The Data Engineer**
* Experience with Guidewire InsuranceSuite data models (PolicyCenter, BillingCenter, ClaimCenter) preferred.
* Experience with Data Mesh architecture.
* Exposure to machine learning / MLOps.
* Azure Data Engineer certification.
 \#INJAN2026
 a { text\-decoration: none; color: \#464feb; } tr th, tr td { border: 1px solid \#e6e6e6; } tr th { background\-color: \#f5f5f5; } a { text\-decoration: none; color: \#464feb; } tr th, tr td { border: 1px solid \#e6e6e6; } tr th { background\-color: \#f5f5f5; } a { text\-decoration: none; color: \#464feb; } tr th, tr td { border: 1px solid \#e6e6e6; } tr th { background\-color: \#f5f5f5; } a { text\-decoration: none; color: \#464feb; } tr th, tr td { border: 1px solid \#e6e6e6; } tr th { background\-color: \#f5f5f5; } a { text\-decoration: none; color: \#464feb; } tr th, tr td { border: 1px solid \#e6e6e6; } tr th { background\-color: \#f5f5f5; }</t>
        </is>
      </c>
    </row>
    <row r="162">
      <c r="A162" t="inlineStr">
        <is>
          <t>li-4359950671</t>
        </is>
      </c>
      <c r="B162" t="inlineStr">
        <is>
          <t>Senior Analytics Engineer</t>
        </is>
      </c>
      <c r="C162" t="inlineStr">
        <is>
          <t>Form Energy</t>
        </is>
      </c>
      <c r="D162" t="inlineStr">
        <is>
          <t>linkedin</t>
        </is>
      </c>
      <c r="E162">
        <f>HYPERLINK("https://www.linkedin.com/jobs/view/4359950671", "https://www.linkedin.com/jobs/view/4359950671")</f>
        <v/>
      </c>
      <c r="F162" t="inlineStr"/>
      <c r="G162" t="inlineStr">
        <is>
          <t>Weirton, WV</t>
        </is>
      </c>
      <c r="H162" t="inlineStr"/>
      <c r="I162" t="inlineStr">
        <is>
          <t>Are you ready to build America’s energy future? Form Energy is an American manufacturing and energy technology company. We’re revolutionizing energy storage with cost\-effective, multi\-day technology designed to keep the electric grid secure and reliable, even during extended periods of stress. By strengthening the electric system and reimagining what’s possible, we’re giving clean energy a whole new form!
 In recent years, Form Energy has earned a number of accolades, including being named by
 *TIME* 
 as a “Best Invention”,
 *MIT Technology Review* 
 as a “Top Climate Tech Company To Watch”, and
 *Fast Company* 
 as “One of the Next Big Things In Tech”. We are making rapid progress on our mission of delivering energy storage for a better world, and our team is growing just as rapidly to meet demand. We have signed contracts with leading electric utilities across the United States and production of our iron\-air batteries is underway at our first high\-volume manufacturing facility in West Virginia.
 Working for Form Energy is more than just a job, it’s a chance to be part of something extraordinary. And now \- right as we significantly scale up battery manufacturing \- might be the most exciting moment in the company’s history to join. We are assembling a team of highly talented and driven individuals across the country. Driven by our core values of humanity, excellence, and creativity, our team is determined to deliver on our mission and transform the energy landscape for the better.
**Feeling energized to make a meaningful impact on the world? Then keep reading \- you’ve come to the right place.**
 Role Description
 The Data Platform team is responsible for building and maintaining common, cloud\-based software and data infrastructure used across the company. This includes everything from our Snowflake data warehouse, to the K8s (EKS) clusters used to run our software, to the streaming platform that processes telemetry data from our product in the field. The Analytics Engineering function sits within the Data Platform team, and is responsible for transforming, enriching, and curating trusted datasets that are used across the organization. This role will work closely with lab, site software, and field operations teams to generate insights and expedite cycles of learning through data.
**What You'll Do**
* Build, review, and optimize data models/transformations in our data platform using tools like dbt, Apache Spark, or Delta Live Tables
* Work with our partner teams across Form to define and codify key product performance metrics
* Manage how data stores interact with analytical tools including Grafana, Hex, JMP, and Sigma. This may include managing these environments and providing support to users
* Work closely with other Software teams to ensure that data are consistent across sources upstream and data models. This will be in an environment where schema migrations are frequent for existing data sources, and new sources are regularly introduced.
* Help to build a strong data culture at Form
* Act as a collaborative member of a distributed software engineering team
**What You'll Bring**
* Minimum 7 years of professional experience as an analytics engineer, data engineer, data scientist, or other data professional
* Strong SQL and Python skills; experience working with dbt and Apache Spark desired
* Experience working with OLAP and time series databases like Snowflake, Databricks DBSQL, Clickhouse, and/or InfluxDB
* Experience using BI and data visualization tools like Sigma, Grafana, Tableau, or Superset
* Solid understanding of git and version control principles
* Working knowledge of electrochemistry and/or electrical systems is highly desired but not required
* Curiosity, creativity, and tenacity when it comes to problem solving
*Humanity is a cornerstone of Form Energy’s culture, and we make sure our compensation and benefits reflect that. Form Energy offers competitive salaries, stock options, and a holistic benefits package to ensure all employees have what they need to thrive while working here.*
*When it comes to you and your family’s health, we cover 100% of medical, dental, and vision premiums for full\-time employees \- and 80% of healthcare premiums for dependents. This starts from day one. We also offer at least 12 weeks of paid leave for new parents (up to 20 weeks for birthing parents), and generous vacation policies to give employees time to recharge when needed.*
*To build America’s energy future, we need everyone at the table. We are proud to be an equal opportunity employer, and encourage candidates from all backgrounds to apply to our open jobs.*
*If you may require reasonable accommodations to participate in our interview process, please contact accommodations@formenergy.com. Requests for accommodations will be treated with discretion.*
*Form Energy is committed to maintaining the privacy of our applicants. Please be aware that we will
 **never** 
 solicit sensitive personal information such as Social Security numbers or bank account details during the recruiting or hiring process.*
 Compensation Range: $111\.9K \- $160\.8K</t>
        </is>
      </c>
    </row>
    <row r="163">
      <c r="A163" t="inlineStr">
        <is>
          <t>li-4359920695</t>
        </is>
      </c>
      <c r="B163" t="inlineStr">
        <is>
          <t>Data Engineer II</t>
        </is>
      </c>
      <c r="C163" t="inlineStr">
        <is>
          <t>Centene Corporation</t>
        </is>
      </c>
      <c r="D163" t="inlineStr">
        <is>
          <t>linkedin</t>
        </is>
      </c>
      <c r="E163">
        <f>HYPERLINK("https://www.linkedin.com/jobs/view/4359920695", "https://www.linkedin.com/jobs/view/4359920695")</f>
        <v/>
      </c>
      <c r="F163" t="inlineStr"/>
      <c r="G163" t="inlineStr">
        <is>
          <t>Florida, United States</t>
        </is>
      </c>
      <c r="H163" t="inlineStr"/>
      <c r="I163"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including data ingestion, data transformation, data validation / quality, data pipeline optimization, and orchestration. Engages with the DevSecOps Engineer during continuous integration and continuous deployment.
* Designs and implements standardized data management procedures around data staging, data ingestion, data preparation, data provisioning, and data destruction (scripts, programs, automation, assisted by automation, etc.)
* Designs, develops, implements, tests, documents, and operates large\-scale, high\-volume, high\-performance data structures for business intelligence analytics
* Designs, develops, and maintains real\-time processing applications and real\-time data pipelines
* Ensure quality of technical solutions as data moves across Centene’s environments
* Provides insight into the changing data environment, data processing, data storage, and utilization requirements for the company and offers suggestions for solutions
* Develops, constructs, tests, and maintains architectures using programming language and tools
* Identifies ways to improve data reliability, efficiency, and quality; use data to discover tasks that can be automated
* Performs other duties as assigned
* Complies with all policies and standards
**Education/Experience** 
 A Bachelor's degree in a quantitative or business field (e.g., statistics, mathematics, engineering, computer science) and requires 2 – 4 years of related experience. Or equivalent experience acquired through accomplishments of applicable knowledge, duties, scope and skill reflective of the level of this position.
**Technical Skills**
* One or more of the following skills are desired.
* SQL
* Python
* SAS
* Power BI
* Informatica
* Teradata
 Pay Range $63,600\.00 \- $114,600\.00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64">
      <c r="A164" t="inlineStr">
        <is>
          <t>li-4344479869</t>
        </is>
      </c>
      <c r="B164" t="inlineStr">
        <is>
          <t>Semantic Data Engineer</t>
        </is>
      </c>
      <c r="C164" t="inlineStr">
        <is>
          <t>Cambia Health Solutions</t>
        </is>
      </c>
      <c r="D164" t="inlineStr">
        <is>
          <t>linkedin</t>
        </is>
      </c>
      <c r="E164">
        <f>HYPERLINK("https://www.linkedin.com/jobs/view/4344479869", "https://www.linkedin.com/jobs/view/4344479869")</f>
        <v/>
      </c>
      <c r="F164" t="inlineStr"/>
      <c r="G164" t="inlineStr">
        <is>
          <t>Medford, OR</t>
        </is>
      </c>
      <c r="H164" t="inlineStr"/>
      <c r="I164" t="inlineStr">
        <is>
          <t>**SEMANTIC DATA ENGINEER (HEALTHCARE)**
 Hybrid \- within
 **Oregon, Washington, Idaho or Utah**
**Build a career with purpose. Join our** 
**Cause** 
**to create a person\-focused and economically sustainable health care system.**
**Who We Are Looking For**
 Every day, Cambia’s Data \&amp; Analytics Engineering Team is living our mission to make health care easier and lives better. We’re seeking a skilled Data and Analytics Engineer with significant experience engineering semantic layers to design, implement, expand and enhance our existing semantic layer within our Snowflake data platform to support AI\-driven semantic intelligence and BI for our health insurance payer organization. The role will focus on creating a robust, scalable semantic framework that enhances data discoverability, interoperability, and usability for AI and BI tools, enabling advanced analytics, predictive modeling, and actionable insights. This role will focus on implementing and optimizing semantic data models, ensuring seamless integration with AI workflows, and supporting advanced analytics initiatives. – all in service of making our members’ health journeys easier.
***If you're a motivated and experienced Semantic Engineer looking to make a difference in the healthcare industry, apply for this exciting opportunity today!***
**What You Bring To Cambia**
 Qualifications and Certifications:
* Bachelor’s degree in computer science, Mathematics, Business Administration, Engineering, or a related field
* 3\+ years relevant experience in a multi\-platform environment, including, but not limited to application development or database development
* At least 1 year working with Snowflake or similar cloud data platforms
* Equivalent combination of education and experience
**What You Will Do At Cambia (Not Limited To)**
* Implement Enterprise Semantic Models: Build and maintain semantic data models on Snowflake based on specifications from the Semantic Data Architect and Data Product Owner, ensuring alignment with business, analysis, and AI requirements.
* Data Pipeline Development: When necessary, develop and optimize ETL/ELT pipelines to populate the semantic layer, integrating data from diverse sources (e.g., claims, member data, third\-party feeds) using Snowflake’s capabilities.
* Analytics and AI Integration: Enable analytics and AI workflows by preparing and transforming data in the semantic layer for use in predictive models, natural language processing, and other analytics and AI applications.
* Performance Tuning: Optimize Snowflake queries and data structures (e.g., tables, views, materialized views) to ensure high performance for semantic data access.
* Data Quality and Validation: Implement data quality checks and validation processes to ensure the accuracy and reliability of the semantic layer.
* Collaboration: Work with data product owners, business analysts, the semantic data architect, data modelers, and data engineers to create and refine data models and troubleshoot issues in production environments.
* Automation and Monitoring: Automate semantic layer maintenance tasks and set up monitoring to ensure system reliability and performance.
**Skills And Attributes (Not Limited To)**
* Proficiency in SQL, Python, or other scripting languages for data processing and pipeline development.
* Experience using code repositories such as GitLab or GitHub and CI/CD\-based deployment.
* Experience with semantic technologies, including Snowflake semantic views, MicroStrategy, AtScale, or Business Objects universes and healthcare data standards (e.g., FHIR, HL7, ICD\-10\).
* Experience with semantic technologies, including Snowflake semantic views, Microstrategy, AtScale, or Business Objects universes, and familiarity with healthcare ontologies (e.g., SNOMED, LOINC, ICD\-10\).
* Strong understanding of analytics workflows and their data requirements.
* Experience with data governance, metadata management, and compliance in healthcare.
* Strong problem\-solving skills and experience with data pipeline tools (e.g., dbt, Snowflake’s OpenFlow, Airflow).
* Knowledge of healthcare regulations (e.g., HIPAA) and data security best practices.
* Preferred: Experience with Snowflake features like Streams, Tasks, or data sharing; familiarity with cloud platforms (AWS, Azure, or GCP).
* Experience in dimensional data modeling.
* Excellent communication skills to bridge technical and business teams.
 The expected hiring range for The
 **Semantic Data Engineer is $115k–$135k** 
 depending on skills, experience, education, and training; relevant licensure / certifications; performance history; and work location. The bonus target for Semantic Data Engineer is 15%.  The current full salary range for the Architect II position is $104k Low/ $130k MRP / $169k High.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65">
      <c r="A165" t="inlineStr">
        <is>
          <t>li-4344570625</t>
        </is>
      </c>
      <c r="B165" t="inlineStr">
        <is>
          <t>Semantic Data Engineer</t>
        </is>
      </c>
      <c r="C165" t="inlineStr">
        <is>
          <t>Cambia Health Solutions</t>
        </is>
      </c>
      <c r="D165" t="inlineStr">
        <is>
          <t>linkedin</t>
        </is>
      </c>
      <c r="E165">
        <f>HYPERLINK("https://www.linkedin.com/jobs/view/4344570625", "https://www.linkedin.com/jobs/view/4344570625")</f>
        <v/>
      </c>
      <c r="F165">
        <f>HYPERLINK("https://cambiahealth.wd1.myworkdayjobs.com/External/job/Portland-OR/Semantic-Data-Engineer_R-5935?source=LinkedIn&amp;urlHash=PYeV", "https://cambiahealth.wd1.myworkdayjobs.com/External/job/Portland-OR/Semantic-Data-Engineer_R-5935?source=LinkedIn&amp;urlHash=PYeV")</f>
        <v/>
      </c>
      <c r="G165" t="inlineStr">
        <is>
          <t>Portland, OR</t>
        </is>
      </c>
      <c r="H165" t="inlineStr"/>
      <c r="I165" t="inlineStr">
        <is>
          <t>**SEMANTIC DATA ENGINEER (HEALTHCARE)**
 Hybrid \- within
 **Oregon, Washington, Idaho or Utah**
**Build a career with purpose. Join our** 
**Cause** 
**to create a person\-focused and economically sustainable health care system.**
**Who We Are Looking For**
 Every day, Cambia’s Data \&amp; Analytics Engineering Team is living our mission to make health care easier and lives better. We’re seeking a skilled Data and Analytics Engineer with significant experience engineering semantic layers to design, implement, expand and enhance our existing semantic layer within our Snowflake data platform to support AI\-driven semantic intelligence and BI for our health insurance payer organization. The role will focus on creating a robust, scalable semantic framework that enhances data discoverability, interoperability, and usability for AI and BI tools, enabling advanced analytics, predictive modeling, and actionable insights. This role will focus on implementing and optimizing semantic data models, ensuring seamless integration with AI workflows, and supporting advanced analytics initiatives. – all in service of making our members’ health journeys easier.
***If you're a motivated and experienced Semantic Engineer looking to make a difference in the healthcare industry, apply for this exciting opportunity today!***
**What You Bring To Cambia**
 Qualifications and Certifications:
* Bachelor’s degree in computer science, Mathematics, Business Administration, Engineering, or a related field
* 3\+ years relevant experience in a multi\-platform environment, including, but not limited to application development or database development
* At least 1 year working with Snowflake or similar cloud data platforms
* Equivalent combination of education and experience
**What You Will Do At Cambia (Not Limited To)**
* Implement Enterprise Semantic Models: Build and maintain semantic data models on Snowflake based on specifications from the Semantic Data Architect and Data Product Owner, ensuring alignment with business, analysis, and AI requirements.
* Data Pipeline Development: When necessary, develop and optimize ETL/ELT pipelines to populate the semantic layer, integrating data from diverse sources (e.g., claims, member data, third\-party feeds) using Snowflake’s capabilities.
* Analytics and AI Integration: Enable analytics and AI workflows by preparing and transforming data in the semantic layer for use in predictive models, natural language processing, and other analytics and AI applications.
* Performance Tuning: Optimize Snowflake queries and data structures (e.g., tables, views, materialized views) to ensure high performance for semantic data access.
* Data Quality and Validation: Implement data quality checks and validation processes to ensure the accuracy and reliability of the semantic layer.
* Collaboration: Work with data product owners, business analysts, the semantic data architect, data modelers, and data engineers to create and refine data models and troubleshoot issues in production environments.
* Automation and Monitoring: Automate semantic layer maintenance tasks and set up monitoring to ensure system reliability and performance.
**Skills And Attributes (Not Limited To)**
* Proficiency in SQL, Python, or other scripting languages for data processing and pipeline development.
* Experience using code repositories such as GitLab or GitHub and CI/CD\-based deployment.
* Experience with semantic technologies, including Snowflake semantic views, MicroStrategy, AtScale, or Business Objects universes and healthcare data standards (e.g., FHIR, HL7, ICD\-10\).
* Experience with semantic technologies, including Snowflake semantic views, Microstrategy, AtScale, or Business Objects universes, and familiarity with healthcare ontologies (e.g., SNOMED, LOINC, ICD\-10\).
* Strong understanding of analytics workflows and their data requirements.
* Experience with data governance, metadata management, and compliance in healthcare.
* Strong problem\-solving skills and experience with data pipeline tools (e.g., dbt, Snowflake’s OpenFlow, Airflow).
* Knowledge of healthcare regulations (e.g., HIPAA) and data security best practices.
* Preferred: Experience with Snowflake features like Streams, Tasks, or data sharing; familiarity with cloud platforms (AWS, Azure, or GCP).
* Experience in dimensional data modeling.
* Excellent communication skills to bridge technical and business teams.
 The expected hiring range for The
 **Semantic Data Engineer is $115k–$135k** 
 depending on skills, experience, education, and training; relevant licensure / certifications; performance history; and work location. The bonus target for Semantic Data Engineer is 15%.  The current full salary range for the Architect II position is $104k Low/ $130k MRP / $169k High.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66">
      <c r="A166" t="inlineStr">
        <is>
          <t>li-4318563595</t>
        </is>
      </c>
      <c r="B166" t="inlineStr">
        <is>
          <t>Staff Backend/Data Engineer (US East Coast)</t>
        </is>
      </c>
      <c r="C166" t="inlineStr">
        <is>
          <t>Docker, Inc</t>
        </is>
      </c>
      <c r="D166" t="inlineStr">
        <is>
          <t>linkedin</t>
        </is>
      </c>
      <c r="E166">
        <f>HYPERLINK("https://www.linkedin.com/jobs/view/4318563595", "https://www.linkedin.com/jobs/view/4318563595")</f>
        <v/>
      </c>
      <c r="F166">
        <f>HYPERLINK("https://jobs.ashbyhq.com/docker/24979a48-ef00-476e-a403-bd7771fdb9eb/application?utm_source=Linkedin+Posting&amp;urlHash=SfI8", "https://jobs.ashbyhq.com/docker/24979a48-ef00-476e-a403-bd7771fdb9eb/application?utm_source=Linkedin+Posting&amp;urlHash=SfI8")</f>
        <v/>
      </c>
      <c r="G166" t="inlineStr"/>
      <c r="H166" t="inlineStr"/>
      <c r="I166"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***This role is open to applicants residing on the U.S. East Coast.***
 We’re looking for a
 **Staff Backend/Data Engineer** 
 with deep data expertise—someone who thrives at the intersection of backend development, database engineering, and data infrastructure. This role is all about owning services end\-to\-end, from building and operating large\-scale data stores to designing resilient APIs.
 The Hub team is responsible for the performant search, distribution, discovery and management of Docker images and other OCI content on Docker Hub. We leverage open specifications and code to achieve this and work with partners and peers across the Cloud Native ecosystem. If you love working on data at scale, with challenges on both resiliency and performance then this role is for you!
**Responsibilities**
* Design and develop backend services with a strong emphasis on data integrity, scalability, and performance.
* Architect and operate data storage and serving layers at scale (Postgres, NoSQL, object stores, …).
* Collaborate with product and data teams to ensure APIs and services serve data reliably and efficiently.
* Own systems end\-to\-end, from schema design to deployment and monitoring in production.
**Qualifications**
* Deep knowledge in databases and storage systems like Postgres, DynamoDB, Elastic Search, S3\. Experience is required for building and running those at scale.
* 5\+ years experience building, deploying, and monitoring SaaS services on top of cloud infrastructure (AWS, Azure, GCP, etc.)
* Proficiency in modern programming languages. We love to work with Go.
* Comfortable following software engineering best practices such as code review, source control, continuous integration, and testing
* Comfortable with a high degree of autonomy (self\-motivated, organized) and the ability to work remotely across time zones
**What We’re Looking For**
* A backend engineer with massive experience in databases and data systems—or a data engineer/DBA who enjoys building APIs and backend services.
* Strong expertise in data modeling, query optimization, and performance tuning.
* Experience running production\-grade data stores and services at scale.
* Proficiency in at least one backend language/framework (e.g., Go, Python, Java, Node.js).
* A mindset for reliability, automation, and scalability.
**What To Expect**
**First 30 days**
* Meet the team
* Understand the team mission
* Start diving into a part of the code base
* Ship a small change
**First 90 days**
* Feel comfortable in a part of the code base
* Meet people across the company
* Ship a more major change
* Have demoed something you worked on at the internal Product Development demos
* Attended a customer call
**One Year Outlook**
* Have autonomy/ownership over an area (level dependent)
* Helped shape the direction of Docker Hub and the registry (level dependent)
* Have worked with other teams at Docker on delivering an end to end feature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€103K \- €155\.7K</t>
        </is>
      </c>
    </row>
    <row r="167">
      <c r="A167" t="inlineStr">
        <is>
          <t>li-4344660182</t>
        </is>
      </c>
      <c r="B167" t="inlineStr">
        <is>
          <t>Semantic Data Engineer</t>
        </is>
      </c>
      <c r="C167" t="inlineStr">
        <is>
          <t>Cambia Health Solutions</t>
        </is>
      </c>
      <c r="D167" t="inlineStr">
        <is>
          <t>linkedin</t>
        </is>
      </c>
      <c r="E167">
        <f>HYPERLINK("https://www.linkedin.com/jobs/view/4344660182", "https://www.linkedin.com/jobs/view/4344660182")</f>
        <v/>
      </c>
      <c r="F167" t="inlineStr"/>
      <c r="G167" t="inlineStr">
        <is>
          <t>Lewiston, ID</t>
        </is>
      </c>
      <c r="H167" t="inlineStr"/>
      <c r="I167" t="inlineStr">
        <is>
          <t>**SEMANTIC DATA ENGINEER (HEALTHCARE)**
 Hybrid \- within
 **Oregon, Washington, Idaho or Utah**
**Build a career with purpose. Join our** 
**Cause** 
**to create a person\-focused and economically sustainable health care system.**
**Who We Are Looking For**
 Every day, Cambia’s Data \&amp; Analytics Engineering Team is living our mission to make health care easier and lives better. We’re seeking a skilled Data and Analytics Engineer with significant experience engineering semantic layers to design, implement, expand and enhance our existing semantic layer within our Snowflake data platform to support AI\-driven semantic intelligence and BI for our health insurance payer organization. The role will focus on creating a robust, scalable semantic framework that enhances data discoverability, interoperability, and usability for AI and BI tools, enabling advanced analytics, predictive modeling, and actionable insights. This role will focus on implementing and optimizing semantic data models, ensuring seamless integration with AI workflows, and supporting advanced analytics initiatives. – all in service of making our members’ health journeys easier.
***If you're a motivated and experienced Semantic Engineer looking to make a difference in the healthcare industry, apply for this exciting opportunity today!***
**What You Bring To Cambia**
 Qualifications and Certifications:
* Bachelor’s degree in computer science, Mathematics, Business Administration, Engineering, or a related field
* 3\+ years relevant experience in a multi\-platform environment, including, but not limited to application development or database development
* At least 1 year working with Snowflake or similar cloud data platforms
* Equivalent combination of education and experience
**What You Will Do At Cambia (Not Limited To)**
* Implement Enterprise Semantic Models: Build and maintain semantic data models on Snowflake based on specifications from the Semantic Data Architect and Data Product Owner, ensuring alignment with business, analysis, and AI requirements.
* Data Pipeline Development: When necessary, develop and optimize ETL/ELT pipelines to populate the semantic layer, integrating data from diverse sources (e.g., claims, member data, third\-party feeds) using Snowflake’s capabilities.
* Analytics and AI Integration: Enable analytics and AI workflows by preparing and transforming data in the semantic layer for use in predictive models, natural language processing, and other analytics and AI applications.
* Performance Tuning: Optimize Snowflake queries and data structures (e.g., tables, views, materialized views) to ensure high performance for semantic data access.
* Data Quality and Validation: Implement data quality checks and validation processes to ensure the accuracy and reliability of the semantic layer.
* Collaboration: Work with data product owners, business analysts, the semantic data architect, data modelers, and data engineers to create and refine data models and troubleshoot issues in production environments.
* Automation and Monitoring: Automate semantic layer maintenance tasks and set up monitoring to ensure system reliability and performance.
**Skills And Attributes (Not Limited To)**
* Proficiency in SQL, Python, or other scripting languages for data processing and pipeline development.
* Experience using code repositories such as GitLab or GitHub and CI/CD\-based deployment.
* Experience with semantic technologies, including Snowflake semantic views, MicroStrategy, AtScale, or Business Objects universes and healthcare data standards (e.g., FHIR, HL7, ICD\-10\).
* Experience with semantic technologies, including Snowflake semantic views, Microstrategy, AtScale, or Business Objects universes, and familiarity with healthcare ontologies (e.g., SNOMED, LOINC, ICD\-10\).
* Strong understanding of analytics workflows and their data requirements.
* Experience with data governance, metadata management, and compliance in healthcare.
* Strong problem\-solving skills and experience with data pipeline tools (e.g., dbt, Snowflake’s OpenFlow, Airflow).
* Knowledge of healthcare regulations (e.g., HIPAA) and data security best practices.
* Preferred: Experience with Snowflake features like Streams, Tasks, or data sharing; familiarity with cloud platforms (AWS, Azure, or GCP).
* Experience in dimensional data modeling.
* Excellent communication skills to bridge technical and business teams.
 The expected hiring range for The
 **Semantic Data Engineer is $115k–$135k** 
 depending on skills, experience, education, and training; relevant licensure / certifications; performance history; and work location. The bonus target for Semantic Data Engineer is 15%.  The current full salary range for the Architect II position is $104k Low/ $130k MRP / $169k High.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68">
      <c r="A168" t="inlineStr">
        <is>
          <t>li-4331548368</t>
        </is>
      </c>
      <c r="B168" t="inlineStr">
        <is>
          <t>DATA ENGINEER</t>
        </is>
      </c>
      <c r="C168" t="inlineStr">
        <is>
          <t>Jobs via Dice</t>
        </is>
      </c>
      <c r="D168" t="inlineStr">
        <is>
          <t>linkedin</t>
        </is>
      </c>
      <c r="E168">
        <f>HYPERLINK("https://www.linkedin.com/jobs/view/4331548368", "https://www.linkedin.com/jobs/view/4331548368")</f>
        <v/>
      </c>
      <c r="F168">
        <f>HYPERLINK("https://click.appcast.io/t/zNyixjj3jRgkoQl4adwzwGzWsF6SRXIU7jlQd7dMA0c=&amp;urlHash=WoL3", "https://click.appcast.io/t/zNyixjj3jRgkoQl4adwzwGzWsF6SRXIU7jlQd7dMA0c=&amp;urlHash=WoL3")</f>
        <v/>
      </c>
      <c r="G168" t="inlineStr">
        <is>
          <t>Texas City, TX</t>
        </is>
      </c>
      <c r="H168" t="inlineStr"/>
      <c r="I168" t="inlineStr">
        <is>
          <t>Dice is the leading career destination for tech experts at every stage of their careers. Our client, AaraTechnologies Inc, is seeking the following. Apply via Dice today!
**Company:** 
 AaraTech Inc
**Experience:** 
 1\- 2 Years
**About the Role:**
 AaraTech Inc is seeking a
 **Healthcare Data Engineer** 
 to support the development and maintenance of data pipelines and integrations for healthcare systems. This role is ideal for early\-career professionals who want hands\-on experience working with healthcare data, clinical and claims datasets, and cloud\-based data platforms while supporting analytics, reporting, and compliance initiatives.
**Key Responsibilities:**
* Develop, maintain, and optimize ETL/ELT pipelines for healthcare data ingestion and transformation.
* Work with healthcare data sources such as EHR/EMR, claims, clinical, and operational datasets.
* Support data modeling, integration, and schema design aligned with healthcare use cases.
* Collaborate with analysts, data scientists, and healthcare stakeholders to deliver reliable datasets.
* Perform data validation, quality checks, and reconciliation to ensure data accuracy.
* Assist in managing cloud data environments (AWS, Azure, or Google Cloud Platform) for healthcare analytics.
* Support healthcare data standards and interoperability formats (HL7, FHIR exposure preferred).
* Maintain documentation for data pipelines, workflows, and healthcare data definitions.
* Monitor performance and optimize queries and data workflows for reporting and analytics.
**Skills \&amp; Qualifications:**
* 1\- 2 years of experience as a Data Engineer or similar data\-focused role.
* Strong experience with SQL and relational databases.
* Knowledge of Python for data processing and automation.
* Understanding of ETL tools, data pipelines, and data warehousing concepts.
* Exposure to cloud platforms (AWS, Google Cloud Platform, or Azure) and services such as S3, BigQuery, Azure Data Lake.
* Familiarity with Apache Spark, Airflow, or similar frameworks (preferred).
* Basic understanding of healthcare data domains (clinical, claims, provider, or patient data).
* Awareness of healthcare compliance standards such as HIPAA (preferred).
* Strong problem\-solving, debugging, and analytical skills.
* Ability to collaborate with cross\-functional data, analytics, and healthcare teams.
**Why Join AaraTech Inc?**
* Excellent opportunity to build a career in Healthcare Data Engineering.
* Work with modern data tools and healthcare cloud technologies.
* Supportive team environment with mentorship.
* Competitive salary and benefits.
* Remote\-friendly role with training and certification support.</t>
        </is>
      </c>
    </row>
    <row r="169">
      <c r="A169" t="inlineStr">
        <is>
          <t>li-4344469967</t>
        </is>
      </c>
      <c r="B169" t="inlineStr">
        <is>
          <t>Semantic Data Engineer</t>
        </is>
      </c>
      <c r="C169" t="inlineStr">
        <is>
          <t>Cambia Health Solutions</t>
        </is>
      </c>
      <c r="D169" t="inlineStr">
        <is>
          <t>linkedin</t>
        </is>
      </c>
      <c r="E169">
        <f>HYPERLINK("https://www.linkedin.com/jobs/view/4344469967", "https://www.linkedin.com/jobs/view/4344469967")</f>
        <v/>
      </c>
      <c r="F169" t="inlineStr"/>
      <c r="G169" t="inlineStr">
        <is>
          <t>Burlington, WA</t>
        </is>
      </c>
      <c r="H169" t="inlineStr"/>
      <c r="I169" t="inlineStr">
        <is>
          <t>**SEMANTIC DATA ENGINEER (HEALTHCARE)**
 Hybrid \- within
 **Oregon, Washington, Idaho or Utah**
**Build a career with purpose. Join our** 
**Cause** 
**to create a person\-focused and economically sustainable health care system.**
**Who We Are Looking For**
 Every day, Cambia’s Data \&amp; Analytics Engineering Team is living our mission to make health care easier and lives better. We’re seeking a skilled Data and Analytics Engineer with significant experience engineering semantic layers to design, implement, expand and enhance our existing semantic layer within our Snowflake data platform to support AI\-driven semantic intelligence and BI for our health insurance payer organization. The role will focus on creating a robust, scalable semantic framework that enhances data discoverability, interoperability, and usability for AI and BI tools, enabling advanced analytics, predictive modeling, and actionable insights. This role will focus on implementing and optimizing semantic data models, ensuring seamless integration with AI workflows, and supporting advanced analytics initiatives. – all in service of making our members’ health journeys easier.
***If you're a motivated and experienced Semantic Engineer looking to make a difference in the healthcare industry, apply for this exciting opportunity today!***
**What You Bring To Cambia**
 Qualifications and Certifications:
* Bachelor’s degree in computer science, Mathematics, Business Administration, Engineering, or a related field
* 3\+ years relevant experience in a multi\-platform environment, including, but not limited to application development or database development
* At least 1 year working with Snowflake or similar cloud data platforms
* Equivalent combination of education and experience
**What You Will Do At Cambia (Not Limited To)**
* Implement Enterprise Semantic Models: Build and maintain semantic data models on Snowflake based on specifications from the Semantic Data Architect and Data Product Owner, ensuring alignment with business, analysis, and AI requirements.
* Data Pipeline Development: When necessary, develop and optimize ETL/ELT pipelines to populate the semantic layer, integrating data from diverse sources (e.g., claims, member data, third\-party feeds) using Snowflake’s capabilities.
* Analytics and AI Integration: Enable analytics and AI workflows by preparing and transforming data in the semantic layer for use in predictive models, natural language processing, and other analytics and AI applications.
* Performance Tuning: Optimize Snowflake queries and data structures (e.g., tables, views, materialized views) to ensure high performance for semantic data access.
* Data Quality and Validation: Implement data quality checks and validation processes to ensure the accuracy and reliability of the semantic layer.
* Collaboration: Work with data product owners, business analysts, the semantic data architect, data modelers, and data engineers to create and refine data models and troubleshoot issues in production environments.
* Automation and Monitoring: Automate semantic layer maintenance tasks and set up monitoring to ensure system reliability and performance.
**Skills And Attributes (Not Limited To)**
* Proficiency in SQL, Python, or other scripting languages for data processing and pipeline development.
* Experience using code repositories such as GitLab or GitHub and CI/CD\-based deployment.
* Experience with semantic technologies, including Snowflake semantic views, MicroStrategy, AtScale, or Business Objects universes and healthcare data standards (e.g., FHIR, HL7, ICD\-10\).
* Experience with semantic technologies, including Snowflake semantic views, Microstrategy, AtScale, or Business Objects universes, and familiarity with healthcare ontologies (e.g., SNOMED, LOINC, ICD\-10\).
* Strong understanding of analytics workflows and their data requirements.
* Experience with data governance, metadata management, and compliance in healthcare.
* Strong problem\-solving skills and experience with data pipeline tools (e.g., dbt, Snowflake’s OpenFlow, Airflow).
* Knowledge of healthcare regulations (e.g., HIPAA) and data security best practices.
* Preferred: Experience with Snowflake features like Streams, Tasks, or data sharing; familiarity with cloud platforms (AWS, Azure, or GCP).
* Experience in dimensional data modeling.
* Excellent communication skills to bridge technical and business teams.
 The expected hiring range for The
 **Semantic Data Engineer is $115k–$135k** 
 depending on skills, experience, education, and training; relevant licensure / certifications; performance history; and work location. The bonus target for Semantic Data Engineer is 15%.  The current full salary range for the Architect II position is $104k Low/ $130k MRP / $169k High.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70">
      <c r="A170" t="inlineStr">
        <is>
          <t>li-4344499527</t>
        </is>
      </c>
      <c r="B170" t="inlineStr">
        <is>
          <t>Semantic Data Engineer</t>
        </is>
      </c>
      <c r="C170" t="inlineStr">
        <is>
          <t>Cambia Health Solutions</t>
        </is>
      </c>
      <c r="D170" t="inlineStr">
        <is>
          <t>linkedin</t>
        </is>
      </c>
      <c r="E170">
        <f>HYPERLINK("https://www.linkedin.com/jobs/view/4344499527", "https://www.linkedin.com/jobs/view/4344499527")</f>
        <v/>
      </c>
      <c r="F170" t="inlineStr"/>
      <c r="G170" t="inlineStr">
        <is>
          <t>Boise, ID</t>
        </is>
      </c>
      <c r="H170" t="inlineStr"/>
      <c r="I170" t="inlineStr">
        <is>
          <t>**SEMANTIC DATA ENGINEER (HEALTHCARE)**
 Hybrid \- within
 **Oregon, Washington, Idaho or Utah**
**Build a career with purpose. Join our** 
**Cause** 
**to create a person\-focused and economically sustainable health care system.**
**Who We Are Looking For**
 Every day, Cambia’s Data \&amp; Analytics Engineering Team is living our mission to make health care easier and lives better. We’re seeking a skilled Data and Analytics Engineer with significant experience engineering semantic layers to design, implement, expand and enhance our existing semantic layer within our Snowflake data platform to support AI\-driven semantic intelligence and BI for our health insurance payer organization. The role will focus on creating a robust, scalable semantic framework that enhances data discoverability, interoperability, and usability for AI and BI tools, enabling advanced analytics, predictive modeling, and actionable insights. This role will focus on implementing and optimizing semantic data models, ensuring seamless integration with AI workflows, and supporting advanced analytics initiatives. – all in service of making our members’ health journeys easier.
***If you're a motivated and experienced Semantic Engineer looking to make a difference in the healthcare industry, apply for this exciting opportunity today!***
**What You Bring To Cambia**
 Qualifications and Certifications:
* Bachelor’s degree in computer science, Mathematics, Business Administration, Engineering, or a related field
* 3\+ years relevant experience in a multi\-platform environment, including, but not limited to application development or database development
* At least 1 year working with Snowflake or similar cloud data platforms
* Equivalent combination of education and experience
**What You Will Do At Cambia (Not Limited To)**
* Implement Enterprise Semantic Models: Build and maintain semantic data models on Snowflake based on specifications from the Semantic Data Architect and Data Product Owner, ensuring alignment with business, analysis, and AI requirements.
* Data Pipeline Development: When necessary, develop and optimize ETL/ELT pipelines to populate the semantic layer, integrating data from diverse sources (e.g., claims, member data, third\-party feeds) using Snowflake’s capabilities.
* Analytics and AI Integration: Enable analytics and AI workflows by preparing and transforming data in the semantic layer for use in predictive models, natural language processing, and other analytics and AI applications.
* Performance Tuning: Optimize Snowflake queries and data structures (e.g., tables, views, materialized views) to ensure high performance for semantic data access.
* Data Quality and Validation: Implement data quality checks and validation processes to ensure the accuracy and reliability of the semantic layer.
* Collaboration: Work with data product owners, business analysts, the semantic data architect, data modelers, and data engineers to create and refine data models and troubleshoot issues in production environments.
* Automation and Monitoring: Automate semantic layer maintenance tasks and set up monitoring to ensure system reliability and performance.
**Skills And Attributes (Not Limited To)**
* Proficiency in SQL, Python, or other scripting languages for data processing and pipeline development.
* Experience using code repositories such as GitLab or GitHub and CI/CD\-based deployment.
* Experience with semantic technologies, including Snowflake semantic views, MicroStrategy, AtScale, or Business Objects universes and healthcare data standards (e.g., FHIR, HL7, ICD\-10\).
* Experience with semantic technologies, including Snowflake semantic views, Microstrategy, AtScale, or Business Objects universes, and familiarity with healthcare ontologies (e.g., SNOMED, LOINC, ICD\-10\).
* Strong understanding of analytics workflows and their data requirements.
* Experience with data governance, metadata management, and compliance in healthcare.
* Strong problem\-solving skills and experience with data pipeline tools (e.g., dbt, Snowflake’s OpenFlow, Airflow).
* Knowledge of healthcare regulations (e.g., HIPAA) and data security best practices.
* Preferred: Experience with Snowflake features like Streams, Tasks, or data sharing; familiarity with cloud platforms (AWS, Azure, or GCP).
* Experience in dimensional data modeling.
* Excellent communication skills to bridge technical and business teams.
 The expected hiring range for The
 **Semantic Data Engineer is $115k–$135k** 
 depending on skills, experience, education, and training; relevant licensure / certifications; performance history; and work location. The bonus target for Semantic Data Engineer is 15%.  The current full salary range for the Architect II position is $104k Low/ $130k MRP / $169k High.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71">
      <c r="A171" t="inlineStr">
        <is>
          <t>li-4344479870</t>
        </is>
      </c>
      <c r="B171" t="inlineStr">
        <is>
          <t>Semantic Data Engineer</t>
        </is>
      </c>
      <c r="C171" t="inlineStr">
        <is>
          <t>Cambia Health Solutions</t>
        </is>
      </c>
      <c r="D171" t="inlineStr">
        <is>
          <t>linkedin</t>
        </is>
      </c>
      <c r="E171">
        <f>HYPERLINK("https://www.linkedin.com/jobs/view/4344479870", "https://www.linkedin.com/jobs/view/4344479870")</f>
        <v/>
      </c>
      <c r="F171" t="inlineStr"/>
      <c r="G171" t="inlineStr">
        <is>
          <t>Coeur d'Alene, ID</t>
        </is>
      </c>
      <c r="H171" t="inlineStr"/>
      <c r="I171" t="inlineStr">
        <is>
          <t>**SEMANTIC DATA ENGINEER (HEALTHCARE)**
 Hybrid \- within
 **Oregon, Washington, Idaho or Utah**
**Build a career with purpose. Join our** 
**Cause** 
**to create a person\-focused and economically sustainable health care system.**
**Who We Are Looking For**
 Every day, Cambia’s Data \&amp; Analytics Engineering Team is living our mission to make health care easier and lives better. We’re seeking a skilled Data and Analytics Engineer with significant experience engineering semantic layers to design, implement, expand and enhance our existing semantic layer within our Snowflake data platform to support AI\-driven semantic intelligence and BI for our health insurance payer organization. The role will focus on creating a robust, scalable semantic framework that enhances data discoverability, interoperability, and usability for AI and BI tools, enabling advanced analytics, predictive modeling, and actionable insights. This role will focus on implementing and optimizing semantic data models, ensuring seamless integration with AI workflows, and supporting advanced analytics initiatives. – all in service of making our members’ health journeys easier.
***If you're a motivated and experienced Semantic Engineer looking to make a difference in the healthcare industry, apply for this exciting opportunity today!***
**What You Bring To Cambia**
 Qualifications and Certifications:
* Bachelor’s degree in computer science, Mathematics, Business Administration, Engineering, or a related field
* 3\+ years relevant experience in a multi\-platform environment, including, but not limited to application development or database development
* At least 1 year working with Snowflake or similar cloud data platforms
* Equivalent combination of education and experience
**What You Will Do At Cambia (Not Limited To)**
* Implement Enterprise Semantic Models: Build and maintain semantic data models on Snowflake based on specifications from the Semantic Data Architect and Data Product Owner, ensuring alignment with business, analysis, and AI requirements.
* Data Pipeline Development: When necessary, develop and optimize ETL/ELT pipelines to populate the semantic layer, integrating data from diverse sources (e.g., claims, member data, third\-party feeds) using Snowflake’s capabilities.
* Analytics and AI Integration: Enable analytics and AI workflows by preparing and transforming data in the semantic layer for use in predictive models, natural language processing, and other analytics and AI applications.
* Performance Tuning: Optimize Snowflake queries and data structures (e.g., tables, views, materialized views) to ensure high performance for semantic data access.
* Data Quality and Validation: Implement data quality checks and validation processes to ensure the accuracy and reliability of the semantic layer.
* Collaboration: Work with data product owners, business analysts, the semantic data architect, data modelers, and data engineers to create and refine data models and troubleshoot issues in production environments.
* Automation and Monitoring: Automate semantic layer maintenance tasks and set up monitoring to ensure system reliability and performance.
**Skills And Attributes (Not Limited To)**
* Proficiency in SQL, Python, or other scripting languages for data processing and pipeline development.
* Experience using code repositories such as GitLab or GitHub and CI/CD\-based deployment.
* Experience with semantic technologies, including Snowflake semantic views, MicroStrategy, AtScale, or Business Objects universes and healthcare data standards (e.g., FHIR, HL7, ICD\-10\).
* Experience with semantic technologies, including Snowflake semantic views, Microstrategy, AtScale, or Business Objects universes, and familiarity with healthcare ontologies (e.g., SNOMED, LOINC, ICD\-10\).
* Strong understanding of analytics workflows and their data requirements.
* Experience with data governance, metadata management, and compliance in healthcare.
* Strong problem\-solving skills and experience with data pipeline tools (e.g., dbt, Snowflake’s OpenFlow, Airflow).
* Knowledge of healthcare regulations (e.g., HIPAA) and data security best practices.
* Preferred: Experience with Snowflake features like Streams, Tasks, or data sharing; familiarity with cloud platforms (AWS, Azure, or GCP).
* Experience in dimensional data modeling.
* Excellent communication skills to bridge technical and business teams.
 The expected hiring range for The
 **Semantic Data Engineer is $115k–$135k** 
 depending on skills, experience, education, and training; relevant licensure / certifications; performance history; and work location. The bonus target for Semantic Data Engineer is 15%.  The current full salary range for the Architect II position is $104k Low/ $130k MRP / $169k High.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72">
      <c r="A172" t="inlineStr">
        <is>
          <t>li-4331528387</t>
        </is>
      </c>
      <c r="B172" t="inlineStr">
        <is>
          <t>Sr. Data Engineer</t>
        </is>
      </c>
      <c r="C172" t="inlineStr">
        <is>
          <t>Jobs via Dice</t>
        </is>
      </c>
      <c r="D172" t="inlineStr">
        <is>
          <t>linkedin</t>
        </is>
      </c>
      <c r="E172">
        <f>HYPERLINK("https://www.linkedin.com/jobs/view/4331528387", "https://www.linkedin.com/jobs/view/4331528387")</f>
        <v/>
      </c>
      <c r="F172">
        <f>HYPERLINK("https://click.appcast.io/t/em-OLHDdFIbIZXKQbGcYMT6WinKEDDqUcEvw6UzSRnw=&amp;urlHash=k5-8", "https://click.appcast.io/t/em-OLHDdFIbIZXKQbGcYMT6WinKEDDqUcEvw6UzSRnw=&amp;urlHash=k5-8")</f>
        <v/>
      </c>
      <c r="G172" t="inlineStr"/>
      <c r="H172" t="inlineStr"/>
      <c r="I172" t="inlineStr">
        <is>
          <t>Dice is the leading career destination for tech experts at every stage of their careers. Our client, Amtex System Inc., is seeking the following. Apply via Dice today!
 Amtex Systems Inc is an information technology and talent solutions company offering talent and BI consulting to the companies in US for over 25 years.
 Our solutions are designed to fill resource gaps, by providing the right candidates who deliver value to the organization. Our propensity to nurture and build strong relationships with our clients helps us better understand their business demands and gives us the ability to provide services that are on time and rise above the rest.
 Sr. Data Engineer
 5\+ years of experience in data engineering, building and scaling modern data pipelines and models.
**Advanced proficiency in SQL and Python for data transformation, automation, and performance tuning.**
**Deep hands\-on experience with Snowflake, dbt, and orchestration tools like Airflow.**
**Prior Product Experience**
**Senior level to work independently**
 Strong knowledge with Fivetran, AWS, and Docker.
 Strong understanding of data modeling, warehousing, and CI/CD workflows.
 Clear written and verbal communication skills, including the ability to document and present technical work effectively to engineering teams and business stakeholders.
 Experience with unstructured data (JSON, Parquet, Avro).
 Exposure to containerization and infrastructure\-as\-code concepts.
**Healthcare Or Regulated Industry Experience Preferred.**
 What You'll Need to Succeed
 Commitment to data governance, documentation, and data quality.
 Ownership mindset and accountability for delivering reliable solutions.
 Strong analytical and problem\-solving abilities with attention to detail.
 Adaptable and proactive learner in a fast\-evolving technical environment.
 Effective communicator with both technical and non\-technical stakeholders.</t>
        </is>
      </c>
    </row>
    <row r="173">
      <c r="A173" t="inlineStr">
        <is>
          <t>li-4332266318</t>
        </is>
      </c>
      <c r="B173" t="inlineStr">
        <is>
          <t>Entry Level Data Engineer</t>
        </is>
      </c>
      <c r="C173" t="inlineStr">
        <is>
          <t>Jobs via Dice</t>
        </is>
      </c>
      <c r="D173" t="inlineStr">
        <is>
          <t>linkedin</t>
        </is>
      </c>
      <c r="E173">
        <f>HYPERLINK("https://www.linkedin.com/jobs/view/4332266318", "https://www.linkedin.com/jobs/view/4332266318")</f>
        <v/>
      </c>
      <c r="F173" t="inlineStr"/>
      <c r="G173" t="inlineStr">
        <is>
          <t>New York, NY</t>
        </is>
      </c>
      <c r="H173" t="inlineStr"/>
      <c r="I173" t="inlineStr">
        <is>
          <t>Dice is the leading career destination for tech experts at every stage of their careers. Our client, Genesis10, is seeking the following. Apply via Dice today!
 To apply, please submit a formal application through our website:
 **Dev10 Apply Here**
 Please note: Applications submitted through this job posting will not be reviewed. You must apply via our site.
**Important:** 
 This role requires willingness to relocate anywhere in the United States.
 Are you ready to break into the tech industry or take your technical skills to the next level? Dev10 provides a path for individuals who have a foundation in technical skills or professional experience and are eager to continue growing. Whether you've earned a technical degree, gained hands\-on programming experience, or worked professionally in industries like finance, healthcare, or insurance \- Dev10 is your opportunity to upskill and launch a career in Data Engineering.
 Dev10 provides a pathway for motivated learners to gain real\-world experience while developing technical skills through immersive training. Whether you're growing your existing programming knowledge or starting to build those skills for the first time, Dev10 equips you with the tools to succeed. You'll train in technologies including Relational and Non\-Relational Databases, APIs, Python, Pandas, Excel, Dash, Kafka, Airflow, Apache Spark, and Machine Learning.
 Now hiring for our Data Engineer cohort starting
 **April 2026\.**
 To apply, please submit a formal application through our website:
 **Dev10 Apply Here**
**What We Require** 
* Willingness to relocate anywhere in the continental United States
* Authorization to work in the United States without current or future visa sponsorship
* Bachelor's degree
* Programming experience (minimum 6 months), shown on your resume, from academic coursework, hands\-on projects, or professional work. Experience must be in one or more of the following languages: Java, Python, C, C\#, C , JavaScript, R, SQL, MATLAB, Mathematica, TypeScript, Shell scripting, Go, or Kotlin.
* Plus one of the following, clearly listed on your resume:
+ A recent STEM degree (e.g., Computer Science, Information Technology, Engineering, or a related discipline)
+ OR 12 months of professional work experience in finance, healthcare, banking, insurance, hospitality, aviation, or tech
**What We Look For**
* Passion for learning and interest in Data Engineering
* Strong logic and reasoning skills
* Clear communication and collaboration abilities
* Team\-oriented mindset
**What We Offer**
* Paid training (3\-4 months) to build technical skills needed from the ground up \- $600/week
* Mentorship and instruction from Senior Engineers in an immersive, hands\-on environment
* $2,500 relocation assistance
* Two years of client project experience
* Hourly pay rate of $24\.04 (\~$50k annually) or $28\.85 (\~$60k annually) depending on assigned location
* Dev10 Manager to help you navigate corporate culture and support your growth
* Comprehensive benefits: health, vision, dental, 401(k), and paid time off
 Curious if a career in Data Engineering is right for you?
 Let's explore this career path together!
 To apply, please submit a formal application through our website:
 **Dev10 Apply Here**
 Please note: Applications submitted through this job posting will not be reviewed. You must apply via our site.
 For more information on Dev10, check out our website at</t>
        </is>
      </c>
    </row>
    <row r="174">
      <c r="A174" t="inlineStr">
        <is>
          <t>li-4344640407</t>
        </is>
      </c>
      <c r="B174" t="inlineStr">
        <is>
          <t>Semantic Data Engineer</t>
        </is>
      </c>
      <c r="C174" t="inlineStr">
        <is>
          <t>Cambia Health Solutions</t>
        </is>
      </c>
      <c r="D174" t="inlineStr">
        <is>
          <t>linkedin</t>
        </is>
      </c>
      <c r="E174">
        <f>HYPERLINK("https://www.linkedin.com/jobs/view/4344640407", "https://www.linkedin.com/jobs/view/4344640407")</f>
        <v/>
      </c>
      <c r="F174" t="inlineStr"/>
      <c r="G174" t="inlineStr">
        <is>
          <t>Salt Lake City, UT</t>
        </is>
      </c>
      <c r="H174" t="inlineStr"/>
      <c r="I174" t="inlineStr">
        <is>
          <t>**SEMANTIC DATA ENGINEER (HEALTHCARE)**
 Hybrid \- within
 **Oregon, Washington, Idaho or Utah**
**Build a career with purpose. Join our** 
**Cause** 
**to create a person\-focused and economically sustainable health care system.**
**Who We Are Looking For**
 Every day, Cambia’s Data \&amp; Analytics Engineering Team is living our mission to make health care easier and lives better. We’re seeking a skilled Data and Analytics Engineer with significant experience engineering semantic layers to design, implement, expand and enhance our existing semantic layer within our Snowflake data platform to support AI\-driven semantic intelligence and BI for our health insurance payer organization. The role will focus on creating a robust, scalable semantic framework that enhances data discoverability, interoperability, and usability for AI and BI tools, enabling advanced analytics, predictive modeling, and actionable insights. This role will focus on implementing and optimizing semantic data models, ensuring seamless integration with AI workflows, and supporting advanced analytics initiatives. – all in service of making our members’ health journeys easier.
***If you're a motivated and experienced Semantic Engineer looking to make a difference in the healthcare industry, apply for this exciting opportunity today!***
**What You Bring To Cambia**
 Qualifications and Certifications:
* Bachelor’s degree in computer science, Mathematics, Business Administration, Engineering, or a related field
* 3\+ years relevant experience in a multi\-platform environment, including, but not limited to application development or database development
* At least 1 year working with Snowflake or similar cloud data platforms
* Equivalent combination of education and experience
**What You Will Do At Cambia (Not Limited To)**
* Implement Enterprise Semantic Models: Build and maintain semantic data models on Snowflake based on specifications from the Semantic Data Architect and Data Product Owner, ensuring alignment with business, analysis, and AI requirements.
* Data Pipeline Development: When necessary, develop and optimize ETL/ELT pipelines to populate the semantic layer, integrating data from diverse sources (e.g., claims, member data, third\-party feeds) using Snowflake’s capabilities.
* Analytics and AI Integration: Enable analytics and AI workflows by preparing and transforming data in the semantic layer for use in predictive models, natural language processing, and other analytics and AI applications.
* Performance Tuning: Optimize Snowflake queries and data structures (e.g., tables, views, materialized views) to ensure high performance for semantic data access.
* Data Quality and Validation: Implement data quality checks and validation processes to ensure the accuracy and reliability of the semantic layer.
* Collaboration: Work with data product owners, business analysts, the semantic data architect, data modelers, and data engineers to create and refine data models and troubleshoot issues in production environments.
* Automation and Monitoring: Automate semantic layer maintenance tasks and set up monitoring to ensure system reliability and performance.
**Skills And Attributes (Not Limited To)**
* Proficiency in SQL, Python, or other scripting languages for data processing and pipeline development.
* Experience using code repositories such as GitLab or GitHub and CI/CD\-based deployment.
* Experience with semantic technologies, including Snowflake semantic views, MicroStrategy, AtScale, or Business Objects universes and healthcare data standards (e.g., FHIR, HL7, ICD\-10\).
* Experience with semantic technologies, including Snowflake semantic views, Microstrategy, AtScale, or Business Objects universes, and familiarity with healthcare ontologies (e.g., SNOMED, LOINC, ICD\-10\).
* Strong understanding of analytics workflows and their data requirements.
* Experience with data governance, metadata management, and compliance in healthcare.
* Strong problem\-solving skills and experience with data pipeline tools (e.g., dbt, Snowflake’s OpenFlow, Airflow).
* Knowledge of healthcare regulations (e.g., HIPAA) and data security best practices.
* Preferred: Experience with Snowflake features like Streams, Tasks, or data sharing; familiarity with cloud platforms (AWS, Azure, or GCP).
* Experience in dimensional data modeling.
* Excellent communication skills to bridge technical and business teams.
 The expected hiring range for The
 **Semantic Data Engineer is $115k–$135k** 
 depending on skills, experience, education, and training; relevant licensure / certifications; performance history; and work location. The bonus target for Semantic Data Engineer is 15%.  The current full salary range for the Architect II position is $104k Low/ $130k MRP / $169k High.
**About Cambia**
 Working at Cambia means being part of a purpose\-driven, award\-winning culture built on trust and innovation anchored in our 100\+ year history. Our caring and supportive colleagues are some of the best and brightest in the industry, innovating together toward sustainable, person\-focused health care. Whether we're helping members, lending a hand to a colleague or volunteering in our communities, our compassion, empathy and team spirit always shine through.
**Why Join the Cambia Team?**
**At Cambia, You Can**
* Work alongside diverse teams building cutting\-edge solutions to transform health care.
* Earn a competitive salary and enjoy generous benefits while doing work that changes lives.
* Grow your career with a company committed to helping you succeed.
* Give back to your community by participating in Cambia\-supported outreach programs.
* Connect with colleagues who share similar interests and backgrounds through our employee resource groups.
 We believe a career at Cambia is more than just a paycheck – and your compensation should be too. Our compensation package includes competitive base pay as well as a market\-leading 401(k) with a significant company match, bonus opportunities and more.
**Benefits**
 In exchange for helping members live healthy lives, we offer benefits that empower you to do the same. Just a few highlights include:
* Medical, dental and vision coverage for employees and their eligible family members, including mental health benefits.
* Annual employer contribution to a health savings account.
* Generous paid time off varying by role and tenure in addition to 10 company\-paid holidays.
* Market\-leading retirement plan including a company match on employee 401(k) contributions, with a potential discretionary contribution based on company performance (no vesting period).
* Up to 12 weeks of paid parental time off (eligibility requires 12 months of continuous service with Cambia immediately preceding leave).
* Award\-winning wellness programs that reward you for participation.
* Employee Assistance Fund for those in need.
* Commute and parking benefits.
**Learn More About Our Benefits.**
 We are happy to offer work from home options for most of our roles. To take advantage of this flexible option, we require employees to have a wired internet connection that is not satellite or cellular and internet service with a minimum upload speed of 5Mb and a minimum download speed of 10 Mb.
 We are an Equal Opportunity employer dedicated to a drug and tobacco\-free workplace. All qualified applicants will receive consideration for employment without regard to race, color, national origin, religion, age, sex, sexual orientation, gender identity, disability, protected veteran status or any other status protected by law. A background check is required.
 If you need accommodation for any part of the application process because of a medical condition or disability, please email CambiaCareers@cambiahealth.com. Information about how Cambia Health Solutions collects, uses, and discloses information is available in our Privacy Policy.</t>
        </is>
      </c>
    </row>
    <row r="175">
      <c r="A175" t="inlineStr">
        <is>
          <t>li-4359459346</t>
        </is>
      </c>
      <c r="B175" t="inlineStr">
        <is>
          <t>Data Engineer - Azure Databricks (minimum 1 day Hybrid in Maryland)</t>
        </is>
      </c>
      <c r="C175" t="inlineStr">
        <is>
          <t>Addison Group</t>
        </is>
      </c>
      <c r="D175" t="inlineStr">
        <is>
          <t>linkedin</t>
        </is>
      </c>
      <c r="E175">
        <f>HYPERLINK("https://www.linkedin.com/jobs/view/4359459346", "https://www.linkedin.com/jobs/view/4359459346")</f>
        <v/>
      </c>
      <c r="F175">
        <f>HYPERLINK("https://addisongroup.gosnaphop.com/uBS1hv/data-engineer-azure-databricks-minimum-1-day-hybrid-in-maryland-information-technology-silver-spring-md-a1qpl000005thlvya2?directToApply=true&amp;sref=linkedin.com&amp;urlHash=Zsn5", "https://addisongroup.gosnaphop.com/uBS1hv/data-engineer-azure-databricks-minimum-1-day-hybrid-in-maryland-information-technology-silver-spring-md-a1qpl000005thlvya2?directToApply=true&amp;sref=linkedin.com&amp;urlHash=Zsn5")</f>
        <v/>
      </c>
      <c r="G175" t="inlineStr">
        <is>
          <t>Silver Spring, MD</t>
        </is>
      </c>
      <c r="H175" t="inlineStr"/>
      <c r="I175" t="inlineStr">
        <is>
          <t>**Position:** 
 Data Engineer (Databricks/Cloud Data Pipelines/Azure)
**Location:** 
 Mostly Remote but Hybrid – 20% Onsite in Montgomery County, MD \- near Northern DC metro area)
**Contract\-to\-Hire** 
 (Candidates must be willing to convert to FTE after contract period)
**Pay:** 
 $62 \- $72 / hour w2, $130K \- $140K (depending on experience)
**Benefits:** 
 This job is eligible for medical, dental, vision, and 401(k)
**Work Auth:** 
 Green Card or U.S. Citizen or (Must be eligible to work on W2 without requiring sponsorship now or in the future)
**About the Role:**
 A
 **mission\-driven organization supporting a vital medical professional community** 
 is seeking a
 **Data Engineer** 
 to join its Data Governance and Analytics team. This role focuses on building and optimizing scalable data pipelines, enabling advanced analytics and machine learning models, and supporting enterprise data governance standards. You’ll work on high\-impact initiatives that shape data strategy and architecture across the organization. The ideal candidate is a hands\-on engineer with expertise in
 **Databricks** 
 ,
 **Azure** 
 , and
 **CI/CD automation** 
 , combined with strong Python and SQL skills. You’ll lead technical best practices, mentor peers, and drive innovation in data engineering and DevOps.
**Minimum Qualifications:**
* Bachelor’s degree in Computer Science, Engineering, or related field
* 7\+ years building enterprise\-level data solutions on cloud platforms
* Proven expertise in Databricks, Azure, Python, SQL, and Apache Spark
* Strong experience with CI/CD automation and DevOps practices
* Familiarity with data governance frameworks and security compliance
* Excellent collaboration and communication skills
* Nice To Have: Experience in Non\-Profit, Associations, or Mission Driven Organizations
**Responsibilities:**
* Design and optimize scalable data pipelines for analytics, AI/ML, and BI workloads
* Implement ETL/ELT solutions for multi\-source data ingestion and transformation
* Drive DevOps adoption with CI/CD automation and Infrastructure as Code
* Manage and optimize Azure cloud data storage for cost and performance
* Ensure data quality, integrity, and compliance with governance standards
* Collaborate with architects, analysts, and business stakeholders to deliver data\-driven solutions
* Mentor junior engineers and foster continuous improvement
* Evaluate emerging technologies to enhance scalability and innovation
**Desired Skills:**
* Databricks – Advanced experience with Databricks Workflows for orchestrating production\-grade pipelines
* Azure Cloud – Expertise in Azure Data Factory, Data Lake, Synapse, Key Vault, and Monitor
* CI/CD \&amp; DevOps – Automated deployments, Infrastructure as Code (Terraform), GitHub Actions, Azure DevOps
* Programming – Strong Python and SQL for ETL/ELT, analytics, and ML workflows
* Apache Spark (PySpark) – Distributed data processing and real\-time analytics
* Data Governance – Data quality, lineage, cataloging, and compliance frameworks
* ETL/ELT Design – Structured streaming, batch ingestion, orchestration (Airflow, Kafka)
* RESTful APIs – Integration with OAuth authentication, JSON parsing, and scalable pipelines
* Mentorship – Ability to guide junior engineers and promote best practices
 Addison Group is an Equal Opportunity Employer. Addison Group provides equal employment opportunities (EEO) to all employees and applicants for employment without regard to race, color, religion, gender, sexual orientation, national origin, age, disability, genetic information, marital status, amnesty, or status as a covered veteran in accordance with applicable federal, state and local laws. Addison Group complies with applicable state and local laws governing non\-discrimination in employment in every location in which the company has facilities. Reasonable accommodation is available for qualified individuals with disabilities, upon request.
 IND 005\-009</t>
        </is>
      </c>
    </row>
    <row r="176">
      <c r="A176" t="inlineStr">
        <is>
          <t>li-4331976410</t>
        </is>
      </c>
      <c r="B176" t="inlineStr">
        <is>
          <t>Senior Staff AI Data Engineer (Tech Lead)</t>
        </is>
      </c>
      <c r="C176" t="inlineStr">
        <is>
          <t>The Hartford</t>
        </is>
      </c>
      <c r="D176" t="inlineStr">
        <is>
          <t>linkedin</t>
        </is>
      </c>
      <c r="E176">
        <f>HYPERLINK("https://www.linkedin.com/jobs/view/4331976410", "https://www.linkedin.com/jobs/view/4331976410")</f>
        <v/>
      </c>
      <c r="F176" t="inlineStr"/>
      <c r="G176" t="inlineStr">
        <is>
          <t>Chicago, IL</t>
        </is>
      </c>
      <c r="H176" t="inlineStr"/>
      <c r="I176" t="inlineStr">
        <is>
          <t>Sr Staff Data Engineer \- GE07DE
 We’re determined to make a difference and are proud to be an insurance company that goes well beyond coverages and policies. Working here means having every opportunity to achieve your goals – and to help others accomplish theirs, too. Join our team as we help shape the future.
 The Enterprise Data Services Department’s Customer Data Ecosystem Operations Team is looking for a skilled Sr. Staff AI Data Engineer (Tech Lead) to join our team. This is an exciting opportunity to join us on our multi\-year Cloud Modernization journey. The role focuses on integrating data from multiple systems, curating and transforming it into high\-quality data products for actionable insights, using a mix of solutions spanning AI and Cloud tools and technologies. You uphold data integrity, accessibility, and compliance while creating curated Data Products to support diverse analytics needs—including descriptive, diagnostic, predictive, and prescriptive use cases for visualization and advanced data science.
 Ideal candidates bring deep expertise in data engineering frameworks and tools (e.g., Spark, Snowflake), proficiency in programming languages (Python, SQL, PL/SQL), and experience with DevOps / DataOps pipelines, cloud platforms (AWS services), and agile methodologies (Scrum, Kanban). Familiarity with data warehousing, streaming technologies, and modern architecture such as Lakehouse and Data Mesh is highly desirable. Strong problem\-solving, communication, and collaboration skills are essential, along with a proactive mindset and the ability to thrive in complex, fast\-paced environments.
 To succeed in this role, you should be a strong critical thinker, technical acumen and be able to derive the root causes of business problems.
**Key Responsibilities**
* Design, develop, and optimize ETL/ELT pipelines for both structured and unstructured data.
* Mentor junior team members and engage in communities of practice to deliver high\-quality data and AI solutions while promoting best practices, standards, and adoption of reusable patterns.
* Partner with architects and stakeholders to influence and implement the vision of the AI and data pipelines while safeguarding the integrity and scalability of the environment.
* Ingest and process large\-scale datasets into the Enterprise Data Lake and downstream systems.
* Curate and publish Data Products to support analytics, visualization, and machine learning use cases.
* Collaborate with data analysts, data scientists, and BI teams to build data models and pipelines for research, reporting, and advanced analytics.
* Apply best practices for data modeling, governance, and security across all solutions.
* Partner with cross\-functional teams to ensure alignment and delivery of high\-value outcomes.
* Monitor and fine\-tune data pipelines for performance, scalability, and reliability.
* Automate auditing, balance, reconciliation, and data quality checks to maintain high data integrity.
* Develop self\-healing pipelines with robust re\-startability mechanisms for resilience.
* Schedule and orchestrate complex, dependent workflows using tools like MWAA, Autosys, or Control\-M.
* Leverage CI/CD pipelines to enable automated integration, testing, and deployment processes.
* Lead Proof of Concepts (POCs) and technology evaluations to drive innovation.
* Develop AI\-driven systems to improve data capabilities, ensuring compliance with industry best practices.
* Implement efficient Retrieval\-Augmented Generation (RAG) architectures and integrate with enterprise data infrastructure.
* Implement data observability practices to proactively monitor data health, lineage, and quality across pipelines, ensuring transparency and trust in data assets.
**Required Skills \&amp; Experience**
* Bachelor’s or master’s degree in computer science or a related discipline.
* 5\+ years of experience in data analysis, transformation, and development, with ideally 2\+ years in the insurance or a related industry.
* 3\+ years of experience developing and deploying large\-scale data and analytics applications on cloud platforms such as AWS and Snowflake.
* Strong proficiency in SQL, Python, and ETL tools such as Informatica IDMC for data integration and transformation (3\+ years).
* Experience designing and optimizing data models for Data Warehouses, Data Marts, and Data Fabric, including dimensional modeling, semantic layers, metadata management, and integration for scalable, governed, and high\-performance analytics (3\+ years).
* 3\+ years of hands\-on experience in processing large\-scale structured and unstructured data in both batch and near\-real\-time environments, leveraging distributed computing frameworks and streaming technologies for high\-performance data pipelines.
* Strong technical knowledge (AI solution leveraging Cloud and modern solutions)
* 3\+ years of experience in Agile methodologies, including Scrum and Kanban frameworks.
* 2\+ years of experience in leveraging DevOps pipelines for automated testing and deployment, ensuring continuous integration and delivery of data solutions.
* Proficient in data visualization tools such as Tableau and Power BI, with expertise in creating interactive dashboards, reports, and visual analytics to support data\-driven decision\-making.
* Ability to analyze source systems, provide business solutions, and translate these solutions into actionable steps.
**Nice to Have**
* Certifications in AWS Data \&amp; Analytics Services, Snowflake, and Informatica IDMC.
* Experience in building and integrating AI agents into data workflows.
* Strong knowledge of data governance, including metadata management and lineage tracking, with hands\-on experience collaborating with the Data Governance Office.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$135,040 \- $202,560
 Equal Opportunity Employer/Sex/Race/Color/Veterans/Disability/Sexual Orientation/Gender Identity or Expression/Religion/Age
 About Us \| Our Culture \| What It’s Like to Work Here \| Perks \&amp; Benefits</t>
        </is>
      </c>
    </row>
    <row r="177">
      <c r="A177" t="inlineStr">
        <is>
          <t>li-4332217571</t>
        </is>
      </c>
      <c r="B177" t="inlineStr">
        <is>
          <t>Data Engineer - Wilmington DE (Onsite)</t>
        </is>
      </c>
      <c r="C177" t="inlineStr">
        <is>
          <t>Jobs via Dice</t>
        </is>
      </c>
      <c r="D177" t="inlineStr">
        <is>
          <t>linkedin</t>
        </is>
      </c>
      <c r="E177">
        <f>HYPERLINK("https://www.linkedin.com/jobs/view/4332217571", "https://www.linkedin.com/jobs/view/4332217571")</f>
        <v/>
      </c>
      <c r="F177" t="inlineStr"/>
      <c r="G177" t="inlineStr">
        <is>
          <t>Wilmington, DE</t>
        </is>
      </c>
      <c r="H177" t="inlineStr"/>
      <c r="I177" t="inlineStr">
        <is>
          <t>Dice is the leading career destination for tech experts at every stage of their careers. Our client, Best Peers, is seeking the following. Apply via Dice today!
**Job Title: Data Engineer**
**Location: Wilmington DE**
 Primary Skill Set: Java (Good to have)/Python and Big Data experience, Snowflake, AWS, Databricks (Mandatory)
**Roles \&amp; Reponsbility –**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Formal training or certification on data engineering concepts
* Experience in data engineering, with a focus on cloud\-based solutions
* Hands\-on practical Experience in system design, application development, testing, and operational stability.</t>
        </is>
      </c>
    </row>
    <row r="178">
      <c r="A178" t="inlineStr">
        <is>
          <t>li-4359699057</t>
        </is>
      </c>
      <c r="B178" t="inlineStr">
        <is>
          <t>Data Engineer - TS/SCI with Polygraph</t>
        </is>
      </c>
      <c r="C178" t="inlineStr">
        <is>
          <t>General Dynamics Information Technology</t>
        </is>
      </c>
      <c r="D178" t="inlineStr">
        <is>
          <t>linkedin</t>
        </is>
      </c>
      <c r="E178">
        <f>HYPERLINK("https://www.linkedin.com/jobs/view/4359699057", "https://www.linkedin.com/jobs/view/4359699057")</f>
        <v/>
      </c>
      <c r="F178">
        <f>HYPERLINK("https://gdit.wd5.myworkdayjobs.com/External_Career_Site/job/USA-VA-Chantilly/Data-Engineer\u002d\u002d-TS-SCI-with-Polygraph_RQ211901?source=AutoAppend_LinkedIn&amp;urlHash=2gBU", "https://gdit.wd5.myworkdayjobs.com/External_Career_Site/job/USA-VA-Chantilly/Data-Engineer\u002d\u002d-TS-SCI-with-Polygraph_RQ211901?source=AutoAppend_LinkedIn&amp;urlHash=2gBU")</f>
        <v/>
      </c>
      <c r="G178" t="inlineStr">
        <is>
          <t>Chantilly, VA</t>
        </is>
      </c>
      <c r="H178" t="inlineStr"/>
      <c r="I178" t="inlineStr">
        <is>
          <t>****Job Description:****
**Type of Requisition:**
 Regular
****Clearance Level Must Currently Possess:****
 Top Secret SCI \+ Polygraph
****Clearance Level Must Be Able To Obtain:****
 Top Secret SCI \+ Polygraph
****Public Trust/Other Required:****
 None
****Job Family:****
 Data Science and Data Engineering
****Skills:****
**Job Qualifications:**
 CI/CD, Cloud Based Services, ETL (Extract Transform Load) Testing, Java, Python Software Development
****Certifications:****
 None
****Experience:****
 10 \+ years of related experience
****US Citizenship Required:****
 Yes
****Job Description:****
 We are seeking a Data Engineer to design, build, and optimize scalable backend and data integration systems. This role requires deep expertise across the full software development lifecycle, from system architecture to deployment, with a focus on data\-intensive applications, performance optimization, and cross\-platform integration. The ideal candidate thrives in dynamic environments and can deliver high\-impact solutions that support mission\-critical operations.
 Key Responsibilities
* Backend \&amp; System Development
* Design, develop, and maintain scalable backend systems in Java, Python, Angular, Java Script, Go, or equivalent.
* Architect and implement data integration solutions for structured and unstructured data.
* Develop REST APIs and services for real\-time and batch processing.
* Maintain modular software libraries with clean interfaces and reusable code.
 Data Engineering \&amp; ETL
* Build and optimize ETL pipelines using frameworks such as Elastic Search, Kafka, and Airflow.
* Ensure high performance, scalability, and reliability in data workflows.
* Integrate externally developed code into core software libraries.
 Cloud \&amp; DevOps
* Deploy and maintain solutions across cloud environments (AWS, Azure, GCP).
* Apply containerization (Docker, Kubernetes) and CI/CD pipelines for automation.
* Adhere to configuration management and infrastructure standards.
 Software Development Lifecycle
* Translate business requirements into technical specifications across data and application layers.
* Maintain code quality through testing, regression analysis, and reviews.
* Investigate and resolve production issues to improve stability and data integrity.
* Conduct full lifecycle testing following strict quality procedures.
 Application \&amp; User Support
* Provide bug fixes, enhancements, GUI improvements, and access control updates.
* Install, configure, and monitor applications to meet operational requirements.
* Deliver ad\-hoc training and support to users.
 Collaboration \&amp; Quality Assurance
* Partner with configuration managers to integrate internal and external software solutions.
* Evaluate and recommend third\-party vendors and partners.
* Support development of standards, methods, and procedures for product release readiness.
**Qualifications**
* Proficiency in Java, Python, Angular, Scala, or Go.
* Strong expertise Kubernetes, and Airflow.
* Experience with relational and NoSQL databases, plus cloud\-native data services.
* Proven ability to work across the full software development lifecycle.
* Familiarity with CI/CD, Docker.
* Strong analytical, troubleshooting, and communication skills.
**What You'll Need To Succeed:**
* Education: BS in Computer Science or related field, or the equivalent combination of education, technical certifications or training, or work experience
* Experience: 8\+ years
* Security Clearance level: TS/SCI with Polygraph
* Location: Chantilly, VA \- On Customer Site
* US Citizenship Required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data science and engineering at GDIT and you’ll find endless opportunities to grow alongside colleagues who share your determination for solving complex data challenges.
 The likely salary range for this position is $161,500 \- $218,500\. This is not, however, a guarantee of compensation or salary. Rather, salary will be set based on experience, geographic location and possibly contractual requirements and could fall outside of this range.
****Scheduled Weekly Hours:****
 40
****Travel Required:****
 None
****Telecommuting Options:****
 Onsite
**Work Location:**
 USA VA Chantilly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2026-01-10T04:55:32Z</dcterms:created>
  <dcterms:modified xsi:type="dcterms:W3CDTF">2026-01-10T04:55:32Z</dcterms:modified>
</cp:coreProperties>
</file>