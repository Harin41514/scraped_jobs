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in-8e9db4cf28679af7</t>
        </is>
      </c>
      <c r="B2" t="inlineStr">
        <is>
          <t>Sr. Applied Scientist, AGI Foundations</t>
        </is>
      </c>
      <c r="C2" t="inlineStr">
        <is>
          <t>Amazon.com</t>
        </is>
      </c>
      <c r="D2" t="inlineStr">
        <is>
          <t>indeed</t>
        </is>
      </c>
      <c r="E2" t="inlineStr"/>
      <c r="F2" t="inlineStr"/>
      <c r="G2" t="inlineStr">
        <is>
          <t>Sunnyvale, CA, US</t>
        </is>
      </c>
      <c r="H2" s="2" t="n">
        <v>45978</v>
      </c>
      <c r="I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in-9704abab7e5e16d7</t>
        </is>
      </c>
      <c r="B3" t="inlineStr">
        <is>
          <t>Sr. Applied Scientist, AGI Foundations</t>
        </is>
      </c>
      <c r="C3" t="inlineStr">
        <is>
          <t>Amazon.com</t>
        </is>
      </c>
      <c r="D3" t="inlineStr">
        <is>
          <t>indeed</t>
        </is>
      </c>
      <c r="E3" t="inlineStr"/>
      <c r="F3" t="inlineStr"/>
      <c r="G3" t="inlineStr">
        <is>
          <t>Bellevue, WA,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in-4445f406170c272d</t>
        </is>
      </c>
      <c r="B4" t="inlineStr">
        <is>
          <t>Sr. Applied Scientist, AGI Foundations</t>
        </is>
      </c>
      <c r="C4" t="inlineStr">
        <is>
          <t>Amazon.com</t>
        </is>
      </c>
      <c r="D4" t="inlineStr">
        <is>
          <t>indeed</t>
        </is>
      </c>
      <c r="E4" t="inlineStr"/>
      <c r="F4" t="inlineStr"/>
      <c r="G4" t="inlineStr">
        <is>
          <t>New York, NY,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in-54b991b4dfe6c41b</t>
        </is>
      </c>
      <c r="B5" t="inlineStr">
        <is>
          <t>Sr. Applied Scientist, AGI Foundations</t>
        </is>
      </c>
      <c r="C5" t="inlineStr">
        <is>
          <t>Amazon.com</t>
        </is>
      </c>
      <c r="D5" t="inlineStr">
        <is>
          <t>indeed</t>
        </is>
      </c>
      <c r="E5" t="inlineStr"/>
      <c r="F5" t="inlineStr"/>
      <c r="G5" t="inlineStr">
        <is>
          <t>Boston, MA, US</t>
        </is>
      </c>
      <c r="H5" s="2" t="n">
        <v>45963</v>
      </c>
      <c r="I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in-021af7cc9d438b0d</t>
        </is>
      </c>
      <c r="B6" t="inlineStr">
        <is>
          <t>Applied Scientist II, Prime Video - Personalization and Discovery Science, Personalization and Discovery Science</t>
        </is>
      </c>
      <c r="C6" t="inlineStr">
        <is>
          <t>Amazon.com</t>
        </is>
      </c>
      <c r="D6" t="inlineStr">
        <is>
          <t>indeed</t>
        </is>
      </c>
      <c r="E6" t="inlineStr"/>
      <c r="F6" t="inlineStr"/>
      <c r="G6" t="inlineStr">
        <is>
          <t>Seattle, WA,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in-6a4142283bd68b14</t>
        </is>
      </c>
      <c r="B7" t="inlineStr">
        <is>
          <t>Applied Scientist II, Prime Video - Personalization and Discovery Science, Personalization and Discovery Science</t>
        </is>
      </c>
      <c r="C7" t="inlineStr">
        <is>
          <t>Amazon.com</t>
        </is>
      </c>
      <c r="D7" t="inlineStr">
        <is>
          <t>indeed</t>
        </is>
      </c>
      <c r="E7" t="inlineStr"/>
      <c r="F7" t="inlineStr"/>
      <c r="G7" t="inlineStr">
        <is>
          <t>New York, NY,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in-074b36de0830df30</t>
        </is>
      </c>
      <c r="B8" t="inlineStr">
        <is>
          <t>Applied Scientist II, Prime Video - Personalization and Discovery Science, Personalization and Discovery Science</t>
        </is>
      </c>
      <c r="C8" t="inlineStr">
        <is>
          <t>Amazon.com</t>
        </is>
      </c>
      <c r="D8" t="inlineStr">
        <is>
          <t>indeed</t>
        </is>
      </c>
      <c r="E8" t="inlineStr"/>
      <c r="F8" t="inlineStr"/>
      <c r="G8" t="inlineStr">
        <is>
          <t>Sunnyvale, CA, US</t>
        </is>
      </c>
      <c r="H8" s="2" t="n">
        <v>45930</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in-6a9b0260030a618b</t>
        </is>
      </c>
      <c r="B9" t="inlineStr">
        <is>
          <t>Applied Scientist II, Prime Video - Personalization and Discovery Science</t>
        </is>
      </c>
      <c r="C9" t="inlineStr">
        <is>
          <t>Amazon.com</t>
        </is>
      </c>
      <c r="D9" t="inlineStr">
        <is>
          <t>indeed</t>
        </is>
      </c>
      <c r="E9" t="inlineStr"/>
      <c r="F9" t="inlineStr"/>
      <c r="G9" t="inlineStr">
        <is>
          <t>Seattle, WA, US</t>
        </is>
      </c>
      <c r="H9" s="2"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in-5f08ae170af2dd90</t>
        </is>
      </c>
      <c r="B10" t="inlineStr">
        <is>
          <t>Applied Scientist II, Prime Video - Personalization and Discovery Science</t>
        </is>
      </c>
      <c r="C10" t="inlineStr">
        <is>
          <t>Amazon.com</t>
        </is>
      </c>
      <c r="D10" t="inlineStr">
        <is>
          <t>indeed</t>
        </is>
      </c>
      <c r="E10" t="inlineStr"/>
      <c r="F10" t="inlineStr"/>
      <c r="G10" t="inlineStr">
        <is>
          <t>New York, NY,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in-ddf827685a38a1bb</t>
        </is>
      </c>
      <c r="B11" t="inlineStr">
        <is>
          <t>Applied Scientist II, Prime Video - Personalization and Discovery Science</t>
        </is>
      </c>
      <c r="C11" t="inlineStr">
        <is>
          <t>Amazon.com</t>
        </is>
      </c>
      <c r="D11" t="inlineStr">
        <is>
          <t>indeed</t>
        </is>
      </c>
      <c r="E11" t="inlineStr"/>
      <c r="F11" t="inlineStr"/>
      <c r="G11" t="inlineStr">
        <is>
          <t>Sunnyvale, CA, US</t>
        </is>
      </c>
      <c r="H11" s="2" t="n">
        <v>45915</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in-2f37e65a197117a8</t>
        </is>
      </c>
      <c r="B12" t="inlineStr">
        <is>
          <t>Sr. Applied Scientist, Prime Video - Personalization and Discovery Science</t>
        </is>
      </c>
      <c r="C12" t="inlineStr">
        <is>
          <t>Amazon.com</t>
        </is>
      </c>
      <c r="D12" t="inlineStr">
        <is>
          <t>indeed</t>
        </is>
      </c>
      <c r="E12" t="inlineStr"/>
      <c r="F12" t="inlineStr"/>
      <c r="G12" t="inlineStr">
        <is>
          <t>Seattle, WA, US</t>
        </is>
      </c>
      <c r="H12" s="2" t="n">
        <v>45914</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in-db1e10260017f6bf</t>
        </is>
      </c>
      <c r="B13" t="inlineStr">
        <is>
          <t>Sr. Applied Scientist, Prime Video - Personalization and Discovery Science</t>
        </is>
      </c>
      <c r="C13" t="inlineStr">
        <is>
          <t>Amazon.com</t>
        </is>
      </c>
      <c r="D13" t="inlineStr">
        <is>
          <t>indeed</t>
        </is>
      </c>
      <c r="E13" t="inlineStr"/>
      <c r="F13" t="inlineStr"/>
      <c r="G13" t="inlineStr">
        <is>
          <t>Sunnyvale, CA, US</t>
        </is>
      </c>
      <c r="H13" s="2" t="n">
        <v>45914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in-56dcff5105ac9cce</t>
        </is>
      </c>
      <c r="B14" t="inlineStr">
        <is>
          <t>Sr. Applied Scientist, Prime Video - Personalization and Discovery Science</t>
        </is>
      </c>
      <c r="C14" t="inlineStr">
        <is>
          <t>Amazon.com</t>
        </is>
      </c>
      <c r="D14" t="inlineStr">
        <is>
          <t>indeed</t>
        </is>
      </c>
      <c r="E14" t="inlineStr"/>
      <c r="F14" t="inlineStr"/>
      <c r="G14" t="inlineStr">
        <is>
          <t>New York, NY, US</t>
        </is>
      </c>
      <c r="H14" s="2" t="n">
        <v>45914</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in-c228faf7de29e97a</t>
        </is>
      </c>
      <c r="B15" t="inlineStr">
        <is>
          <t>Senior Applied Scientist, Artificial General Intelligence</t>
        </is>
      </c>
      <c r="C15" t="inlineStr">
        <is>
          <t>Amazon.com</t>
        </is>
      </c>
      <c r="D15" t="inlineStr">
        <is>
          <t>indeed</t>
        </is>
      </c>
      <c r="E15" t="inlineStr"/>
      <c r="F15" t="inlineStr"/>
      <c r="G15" t="inlineStr">
        <is>
          <t>New York, NY, US</t>
        </is>
      </c>
      <c r="H15" s="2" t="n">
        <v>45907</v>
      </c>
      <c r="I1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in-4cb88f934ddf2347</t>
        </is>
      </c>
      <c r="B16" t="inlineStr">
        <is>
          <t>Senior Applied Scientist, Artificial General Intelligence</t>
        </is>
      </c>
      <c r="C16" t="inlineStr">
        <is>
          <t>Amazon.com</t>
        </is>
      </c>
      <c r="D16" t="inlineStr">
        <is>
          <t>indeed</t>
        </is>
      </c>
      <c r="E16" t="inlineStr"/>
      <c r="F16" t="inlineStr"/>
      <c r="G16" t="inlineStr">
        <is>
          <t>Sunnyvale, CA, US</t>
        </is>
      </c>
      <c r="H16" s="2" t="n">
        <v>45907</v>
      </c>
      <c r="I1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in-9ea7b12a40663707</t>
        </is>
      </c>
      <c r="B17" t="inlineStr">
        <is>
          <t>Senior Applied Scientist, Artificial General Intelligence</t>
        </is>
      </c>
      <c r="C17" t="inlineStr">
        <is>
          <t>Amazon.com</t>
        </is>
      </c>
      <c r="D17" t="inlineStr">
        <is>
          <t>indeed</t>
        </is>
      </c>
      <c r="E17" t="inlineStr"/>
      <c r="F17" t="inlineStr"/>
      <c r="G17" t="inlineStr">
        <is>
          <t>Bellevue, WA, US</t>
        </is>
      </c>
      <c r="H17" s="2" t="n">
        <v>45907</v>
      </c>
      <c r="I1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in-4d490709818a3bbb</t>
        </is>
      </c>
      <c r="B18" t="inlineStr">
        <is>
          <t>Senior Applied Scientist, Artificial General Intelligence</t>
        </is>
      </c>
      <c r="C18" t="inlineStr">
        <is>
          <t>Amazon.com</t>
        </is>
      </c>
      <c r="D18" t="inlineStr">
        <is>
          <t>indeed</t>
        </is>
      </c>
      <c r="E18" t="inlineStr"/>
      <c r="F18" t="inlineStr"/>
      <c r="G18" t="inlineStr">
        <is>
          <t>Cambridge, MA, US</t>
        </is>
      </c>
      <c r="H18" s="2" t="n">
        <v>45907</v>
      </c>
      <c r="I1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in-b1d2f7be2f31e3af</t>
        </is>
      </c>
      <c r="B19" t="inlineStr">
        <is>
          <t>Sr. Applied Scientist, Prime Video - Personalization and Discovery Science</t>
        </is>
      </c>
      <c r="C19" t="inlineStr">
        <is>
          <t>Amazon.com</t>
        </is>
      </c>
      <c r="D19" t="inlineStr">
        <is>
          <t>indeed</t>
        </is>
      </c>
      <c r="E19" t="inlineStr"/>
      <c r="F19" t="inlineStr"/>
      <c r="G19" t="inlineStr">
        <is>
          <t>Sunnyvale, CA, US</t>
        </is>
      </c>
      <c r="H19" s="2" t="n">
        <v>45896</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in-34aeafaa24edc031</t>
        </is>
      </c>
      <c r="B20" t="inlineStr">
        <is>
          <t>Sr. Applied Scientist, Prime Video - Personalization and Discovery Science</t>
        </is>
      </c>
      <c r="C20" t="inlineStr">
        <is>
          <t>Amazon.com</t>
        </is>
      </c>
      <c r="D20" t="inlineStr">
        <is>
          <t>indeed</t>
        </is>
      </c>
      <c r="E20" t="inlineStr"/>
      <c r="F20" t="inlineStr"/>
      <c r="G20" t="inlineStr">
        <is>
          <t>Seattle, WA, US</t>
        </is>
      </c>
      <c r="H20" s="2" t="n">
        <v>45896</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in-3cfa9c5608902b14</t>
        </is>
      </c>
      <c r="B21" t="inlineStr">
        <is>
          <t>Sr. Applied Scientist, Prime Video - Personalization and Discovery Science</t>
        </is>
      </c>
      <c r="C21" t="inlineStr">
        <is>
          <t>Amazon.com</t>
        </is>
      </c>
      <c r="D21" t="inlineStr">
        <is>
          <t>indeed</t>
        </is>
      </c>
      <c r="E21" t="inlineStr"/>
      <c r="F21" t="inlineStr"/>
      <c r="G21" t="inlineStr">
        <is>
          <t>New York, NY, US</t>
        </is>
      </c>
      <c r="H21" s="2" t="n">
        <v>45896</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in-4b4bab98cfe1080f</t>
        </is>
      </c>
      <c r="B22" t="inlineStr">
        <is>
          <t>Sr. Applied Scientist, Recommendations and Search</t>
        </is>
      </c>
      <c r="C22" t="inlineStr">
        <is>
          <t>Amazon.com</t>
        </is>
      </c>
      <c r="D22" t="inlineStr">
        <is>
          <t>indeed</t>
        </is>
      </c>
      <c r="E22" t="inlineStr"/>
      <c r="F22" t="inlineStr"/>
      <c r="G22" t="inlineStr">
        <is>
          <t>New York, NY, US</t>
        </is>
      </c>
      <c r="H22" s="2" t="n">
        <v>45888</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in-3ca878a51147a5f9</t>
        </is>
      </c>
      <c r="B23" t="inlineStr">
        <is>
          <t>Sr. Applied Scientist, Recommendations and Search</t>
        </is>
      </c>
      <c r="C23" t="inlineStr">
        <is>
          <t>Amazon.com</t>
        </is>
      </c>
      <c r="D23" t="inlineStr">
        <is>
          <t>indeed</t>
        </is>
      </c>
      <c r="E23" t="inlineStr"/>
      <c r="F23" t="inlineStr"/>
      <c r="G23" t="inlineStr">
        <is>
          <t>Sunnyvale, CA, US</t>
        </is>
      </c>
      <c r="H23" s="2" t="n">
        <v>45888</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in-545ee25b5c6f31a6</t>
        </is>
      </c>
      <c r="B24" t="inlineStr">
        <is>
          <t>Sr. Applied Scientist, Recommendations and Search</t>
        </is>
      </c>
      <c r="C24" t="inlineStr">
        <is>
          <t>Amazon.com</t>
        </is>
      </c>
      <c r="D24" t="inlineStr">
        <is>
          <t>indeed</t>
        </is>
      </c>
      <c r="E24" t="inlineStr"/>
      <c r="F24" t="inlineStr"/>
      <c r="G24" t="inlineStr">
        <is>
          <t>Seattle, WA, US</t>
        </is>
      </c>
      <c r="H24" s="2" t="n">
        <v>45888</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in-a1bf2af3bd7c5a37</t>
        </is>
      </c>
      <c r="B25" t="inlineStr">
        <is>
          <t>Sr. Applied Scientist, Prime Video - Personalization and Discovery Science</t>
        </is>
      </c>
      <c r="C25" t="inlineStr">
        <is>
          <t>Amazon.com</t>
        </is>
      </c>
      <c r="D25" t="inlineStr">
        <is>
          <t>indeed</t>
        </is>
      </c>
      <c r="E25" t="inlineStr"/>
      <c r="F25" t="inlineStr"/>
      <c r="G25" t="inlineStr">
        <is>
          <t>Seattle, WA, US</t>
        </is>
      </c>
      <c r="H25" s="2" t="n">
        <v>45886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in-3c41375bee62123f</t>
        </is>
      </c>
      <c r="B26" t="inlineStr">
        <is>
          <t>Sr. Applied Scientist, Prime Video - Personalization and Discovery Science</t>
        </is>
      </c>
      <c r="C26" t="inlineStr">
        <is>
          <t>Amazon.com</t>
        </is>
      </c>
      <c r="D26" t="inlineStr">
        <is>
          <t>indeed</t>
        </is>
      </c>
      <c r="E26" t="inlineStr"/>
      <c r="F26" t="inlineStr"/>
      <c r="G26" t="inlineStr">
        <is>
          <t>Sunnyvale, CA, US</t>
        </is>
      </c>
      <c r="H26" s="2" t="n">
        <v>45886</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in-8f4cd39dde125dd8</t>
        </is>
      </c>
      <c r="B27" t="inlineStr">
        <is>
          <t>Applied Scientist II, Prime Video - Personalization and Discovery Science, Personalization and Discovery Science</t>
        </is>
      </c>
      <c r="C27" t="inlineStr">
        <is>
          <t>Amazon.com</t>
        </is>
      </c>
      <c r="D27" t="inlineStr">
        <is>
          <t>indeed</t>
        </is>
      </c>
      <c r="E27" t="inlineStr"/>
      <c r="F27" t="inlineStr"/>
      <c r="G27" t="inlineStr">
        <is>
          <t>New York, NY, US</t>
        </is>
      </c>
      <c r="H27" s="2"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in-40e0e6ad5b8e1d79</t>
        </is>
      </c>
      <c r="B28" t="inlineStr">
        <is>
          <t>Applied Scientist II, Prime Video - Personalization and Discovery Science, Personalization and Discovery Science</t>
        </is>
      </c>
      <c r="C28" t="inlineStr">
        <is>
          <t>Amazon.com</t>
        </is>
      </c>
      <c r="D28" t="inlineStr">
        <is>
          <t>indeed</t>
        </is>
      </c>
      <c r="E28" t="inlineStr"/>
      <c r="F28" t="inlineStr"/>
      <c r="G28" t="inlineStr">
        <is>
          <t>Sunnyvale, CA,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in-bb870864c6027c2d</t>
        </is>
      </c>
      <c r="B29" t="inlineStr">
        <is>
          <t>Applied Scientist II, Prime Video - Personalization and Discovery Science, Personalization and Discovery Science</t>
        </is>
      </c>
      <c r="C29" t="inlineStr">
        <is>
          <t>Amazon.com</t>
        </is>
      </c>
      <c r="D29" t="inlineStr">
        <is>
          <t>indeed</t>
        </is>
      </c>
      <c r="E29" t="inlineStr"/>
      <c r="F29" t="inlineStr"/>
      <c r="G29" t="inlineStr">
        <is>
          <t>Seattle, WA,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in-02b4b1bc1d181b8c</t>
        </is>
      </c>
      <c r="B30" t="inlineStr">
        <is>
          <t>Sr. Applied Scientist, Prime Video - Personalization and Discovery Science</t>
        </is>
      </c>
      <c r="C30" t="inlineStr">
        <is>
          <t>Amazon.com</t>
        </is>
      </c>
      <c r="D30" t="inlineStr">
        <is>
          <t>indeed</t>
        </is>
      </c>
      <c r="E30" t="inlineStr"/>
      <c r="F30" t="inlineStr"/>
      <c r="G30" t="inlineStr">
        <is>
          <t>New York, NY, US</t>
        </is>
      </c>
      <c r="H30" s="2" t="n">
        <v>45886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in-5fdc7834252554a9</t>
        </is>
      </c>
      <c r="B31" t="inlineStr">
        <is>
          <t>Applied Scientist II, Prime Video - Personalization and Discovery Science</t>
        </is>
      </c>
      <c r="C31" t="inlineStr">
        <is>
          <t>Amazon.com</t>
        </is>
      </c>
      <c r="D31" t="inlineStr">
        <is>
          <t>indeed</t>
        </is>
      </c>
      <c r="E31" t="inlineStr"/>
      <c r="F31" t="inlineStr"/>
      <c r="G31" t="inlineStr">
        <is>
          <t>New York, NY, US</t>
        </is>
      </c>
      <c r="H31" s="2" t="n">
        <v>45881</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in-435e4a088ea209a1</t>
        </is>
      </c>
      <c r="B32" t="inlineStr">
        <is>
          <t>Applied Scientist II, Prime Video - Personalization and Discovery Science</t>
        </is>
      </c>
      <c r="C32" t="inlineStr">
        <is>
          <t>Amazon.com</t>
        </is>
      </c>
      <c r="D32" t="inlineStr">
        <is>
          <t>indeed</t>
        </is>
      </c>
      <c r="E32" t="inlineStr"/>
      <c r="F32" t="inlineStr"/>
      <c r="G32" t="inlineStr">
        <is>
          <t>Sunnyvale, CA, US</t>
        </is>
      </c>
      <c r="H32" s="2" t="n">
        <v>45881</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in-9c9949143eb02f9c</t>
        </is>
      </c>
      <c r="B33" t="inlineStr">
        <is>
          <t>Sr. Applied Scientist, Prime Video - Personalization and Discovery Science</t>
        </is>
      </c>
      <c r="C33" t="inlineStr">
        <is>
          <t>Amazon.com</t>
        </is>
      </c>
      <c r="D33" t="inlineStr">
        <is>
          <t>indeed</t>
        </is>
      </c>
      <c r="E33" t="inlineStr"/>
      <c r="F33" t="inlineStr"/>
      <c r="G33" t="inlineStr">
        <is>
          <t>New York, NY, US</t>
        </is>
      </c>
      <c r="H33" s="2" t="n">
        <v>45881</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in-c2c816fd439f3a4c</t>
        </is>
      </c>
      <c r="B34" t="inlineStr">
        <is>
          <t>Sr. Applied Scientist, Prime Video - Personalization and Discovery Science</t>
        </is>
      </c>
      <c r="C34" t="inlineStr">
        <is>
          <t>Amazon.com</t>
        </is>
      </c>
      <c r="D34" t="inlineStr">
        <is>
          <t>indeed</t>
        </is>
      </c>
      <c r="E34" t="inlineStr"/>
      <c r="F34" t="inlineStr"/>
      <c r="G34" t="inlineStr">
        <is>
          <t>Sunnyvale, CA, US</t>
        </is>
      </c>
      <c r="H34" s="2" t="n">
        <v>45881</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in-f97a34a6414db6c3</t>
        </is>
      </c>
      <c r="B35" t="inlineStr">
        <is>
          <t>Applied Scientist II, Prime Video - Personalization and Discovery Science</t>
        </is>
      </c>
      <c r="C35" t="inlineStr">
        <is>
          <t>Amazon.com</t>
        </is>
      </c>
      <c r="D35" t="inlineStr">
        <is>
          <t>indeed</t>
        </is>
      </c>
      <c r="E35" t="inlineStr"/>
      <c r="F35" t="inlineStr"/>
      <c r="G35" t="inlineStr">
        <is>
          <t>Seattle, WA, US</t>
        </is>
      </c>
      <c r="H35" s="2" t="n">
        <v>45881</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in-15ee45019b54e250</t>
        </is>
      </c>
      <c r="B36" t="inlineStr">
        <is>
          <t>Sr. Applied Scientist, Prime Video - Personalization and Discovery Science</t>
        </is>
      </c>
      <c r="C36" t="inlineStr">
        <is>
          <t>Amazon.com</t>
        </is>
      </c>
      <c r="D36" t="inlineStr">
        <is>
          <t>indeed</t>
        </is>
      </c>
      <c r="E36" t="inlineStr"/>
      <c r="F36" t="inlineStr"/>
      <c r="G36" t="inlineStr">
        <is>
          <t>Seattle, WA, US</t>
        </is>
      </c>
      <c r="H36" s="2" t="n">
        <v>45881</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in-077d39c2ca3321e6</t>
        </is>
      </c>
      <c r="B37" t="inlineStr">
        <is>
          <t>Applied Scientist II, Prime Video Personalization and Discovery Science</t>
        </is>
      </c>
      <c r="C37" t="inlineStr">
        <is>
          <t>Amazon.com</t>
        </is>
      </c>
      <c r="D37" t="inlineStr">
        <is>
          <t>indeed</t>
        </is>
      </c>
      <c r="E37" t="inlineStr"/>
      <c r="F37" t="inlineStr"/>
      <c r="G37" t="inlineStr">
        <is>
          <t>New York, NY, US</t>
        </is>
      </c>
      <c r="H37" s="2" t="n">
        <v>45859</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in-6d9acfbdd254b93d</t>
        </is>
      </c>
      <c r="B38" t="inlineStr">
        <is>
          <t>Applied Scientist II, Prime Video Personalization and Discovery Science</t>
        </is>
      </c>
      <c r="C38" t="inlineStr">
        <is>
          <t>Amazon.com</t>
        </is>
      </c>
      <c r="D38" t="inlineStr">
        <is>
          <t>indeed</t>
        </is>
      </c>
      <c r="E38" t="inlineStr"/>
      <c r="F38" t="inlineStr"/>
      <c r="G38" t="inlineStr">
        <is>
          <t>Sunnyvale, CA, US</t>
        </is>
      </c>
      <c r="H38" s="2" t="n">
        <v>45859</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in-536f78f0918c9ab6</t>
        </is>
      </c>
      <c r="B39" t="inlineStr">
        <is>
          <t>Applied Scientist II, Prime Video Personalization and Discovery Science</t>
        </is>
      </c>
      <c r="C39" t="inlineStr">
        <is>
          <t>Amazon.com</t>
        </is>
      </c>
      <c r="D39" t="inlineStr">
        <is>
          <t>indeed</t>
        </is>
      </c>
      <c r="E39" t="inlineStr"/>
      <c r="F39" t="inlineStr"/>
      <c r="G39" t="inlineStr">
        <is>
          <t>Seattle, WA, US</t>
        </is>
      </c>
      <c r="H39" s="2" t="n">
        <v>45859</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in-da9ecf17bd6edc8c</t>
        </is>
      </c>
      <c r="B40" t="inlineStr">
        <is>
          <t>Applied Scientist, Prime Video - Personalization and Discovery Science</t>
        </is>
      </c>
      <c r="C40" t="inlineStr">
        <is>
          <t>Amazon.com</t>
        </is>
      </c>
      <c r="D40" t="inlineStr">
        <is>
          <t>indeed</t>
        </is>
      </c>
      <c r="E40" t="inlineStr"/>
      <c r="F40" t="inlineStr"/>
      <c r="G40" t="inlineStr">
        <is>
          <t>Sunnyvale, CA, US</t>
        </is>
      </c>
      <c r="H40" s="2" t="n">
        <v>45845</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in-89c01df6fc18ad7e</t>
        </is>
      </c>
      <c r="B41" t="inlineStr">
        <is>
          <t>Applied Scientist, Prime Video - Personalization and Discovery Science</t>
        </is>
      </c>
      <c r="C41" t="inlineStr">
        <is>
          <t>Amazon.com</t>
        </is>
      </c>
      <c r="D41" t="inlineStr">
        <is>
          <t>indeed</t>
        </is>
      </c>
      <c r="E41" t="inlineStr"/>
      <c r="F41" t="inlineStr"/>
      <c r="G41" t="inlineStr">
        <is>
          <t>Seattle, WA, US</t>
        </is>
      </c>
      <c r="H41" s="2" t="n">
        <v>45845</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in-62ef19118e6be22a</t>
        </is>
      </c>
      <c r="B42" t="inlineStr">
        <is>
          <t>Applied Scientist, Prime Video - Personalization and Discovery Science</t>
        </is>
      </c>
      <c r="C42" t="inlineStr">
        <is>
          <t>Amazon.com</t>
        </is>
      </c>
      <c r="D42" t="inlineStr">
        <is>
          <t>indeed</t>
        </is>
      </c>
      <c r="E42" t="inlineStr"/>
      <c r="F42" t="inlineStr"/>
      <c r="G42" t="inlineStr">
        <is>
          <t>New York, NY, US</t>
        </is>
      </c>
      <c r="H42" s="2" t="n">
        <v>45845</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in-5c74903bef538132</t>
        </is>
      </c>
      <c r="B43" t="inlineStr">
        <is>
          <t>Sr. Data Scientist, Amazon Leo Global Planning, Amazon Leo</t>
        </is>
      </c>
      <c r="C43" t="inlineStr">
        <is>
          <t>Amazon.com</t>
        </is>
      </c>
      <c r="D43" t="inlineStr">
        <is>
          <t>indeed</t>
        </is>
      </c>
      <c r="E43" t="inlineStr"/>
      <c r="F43" t="inlineStr"/>
      <c r="G43" t="inlineStr">
        <is>
          <t>Bellevue, WA, US</t>
        </is>
      </c>
      <c r="H43" s="2" t="n">
        <v>45830</v>
      </c>
      <c r="I43"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in-d5427ad3607c6573</t>
        </is>
      </c>
      <c r="B44" t="inlineStr">
        <is>
          <t>Sr. Data Scientist, Amazon Leo Global Planning, Amazon Leo</t>
        </is>
      </c>
      <c r="C44" t="inlineStr">
        <is>
          <t>Amazon.com</t>
        </is>
      </c>
      <c r="D44" t="inlineStr">
        <is>
          <t>indeed</t>
        </is>
      </c>
      <c r="E44" t="inlineStr"/>
      <c r="F44" t="inlineStr"/>
      <c r="G44" t="inlineStr">
        <is>
          <t>Redmond, WA, US</t>
        </is>
      </c>
      <c r="H44" s="2" t="n">
        <v>45830</v>
      </c>
      <c r="I44"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in-4e330ea5d3cdf35d</t>
        </is>
      </c>
      <c r="B45" t="inlineStr">
        <is>
          <t>Sr. Applied Scientist, Prime Video - Personalization and Discovery Science</t>
        </is>
      </c>
      <c r="C45" t="inlineStr">
        <is>
          <t>Amazon.com</t>
        </is>
      </c>
      <c r="D45" t="inlineStr">
        <is>
          <t>indeed</t>
        </is>
      </c>
      <c r="E45" t="inlineStr"/>
      <c r="F45" t="inlineStr"/>
      <c r="G45" t="inlineStr">
        <is>
          <t>Seattle, WA, US</t>
        </is>
      </c>
      <c r="H45" s="2" t="n">
        <v>45819</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in-62f1f7ef4b95c909</t>
        </is>
      </c>
      <c r="B46" t="inlineStr">
        <is>
          <t>Sr. Applied Scientist, Prime Video - Personalization and Discovery Science</t>
        </is>
      </c>
      <c r="C46" t="inlineStr">
        <is>
          <t>Amazon.com</t>
        </is>
      </c>
      <c r="D46" t="inlineStr">
        <is>
          <t>indeed</t>
        </is>
      </c>
      <c r="E46" t="inlineStr"/>
      <c r="F46" t="inlineStr"/>
      <c r="G46" t="inlineStr">
        <is>
          <t>Sunnyvale, CA, US</t>
        </is>
      </c>
      <c r="H46" s="2" t="n">
        <v>45819</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in-190bb4e049ab0ae7</t>
        </is>
      </c>
      <c r="B47" t="inlineStr">
        <is>
          <t>Applied Scientist, Skill Builder, AWS Training and Certifications</t>
        </is>
      </c>
      <c r="C47" t="inlineStr">
        <is>
          <t>Amazon Web Services</t>
        </is>
      </c>
      <c r="D47" t="inlineStr">
        <is>
          <t>indeed</t>
        </is>
      </c>
      <c r="E47" t="inlineStr"/>
      <c r="F47" t="inlineStr"/>
      <c r="G47" t="inlineStr">
        <is>
          <t>Bellevue, WA, US</t>
        </is>
      </c>
      <c r="H47" s="2" t="n">
        <v>46000</v>
      </c>
      <c r="I4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in-4ef18343a0d5daa3</t>
        </is>
      </c>
      <c r="B48" t="inlineStr">
        <is>
          <t>Applied Scientist, Skill Builder, AWS Training and Certifications</t>
        </is>
      </c>
      <c r="C48" t="inlineStr">
        <is>
          <t>Amazon Web Services</t>
        </is>
      </c>
      <c r="D48" t="inlineStr">
        <is>
          <t>indeed</t>
        </is>
      </c>
      <c r="E48" t="inlineStr"/>
      <c r="F48" t="inlineStr"/>
      <c r="G48" t="inlineStr">
        <is>
          <t>Arlington, VA, US</t>
        </is>
      </c>
      <c r="H48" s="2" t="n">
        <v>46000</v>
      </c>
      <c r="I48"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in-9026ce9c082cda00</t>
        </is>
      </c>
      <c r="B49" t="inlineStr">
        <is>
          <t>Applied Scientist, Skill Builder, AWS Training and Certifications</t>
        </is>
      </c>
      <c r="C49" t="inlineStr">
        <is>
          <t>Amazon Web Services</t>
        </is>
      </c>
      <c r="D49" t="inlineStr">
        <is>
          <t>indeed</t>
        </is>
      </c>
      <c r="E49" t="inlineStr"/>
      <c r="F49" t="inlineStr"/>
      <c r="G49" t="inlineStr">
        <is>
          <t>Seattle, WA, US</t>
        </is>
      </c>
      <c r="H49" s="2" t="n">
        <v>46000</v>
      </c>
      <c r="I4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in-05c089e1c4bc5cea</t>
        </is>
      </c>
      <c r="B50" t="inlineStr">
        <is>
          <t>Senior Data Scientist - NQC Reduction and Manufacturing Quality</t>
        </is>
      </c>
      <c r="C50" t="inlineStr">
        <is>
          <t>Tiger Analytics</t>
        </is>
      </c>
      <c r="D50" t="inlineStr">
        <is>
          <t>indeed</t>
        </is>
      </c>
      <c r="E50" t="inlineStr"/>
      <c r="F50" t="inlineStr"/>
      <c r="G50" t="inlineStr">
        <is>
          <t>Remote, US</t>
        </is>
      </c>
      <c r="H50" s="2" t="n">
        <v>46030</v>
      </c>
      <c r="I50"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We are looking for a highly experienced **Senior Data Scientist** with a strong background in **manufacturing, quality, and process optimization analytics**. This role will focus on analyzing complex manufacturing and sensor data to drive measurable improvements in **cost, quality, yield, and waste reduction**.
### **Key Responsibilities**
* Analyze large\-scale manufacturing data, including **sensor, batch, recipe, and production line data**
* Develop analytics solutions to identify **defects, scrap, rework, and process deviations**
* Perform **root cause analysis** and **multivariate process analysis** to uncover drivers of quality issues
* Build **anomaly and defect detection models** to proactively identify process failures
* Partner with manufacturing, quality, and operations teams to translate findings into actionable improvements
* Deliver measurable outcomes such as **cost reduction, waste minimization, and quality improvement**
**Requirements**
* **10\+ years** of experience in applied data science or advanced analytics
* **5\+ years** of hands\-on experience in **manufacturing, quality, or process optimization analytics**
* Proven experience working with **manufacturing process data** and **quality outcome data**
* Demonstrated track record of delivering **measurable business impact**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51">
      <c r="A51" t="inlineStr">
        <is>
          <t>in-2d7a810377c3ed89</t>
        </is>
      </c>
      <c r="B51" t="inlineStr">
        <is>
          <t>Data Scientist - Experienced to Expert Level (Maryland)</t>
        </is>
      </c>
      <c r="C51" t="inlineStr"/>
      <c r="D51" t="inlineStr">
        <is>
          <t>indeed</t>
        </is>
      </c>
      <c r="E51" t="inlineStr"/>
      <c r="F51" t="inlineStr"/>
      <c r="G51" t="inlineStr">
        <is>
          <t>Fort Meade, MD, US</t>
        </is>
      </c>
      <c r="H51" s="2" t="n">
        <v>46030</v>
      </c>
      <c r="I51" t="inlineStr">
        <is>
          <t>**Summary**
-----------
Newly hired Data Scientists will be assigned to a mission office by aligning their data science skills with mission needs. Due to the challenging and evolving nature of NSA data science problems, Data Scientists are expected to continue broadening and deepening their expertise throughout their career. NSA data science is collaborative and you are expected to work with NSA experts in data science, related technical domains, and specialized subject areas.
**This job is open to**
-----------------------
### **The public**
U.S. Citizens, Nationals or those who owe allegiance to the U.S.
### **Federal employees \- Excepted service**
Current federal employees whose agencies have their own hiring rules, pay scales and evaluation criteria.
**Duties**
----------
Data science at the National Security Agency (NSA) is a multi\-disciplinary field that uses elements of mathematics, statistics, computer science, and application\-specific knowledge to gather, make, and communicate principled conclusions from data. Data Science is a broad field and a team effort, spanning all the expertise needed to derive value from data. It encompasses AI Engineering, Data Engineering, ML Ops Engineering, and Human Perception and Cognition Engineering in addition to the traditional applications of data science.  
Data science is present in every aspect of the mission. NSA Data Scientists tackle challenging real\-world problems leveraging big data, high\-performance computing, machine learning, and a breadth of other methodologies. We are looking for critical thinkers, problem solvers, and motivated individuals who are enthusiastic about data and believe that answers to hard questions lie in the yet\-to\-be\-told story of diverse, complicated data sets. You will employ your mathematical science, computer science, and quantitative analysis skills to develop solutions to complex data problems and take full advantage of NSA's capabilities to tackle the highest priority foreign intelligence and cybersecurity challenges.  
Responsibilities may include:  
* Exploring data analysis and model\-fitting to reveal data features of interest
* Using the machine\-learned predictive modeling
* Constructing usable data sets from multiple sources to meet customer needs
* Identifying and analyzing anomalous data (including metadata)
* Developing conceptual design and models to address mission requirements
* Developing qualitative and quantitative methods for characterizing datasets in various states
* Performing analytic modeling, scripting, and/or programming
* Working collaboratively and iteratively throughout the data\-science lifecycle
* Designing and developing analytics and techniques for analysis
* Analyzing data using mathematical and statistical methods
* Evaluating, documenting, and communicating research processes, analyses, and results to customers, peers, and leadership
* Creating interpretable visualizations
**Requirements**
----------------
### **Conditions of employment**
* All applicants and employees are subject to random drug testing in accordance with Executive Order 12564\.
### **Qualifications**
SENIOR  
Entry is with an Associate's degree plus 8 years of relevant experience, or a Bachelor's degree plus 6 years of relevant experience, or a Master's degree plus 4 years of relevant experience, or a Doctoral degree plus 2 years of relevant experience.  
Note that different degree fields have different requirements as described below.  
Degrees in Mathematics, Applied Mathematics, Statistics, Applied Statistics, Data Science, Operations Research, Quantitative/Computational Finance, Econometrics/Quantitative Economics, Computer Science, or Computer Engineering qualify without additional coursework or a Data Science certificate.  
Degrees in Engineering, Physical Sciences, Mathematical Biology/Bioinformatics, Life Sciences, Environmental Science, Data Analytics, or Information Science/Systems/Technology, must include either a Data Science certificate from an accredited college/university OR 5 or more courses in advanced mathematics (for example, calculus, differential equations, discrete mathematics, linear algebra, and calculus\-based statistics) and/or advanced computer science (for example, algorithms, programming, data structures, data mining, artificial intelligence).  
Other degrees must be accompanied by a Data Science certificate from an accredited college/university, and must include a total of 5 or more courses in advanced mathematics AND advanced computer science. At least one course must be from advanced mathematics (for example, calculus, differential equations, discrete mathematics, linear algebra, and calculus\-based statistics). At least one course must be from advanced computer science (for example, algorithms, programming, data structures, computer architecture, data mining, artificial intelligence).  
Experience must include both programming and one or more of the following: designing/implementing machine learning, data mining, statistical analysis, statistical consulting, artificial intelligence development, computational science, software engineering, technical writing, data visualization, or data engineering. Experience must also include formal or informal leadership.  
EXPERT  
Entry is with an Associate's degree plus 11 years of relevant experience, or a Bachelor's degree plus 9 years of relevant experience, or a Master's degree plus 7 years of relevant experience, or a Doctoral degree plus 5 years of relevant experience.  
Note that different degree fields have different requirements as described below.  
Degrees in Mathematics, Applied Mathematics, Statistics, Applied Statistics, Data Science, Operations Research, Quantitative/Computational Finance, Econometrics/Quantitative Economics, Computer Science, or Computer Engineering qualify without additional coursework or a Data Science certificate.  
Degrees in Engineering, Physical Sciences, Mathematical Biology/Bioinformatics, Life Sciences, Environmental Science, Data Analytics, or Information Science/Systems/Technology, must include either a Data Science certificate from an accredited college/university OR 5 or more courses in advanced mathematics (for example, calculus, differential equations, discrete mathematics, linear algebra, and calculus\-based statistics) and/or advanced computer science (for example, algorithms, programming, data structures, data mining, artificial intelligence).  
Other degrees must be accompanied by a Data Science certificate from an accredited college/university, and must include a total of 5 or more courses in advanced mathematics AND advanced computer science. At least one course must be from advanced mathematics (for example, calculus, differential equations, discrete mathematics, linear algebra, and calculus\-based statistics). At least one course must be from advanced computer science (for example, algorithms, programming, data structures, computer architecture, data mining, artificial intelligence).  
Experience must include both programming and one or more of the following: designing/implementing machine learning, data mining, statistical analysis, statistical consulting, artificial intelligence development, computational science, software engineering, technical writing, data visualization, or data engineering. Experience must also include formal or informal leadership.
### **Education**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 **Additional information**
Pay: Salary offers are based on candidates' education level and years of experience relevant to the position and also take into account information provided by the hiring manager/organization regarding the work level for the position.  
Salary Range: $132,751 \- $197,200 (Senior,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The ideal candidate has a desire for continual learning along with excellent analytical, problem\-solving, communication (oral and written), and interpersonal skills who is:  
* Accountable
* Proactive
* Detail oriented
* Able to solve complex problems
* Proficient with critical thinking and reasoning to make analytic determinations
* Effective at working in a collaborative team environment
* Able to bridge the gap with both technical and non\-technical audiences
* Able to provide technical leadership in formal or informal roles
Knowledge, skills, and relevant experience in programming, formal or informal leadership, and one or more of the following is required:  
* Designing and implementing machine learning
* Data mining
* Statistical analysis
* Statistical consulting
* Artificial Intelligence development
* Computational science
* Software engineering
* Technical writing
* Data visualization
* Data engineering
**Required Documents**
----------------------
The National Security Agency (NSA) is part of the DoD Intelligence Community Defense Civilian Intelligence Personnel System (DCIPS). All positions in the NSA are in the Excepted Services under 10 United States Codes (USC) 1601 appointment authority. DoD Components with DCIPS positions apply Veterans' Preference to eligible candidates as defined by Section 2108 of Title 5 USC, in accordance with the procedures provided in DoD Instruction 1400\.25, Volume 2005, DCIPS Employment and Placement. If you are a veteran claiming veterans' preference, as defined by Section 2108 of Title 5 U.S.C., you may be asked to submit documents verifying your eligibility.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https://apply.intelligencecareers.gov/job\-description/1252735
### **Agency contact information**
NSA POC
Phone
1\-844\-424\-4737
Email
intelcareers@nsa.gov
### **Next steps**
https://apply.intelligencecareers.gov/job\-description/1252735
**Overview**
------------
Accepting applications
Open \&amp; closing dates
01/09/2026 to 01/14/2026
Salary
$132,751 to \- $197,200 per year
Pay scale \&amp; grade
GG 13 \- 15
Location
many vacancies in the following location:
Fort Meade, MD
Remote job
No
Telework eligible
No
Travel Required
Occasional travel \- You may be expected to travel for this position.
Relocation expenses reimbursed
Yes—You may qualify for reimbursement of relocation expenses in accordance with agency policy.
Appointment type
Permanent
Work schedule
Full\-time
Service
Excepted
Promotion potential
None
Job family (Series)
* 0132 Intelligence
Supervisory status
No
Security clearance
Top Secret
Drug test
No
Position sensitivity and risk
Critical\-Sensitive (CS)/High Risk
Trust determination process
* National security
Financial disclosure
Yes
Bargaining unit status
No
Announcement number
1252735
Control number
854005600</t>
        </is>
      </c>
    </row>
    <row r="52">
      <c r="A52" t="inlineStr">
        <is>
          <t>in-1547aa805d756618</t>
        </is>
      </c>
      <c r="B52" t="inlineStr">
        <is>
          <t>Senior Applied Scientist, Sponsored Products and Brands</t>
        </is>
      </c>
      <c r="C52" t="inlineStr">
        <is>
          <t>Amazon.com</t>
        </is>
      </c>
      <c r="D52" t="inlineStr">
        <is>
          <t>indeed</t>
        </is>
      </c>
      <c r="E52" t="inlineStr"/>
      <c r="F52" t="inlineStr"/>
      <c r="G52" t="inlineStr">
        <is>
          <t>Seattle, WA, US</t>
        </is>
      </c>
      <c r="H52" s="2" t="n">
        <v>45979</v>
      </c>
      <c r="I5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in-62b5d1857e42160e</t>
        </is>
      </c>
      <c r="B53" t="inlineStr">
        <is>
          <t>Senior Applied Scientist, Sponsored Products and Brands</t>
        </is>
      </c>
      <c r="C53" t="inlineStr">
        <is>
          <t>Amazon.com</t>
        </is>
      </c>
      <c r="D53" t="inlineStr">
        <is>
          <t>indeed</t>
        </is>
      </c>
      <c r="E53" t="inlineStr"/>
      <c r="F53" t="inlineStr"/>
      <c r="G53" t="inlineStr">
        <is>
          <t>New York, NY, US</t>
        </is>
      </c>
      <c r="H53" s="2" t="n">
        <v>45979</v>
      </c>
      <c r="I5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in-9b12339f0d1c60fb</t>
        </is>
      </c>
      <c r="B54" t="inlineStr">
        <is>
          <t>Principal Applied Scientist, AGI Foundations, AGI Foundations</t>
        </is>
      </c>
      <c r="C54" t="inlineStr">
        <is>
          <t>Amazon.com</t>
        </is>
      </c>
      <c r="D54" t="inlineStr">
        <is>
          <t>indeed</t>
        </is>
      </c>
      <c r="E54" t="inlineStr"/>
      <c r="F54" t="inlineStr"/>
      <c r="G54" t="inlineStr">
        <is>
          <t>New York, NY, US</t>
        </is>
      </c>
      <c r="H54" s="2" t="n">
        <v>45978</v>
      </c>
      <c r="I54"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in-1901ccf732c1f3e8</t>
        </is>
      </c>
      <c r="B55" t="inlineStr">
        <is>
          <t>Principal Applied Scientist, AGI Foundations, AGI Foundations</t>
        </is>
      </c>
      <c r="C55" t="inlineStr">
        <is>
          <t>Amazon.com</t>
        </is>
      </c>
      <c r="D55" t="inlineStr">
        <is>
          <t>indeed</t>
        </is>
      </c>
      <c r="E55" t="inlineStr"/>
      <c r="F55" t="inlineStr"/>
      <c r="G55" t="inlineStr">
        <is>
          <t>Bellevue, WA, US</t>
        </is>
      </c>
      <c r="H55" s="2" t="n">
        <v>45978</v>
      </c>
      <c r="I55"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in-233517425a082981</t>
        </is>
      </c>
      <c r="B56" t="inlineStr">
        <is>
          <t>Principal Applied Scientist, Artificial General Intelligence</t>
        </is>
      </c>
      <c r="C56" t="inlineStr">
        <is>
          <t>Amazon.com</t>
        </is>
      </c>
      <c r="D56" t="inlineStr">
        <is>
          <t>indeed</t>
        </is>
      </c>
      <c r="E56" t="inlineStr"/>
      <c r="F56" t="inlineStr"/>
      <c r="G56" t="inlineStr">
        <is>
          <t>San Francisco, CA, US</t>
        </is>
      </c>
      <c r="H56" s="2" t="n">
        <v>45978</v>
      </c>
      <c r="I56"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in-b5ffd774fd3d55e3</t>
        </is>
      </c>
      <c r="B57" t="inlineStr">
        <is>
          <t>Principal Applied Scientist, Artificial General Intelligence</t>
        </is>
      </c>
      <c r="C57" t="inlineStr">
        <is>
          <t>Amazon.com</t>
        </is>
      </c>
      <c r="D57" t="inlineStr">
        <is>
          <t>indeed</t>
        </is>
      </c>
      <c r="E57" t="inlineStr"/>
      <c r="F57" t="inlineStr"/>
      <c r="G57" t="inlineStr">
        <is>
          <t>Sunnyvale, CA, US</t>
        </is>
      </c>
      <c r="H57" s="2" t="n">
        <v>45978</v>
      </c>
      <c r="I57"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in-8742c3b07c3149e2</t>
        </is>
      </c>
      <c r="B58" t="inlineStr">
        <is>
          <t>Principal Applied Scientist, AGI Foundations, AGI Foundations</t>
        </is>
      </c>
      <c r="C58" t="inlineStr">
        <is>
          <t>Amazon.com</t>
        </is>
      </c>
      <c r="D58" t="inlineStr">
        <is>
          <t>indeed</t>
        </is>
      </c>
      <c r="E58" t="inlineStr"/>
      <c r="F58" t="inlineStr"/>
      <c r="G58" t="inlineStr">
        <is>
          <t>Sunnyvale, CA, US</t>
        </is>
      </c>
      <c r="H58" s="2" t="n">
        <v>45978</v>
      </c>
      <c r="I58"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in-799b8c672d5936dc</t>
        </is>
      </c>
      <c r="B59" t="inlineStr">
        <is>
          <t>Principal Applied Scientist, AGI Foundations, AGI Foundations</t>
        </is>
      </c>
      <c r="C59" t="inlineStr">
        <is>
          <t>Amazon.com</t>
        </is>
      </c>
      <c r="D59" t="inlineStr">
        <is>
          <t>indeed</t>
        </is>
      </c>
      <c r="E59" t="inlineStr"/>
      <c r="F59" t="inlineStr"/>
      <c r="G59" t="inlineStr">
        <is>
          <t>Boston, MA, US</t>
        </is>
      </c>
      <c r="H59" s="2" t="n">
        <v>45978</v>
      </c>
      <c r="I59"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in-b430a2f053bfa4b6</t>
        </is>
      </c>
      <c r="B60" t="inlineStr">
        <is>
          <t>Principal Applied Scientist, Artificial General Intelligence</t>
        </is>
      </c>
      <c r="C60" t="inlineStr">
        <is>
          <t>Amazon.com</t>
        </is>
      </c>
      <c r="D60" t="inlineStr">
        <is>
          <t>indeed</t>
        </is>
      </c>
      <c r="E60" t="inlineStr"/>
      <c r="F60" t="inlineStr"/>
      <c r="G60" t="inlineStr">
        <is>
          <t>Bellevue, WA, US</t>
        </is>
      </c>
      <c r="H60" s="2" t="n">
        <v>45978</v>
      </c>
      <c r="I60"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in-5522bfe301d3d83f</t>
        </is>
      </c>
      <c r="B61" t="inlineStr">
        <is>
          <t>Principal Applied Scientist, Artificial General Intelligence</t>
        </is>
      </c>
      <c r="C61" t="inlineStr">
        <is>
          <t>Amazon.com</t>
        </is>
      </c>
      <c r="D61" t="inlineStr">
        <is>
          <t>indeed</t>
        </is>
      </c>
      <c r="E61" t="inlineStr"/>
      <c r="F61" t="inlineStr"/>
      <c r="G61" t="inlineStr">
        <is>
          <t>Seattle, WA, US</t>
        </is>
      </c>
      <c r="H61" s="2" t="n">
        <v>45978</v>
      </c>
      <c r="I61"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in-ae9531523d3a4ab4</t>
        </is>
      </c>
      <c r="B62" t="inlineStr">
        <is>
          <t>Sr. Applied Scientist, AGI Foundations</t>
        </is>
      </c>
      <c r="C62" t="inlineStr">
        <is>
          <t>Amazon.com</t>
        </is>
      </c>
      <c r="D62" t="inlineStr">
        <is>
          <t>indeed</t>
        </is>
      </c>
      <c r="E62" t="inlineStr"/>
      <c r="F62" t="inlineStr"/>
      <c r="G62" t="inlineStr">
        <is>
          <t>Bellevue, WA, US</t>
        </is>
      </c>
      <c r="H62" s="2" t="n">
        <v>45978</v>
      </c>
      <c r="I6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in-b53bc192bb1b081d</t>
        </is>
      </c>
      <c r="B63" t="inlineStr">
        <is>
          <t>Sr. Applied Scientist, AGI Foundations</t>
        </is>
      </c>
      <c r="C63" t="inlineStr">
        <is>
          <t>Amazon.com</t>
        </is>
      </c>
      <c r="D63" t="inlineStr">
        <is>
          <t>indeed</t>
        </is>
      </c>
      <c r="E63" t="inlineStr"/>
      <c r="F63" t="inlineStr"/>
      <c r="G63" t="inlineStr">
        <is>
          <t>Boston, MA, US</t>
        </is>
      </c>
      <c r="H63" s="2" t="n">
        <v>45978</v>
      </c>
      <c r="I6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in-c15feb7eb2645705</t>
        </is>
      </c>
      <c r="B64" t="inlineStr">
        <is>
          <t>Sr. Applied Scientist, AGI Foundations</t>
        </is>
      </c>
      <c r="C64" t="inlineStr">
        <is>
          <t>Amazon.com</t>
        </is>
      </c>
      <c r="D64" t="inlineStr">
        <is>
          <t>indeed</t>
        </is>
      </c>
      <c r="E64" t="inlineStr"/>
      <c r="F64" t="inlineStr"/>
      <c r="G64" t="inlineStr">
        <is>
          <t>New York, NY, US</t>
        </is>
      </c>
      <c r="H64" s="2" t="n">
        <v>45978</v>
      </c>
      <c r="I6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in-527f98884848076c</t>
        </is>
      </c>
      <c r="B65" t="inlineStr">
        <is>
          <t>Applied Scientist II, Prime Video Personalization and Discovery Science</t>
        </is>
      </c>
      <c r="C65" t="inlineStr">
        <is>
          <t>Amazon.com</t>
        </is>
      </c>
      <c r="D65" t="inlineStr">
        <is>
          <t>indeed</t>
        </is>
      </c>
      <c r="E65" t="inlineStr"/>
      <c r="F65" t="inlineStr"/>
      <c r="G65" t="inlineStr">
        <is>
          <t>New York, NY, US</t>
        </is>
      </c>
      <c r="H65" s="2" t="n">
        <v>45978</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in-a9897c67f4ba4163</t>
        </is>
      </c>
      <c r="B66" t="inlineStr">
        <is>
          <t>Applied Scientist II, Prime Video Personalization and Discovery Science</t>
        </is>
      </c>
      <c r="C66" t="inlineStr">
        <is>
          <t>Amazon.com</t>
        </is>
      </c>
      <c r="D66" t="inlineStr">
        <is>
          <t>indeed</t>
        </is>
      </c>
      <c r="E66" t="inlineStr"/>
      <c r="F66" t="inlineStr"/>
      <c r="G66" t="inlineStr">
        <is>
          <t>Seattle, WA, US</t>
        </is>
      </c>
      <c r="H66" s="2" t="n">
        <v>45978</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in-5e5100f68ac01282</t>
        </is>
      </c>
      <c r="B67" t="inlineStr">
        <is>
          <t>Applied Scientist II, Prime Video Personalization and Discovery Science</t>
        </is>
      </c>
      <c r="C67" t="inlineStr">
        <is>
          <t>Amazon.com</t>
        </is>
      </c>
      <c r="D67" t="inlineStr">
        <is>
          <t>indeed</t>
        </is>
      </c>
      <c r="E67" t="inlineStr"/>
      <c r="F67" t="inlineStr"/>
      <c r="G67" t="inlineStr">
        <is>
          <t>Sunnyvale, CA, US</t>
        </is>
      </c>
      <c r="H67" s="2" t="n">
        <v>45978</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in-408c4c70be423b7b</t>
        </is>
      </c>
      <c r="B68" t="inlineStr">
        <is>
          <t>Applied Scientist, Artificial General Intelligence</t>
        </is>
      </c>
      <c r="C68" t="inlineStr">
        <is>
          <t>Amazon.com</t>
        </is>
      </c>
      <c r="D68" t="inlineStr">
        <is>
          <t>indeed</t>
        </is>
      </c>
      <c r="E68" t="inlineStr"/>
      <c r="F68" t="inlineStr"/>
      <c r="G68" t="inlineStr">
        <is>
          <t>Boston, MA, US</t>
        </is>
      </c>
      <c r="H68" s="2" t="n">
        <v>45974</v>
      </c>
      <c r="I68"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in-63c27c0084badb4d</t>
        </is>
      </c>
      <c r="B69" t="inlineStr">
        <is>
          <t>Applied Scientist, Artificial General Intelligence</t>
        </is>
      </c>
      <c r="C69" t="inlineStr">
        <is>
          <t>Amazon.com</t>
        </is>
      </c>
      <c r="D69" t="inlineStr">
        <is>
          <t>indeed</t>
        </is>
      </c>
      <c r="E69" t="inlineStr"/>
      <c r="F69" t="inlineStr"/>
      <c r="G69" t="inlineStr">
        <is>
          <t>Seattle, WA, US</t>
        </is>
      </c>
      <c r="H69" s="2" t="n">
        <v>45974</v>
      </c>
      <c r="I69"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in-3ff47a5dc83d976c</t>
        </is>
      </c>
      <c r="B70" t="inlineStr">
        <is>
          <t>Applied Scientist, Artificial General Intelligence</t>
        </is>
      </c>
      <c r="C70" t="inlineStr">
        <is>
          <t>Amazon.com</t>
        </is>
      </c>
      <c r="D70" t="inlineStr">
        <is>
          <t>indeed</t>
        </is>
      </c>
      <c r="E70" t="inlineStr"/>
      <c r="F70" t="inlineStr"/>
      <c r="G70" t="inlineStr">
        <is>
          <t>Sunnyvale, CA, US</t>
        </is>
      </c>
      <c r="H70" s="2" t="n">
        <v>45974</v>
      </c>
      <c r="I70"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in-9c6d93af01ed8e44</t>
        </is>
      </c>
      <c r="B71" t="inlineStr">
        <is>
          <t>Senior Data Scientist, AWS Professional Services</t>
        </is>
      </c>
      <c r="C71" t="inlineStr">
        <is>
          <t>Amazon Web Services</t>
        </is>
      </c>
      <c r="D71" t="inlineStr">
        <is>
          <t>indeed</t>
        </is>
      </c>
      <c r="E71" t="inlineStr"/>
      <c r="F71" t="inlineStr"/>
      <c r="G71" t="inlineStr">
        <is>
          <t>New York, NY, US</t>
        </is>
      </c>
      <c r="H71" s="2" t="n">
        <v>45972</v>
      </c>
      <c r="I7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in-5a160e5b985ebe07</t>
        </is>
      </c>
      <c r="B72" t="inlineStr">
        <is>
          <t>Senior Data Scientist, AWS Professional Services</t>
        </is>
      </c>
      <c r="C72" t="inlineStr">
        <is>
          <t>Amazon Web Services</t>
        </is>
      </c>
      <c r="D72" t="inlineStr">
        <is>
          <t>indeed</t>
        </is>
      </c>
      <c r="E72" t="inlineStr"/>
      <c r="F72" t="inlineStr"/>
      <c r="G72" t="inlineStr">
        <is>
          <t>Seattle, WA, US</t>
        </is>
      </c>
      <c r="H72" s="2" t="n">
        <v>45972</v>
      </c>
      <c r="I7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in-fd80c32d38b2b0e1</t>
        </is>
      </c>
      <c r="B73" t="inlineStr">
        <is>
          <t>Senior Data Scientist, AWS Professional Services</t>
        </is>
      </c>
      <c r="C73" t="inlineStr">
        <is>
          <t>Amazon Web Services</t>
        </is>
      </c>
      <c r="D73" t="inlineStr">
        <is>
          <t>indeed</t>
        </is>
      </c>
      <c r="E73" t="inlineStr"/>
      <c r="F73" t="inlineStr"/>
      <c r="G73" t="inlineStr">
        <is>
          <t>Atlanta, GA, US</t>
        </is>
      </c>
      <c r="H73" s="2" t="n">
        <v>45972</v>
      </c>
      <c r="I7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in-fdfb27ef9aa4478e</t>
        </is>
      </c>
      <c r="B74" t="inlineStr">
        <is>
          <t>Senior Data Scientist, AWS Professional Services</t>
        </is>
      </c>
      <c r="C74" t="inlineStr">
        <is>
          <t>Amazon Web Services</t>
        </is>
      </c>
      <c r="D74" t="inlineStr">
        <is>
          <t>indeed</t>
        </is>
      </c>
      <c r="E74" t="inlineStr"/>
      <c r="F74" t="inlineStr"/>
      <c r="G74" t="inlineStr">
        <is>
          <t>Santa Monica, CA, US</t>
        </is>
      </c>
      <c r="H74" s="2" t="n">
        <v>45972</v>
      </c>
      <c r="I7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in-e9063695c2f336f6</t>
        </is>
      </c>
      <c r="B75" t="inlineStr">
        <is>
          <t>Senior Data Scientist, AWS Professional Services</t>
        </is>
      </c>
      <c r="C75" t="inlineStr">
        <is>
          <t>Amazon Web Services</t>
        </is>
      </c>
      <c r="D75" t="inlineStr">
        <is>
          <t>indeed</t>
        </is>
      </c>
      <c r="E75" t="inlineStr"/>
      <c r="F75" t="inlineStr"/>
      <c r="G75" t="inlineStr">
        <is>
          <t>Irvine, CA, US</t>
        </is>
      </c>
      <c r="H75" s="2" t="n">
        <v>45972</v>
      </c>
      <c r="I7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in-81438537bfb9aeb2</t>
        </is>
      </c>
      <c r="B76" t="inlineStr">
        <is>
          <t>Senior Data Scientist, AWS Professional Services</t>
        </is>
      </c>
      <c r="C76" t="inlineStr">
        <is>
          <t>Amazon Web Services</t>
        </is>
      </c>
      <c r="D76" t="inlineStr">
        <is>
          <t>indeed</t>
        </is>
      </c>
      <c r="E76" t="inlineStr"/>
      <c r="F76" t="inlineStr"/>
      <c r="G76" t="inlineStr">
        <is>
          <t>Arlington, VA, US</t>
        </is>
      </c>
      <c r="H76" s="2" t="n">
        <v>45972</v>
      </c>
      <c r="I7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in-b0fe4011f6f4cedd</t>
        </is>
      </c>
      <c r="B77" t="inlineStr">
        <is>
          <t>Senior Data Scientist, AWS Professional Services</t>
        </is>
      </c>
      <c r="C77" t="inlineStr">
        <is>
          <t>Amazon Web Services</t>
        </is>
      </c>
      <c r="D77" t="inlineStr">
        <is>
          <t>indeed</t>
        </is>
      </c>
      <c r="E77" t="inlineStr"/>
      <c r="F77" t="inlineStr"/>
      <c r="G77" t="inlineStr">
        <is>
          <t>Dallas, TX, US</t>
        </is>
      </c>
      <c r="H77" s="2" t="n">
        <v>45972</v>
      </c>
      <c r="I7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in-f0bfed88dea94e35</t>
        </is>
      </c>
      <c r="B78" t="inlineStr">
        <is>
          <t>Senior Data Scientist, AWS Professional Services</t>
        </is>
      </c>
      <c r="C78" t="inlineStr">
        <is>
          <t>Amazon Web Services</t>
        </is>
      </c>
      <c r="D78" t="inlineStr">
        <is>
          <t>indeed</t>
        </is>
      </c>
      <c r="E78" t="inlineStr"/>
      <c r="F78" t="inlineStr"/>
      <c r="G78" t="inlineStr">
        <is>
          <t>Chicago, IL, US</t>
        </is>
      </c>
      <c r="H78" s="2" t="n">
        <v>45972</v>
      </c>
      <c r="I7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in-ff9be167785c78a1</t>
        </is>
      </c>
      <c r="B79" t="inlineStr">
        <is>
          <t>Senior Data Scientist, AWS Professional Services</t>
        </is>
      </c>
      <c r="C79" t="inlineStr">
        <is>
          <t>Amazon Web Services</t>
        </is>
      </c>
      <c r="D79" t="inlineStr">
        <is>
          <t>indeed</t>
        </is>
      </c>
      <c r="E79" t="inlineStr"/>
      <c r="F79" t="inlineStr"/>
      <c r="G79" t="inlineStr">
        <is>
          <t>Boston, MA, US</t>
        </is>
      </c>
      <c r="H79" s="2" t="n">
        <v>45972</v>
      </c>
      <c r="I7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in-8cbb1705be45e910</t>
        </is>
      </c>
      <c r="B80" t="inlineStr">
        <is>
          <t>Senior Applied Scientist, Creative X - RAPID</t>
        </is>
      </c>
      <c r="C80" t="inlineStr">
        <is>
          <t>Amazon.com</t>
        </is>
      </c>
      <c r="D80" t="inlineStr">
        <is>
          <t>indeed</t>
        </is>
      </c>
      <c r="E80" t="inlineStr"/>
      <c r="F80" t="inlineStr"/>
      <c r="G80" t="inlineStr">
        <is>
          <t>New York, NY, US</t>
        </is>
      </c>
      <c r="H80" s="2" t="n">
        <v>45971</v>
      </c>
      <c r="I80"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in-9521f5614c8de08f</t>
        </is>
      </c>
      <c r="B81" t="inlineStr">
        <is>
          <t>Senior Applied Scientist, Creative X - RAPID</t>
        </is>
      </c>
      <c r="C81" t="inlineStr">
        <is>
          <t>Amazon.com</t>
        </is>
      </c>
      <c r="D81" t="inlineStr">
        <is>
          <t>indeed</t>
        </is>
      </c>
      <c r="E81" t="inlineStr"/>
      <c r="F81" t="inlineStr"/>
      <c r="G81" t="inlineStr">
        <is>
          <t>Seattle, WA, US</t>
        </is>
      </c>
      <c r="H81" s="2" t="n">
        <v>45971</v>
      </c>
      <c r="I81"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in-4af57bde82f696c5</t>
        </is>
      </c>
      <c r="B82" t="inlineStr">
        <is>
          <t>Applied Scientist, Sponsored Products and Brands</t>
        </is>
      </c>
      <c r="C82" t="inlineStr">
        <is>
          <t>Amazon.com</t>
        </is>
      </c>
      <c r="D82" t="inlineStr">
        <is>
          <t>indeed</t>
        </is>
      </c>
      <c r="E82" t="inlineStr"/>
      <c r="F82" t="inlineStr"/>
      <c r="G82" t="inlineStr">
        <is>
          <t>New York, NY, US</t>
        </is>
      </c>
      <c r="H82" s="2" t="n">
        <v>45965</v>
      </c>
      <c r="I8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in-f6630e535ad67b83</t>
        </is>
      </c>
      <c r="B83" t="inlineStr">
        <is>
          <t>Applied Scientist, Sponsored Products and Brands</t>
        </is>
      </c>
      <c r="C83" t="inlineStr">
        <is>
          <t>Amazon.com</t>
        </is>
      </c>
      <c r="D83" t="inlineStr">
        <is>
          <t>indeed</t>
        </is>
      </c>
      <c r="E83" t="inlineStr"/>
      <c r="F83" t="inlineStr"/>
      <c r="G83" t="inlineStr">
        <is>
          <t>Seattle, WA, US</t>
        </is>
      </c>
      <c r="H83" s="2" t="n">
        <v>45965</v>
      </c>
      <c r="I8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in-7807e38ac53c2fae</t>
        </is>
      </c>
      <c r="B84" t="inlineStr">
        <is>
          <t>Principal Applied Scientist, Amazon AGI</t>
        </is>
      </c>
      <c r="C84" t="inlineStr">
        <is>
          <t>Amazon.com</t>
        </is>
      </c>
      <c r="D84" t="inlineStr">
        <is>
          <t>indeed</t>
        </is>
      </c>
      <c r="E84" t="inlineStr"/>
      <c r="F84" t="inlineStr"/>
      <c r="G84" t="inlineStr">
        <is>
          <t>Boston, MA, US</t>
        </is>
      </c>
      <c r="H84" s="2" t="n">
        <v>45964</v>
      </c>
      <c r="I84"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in-8a9cde2ca3ad0cb5</t>
        </is>
      </c>
      <c r="B85" t="inlineStr">
        <is>
          <t>Principal Applied Scientist, Amazon AGI</t>
        </is>
      </c>
      <c r="C85" t="inlineStr">
        <is>
          <t>Amazon.com</t>
        </is>
      </c>
      <c r="D85" t="inlineStr">
        <is>
          <t>indeed</t>
        </is>
      </c>
      <c r="E85" t="inlineStr"/>
      <c r="F85" t="inlineStr"/>
      <c r="G85" t="inlineStr">
        <is>
          <t>San Francisco, CA, US</t>
        </is>
      </c>
      <c r="H85" s="2" t="n">
        <v>45964</v>
      </c>
      <c r="I85"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in-7c95ab9b925e440d</t>
        </is>
      </c>
      <c r="B86" t="inlineStr">
        <is>
          <t>Applied Scientist, Prime Video - Content Understanding, Localization &amp; Enrichment Team</t>
        </is>
      </c>
      <c r="C86" t="inlineStr">
        <is>
          <t>Amazon.com</t>
        </is>
      </c>
      <c r="D86" t="inlineStr">
        <is>
          <t>indeed</t>
        </is>
      </c>
      <c r="E86" t="inlineStr"/>
      <c r="F86" t="inlineStr"/>
      <c r="G86" t="inlineStr">
        <is>
          <t>San Francisco, CA, US</t>
        </is>
      </c>
      <c r="H86" s="2" t="n">
        <v>45943</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in-87f8230c94b91c58</t>
        </is>
      </c>
      <c r="B87" t="inlineStr">
        <is>
          <t>Applied Scientist, Prime Video - Content Understanding, Localization &amp; Enrichment Team</t>
        </is>
      </c>
      <c r="C87" t="inlineStr">
        <is>
          <t>Amazon.com</t>
        </is>
      </c>
      <c r="D87" t="inlineStr">
        <is>
          <t>indeed</t>
        </is>
      </c>
      <c r="E87" t="inlineStr"/>
      <c r="F87" t="inlineStr"/>
      <c r="G87" t="inlineStr">
        <is>
          <t>Seattle, WA, US</t>
        </is>
      </c>
      <c r="H87" s="2" t="n">
        <v>45943</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in-4dd711085fb259bf</t>
        </is>
      </c>
      <c r="B88" t="inlineStr">
        <is>
          <t>Principal Applied Scientist, Advertiser Growth, Amazon Sponsored Products &amp; Brands</t>
        </is>
      </c>
      <c r="C88" t="inlineStr">
        <is>
          <t>Amazon.com</t>
        </is>
      </c>
      <c r="D88" t="inlineStr">
        <is>
          <t>indeed</t>
        </is>
      </c>
      <c r="E88" t="inlineStr"/>
      <c r="F88" t="inlineStr"/>
      <c r="G88" t="inlineStr">
        <is>
          <t>Palo Alto, CA, US</t>
        </is>
      </c>
      <c r="H88" s="2" t="n">
        <v>45942</v>
      </c>
      <c r="I8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in-e1df7573fbb32e33</t>
        </is>
      </c>
      <c r="B89" t="inlineStr">
        <is>
          <t>Principal Applied Scientist, Advertiser Growth, Amazon Sponsored Products &amp; Brands</t>
        </is>
      </c>
      <c r="C89" t="inlineStr">
        <is>
          <t>Amazon.com</t>
        </is>
      </c>
      <c r="D89" t="inlineStr">
        <is>
          <t>indeed</t>
        </is>
      </c>
      <c r="E89" t="inlineStr"/>
      <c r="F89" t="inlineStr"/>
      <c r="G89" t="inlineStr">
        <is>
          <t>New York, NY, US</t>
        </is>
      </c>
      <c r="H89" s="2" t="n">
        <v>45942</v>
      </c>
      <c r="I8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in-6cf64cf69c7f657a</t>
        </is>
      </c>
      <c r="B90" t="inlineStr">
        <is>
          <t>Principal Applied Scientist, Advertiser Growth, Amazon Sponsored Products &amp; Brands</t>
        </is>
      </c>
      <c r="C90" t="inlineStr">
        <is>
          <t>Amazon.com</t>
        </is>
      </c>
      <c r="D90" t="inlineStr">
        <is>
          <t>indeed</t>
        </is>
      </c>
      <c r="E90" t="inlineStr"/>
      <c r="F90" t="inlineStr"/>
      <c r="G90" t="inlineStr">
        <is>
          <t>Seattle, WA, US</t>
        </is>
      </c>
      <c r="H90" s="2" t="n">
        <v>45942</v>
      </c>
      <c r="I9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in-a24acf270c89181e</t>
        </is>
      </c>
      <c r="B91" t="inlineStr">
        <is>
          <t>Applied Scientist, Artificial General Intelligence</t>
        </is>
      </c>
      <c r="C91" t="inlineStr">
        <is>
          <t>Amazon.com</t>
        </is>
      </c>
      <c r="D91" t="inlineStr">
        <is>
          <t>indeed</t>
        </is>
      </c>
      <c r="E91" t="inlineStr"/>
      <c r="F91" t="inlineStr"/>
      <c r="G91" t="inlineStr">
        <is>
          <t>Sunnyvale, CA, US</t>
        </is>
      </c>
      <c r="H91" s="2" t="n">
        <v>45937</v>
      </c>
      <c r="I9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in-66f8321e74a2b15d</t>
        </is>
      </c>
      <c r="B92" t="inlineStr">
        <is>
          <t>Applied Scientist, Artificial General Intelligence</t>
        </is>
      </c>
      <c r="C92" t="inlineStr">
        <is>
          <t>Amazon.com</t>
        </is>
      </c>
      <c r="D92" t="inlineStr">
        <is>
          <t>indeed</t>
        </is>
      </c>
      <c r="E92" t="inlineStr"/>
      <c r="F92" t="inlineStr"/>
      <c r="G92" t="inlineStr">
        <is>
          <t>Bellevue, WA, US</t>
        </is>
      </c>
      <c r="H92" s="2" t="n">
        <v>45937</v>
      </c>
      <c r="I9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in-f5ae9595ad4e290c</t>
        </is>
      </c>
      <c r="B93" t="inlineStr">
        <is>
          <t>Applied Scientist, Artificial General Intelligence</t>
        </is>
      </c>
      <c r="C93" t="inlineStr">
        <is>
          <t>Amazon.com</t>
        </is>
      </c>
      <c r="D93" t="inlineStr">
        <is>
          <t>indeed</t>
        </is>
      </c>
      <c r="E93" t="inlineStr"/>
      <c r="F93" t="inlineStr"/>
      <c r="G93" t="inlineStr">
        <is>
          <t>Seattle, WA, US</t>
        </is>
      </c>
      <c r="H93" s="2" t="n">
        <v>45937</v>
      </c>
      <c r="I9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in-aa51af17c2eb1ffb</t>
        </is>
      </c>
      <c r="B94" t="inlineStr">
        <is>
          <t>Applied Scientist, Artificial General Intelligence</t>
        </is>
      </c>
      <c r="C94" t="inlineStr">
        <is>
          <t>Amazon.com</t>
        </is>
      </c>
      <c r="D94" t="inlineStr">
        <is>
          <t>indeed</t>
        </is>
      </c>
      <c r="E94" t="inlineStr"/>
      <c r="F94" t="inlineStr"/>
      <c r="G94" t="inlineStr">
        <is>
          <t>New York, NY, US</t>
        </is>
      </c>
      <c r="H94" s="2" t="n">
        <v>45937</v>
      </c>
      <c r="I9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in-a2465b0ce18cc793</t>
        </is>
      </c>
      <c r="B95" t="inlineStr">
        <is>
          <t>Principal Applied Scientist, Artificial General Intelligence</t>
        </is>
      </c>
      <c r="C95" t="inlineStr">
        <is>
          <t>Amazon.com</t>
        </is>
      </c>
      <c r="D95" t="inlineStr">
        <is>
          <t>indeed</t>
        </is>
      </c>
      <c r="E95" t="inlineStr"/>
      <c r="F95" t="inlineStr"/>
      <c r="G95" t="inlineStr">
        <is>
          <t>Boston, MA, US</t>
        </is>
      </c>
      <c r="H95" s="2" t="n">
        <v>45923</v>
      </c>
      <c r="I9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in-f906bc92c50a076e</t>
        </is>
      </c>
      <c r="B96" t="inlineStr">
        <is>
          <t>Principal Applied Scientist, Artificial General Intelligence</t>
        </is>
      </c>
      <c r="C96" t="inlineStr">
        <is>
          <t>Amazon.com</t>
        </is>
      </c>
      <c r="D96" t="inlineStr">
        <is>
          <t>indeed</t>
        </is>
      </c>
      <c r="E96" t="inlineStr"/>
      <c r="F96" t="inlineStr"/>
      <c r="G96" t="inlineStr">
        <is>
          <t>Sunnyvale, CA, US</t>
        </is>
      </c>
      <c r="H96" s="2" t="n">
        <v>45923</v>
      </c>
      <c r="I9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in-d2b6d2a081b98962</t>
        </is>
      </c>
      <c r="B97" t="inlineStr">
        <is>
          <t>Principal Applied Scientist, Artificial General Intelligence</t>
        </is>
      </c>
      <c r="C97" t="inlineStr">
        <is>
          <t>Amazon.com</t>
        </is>
      </c>
      <c r="D97" t="inlineStr">
        <is>
          <t>indeed</t>
        </is>
      </c>
      <c r="E97" t="inlineStr"/>
      <c r="F97" t="inlineStr"/>
      <c r="G97" t="inlineStr">
        <is>
          <t>New York, NY, US</t>
        </is>
      </c>
      <c r="H97" s="2" t="n">
        <v>45923</v>
      </c>
      <c r="I9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in-f8c4c2695adf0875</t>
        </is>
      </c>
      <c r="B98" t="inlineStr">
        <is>
          <t>Principal Applied Scientist, Artificial General Intelligence</t>
        </is>
      </c>
      <c r="C98" t="inlineStr">
        <is>
          <t>Amazon.com</t>
        </is>
      </c>
      <c r="D98" t="inlineStr">
        <is>
          <t>indeed</t>
        </is>
      </c>
      <c r="E98" t="inlineStr"/>
      <c r="F98" t="inlineStr"/>
      <c r="G98" t="inlineStr">
        <is>
          <t>Bellevue, WA, US</t>
        </is>
      </c>
      <c r="H98" s="2" t="n">
        <v>45923</v>
      </c>
      <c r="I98"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in-98710651be89a3ef</t>
        </is>
      </c>
      <c r="B99" t="inlineStr">
        <is>
          <t>Senior Applied Scientist, Artificial General Intelligence</t>
        </is>
      </c>
      <c r="C99" t="inlineStr">
        <is>
          <t>Amazon.com</t>
        </is>
      </c>
      <c r="D99" t="inlineStr">
        <is>
          <t>indeed</t>
        </is>
      </c>
      <c r="E99" t="inlineStr"/>
      <c r="F99" t="inlineStr"/>
      <c r="G99" t="inlineStr">
        <is>
          <t>Seattle, WA, US</t>
        </is>
      </c>
      <c r="H99" s="2" t="n">
        <v>45922</v>
      </c>
      <c r="I9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in-52f94b45b32fb61c</t>
        </is>
      </c>
      <c r="B100" t="inlineStr">
        <is>
          <t>Senior Applied Scientist, Artificial General Intelligence</t>
        </is>
      </c>
      <c r="C100" t="inlineStr">
        <is>
          <t>Amazon.com</t>
        </is>
      </c>
      <c r="D100" t="inlineStr">
        <is>
          <t>indeed</t>
        </is>
      </c>
      <c r="E100" t="inlineStr"/>
      <c r="F100" t="inlineStr"/>
      <c r="G100" t="inlineStr">
        <is>
          <t>Sunnyvale, CA, US</t>
        </is>
      </c>
      <c r="H100" s="2" t="n">
        <v>45922</v>
      </c>
      <c r="I10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in-98cde8d8d359b355</t>
        </is>
      </c>
      <c r="B101" t="inlineStr">
        <is>
          <t>Senior Applied Scientist, Artificial General Intelligence</t>
        </is>
      </c>
      <c r="C101" t="inlineStr">
        <is>
          <t>Amazon.com</t>
        </is>
      </c>
      <c r="D101" t="inlineStr">
        <is>
          <t>indeed</t>
        </is>
      </c>
      <c r="E101" t="inlineStr"/>
      <c r="F101" t="inlineStr"/>
      <c r="G101" t="inlineStr">
        <is>
          <t>Boston, MA, US</t>
        </is>
      </c>
      <c r="H101" s="2" t="n">
        <v>45922</v>
      </c>
      <c r="I10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in-9f08cc3e5bf8ec09</t>
        </is>
      </c>
      <c r="B102" t="inlineStr">
        <is>
          <t>Applied Scientist, Artificial General Intelligence</t>
        </is>
      </c>
      <c r="C102" t="inlineStr">
        <is>
          <t>Amazon.com</t>
        </is>
      </c>
      <c r="D102" t="inlineStr">
        <is>
          <t>indeed</t>
        </is>
      </c>
      <c r="E102" t="inlineStr"/>
      <c r="F102" t="inlineStr"/>
      <c r="G102" t="inlineStr">
        <is>
          <t>Boston, MA, US</t>
        </is>
      </c>
      <c r="H102" s="2" t="n">
        <v>45921</v>
      </c>
      <c r="I10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in-b215cba3fda49871</t>
        </is>
      </c>
      <c r="B103" t="inlineStr">
        <is>
          <t>Applied Scientist, Artificial General Intelligence</t>
        </is>
      </c>
      <c r="C103" t="inlineStr">
        <is>
          <t>Amazon.com</t>
        </is>
      </c>
      <c r="D103" t="inlineStr">
        <is>
          <t>indeed</t>
        </is>
      </c>
      <c r="E103" t="inlineStr"/>
      <c r="F103" t="inlineStr"/>
      <c r="G103" t="inlineStr">
        <is>
          <t>New York, NY, US</t>
        </is>
      </c>
      <c r="H103" s="2" t="n">
        <v>45921</v>
      </c>
      <c r="I103"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in-e46786d5c122dab6</t>
        </is>
      </c>
      <c r="B104" t="inlineStr">
        <is>
          <t>Applied Scientist, Artificial General Intelligence</t>
        </is>
      </c>
      <c r="C104" t="inlineStr">
        <is>
          <t>Amazon.com</t>
        </is>
      </c>
      <c r="D104" t="inlineStr">
        <is>
          <t>indeed</t>
        </is>
      </c>
      <c r="E104" t="inlineStr"/>
      <c r="F104" t="inlineStr"/>
      <c r="G104" t="inlineStr">
        <is>
          <t>Bellevue, WA, US</t>
        </is>
      </c>
      <c r="H104" s="2" t="n">
        <v>45921</v>
      </c>
      <c r="I10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in-e5000041cb42a936</t>
        </is>
      </c>
      <c r="B105" t="inlineStr">
        <is>
          <t>Applied Scientist, Artificial General Intelligence</t>
        </is>
      </c>
      <c r="C105" t="inlineStr">
        <is>
          <t>Amazon.com</t>
        </is>
      </c>
      <c r="D105" t="inlineStr">
        <is>
          <t>indeed</t>
        </is>
      </c>
      <c r="E105" t="inlineStr"/>
      <c r="F105" t="inlineStr"/>
      <c r="G105" t="inlineStr">
        <is>
          <t>Seattle, WA, US</t>
        </is>
      </c>
      <c r="H105" s="2" t="n">
        <v>45921</v>
      </c>
      <c r="I105"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in-a2191fdcde995172</t>
        </is>
      </c>
      <c r="B106" t="inlineStr">
        <is>
          <t>Senior Applied Scientist, Model Customization, Generative AI Innovation Center</t>
        </is>
      </c>
      <c r="C106" t="inlineStr">
        <is>
          <t>Amazon Web Services</t>
        </is>
      </c>
      <c r="D106" t="inlineStr">
        <is>
          <t>indeed</t>
        </is>
      </c>
      <c r="E106" t="inlineStr"/>
      <c r="F106" t="inlineStr"/>
      <c r="G106" t="inlineStr">
        <is>
          <t>Bellevue, WA, US</t>
        </is>
      </c>
      <c r="H106" s="2" t="n">
        <v>45908</v>
      </c>
      <c r="I10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in-8a25f5b5d6071fab</t>
        </is>
      </c>
      <c r="B107" t="inlineStr">
        <is>
          <t>Senior Applied Scientist, Model Customization, Generative AI Innovation Center</t>
        </is>
      </c>
      <c r="C107" t="inlineStr">
        <is>
          <t>Amazon Web Services</t>
        </is>
      </c>
      <c r="D107" t="inlineStr">
        <is>
          <t>indeed</t>
        </is>
      </c>
      <c r="E107" t="inlineStr"/>
      <c r="F107" t="inlineStr"/>
      <c r="G107" t="inlineStr">
        <is>
          <t>Seattle, WA, US</t>
        </is>
      </c>
      <c r="H107" s="2" t="n">
        <v>45908</v>
      </c>
      <c r="I10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in-48410f5a156da9b8</t>
        </is>
      </c>
      <c r="B108" t="inlineStr">
        <is>
          <t>Senior Applied Scientist, Model Customization, Generative AI Innovation Center</t>
        </is>
      </c>
      <c r="C108" t="inlineStr">
        <is>
          <t>Amazon Web Services</t>
        </is>
      </c>
      <c r="D108" t="inlineStr">
        <is>
          <t>indeed</t>
        </is>
      </c>
      <c r="E108" t="inlineStr"/>
      <c r="F108" t="inlineStr"/>
      <c r="G108" t="inlineStr">
        <is>
          <t>Arlington, VA, US</t>
        </is>
      </c>
      <c r="H108" s="2" t="n">
        <v>45908</v>
      </c>
      <c r="I10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in-9016fded2879b833</t>
        </is>
      </c>
      <c r="B109" t="inlineStr">
        <is>
          <t>Senior Applied Scientist, Model Customization, Generative AI Innovation Center</t>
        </is>
      </c>
      <c r="C109" t="inlineStr">
        <is>
          <t>Amazon Web Services</t>
        </is>
      </c>
      <c r="D109" t="inlineStr">
        <is>
          <t>indeed</t>
        </is>
      </c>
      <c r="E109" t="inlineStr"/>
      <c r="F109" t="inlineStr"/>
      <c r="G109" t="inlineStr">
        <is>
          <t>New York, NY, US</t>
        </is>
      </c>
      <c r="H109" s="2" t="n">
        <v>45908</v>
      </c>
      <c r="I10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in-22df38a3731465f6</t>
        </is>
      </c>
      <c r="B110" t="inlineStr">
        <is>
          <t>Senior Applied Scientist, Artificial General Intelligence</t>
        </is>
      </c>
      <c r="C110" t="inlineStr">
        <is>
          <t>Amazon.com</t>
        </is>
      </c>
      <c r="D110" t="inlineStr">
        <is>
          <t>indeed</t>
        </is>
      </c>
      <c r="E110" t="inlineStr"/>
      <c r="F110" t="inlineStr"/>
      <c r="G110" t="inlineStr">
        <is>
          <t>New York, NY, US</t>
        </is>
      </c>
      <c r="H110" s="2" t="n">
        <v>45907</v>
      </c>
      <c r="I11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in-ee780add9759d337</t>
        </is>
      </c>
      <c r="B111" t="inlineStr">
        <is>
          <t>Senior Applied Scientist, Artificial General Intelligence</t>
        </is>
      </c>
      <c r="C111" t="inlineStr">
        <is>
          <t>Amazon.com</t>
        </is>
      </c>
      <c r="D111" t="inlineStr">
        <is>
          <t>indeed</t>
        </is>
      </c>
      <c r="E111" t="inlineStr"/>
      <c r="F111" t="inlineStr"/>
      <c r="G111" t="inlineStr">
        <is>
          <t>Sunnyvale, CA, US</t>
        </is>
      </c>
      <c r="H111" s="2" t="n">
        <v>45907</v>
      </c>
      <c r="I11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in-54a3a0c240c10c74</t>
        </is>
      </c>
      <c r="B112" t="inlineStr">
        <is>
          <t>Senior Applied Scientist, Artificial General Intelligence</t>
        </is>
      </c>
      <c r="C112" t="inlineStr">
        <is>
          <t>Amazon.com</t>
        </is>
      </c>
      <c r="D112" t="inlineStr">
        <is>
          <t>indeed</t>
        </is>
      </c>
      <c r="E112" t="inlineStr"/>
      <c r="F112" t="inlineStr"/>
      <c r="G112" t="inlineStr">
        <is>
          <t>Bellevue, WA, US</t>
        </is>
      </c>
      <c r="H112" s="2" t="n">
        <v>45907</v>
      </c>
      <c r="I11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in-18676aab6bae10e0</t>
        </is>
      </c>
      <c r="B113" t="inlineStr">
        <is>
          <t>Senior Applied Scientist, Artificial General Intelligence</t>
        </is>
      </c>
      <c r="C113" t="inlineStr">
        <is>
          <t>Amazon.com</t>
        </is>
      </c>
      <c r="D113" t="inlineStr">
        <is>
          <t>indeed</t>
        </is>
      </c>
      <c r="E113" t="inlineStr"/>
      <c r="F113" t="inlineStr"/>
      <c r="G113" t="inlineStr">
        <is>
          <t>Seattle, WA, US</t>
        </is>
      </c>
      <c r="H113" s="2" t="n">
        <v>45907</v>
      </c>
      <c r="I113"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in-6cfbe98e1b1e222f</t>
        </is>
      </c>
      <c r="B114" t="inlineStr">
        <is>
          <t>Senior Data Scientist, Data and Machine Learning, WWPS US Federal</t>
        </is>
      </c>
      <c r="C114" t="inlineStr">
        <is>
          <t>Amazon Web Services</t>
        </is>
      </c>
      <c r="D114" t="inlineStr">
        <is>
          <t>indeed</t>
        </is>
      </c>
      <c r="E114" t="inlineStr"/>
      <c r="F114" t="inlineStr"/>
      <c r="G114" t="inlineStr">
        <is>
          <t>Herndon, VA, US</t>
        </is>
      </c>
      <c r="H114" s="2" t="n">
        <v>45872</v>
      </c>
      <c r="I11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in-89fbf039032aaaa6</t>
        </is>
      </c>
      <c r="B115" t="inlineStr">
        <is>
          <t>Senior Data Scientist, Data and Machine Learning, WWPS US Federal</t>
        </is>
      </c>
      <c r="C115" t="inlineStr">
        <is>
          <t>Amazon Web Services</t>
        </is>
      </c>
      <c r="D115" t="inlineStr">
        <is>
          <t>indeed</t>
        </is>
      </c>
      <c r="E115" t="inlineStr"/>
      <c r="F115" t="inlineStr"/>
      <c r="G115" t="inlineStr">
        <is>
          <t>Arlington, VA, US</t>
        </is>
      </c>
      <c r="H115" s="2" t="n">
        <v>45872</v>
      </c>
      <c r="I11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in-1ee4b953adced7ca</t>
        </is>
      </c>
      <c r="B116" t="inlineStr">
        <is>
          <t>Senior Data Scientist, Data and Machine Learning, WWPS US Federal</t>
        </is>
      </c>
      <c r="C116" t="inlineStr">
        <is>
          <t>Amazon Web Services</t>
        </is>
      </c>
      <c r="D116" t="inlineStr">
        <is>
          <t>indeed</t>
        </is>
      </c>
      <c r="E116" t="inlineStr"/>
      <c r="F116" t="inlineStr"/>
      <c r="G116" t="inlineStr">
        <is>
          <t>Jessup, MD, US</t>
        </is>
      </c>
      <c r="H116" s="2" t="n">
        <v>45872</v>
      </c>
      <c r="I11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in-c7c9f7d4f775c341</t>
        </is>
      </c>
      <c r="B117" t="inlineStr">
        <is>
          <t>Principal Applied Scientist, AGI Foundations, AGI Foundations</t>
        </is>
      </c>
      <c r="C117" t="inlineStr">
        <is>
          <t>Amazon.com</t>
        </is>
      </c>
      <c r="D117" t="inlineStr">
        <is>
          <t>indeed</t>
        </is>
      </c>
      <c r="E117" t="inlineStr"/>
      <c r="F117" t="inlineStr"/>
      <c r="G117" t="inlineStr">
        <is>
          <t>New York, NY, US</t>
        </is>
      </c>
      <c r="H117" s="2" t="n">
        <v>45856</v>
      </c>
      <c r="I11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in-3465ce9f4841d2ba</t>
        </is>
      </c>
      <c r="B118" t="inlineStr">
        <is>
          <t>Principal Applied Scientist, AGI Foundations, AGI Foundations</t>
        </is>
      </c>
      <c r="C118" t="inlineStr">
        <is>
          <t>Amazon.com</t>
        </is>
      </c>
      <c r="D118" t="inlineStr">
        <is>
          <t>indeed</t>
        </is>
      </c>
      <c r="E118" t="inlineStr"/>
      <c r="F118" t="inlineStr"/>
      <c r="G118" t="inlineStr">
        <is>
          <t>Sunnyvale, CA, US</t>
        </is>
      </c>
      <c r="H118" s="2" t="n">
        <v>45856</v>
      </c>
      <c r="I11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in-7a225380f3f6d280</t>
        </is>
      </c>
      <c r="B119" t="inlineStr">
        <is>
          <t>Principal Applied Scientist, AGI Foundations, AGI Foundations</t>
        </is>
      </c>
      <c r="C119" t="inlineStr">
        <is>
          <t>Amazon.com</t>
        </is>
      </c>
      <c r="D119" t="inlineStr">
        <is>
          <t>indeed</t>
        </is>
      </c>
      <c r="E119" t="inlineStr"/>
      <c r="F119" t="inlineStr"/>
      <c r="G119" t="inlineStr">
        <is>
          <t>Bellevue, WA, US</t>
        </is>
      </c>
      <c r="H119" s="2" t="n">
        <v>45856</v>
      </c>
      <c r="I11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in-d35dc47f0a47c125</t>
        </is>
      </c>
      <c r="B120" t="inlineStr">
        <is>
          <t>Principal Applied Scientist, AGI Foundations, AGI Foundations</t>
        </is>
      </c>
      <c r="C120" t="inlineStr">
        <is>
          <t>Amazon.com</t>
        </is>
      </c>
      <c r="D120" t="inlineStr">
        <is>
          <t>indeed</t>
        </is>
      </c>
      <c r="E120" t="inlineStr"/>
      <c r="F120" t="inlineStr"/>
      <c r="G120" t="inlineStr">
        <is>
          <t>Boston, MA, US</t>
        </is>
      </c>
      <c r="H120" s="2" t="n">
        <v>45856</v>
      </c>
      <c r="I12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in-b7b897e73531fc12</t>
        </is>
      </c>
      <c r="B121" t="inlineStr">
        <is>
          <t>Sr. Applied Scientist, Amazon Advertising</t>
        </is>
      </c>
      <c r="C121" t="inlineStr">
        <is>
          <t>Amazon.com</t>
        </is>
      </c>
      <c r="D121" t="inlineStr">
        <is>
          <t>indeed</t>
        </is>
      </c>
      <c r="E121" t="inlineStr"/>
      <c r="F121" t="inlineStr"/>
      <c r="G121" t="inlineStr">
        <is>
          <t>West Hollywood, CA, US</t>
        </is>
      </c>
      <c r="H121" s="2" t="n">
        <v>45851</v>
      </c>
      <c r="I12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in-71110259b8ce6ed4</t>
        </is>
      </c>
      <c r="B122" t="inlineStr">
        <is>
          <t>Sr. Applied Scientist, Amazon Advertising</t>
        </is>
      </c>
      <c r="C122" t="inlineStr">
        <is>
          <t>Amazon.com</t>
        </is>
      </c>
      <c r="D122" t="inlineStr">
        <is>
          <t>indeed</t>
        </is>
      </c>
      <c r="E122" t="inlineStr"/>
      <c r="F122" t="inlineStr"/>
      <c r="G122" t="inlineStr">
        <is>
          <t>Simi Valley, CA, US</t>
        </is>
      </c>
      <c r="H122" s="2" t="n">
        <v>45851</v>
      </c>
      <c r="I12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in-c9a0204237367217</t>
        </is>
      </c>
      <c r="B123" t="inlineStr">
        <is>
          <t>Sr. Applied Scientist, Amazon Advertising</t>
        </is>
      </c>
      <c r="C123" t="inlineStr">
        <is>
          <t>Amazon.com</t>
        </is>
      </c>
      <c r="D123" t="inlineStr">
        <is>
          <t>indeed</t>
        </is>
      </c>
      <c r="E123" t="inlineStr"/>
      <c r="F123" t="inlineStr"/>
      <c r="G123" t="inlineStr">
        <is>
          <t>Austin, TX, US</t>
        </is>
      </c>
      <c r="H123" s="2" t="n">
        <v>45851</v>
      </c>
      <c r="I12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in-4799c0c2b5ffc369</t>
        </is>
      </c>
      <c r="B124" t="inlineStr">
        <is>
          <t>Sr. Applied Scientist, Amazon Advertising</t>
        </is>
      </c>
      <c r="C124" t="inlineStr">
        <is>
          <t>Amazon.com</t>
        </is>
      </c>
      <c r="D124" t="inlineStr">
        <is>
          <t>indeed</t>
        </is>
      </c>
      <c r="E124" t="inlineStr"/>
      <c r="F124" t="inlineStr"/>
      <c r="G124" t="inlineStr">
        <is>
          <t>Arlington, VA, US</t>
        </is>
      </c>
      <c r="H124" s="2" t="n">
        <v>45851</v>
      </c>
      <c r="I12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in-cee5f595c6969442</t>
        </is>
      </c>
      <c r="B125" t="inlineStr">
        <is>
          <t>Sr. Applied Scientist, Amazon Advertising</t>
        </is>
      </c>
      <c r="C125" t="inlineStr">
        <is>
          <t>Amazon.com</t>
        </is>
      </c>
      <c r="D125" t="inlineStr">
        <is>
          <t>indeed</t>
        </is>
      </c>
      <c r="E125" t="inlineStr"/>
      <c r="F125" t="inlineStr"/>
      <c r="G125" t="inlineStr">
        <is>
          <t>Los Angeles, CA, US</t>
        </is>
      </c>
      <c r="H125" s="2" t="n">
        <v>45851</v>
      </c>
      <c r="I12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in-31b619d3ee0debf1</t>
        </is>
      </c>
      <c r="B126" t="inlineStr">
        <is>
          <t>Sr. Applied Scientist, Amazon Advertising</t>
        </is>
      </c>
      <c r="C126" t="inlineStr">
        <is>
          <t>Amazon.com</t>
        </is>
      </c>
      <c r="D126" t="inlineStr">
        <is>
          <t>indeed</t>
        </is>
      </c>
      <c r="E126" t="inlineStr"/>
      <c r="F126" t="inlineStr"/>
      <c r="G126" t="inlineStr">
        <is>
          <t>New York, NY, US</t>
        </is>
      </c>
      <c r="H126" s="2" t="n">
        <v>45851</v>
      </c>
      <c r="I12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in-4af7993664f092e3</t>
        </is>
      </c>
      <c r="B127" t="inlineStr">
        <is>
          <t>Sr. Applied Scientist, Amazon Advertising</t>
        </is>
      </c>
      <c r="C127" t="inlineStr">
        <is>
          <t>Amazon.com</t>
        </is>
      </c>
      <c r="D127" t="inlineStr">
        <is>
          <t>indeed</t>
        </is>
      </c>
      <c r="E127" t="inlineStr"/>
      <c r="F127" t="inlineStr"/>
      <c r="G127" t="inlineStr">
        <is>
          <t>Palo Alto, CA, US</t>
        </is>
      </c>
      <c r="H127" s="2" t="n">
        <v>45851</v>
      </c>
      <c r="I12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in-c4d3714f478c29bd</t>
        </is>
      </c>
      <c r="B128" t="inlineStr">
        <is>
          <t>Sr. Applied Scientist, Amazon Advertising</t>
        </is>
      </c>
      <c r="C128" t="inlineStr">
        <is>
          <t>Amazon.com</t>
        </is>
      </c>
      <c r="D128" t="inlineStr">
        <is>
          <t>indeed</t>
        </is>
      </c>
      <c r="E128" t="inlineStr"/>
      <c r="F128" t="inlineStr"/>
      <c r="G128" t="inlineStr">
        <is>
          <t>Seattle, WA, US</t>
        </is>
      </c>
      <c r="H128" s="2" t="n">
        <v>45851</v>
      </c>
      <c r="I12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in-234ff185e03902ae</t>
        </is>
      </c>
      <c r="B129" t="inlineStr">
        <is>
          <t>Senior Applied Scientist, Artificial General Intelligence</t>
        </is>
      </c>
      <c r="C129" t="inlineStr">
        <is>
          <t>Amazon.com</t>
        </is>
      </c>
      <c r="D129" t="inlineStr">
        <is>
          <t>indeed</t>
        </is>
      </c>
      <c r="E129" t="inlineStr"/>
      <c r="F129" t="inlineStr"/>
      <c r="G129" t="inlineStr">
        <is>
          <t>Seattle, WA, US</t>
        </is>
      </c>
      <c r="H129" s="2" t="n">
        <v>45846</v>
      </c>
      <c r="I12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in-fddb94ccfaf05915</t>
        </is>
      </c>
      <c r="B130" t="inlineStr">
        <is>
          <t>Senior Applied Scientist, Artificial General Intelligence</t>
        </is>
      </c>
      <c r="C130" t="inlineStr">
        <is>
          <t>Amazon.com</t>
        </is>
      </c>
      <c r="D130" t="inlineStr">
        <is>
          <t>indeed</t>
        </is>
      </c>
      <c r="E130" t="inlineStr"/>
      <c r="F130" t="inlineStr"/>
      <c r="G130" t="inlineStr">
        <is>
          <t>Sunnyvale, CA, US</t>
        </is>
      </c>
      <c r="H130" s="2" t="n">
        <v>45846</v>
      </c>
      <c r="I130"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in-c8af7d4667e6dda1</t>
        </is>
      </c>
      <c r="B131" t="inlineStr">
        <is>
          <t>Senior Applied Scientist, Artificial General Intelligence</t>
        </is>
      </c>
      <c r="C131" t="inlineStr">
        <is>
          <t>Amazon.com</t>
        </is>
      </c>
      <c r="D131" t="inlineStr">
        <is>
          <t>indeed</t>
        </is>
      </c>
      <c r="E131" t="inlineStr"/>
      <c r="F131" t="inlineStr"/>
      <c r="G131" t="inlineStr">
        <is>
          <t>Boston, MA, US</t>
        </is>
      </c>
      <c r="H131" s="2" t="n">
        <v>45846</v>
      </c>
      <c r="I13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in-b2ebf2380d79e678</t>
        </is>
      </c>
      <c r="B132" t="inlineStr">
        <is>
          <t>Sr. Applied Scientist, AGI Info</t>
        </is>
      </c>
      <c r="C132" t="inlineStr">
        <is>
          <t>Amazon.com</t>
        </is>
      </c>
      <c r="D132" t="inlineStr">
        <is>
          <t>indeed</t>
        </is>
      </c>
      <c r="E132" t="inlineStr"/>
      <c r="F132" t="inlineStr"/>
      <c r="G132" t="inlineStr">
        <is>
          <t>Sunnyvale, CA, US</t>
        </is>
      </c>
      <c r="H132" s="2" t="n">
        <v>45811</v>
      </c>
      <c r="I132"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in-f07bf5da44770acc</t>
        </is>
      </c>
      <c r="B133" t="inlineStr">
        <is>
          <t>Sr. Applied Scientist, AGI Info</t>
        </is>
      </c>
      <c r="C133" t="inlineStr">
        <is>
          <t>Amazon.com</t>
        </is>
      </c>
      <c r="D133" t="inlineStr">
        <is>
          <t>indeed</t>
        </is>
      </c>
      <c r="E133" t="inlineStr"/>
      <c r="F133" t="inlineStr"/>
      <c r="G133" t="inlineStr">
        <is>
          <t>Bellevue, WA, US</t>
        </is>
      </c>
      <c r="H133" s="2" t="n">
        <v>45811</v>
      </c>
      <c r="I133"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in-09694a1c98421973</t>
        </is>
      </c>
      <c r="B134" t="inlineStr">
        <is>
          <t>Principal Applied Scientist, FAR (Frontier AI &amp; Robotics)</t>
        </is>
      </c>
      <c r="C134" t="inlineStr">
        <is>
          <t>Amazon.com</t>
        </is>
      </c>
      <c r="D134" t="inlineStr">
        <is>
          <t>indeed</t>
        </is>
      </c>
      <c r="E134" t="inlineStr"/>
      <c r="F134" t="inlineStr"/>
      <c r="G134" t="inlineStr">
        <is>
          <t>San Francisco, CA, US</t>
        </is>
      </c>
      <c r="H134" s="2" t="n">
        <v>45740</v>
      </c>
      <c r="I13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in-f0fec06a299e7cce</t>
        </is>
      </c>
      <c r="B135" t="inlineStr">
        <is>
          <t>Principal Applied Scientist, FAR (Frontier AI &amp; Robotics)</t>
        </is>
      </c>
      <c r="C135" t="inlineStr">
        <is>
          <t>Amazon.com</t>
        </is>
      </c>
      <c r="D135" t="inlineStr">
        <is>
          <t>indeed</t>
        </is>
      </c>
      <c r="E135" t="inlineStr"/>
      <c r="F135" t="inlineStr"/>
      <c r="G135" t="inlineStr">
        <is>
          <t>Seattle, WA, US</t>
        </is>
      </c>
      <c r="H135" s="2" t="n">
        <v>45740</v>
      </c>
      <c r="I13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in-2af110724b6fd489</t>
        </is>
      </c>
      <c r="B136" t="inlineStr">
        <is>
          <t>Applied Scientist, Personalization, DTx Science</t>
        </is>
      </c>
      <c r="C136" t="inlineStr">
        <is>
          <t>Amazon.com</t>
        </is>
      </c>
      <c r="D136" t="inlineStr">
        <is>
          <t>indeed</t>
        </is>
      </c>
      <c r="E136" t="inlineStr"/>
      <c r="F136" t="inlineStr"/>
      <c r="G136" t="inlineStr">
        <is>
          <t>Seattle, WA, US</t>
        </is>
      </c>
      <c r="H136" s="2" t="n">
        <v>45979</v>
      </c>
      <c r="I13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in-131af43ea531f440</t>
        </is>
      </c>
      <c r="B137" t="inlineStr">
        <is>
          <t>Applied Scientist, Personalization, DTx Science</t>
        </is>
      </c>
      <c r="C137" t="inlineStr">
        <is>
          <t>Amazon.com</t>
        </is>
      </c>
      <c r="D137" t="inlineStr">
        <is>
          <t>indeed</t>
        </is>
      </c>
      <c r="E137" t="inlineStr"/>
      <c r="F137" t="inlineStr"/>
      <c r="G137" t="inlineStr">
        <is>
          <t>New York, NY, US</t>
        </is>
      </c>
      <c r="H137" s="2" t="n">
        <v>45979</v>
      </c>
      <c r="I137"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in-16e317976382f113</t>
        </is>
      </c>
      <c r="B138" t="inlineStr">
        <is>
          <t>Applied Scientist, Sponsored Products</t>
        </is>
      </c>
      <c r="C138" t="inlineStr">
        <is>
          <t>Amazon.com</t>
        </is>
      </c>
      <c r="D138" t="inlineStr">
        <is>
          <t>indeed</t>
        </is>
      </c>
      <c r="E138" t="inlineStr"/>
      <c r="F138" t="inlineStr"/>
      <c r="G138" t="inlineStr">
        <is>
          <t>Arlington, VA, US</t>
        </is>
      </c>
      <c r="H138" s="2" t="n">
        <v>45971</v>
      </c>
      <c r="I13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in-5918a6250c57777d</t>
        </is>
      </c>
      <c r="B139" t="inlineStr">
        <is>
          <t>Applied Scientist, Sponsored Products</t>
        </is>
      </c>
      <c r="C139" t="inlineStr">
        <is>
          <t>Amazon.com</t>
        </is>
      </c>
      <c r="D139" t="inlineStr">
        <is>
          <t>indeed</t>
        </is>
      </c>
      <c r="E139" t="inlineStr"/>
      <c r="F139" t="inlineStr"/>
      <c r="G139" t="inlineStr">
        <is>
          <t>Seattle, WA, US</t>
        </is>
      </c>
      <c r="H139" s="2" t="n">
        <v>45971</v>
      </c>
      <c r="I13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in-5ba3ab3a070c8b70</t>
        </is>
      </c>
      <c r="B140" t="inlineStr">
        <is>
          <t>Applied Scientist, AWS Agentic AI</t>
        </is>
      </c>
      <c r="C140" t="inlineStr">
        <is>
          <t>Amazon Web Services</t>
        </is>
      </c>
      <c r="D140" t="inlineStr">
        <is>
          <t>indeed</t>
        </is>
      </c>
      <c r="E140" t="inlineStr"/>
      <c r="F140" t="inlineStr"/>
      <c r="G140" t="inlineStr">
        <is>
          <t>New York, NY, US</t>
        </is>
      </c>
      <c r="H140" s="2" t="n">
        <v>45962</v>
      </c>
      <c r="I14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in-2d1cc81c591a1352</t>
        </is>
      </c>
      <c r="B141" t="inlineStr">
        <is>
          <t>Applied Scientist, AWS Agentic AI</t>
        </is>
      </c>
      <c r="C141" t="inlineStr">
        <is>
          <t>Amazon Web Services</t>
        </is>
      </c>
      <c r="D141" t="inlineStr">
        <is>
          <t>indeed</t>
        </is>
      </c>
      <c r="E141" t="inlineStr"/>
      <c r="F141" t="inlineStr"/>
      <c r="G141" t="inlineStr">
        <is>
          <t>Santa Clara, CA, US</t>
        </is>
      </c>
      <c r="H141" s="2" t="n">
        <v>45962</v>
      </c>
      <c r="I14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in-6771afb4f18788fb</t>
        </is>
      </c>
      <c r="B142" t="inlineStr">
        <is>
          <t>Applied Scientist, AWS Agentic AI</t>
        </is>
      </c>
      <c r="C142" t="inlineStr">
        <is>
          <t>Amazon Web Services</t>
        </is>
      </c>
      <c r="D142" t="inlineStr">
        <is>
          <t>indeed</t>
        </is>
      </c>
      <c r="E142" t="inlineStr"/>
      <c r="F142" t="inlineStr"/>
      <c r="G142" t="inlineStr">
        <is>
          <t>Seattle, WA, US</t>
        </is>
      </c>
      <c r="H142" s="2" t="n">
        <v>45962</v>
      </c>
      <c r="I14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in-d1450ed4240ba1e1</t>
        </is>
      </c>
      <c r="B143" t="inlineStr">
        <is>
          <t>Sr. Applied Scientist, Sales AI</t>
        </is>
      </c>
      <c r="C143" t="inlineStr">
        <is>
          <t>Amazon.com</t>
        </is>
      </c>
      <c r="D143" t="inlineStr">
        <is>
          <t>indeed</t>
        </is>
      </c>
      <c r="E143" t="inlineStr"/>
      <c r="F143" t="inlineStr"/>
      <c r="G143" t="inlineStr">
        <is>
          <t>Seattle, WA, US</t>
        </is>
      </c>
      <c r="H143" s="2" t="n">
        <v>45830</v>
      </c>
      <c r="I14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in-0037186414a638b3</t>
        </is>
      </c>
      <c r="B144" t="inlineStr">
        <is>
          <t>Sr. Applied Scientist, Sales AI</t>
        </is>
      </c>
      <c r="C144" t="inlineStr">
        <is>
          <t>Amazon.com</t>
        </is>
      </c>
      <c r="D144" t="inlineStr">
        <is>
          <t>indeed</t>
        </is>
      </c>
      <c r="E144" t="inlineStr"/>
      <c r="F144" t="inlineStr"/>
      <c r="G144" t="inlineStr">
        <is>
          <t>New York, NY, US</t>
        </is>
      </c>
      <c r="H144" s="2" t="n">
        <v>45830</v>
      </c>
      <c r="I14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in-9d5018875b630e6a</t>
        </is>
      </c>
      <c r="B145" t="inlineStr">
        <is>
          <t>Sr. Applied Scientist, Sales AI</t>
        </is>
      </c>
      <c r="C145" t="inlineStr">
        <is>
          <t>Amazon.com</t>
        </is>
      </c>
      <c r="D145" t="inlineStr">
        <is>
          <t>indeed</t>
        </is>
      </c>
      <c r="E145" t="inlineStr"/>
      <c r="F145" t="inlineStr"/>
      <c r="G145" t="inlineStr">
        <is>
          <t>Sunnyvale, CA, US</t>
        </is>
      </c>
      <c r="H145" s="2" t="n">
        <v>45830</v>
      </c>
      <c r="I14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in-9cb747f619f55019</t>
        </is>
      </c>
      <c r="B146" t="inlineStr">
        <is>
          <t>Senior Data Scientist - Manufacturing Operations</t>
        </is>
      </c>
      <c r="C146" t="inlineStr">
        <is>
          <t>Dandy</t>
        </is>
      </c>
      <c r="D146" t="inlineStr">
        <is>
          <t>indeed</t>
        </is>
      </c>
      <c r="E146" t="inlineStr"/>
      <c r="F146" t="inlineStr"/>
      <c r="G146" t="inlineStr">
        <is>
          <t>Indianapolis, IN, US</t>
        </is>
      </c>
      <c r="H146" s="2" t="n">
        <v>46030</v>
      </c>
      <c r="I146"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**Revolutionizing the dental industry is hard…and we need help.**
We're on the hunt for experienced senior data scientists who can tackle some of our most significant challenges within our manufacturing operations and supply chain. Our Operations team plays a pivotal role in Dandy's dental operations, overseeing critical areas like production management, workforce analytics and supply chain optimization. In this dynamic, cross\-functional role, you'll have the freedom to independently harness data to drive recommendations that propel Dandy to become the top dental lab in the industry.
**Your responsibilities/opportunities**
* Build production management and prescriptive analytics systems to help the manufacturing team execute and scale
* Develop and share insights that drive impact within the Manufacturing, Supply Chain, and Operations teams
* Define the data language (i.e. KPIs, dashboards, measurement, etc) to ensure your team grasps the underlying truth that drives progress and success
* Facilitate rapid decision making through ad hoc work or by democratizing data/self service (effective BI or user\-friendly explores in Looker in partnership with our data engineers)
* Utilize your data super powers to reduce ambiguity and solve problems
* Mentor other analysts and help them grow
**About you:**
* 6\+ years of experience working in data analytics or data science, ideally in a B2B operations setting
* BA/BS in a quantitative field such as statistics, computer science, operations research or a BA/BS in behavioral science (economics, psychology, etc) with statistics skills
* Excellent SQL skills
* Strong scripting Python skills
* Previous experience using data to drive impact in manufacturing or operations environments
* Familiarity with operations research and supply chain management concepts
* Strong communication skills and experience communicating results in a way that drives change. You have the ability to use data to inform, align, and lead
* Strong senses of autonomy and ownership
* Strong critical thinking, problem solving, and statistical skills
**Bonus points:**
* Have experience turning vague operational problems and turning them into statistically rigorous analyses \&amp; solutions (i.e causal inference, predictive modeling)
* Interest in working and learning in an earlier stage company where we’re still working out some of the basics
* Bias for action and desire to work in a fast\-paced, collaborative environment
* Strong customer empathy, particularly for dentists
* Experience with Hex/Jupyter, DBT or Data Orchestration (we use Dagster)
Req ID: J\-706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Compensation Range: $191\.7K \- $239\.7K</t>
        </is>
      </c>
    </row>
    <row r="147">
      <c r="A147" t="inlineStr">
        <is>
          <t>in-d864f142009d612a</t>
        </is>
      </c>
      <c r="B147" t="inlineStr">
        <is>
          <t>Senior Data Scientist - Manufacturing Operations</t>
        </is>
      </c>
      <c r="C147" t="inlineStr">
        <is>
          <t>Dandy</t>
        </is>
      </c>
      <c r="D147" t="inlineStr">
        <is>
          <t>indeed</t>
        </is>
      </c>
      <c r="E147" t="inlineStr"/>
      <c r="F147" t="inlineStr"/>
      <c r="G147" t="inlineStr">
        <is>
          <t>Provo, UT, US</t>
        </is>
      </c>
      <c r="H147" s="2" t="n">
        <v>46030</v>
      </c>
      <c r="I147"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**Revolutionizing the dental industry is hard…and we need help.**
We're on the hunt for experienced senior data scientists who can tackle some of our most significant challenges within our manufacturing operations and supply chain. Our Operations team plays a pivotal role in Dandy's dental operations, overseeing critical areas like production management, workforce analytics and supply chain optimization. In this dynamic, cross\-functional role, you'll have the freedom to independently harness data to drive recommendations that propel Dandy to become the top dental lab in the industry.
**Your responsibilities/opportunities**
* Build production management and prescriptive analytics systems to help the manufacturing team execute and scale
* Develop and share insights that drive impact within the Manufacturing, Supply Chain, and Operations teams
* Define the data language (i.e. KPIs, dashboards, measurement, etc) to ensure your team grasps the underlying truth that drives progress and success
* Facilitate rapid decision making through ad hoc work or by democratizing data/self service (effective BI or user\-friendly explores in Looker in partnership with our data engineers)
* Utilize your data super powers to reduce ambiguity and solve problems
* Mentor other analysts and help them grow
**About you:**
* 6\+ years of experience working in data analytics or data science, ideally in a B2B operations setting
* BA/BS in a quantitative field such as statistics, computer science, operations research or a BA/BS in behavioral science (economics, psychology, etc) with statistics skills
* Excellent SQL skills
* Strong scripting Python skills
* Previous experience using data to drive impact in manufacturing or operations environments
* Familiarity with operations research and supply chain management concepts
* Strong communication skills and experience communicating results in a way that drives change. You have the ability to use data to inform, align, and lead
* Strong senses of autonomy and ownership
* Strong critical thinking, problem solving, and statistical skills
**Bonus points:**
* Have experience turning vague operational problems and turning them into statistically rigorous analyses \&amp; solutions (i.e causal inference, predictive modeling)
* Interest in working and learning in an earlier stage company where we’re still working out some of the basics
* Bias for action and desire to work in a fast\-paced, collaborative environment
* Strong customer empathy, particularly for dentists
* Experience with Hex/Jupyter, DBT or Data Orchestration (we use Dagster)
Req ID: J\-706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Compensation Range: $191\.7K \- $239\.7K</t>
        </is>
      </c>
    </row>
    <row r="148">
      <c r="A148" t="inlineStr">
        <is>
          <t>in-b8342ed7ea1857fe</t>
        </is>
      </c>
      <c r="B148" t="inlineStr">
        <is>
          <t>Data Scientist, Podcast</t>
        </is>
      </c>
      <c r="C148" t="inlineStr">
        <is>
          <t>Spotify</t>
        </is>
      </c>
      <c r="D148" t="inlineStr">
        <is>
          <t>indeed</t>
        </is>
      </c>
      <c r="E148" t="inlineStr"/>
      <c r="F148" t="inlineStr"/>
      <c r="G148" t="inlineStr">
        <is>
          <t>New York, NY, US</t>
        </is>
      </c>
      <c r="H148" s="2" t="n">
        <v>46030</v>
      </c>
      <c r="I148" t="inlineStr">
        <is>
          <t>Data, Research \&amp; Insights
Permanent
New York
The Spotify Podcast R\&amp;D team consists of Data Scientists, Analytics Engineers and User Researchers dedicated to improving the experience of podcasts for both creators and users of the platform. This role will support our Product team in evaluating the performance of exciting features from Spotify for Creators like Podcast Comments, Creator Analytics, and the Spotify Partner Program (to name a few).
What You'll Do
* Develop research questions and undertake data exploration to understand creator monetization, and where we can develop our products to bring greater value to creators.
* Work closely with cross\-functional teams of data scientists, researchers, product owners, engineers, designers, marketers, and others across the company to develop and improve monetization tools for creators.
* Define, evaluate, dashboard, and monitor metrics, understanding the root causes of changes.
* Communicate insights and recommendations to collaborators across Spotify to build out our product strategy.
* Maintain a culture of rigor and data\-informed decision\-making to drive tangible business impact.
* Contribute to the development of the Insights function and the wider analytics community at Spotify.
Who You Are
* Demonstrated ability in a similar Data Science role.
* Degree in data science, computer science, statistics, economics, mathematics, or a similar quantitative field.
* Deeply curious; interested in the current and future creator ecosystem.
* You have experience with product analytics, including crafting success metrics, performing exploratory analysis and presenting findings with clear product recommendations or implications.
* You have hands\-on experience synthesizing insights from data using tools such as Python, DBT, BigQuery, SQL, Tableau.
* Strong communication skills and value building strong relationships with colleagues and partners as well as the ability to explain sophisticated topics in straightforward terms.
* You’re a compelling storyteller who can communicate in succinct and inspiring ways to audiences with varied data science experience to influence product or feature decisions.
Where You'll Be
* This role is based in our New York office.
* We offer you the flexibility to work where you work best! There will be some in person meetings, but still allows for flexibility to work from home.
Learn about life at Spotify
The United States base range for this position is $ 94,584 \- $ 135,121, plus equity. The benefits available for this position include health insurance, six month paid parental leave, 401(k) retirement plan, a monthly meal allowance, 23 paid days off, 13 paid flexible holidays. These ranges may be modified in the future.
Our global benefits
Extensive learning opportunities, through our dedicated team, GreenHouse.
Flexible share incentives letting you choose how you share in our success.
Global parental leave, six months off \- for all new parents.
All The Feels, our employee assistance program and self\-care hub.
Flexible public holidays, swap days off according to your values and beliefs.</t>
        </is>
      </c>
    </row>
    <row r="149">
      <c r="A149" t="inlineStr">
        <is>
          <t>in-23b7d9f05bc28180</t>
        </is>
      </c>
      <c r="B149" t="inlineStr">
        <is>
          <t>Data Scientist II for Published Clinical Evidence &amp; Competitive Intelligence Insights</t>
        </is>
      </c>
      <c r="C149" t="inlineStr">
        <is>
          <t>AbbVie</t>
        </is>
      </c>
      <c r="D149" t="inlineStr">
        <is>
          <t>indeed</t>
        </is>
      </c>
      <c r="E149" t="inlineStr"/>
      <c r="F149" t="inlineStr"/>
      <c r="G149" t="inlineStr">
        <is>
          <t>Cambridge, MA, US</t>
        </is>
      </c>
      <c r="H149" s="2" t="n">
        <v>46031</v>
      </c>
      <c r="I149"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AbbVie’s global Information Research (IR) group has a mission to unlock information that makes cures possible. Within IR, the Enterprise Knowledge Accelerator (EKA) team is the trusted knowledge partner for clients in R\&amp;D and the Corporate Business \&amp; Strategy Office (CBSO). EKA drives innovation and enhances knowledge\-sharing across the value chain, for better and faster decisions that impact advancement in our pipeline. The team is a global organization, with presences at the Lake County, Illinois headquarters and Boston, Massachusetts areas (US), as well as the Ludwigshafen site (Germany). Leveraging cutting\-edge technologies and scientific expertise, we deliver industry\-leading capabilities to harness insights from published content for high\-impact decision\-making. Our team possesses the scientific and technical expertise to utilize and provide guidance on a wide range of knowledge sources, ensuring high\-quality answers for our clients.
The Data Scientist will join the Solutions for Published Insights and Client Enablement (SPICE) team, supporting AbbVie’s R\&amp;D, CBSO and other business functions enterprise wide. SPICE provides business partnership, resource consultancy, ad\-hoc research support for business\-critical questions, knowledge and insights mining and analysis, as well as designing and building innovative self\-service solutions for insights generation from published resources and internal knowledge. This includes literature, patent, conference, news, clinical trial, and competitive intelligence data such as competitor pipelines.
The Data Scientist should have sufficiently strong background in both science and technology to fulfil this role and demonstrate high motivation to expand their knowledge in a pharma context and as SME for key client groups. The role is expected to collaborate effectively within SPICE, EKA, and the larger IR organization, driving impactful results for all of AbbVie. Responsibilities include developing novel AI\-based capabilities for extracting, harmonizing, and monitoring published clinical trial data, real\-world evidence, and other competitive insights. They will closely collaborate with internal expert teams to define requirements and integrate manually curated data and insights, thereby supporting pipeline strategy, corporate strategy, and commercial teams with essential intelligence for advancing AbbVie’s pipeline.
.
Responsibilities
* Leverage scientific domain and technical knowledge to support clients across AbbVie with the most relevant information and published insights for decision\-making. Key focus: Competitive Intelligence, Corporate and Pipeline Strategy groups and data.
* Build and design new methods and automated workflows to systematically identify, extract, normalize and database key insights and evidence from publications as well as other published sources using GenAI and other state\-of\-the\-art technology and data science solutions
* Work with key stakeholders and expert teams to identify novel sources for manually curated competitive intelligence and clinical trial data and integrate in existing workflows to democratize access across AbbVie
* Support efforts for streamlining AbbVie’s systematic literature review process and knowledge extraction from (full\-text) publication resources
* Provide unique scientific insights and expertise by designing and developing solutions for finding, extracting, curating, and visualizing knowledge from published and internal data
* Monitor and be attuned to new technology trends relevant for knowledge analysis and insights discovery
* Achieve great results, while overwhelmingly demonstrating key AbbVie values and behaviors.
 **Qualifications**  
Required:
* Bachelor’s degree (with 5 years of experience), Master’s (4 years), or Ph.D. (0\-2 years) in life sciences, medicine, pharmacy, bioinformatics, biomedical/clinical data science, or related field
* Solid scientific domain knowledge in late\-stage pharmaceutical development—Medical Affairs, Clinical Development, Pharmacovigilance, HEOR, Epidemiology—proven by education or work experience
* Solid programming and informatics/data science/computer science background. Proficiency in Python.
* Experience analyzing publications, especially scientific literature
* Proven ability to translate complex scientific or clinical questions into actionable solutions and insights
* Initial experience with data consolidation, standardization, optimization, or exploratory data analysis
* Experience with relational databases and SQL (e.g., Oracle, Apache Hadoop)
* Strong analytical skills to process, analyze, visualize, and present results
* Systematic problem\-solving mindset, reliability, superior attention to detail
* Good communication skills for interdisciplinary teams and various audiences
* Good organizational skills: balance taking direction (from sponsors, partners, clients) with initiative for multiple projects
* Comfortable working in a dynamic, collaborative, fast\-paced environment with constantly shifting priorities
* Innate scientific curiosity, technical creativity, and innovative thinking. Motivated to break new ground in the field of information analysis and insights generation.
* Fluency in English
Beneficial:
* Pharmaceutical industry experience.
* Experience with front\-end technologies (HTML, JavaScript, CSS, React)
* Basic working experience with Linux/Unix\-based OS and Docker
* Experience with GenAI models for knowledge extraction, their pitfalls, prompting and embedding them within Python workflows
* Basic understanding of agents/agentic workflows (MCP, A2A)
* Experience with drug pipeline or trial competitive intelligence databases (e.g., Clarivate’s Cortellis, Citeline’s Trialtrove, Pharmaprojects)
* Experience with data pipeline frameworks, text mining, NLP, semantic enrichment, ontologies, or data mining
* Knowledge of technologies for retrieval, analysis, and visualization (e.g., REST APIs, XML, JSON, Python libraries like Pydantic)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150">
      <c r="A150" t="inlineStr">
        <is>
          <t>in-40803a54e118c52d</t>
        </is>
      </c>
      <c r="B150" t="inlineStr">
        <is>
          <t>Data Scientist II for Published Clinical Evidence &amp; Competitive Intelligence Insights</t>
        </is>
      </c>
      <c r="C150" t="inlineStr">
        <is>
          <t>AbbVie</t>
        </is>
      </c>
      <c r="D150" t="inlineStr">
        <is>
          <t>indeed</t>
        </is>
      </c>
      <c r="E150" t="inlineStr"/>
      <c r="F150" t="inlineStr"/>
      <c r="G150" t="inlineStr">
        <is>
          <t>South San Francisco, CA, US</t>
        </is>
      </c>
      <c r="H150" s="2" t="n">
        <v>46031</v>
      </c>
      <c r="I150"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AbbVie’s global Information Research (IR) group has a mission to unlock information that makes cures possible. Within IR, the Enterprise Knowledge Accelerator (EKA) team is the trusted knowledge partner for clients in R\&amp;D and the Corporate Business \&amp; Strategy Office (CBSO). EKA drives innovation and enhances knowledge\-sharing across the value chain, for better and faster decisions that impact advancement in our pipeline. The team is a global organization, with presences at the Lake County, Illinois headquarters and Boston, Massachusetts areas (US), as well as the Ludwigshafen site (Germany). Leveraging cutting\-edge technologies and scientific expertise, we deliver industry\-leading capabilities to harness insights from published content for high\-impact decision\-making. Our team possesses the scientific and technical expertise to utilize and provide guidance on a wide range of knowledge sources, ensuring high\-quality answers for our clients.
The Data Scientist will join the Solutions for Published Insights and Client Enablement (SPICE) team, supporting AbbVie’s R\&amp;D, CBSO and other business functions enterprise wide. SPICE provides business partnership, resource consultancy, ad\-hoc research support for business\-critical questions, knowledge and insights mining and analysis, as well as designing and building innovative self\-service solutions for insights generation from published resources and internal knowledge. This includes literature, patent, conference, news, clinical trial, and competitive intelligence data such as competitor pipelines.
The Data Scientist should have sufficiently strong background in both science and technology to fulfil this role and demonstrate high motivation to expand their knowledge in a pharma context and as SME for key client groups. The role is expected to collaborate effectively within SPICE, EKA, and the larger IR organization, driving impactful results for all of AbbVie. Responsibilities include developing novel AI\-based capabilities for extracting, harmonizing, and monitoring published clinical trial data, real\-world evidence, and other competitive insights. They will closely collaborate with internal expert teams to define requirements and integrate manually curated data and insights, thereby supporting pipeline strategy, corporate strategy, and commercial teams with essential intelligence for advancing AbbVie’s pipeline.
.
Responsibilities
* Leverage scientific domain and technical knowledge to support clients across AbbVie with the most relevant information and published insights for decision\-making. Key focus: Competitive Intelligence, Corporate and Pipeline Strategy groups and data.
* Build and design new methods and automated workflows to systematically identify, extract, normalize and database key insights and evidence from publications as well as other published sources using GenAI and other state\-of\-the\-art technology and data science solutions
* Work with key stakeholders and expert teams to identify novel sources for manually curated competitive intelligence and clinical trial data and integrate in existing workflows to democratize access across AbbVie
* Support efforts for streamlining AbbVie’s systematic literature review process and knowledge extraction from (full\-text) publication resources
* Provide unique scientific insights and expertise by designing and developing solutions for finding, extracting, curating, and visualizing knowledge from published and internal data
* Monitor and be attuned to new technology trends relevant for knowledge analysis and insights discovery
* Achieve great results, while overwhelmingly demonstrating key AbbVie values and behaviors.
 **Qualifications**  
Required:
* Bachelor’s degree (with 5 years of experience), Master’s (4 years), or Ph.D. (0\-2 years) in life sciences, medicine, pharmacy, bioinformatics, biomedical/clinical data science, or related field
* Solid scientific domain knowledge in late\-stage pharmaceutical development—Medical Affairs, Clinical Development, Pharmacovigilance, HEOR, Epidemiology—proven by education or work experience
* Solid programming and informatics/data science/computer science background. Proficiency in Python.
* Experience analyzing publications, especially scientific literature
* Proven ability to translate complex scientific or clinical questions into actionable solutions and insights
* Initial experience with data consolidation, standardization, optimization, or exploratory data analysis
* Experience with relational databases and SQL (e.g., Oracle, Apache Hadoop)
* Strong analytical skills to process, analyze, visualize, and present results
* Systematic problem\-solving mindset, reliability, superior attention to detail
* Good communication skills for interdisciplinary teams and various audiences
* Good organizational skills: balance taking direction (from sponsors, partners, clients) with initiative for multiple projects
* Comfortable working in a dynamic, collaborative, fast\-paced environment with constantly shifting priorities
* Innate scientific curiosity, technical creativity, and innovative thinking. Motivated to break new ground in the field of information analysis and insights generation.
* Fluency in English
Beneficial:
* Pharmaceutical industry experience.
* Experience with front\-end technologies (HTML, JavaScript, CSS, React)
* Basic working experience with Linux/Unix\-based OS and Docker
* Experience with GenAI models for knowledge extraction, their pitfalls, prompting and embedding them within Python workflows
* Basic understanding of agents/agentic workflows (MCP, A2A)
* Experience with drug pipeline or trial competitive intelligence databases (e.g., Clarivate’s Cortellis, Citeline’s Trialtrove, Pharmaprojects)
* Experience with data pipeline frameworks, text mining, NLP, semantic enrichment, ontologies, or data mining
* Knowledge of technologies for retrieval, analysis, and visualization (e.g., REST APIs, XML, JSON, Python libraries like Pydantic)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151">
      <c r="A151" t="inlineStr">
        <is>
          <t>in-a04b72875ed61c32</t>
        </is>
      </c>
      <c r="B151" t="inlineStr">
        <is>
          <t>Data Scientist II for Published Clinical Evidence &amp; Competitive Intelligence Insights</t>
        </is>
      </c>
      <c r="C151" t="inlineStr">
        <is>
          <t>AbbVie</t>
        </is>
      </c>
      <c r="D151" t="inlineStr">
        <is>
          <t>indeed</t>
        </is>
      </c>
      <c r="E151" t="inlineStr"/>
      <c r="F151" t="inlineStr"/>
      <c r="G151" t="inlineStr">
        <is>
          <t>North Chicago, IL, US</t>
        </is>
      </c>
      <c r="H151" s="2" t="n">
        <v>46031</v>
      </c>
      <c r="I151"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AbbVie’s global Information Research (IR) group has a mission to unlock information that makes cures possible. Within IR, the Enterprise Knowledge Accelerator (EKA) team is the trusted knowledge partner for clients in R\&amp;D and the Corporate Business \&amp; Strategy Office (CBSO). EKA drives innovation and enhances knowledge\-sharing across the value chain, for better and faster decisions that impact advancement in our pipeline. The team is a global organization, with presences at the Lake County, Illinois headquarters and Boston, Massachusetts areas (US), as well as the Ludwigshafen site (Germany). Leveraging cutting\-edge technologies and scientific expertise, we deliver industry\-leading capabilities to harness insights from published content for high\-impact decision\-making. Our team possesses the scientific and technical expertise to utilize and provide guidance on a wide range of knowledge sources, ensuring high\-quality answers for our clients.
The Data Scientist will join the Solutions for Published Insights and Client Enablement (SPICE) team, supporting AbbVie’s R\&amp;D, CBSO and other business functions enterprise wide. SPICE provides business partnership, resource consultancy, ad\-hoc research support for business\-critical questions, knowledge and insights mining and analysis, as well as designing and building innovative self\-service solutions for insights generation from published resources and internal knowledge. This includes literature, patent, conference, news, clinical trial, and competitive intelligence data such as competitor pipelines.
The Data Scientist should have sufficiently strong background in both science and technology to fulfil this role and demonstrate high motivation to expand their knowledge in a pharma context and as SME for key client groups. The role is expected to collaborate effectively within SPICE, EKA, and the larger IR organization, driving impactful results for all of AbbVie. Responsibilities include developing novel AI\-based capabilities for extracting, harmonizing, and monitoring published clinical trial data, real\-world evidence, and other competitive insights. They will closely collaborate with internal expert teams to define requirements and integrate manually curated data and insights, thereby supporting pipeline strategy, corporate strategy, and commercial teams with essential intelligence for advancing AbbVie’s pipeline.
.
Responsibilities
* Leverage scientific domain and technical knowledge to support clients across AbbVie with the most relevant information and published insights for decision\-making. Key focus: Competitive Intelligence, Corporate and Pipeline Strategy groups and data.
* Build and design new methods and automated workflows to systematically identify, extract, normalize and database key insights and evidence from publications as well as other published sources using GenAI and other state\-of\-the\-art technology and data science solutions
* Work with key stakeholders and expert teams to identify novel sources for manually curated competitive intelligence and clinical trial data and integrate in existing workflows to democratize access across AbbVie
* Support efforts for streamlining AbbVie’s systematic literature review process and knowledge extraction from (full\-text) publication resources
* Provide unique scientific insights and expertise by designing and developing solutions for finding, extracting, curating, and visualizing knowledge from published and internal data
* Monitor and be attuned to new technology trends relevant for knowledge analysis and insights discovery
* Achieve great results, while overwhelmingly demonstrating key AbbVie values and behaviors.
 **Qualifications**  
Required:
* Bachelor’s degree (with 5 years of experience), Master’s (4 years), or Ph.D. (0\-2 years) in life sciences, medicine, pharmacy, bioinformatics, biomedical/clinical data science, or related field
* Solid scientific domain knowledge in late\-stage pharmaceutical development—Medical Affairs, Clinical Development, Pharmacovigilance, HEOR, Epidemiology—proven by education or work experience
* Solid programming and informatics/data science/computer science background. Proficiency in Python.
* Experience analyzing publications, especially scientific literature
* Proven ability to translate complex scientific or clinical questions into actionable solutions and insights
* Initial experience with data consolidation, standardization, optimization, or exploratory data analysis
* Experience with relational databases and SQL (e.g., Oracle, Apache Hadoop)
* Strong analytical skills to process, analyze, visualize, and present results
* Systematic problem\-solving mindset, reliability, superior attention to detail
* Good communication skills for interdisciplinary teams and various audiences
* Good organizational skills: balance taking direction (from sponsors, partners, clients) with initiative for multiple projects
* Comfortable working in a dynamic, collaborative, fast\-paced environment with constantly shifting priorities
* Innate scientific curiosity, technical creativity, and innovative thinking. Motivated to break new ground in the field of information analysis and insights generation.
* Fluency in English
Beneficial:
* Pharmaceutical industry experience.
* Experience with front\-end technologies (HTML, JavaScript, CSS, React)
* Basic working experience with Linux/Unix\-based OS and Docker
* Experience with GenAI models for knowledge extraction, their pitfalls, prompting and embedding them within Python workflows
* Basic understanding of agents/agentic workflows (MCP, A2A)
* Experience with drug pipeline or trial competitive intelligence databases (e.g., Clarivate’s Cortellis, Citeline’s Trialtrove, Pharmaprojects)
* Experience with data pipeline frameworks, text mining, NLP, semantic enrichment, ontologies, or data mining
* Knowledge of technologies for retrieval, analysis, and visualization (e.g., REST APIs, XML, JSON, Python libraries like Pydantic)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152">
      <c r="A152" t="inlineStr">
        <is>
          <t>in-79786912a4fb76cd</t>
        </is>
      </c>
      <c r="B152" t="inlineStr">
        <is>
          <t>Lead Data Scientist (Agentic AI)</t>
        </is>
      </c>
      <c r="C152" t="inlineStr"/>
      <c r="D152" t="inlineStr">
        <is>
          <t>indeed</t>
        </is>
      </c>
      <c r="E152" t="inlineStr"/>
      <c r="F152" t="inlineStr"/>
      <c r="G152" t="inlineStr">
        <is>
          <t>San Francisco, CA, US</t>
        </is>
      </c>
      <c r="H152" s="2" t="n">
        <v>46030</v>
      </c>
      <c r="I152" t="inlineStr">
        <is>
          <t>Ditto is building the agentic social network — a platform where profiles aren’t static pages, but AI agents that learn from experience, adapt, and help people form meaningful connections.
As an AI\-native company, Ditto is designed to operate as a continuously improving intelligence:
* agents learn from real behavior
* systems evolve through feedback
* safety, alignment, and control come first
We believe that systems that learn through interaction will outperform systems trained only on static human data — and unlock a new level of meaningful human connection.
**Role Overview**
We’re hiring a **Lead Data Scientist (Data Engine)** to design and own the *learning backbone* that allows Ditto’s agents to improve safely over time.
You will build systems that:
* capture **continuous experience streams**, not snapshots
* transform signals into **rewards grounded in real outcomes**
* feed those rewards back into agents
* prevent drift while still allowing improvement
* help the system reason and plan based on consequences, not guesswork
This role owns the full loop: **data experience reward feedback loops discovering leverage points adaptation product outcomes**
You are here to **build a living system that learns — continuously — and to identify small, high\-leverage changes that create outsized impact over time.**
**What You’ll Build**
You will architect the data engine that powers experiential learning:
* **experience streams** — behavior stitched across long time horizons
* **reward streams** — derived from actions, outcomes, and environment feedback
* models that capture **intent, preference, habit, and change**
* evaluation pipelines that measure **long\-term improvement**, not one\-off wins
* matchmaking \&amp; recommendation signals that uncover hidden compatibility
* systems that let agents **plan based on predicted consequences**
* experimentation frameworks (A/B tests, bandits, sequential testing)
* drift detection \&amp; safety monitors
* guardrails to prevent **reward hacking, bias loops, or unintended behaviors**
Everything must be **auditable, grounded, explainable, repeatable.**
**Systems Thinking Expectations (Why This Role Is Different)**
You will:
* design **reinforcing loops** that compound value responsibly
* design **balancing loops** that stabilize trust, fairness, and safety
* identify and avoid **system traps** (gaming metrics, tragedy\-of\-the\-commons patterns)
* push on **leverage points** that change behavior — not just parameters
Sometimes the right move is not tuning a metric — it’s redefining the goal.
**Must\-Have Experience**
We want someone who has built systems that **learn from experience** — not just analyzed history.
* **10\+ years** in applied ML / data science (production)
* **3\+ years** building **LLM\-enabled systems**
* built behavioral pipelines that drive real agent / product behavior
* designed feedback \&amp; reward loops end\-to\-end
* hands\-on large\-scale data engineering
* deep, practical experience with agent frameworks, including:
	+ **LangGraph (preferred)**
	+ **LangChain**
	+ or equivalent agent\-orchestration frameworks **in production**
* experience feeding data back into agents to actually change behavior
* strong grounding in:
	+ reward shaping
	+ value estimation
	+ world modeling
	+ temporal / TD learning
	+ long\-horizon feedback loops
If your work stops at insights, this role will feel wrong. If your systems adapt and improve — you’ll thrive here.
**Big Pluses**
* social graphs, matchmaking, recommendation systems
* trust \&amp; safety, anomaly detection, abuse prevention
* causal inference / world\-model thinking
* reinforcement learning or TD\-style learning
* experience grounding rewards in **real outcomes**, not proxy metrics
**How You’ll Work (AI\-Native Collaboration)**
You’ll partner closely with:
* **AI / NLP** — translating signals into agent behavior
* **Product** — defining success over long time horizons
* **Infrastructure** — building reliable, observable learning pipelines
* **Leadership** — aligning learning with business strategy
You won’t just evaluate results. You’ll design how the system learns from them.</t>
        </is>
      </c>
    </row>
    <row r="153">
      <c r="A153" t="inlineStr">
        <is>
          <t>in-fad41b3cf0ed1c3b</t>
        </is>
      </c>
      <c r="B153" t="inlineStr">
        <is>
          <t>Senior Data Scientist - Fraud Risk</t>
        </is>
      </c>
      <c r="C153" t="inlineStr">
        <is>
          <t>Rain</t>
        </is>
      </c>
      <c r="D153" t="inlineStr">
        <is>
          <t>indeed</t>
        </is>
      </c>
      <c r="E153" t="inlineStr"/>
      <c r="F153" t="inlineStr"/>
      <c r="G153" t="inlineStr">
        <is>
          <t>New York, NY, US</t>
        </is>
      </c>
      <c r="H153" s="2" t="n">
        <v>46030</v>
      </c>
      <c r="I153" t="inlineStr">
        <is>
          <t>**About the Company**
Rain makes the next generation of payments possible across the globe. We’re a lean and mighty team of passionate builders and veteran founders. Our infrastructure makes stablecoins usable in the real\-world by powering card transactions, cross\-border payments, B2B purchases, remittances, and more. We partner with fintechs, neobanks, and institutions to help them launch solutions that are global, inclusive, and efficient. You will have the opportunity to deliver massive impact at a hypergrowth company that is funded by some of the top investors in fintech, crypto, and SaaS, including Sapphire Ventures, Norwest, Galaxy Ventures, Lightspeed, Khosla, and several more. If you’re curious, bold, and excited to help shape a borderless financial future, we’d love to talk.
**Our Ethos**
We believe in an open and flat structure. You will be able to grow into the role that most aligns with your goals. Our team members at all levels have the freedom to explore ideas and impact the roadmap and vision of our company.
**About the Team**
The fraud risk management team at Rain creates sophisticated, scalable risk mitigation solutions to protect our customers and provide them a low\-friction experience. We achieve this by maintaining transaction and lifecycle event monitoring, building alerts to speed up fraud detection and response, and creating risk rules and strategies empowered with ML models. We are a pillar of the business supporting new products and ensuring their success. Rain’s next generation payment technology brings unique and new fraud vectors requiring holistic, end\-to\-end thinking, strong data fundamentals and fraud management savvy to combat.
**What you’ll do**
* Own the metrics, dashboards, and reports that inform business strategy and decision\-making.
* Design and implement real\-time monitoring systems for fraud signals and alerting thresholds.
* Design, simulate, and implement real\-time risk controls using real\-time and offline predictive ML models.
* Balance risk controls with customer experience by focusing on loss savings, reduced user friction and margin improvement.
* Partner with go\-to\-market teams to demonstrate the technical and business value of risk controls to customers.
* Effectively summarize complex analytical results to leadership and non\-technical stakeholders.
* Assist partners when they have fraud concerns with their traffic.
**You are likely to succeed if you have:**
* Advanced proficiency in SQL and Python.
* 3\+ years hands\-on experience working on automated fraud risk strategies and experimentation (A/B tests) including implementation of real\-time and offline predictive ML models.
* Skilled in designing, building, and maintaining dashboards and fraud risk metrics.
* The ability to manage ambiguous problems and find solutions.
* High autonomy including the ability to prioritize your workload effectively.
* Relevant quantitative bachelor’s (or higher) degree (Statistics, Mathematics, Engineering, Computer Science, etc.).
**Bonus attributes:**
* Experience at a high\-growth fintech company or financial services company.
* Exposure to customer\-facing or GTM\-facing analytics or fraud issue triaging.
* Background in identity risk, AML, payments fraud, or compliance analytics.
**Things that enable a fulfilling, healthy and happy experience at Rain:**
**Unlimited time off** Unlimited vacation can be daunting, so we require Rainmakers to take 10 days minimum for themselves.
**Flexible working** We support a flexible workplace, if you feel comfortable at home please work from home. If you’d like to work with others in an office feel free to come in. We want everyone to be able to work in the environment in which they are their most confident and productive selves. New Rainmakers will have a stipend to create a comfortable atmosphere at home.
**Easy to access benefits** For US Rainmakers, we offer comprehensive health, dental and vision plans for you and your dependents, as well as a 100% company subsidized life insurance plan.
**Retirement goals**Plan for the future with confidence. We offer a 401(k) with a 4% company match.
**Equity plan** We offer every Rainmakers an equity option plan so we can all can benefit from our success.
**Rain Cards** We want Rainmakers to be knowledgeable about our core products and services. To support this mission, we issue a card for our team to utilize the card for testing.
**Health and Wellness** High performance begins from within. Rainmakers are welcome to use their card for eligible health and wellness spending like gym memberships/fitness classes, massages, acupuncture \- whatever recharges you!  
**Team summits** Summits play an important role at Rain! Time spent together helps us get to know each other, strengthen our relationships, and build a common destiny. Expect team and company offsites both domestically and internationally.
Compensation Range: $180K \- $239K</t>
        </is>
      </c>
    </row>
    <row r="154">
      <c r="A154" t="inlineStr">
        <is>
          <t>in-b2d719635f2c5554</t>
        </is>
      </c>
      <c r="B154" t="inlineStr">
        <is>
          <t>Business Model Staff Data Scientist</t>
        </is>
      </c>
      <c r="C154" t="inlineStr">
        <is>
          <t>Intuit</t>
        </is>
      </c>
      <c r="D154" t="inlineStr">
        <is>
          <t>indeed</t>
        </is>
      </c>
      <c r="E154" t="inlineStr"/>
      <c r="F154" t="inlineStr"/>
      <c r="G154" t="inlineStr">
        <is>
          <t>Mountain View, CA, US</t>
        </is>
      </c>
      <c r="H154" s="2" t="n">
        <v>46030</v>
      </c>
      <c r="I154" t="inlineStr">
        <is>
          <t>Category Data
Location Mountain View, California
Job ID 18916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We are seeking an experienced Staff Data Scientist to join our Business Strategy Data Science Team. This role is focused on product lineup and pricing strategy of Intuit’s core TurboTax business as it relates to driving growth and monetization. This is a high\-impact role where your work will directly influence product, marketing, and business model strategies.
* As a Staff Data Scientist, you will serve as a strategic thought partner to cross\-functional leaders, bringing deep analytical expertise and business acumen to bear on Intuit’s most critical growth questions. You’ll lead projects that require advanced econometric modeling, causal inference, and experimental design. You will deliver insights that guide investment decisions, optimize user journeys, and inform strategy at the highest levels. This is a unique opportunity to apply your passion for data and causal reasoning to shape the future of financial empowerment for millions of users.
 **Responsibilities**
* Causal Inference: Lead causal inference and econometric analyses to understand and influence key levers of business growth with a crisp understanding of incremental impact.
* Experimentation: Design, implement, and analyze experiments and quasi\-experiments to measure the impact of new initiatives in product and marketing.
* Define KPIs and Success Metrics: Establish key business indicators for projects, ensuring alignment with company objectives and clear measures of success.
* Communication: Translate complex technical findings into clear, actionable insights for senior leadership, including product, finance, and marketing executives.
* Mentorship: Mentor junior team members and help shape the team’s analytical rigor and methodology standards in causal inference and A/B testing.
* Leadership and Ownership: Demonstrate boundaryless leadership and extreme accountability \- proactively drives outcomes across teams and leads with influence, not authority.
 **Qualifications**
* A Bachelor's degree in Statistics, Economics, Computer Science or a related quantitative field is required. Advanced degrees, particularly a Master's or PhD in economics or statistics, are highly desirable.
* At least 6 years of experience applying statistical / econometric and modeling skills in decision making without an advanced degree, 2 years of experience with an advanced degree.
* Demonstrated expertise in causal inference—including but not limited to advanced experimentation, synthetic controls, regression discontinuity, and instrumental variables—with a track record of rigorously solving problems with these methods.
* A demonstrated ability to navigate through ambiguity and deliver results that significantly impact the business.
* Excellent communication skills and the ability to work effectively with both technical and non\-technical colleagues.
* Proficiency in SQL and a statistical programming language such as Python and/or R.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55">
      <c r="A155" t="inlineStr">
        <is>
          <t>in-2f7401da7e0d0820</t>
        </is>
      </c>
      <c r="B155" t="inlineStr">
        <is>
          <t>Data Scientist</t>
        </is>
      </c>
      <c r="C155" t="inlineStr">
        <is>
          <t>Roku</t>
        </is>
      </c>
      <c r="D155" t="inlineStr">
        <is>
          <t>indeed</t>
        </is>
      </c>
      <c r="E155" t="inlineStr"/>
      <c r="F155" t="inlineStr"/>
      <c r="G155" t="inlineStr">
        <is>
          <t>New York, NY, US</t>
        </is>
      </c>
      <c r="H155" s="2" t="n">
        <v>46030</v>
      </c>
      <c r="I155" t="inlineStr">
        <is>
          <t>**Teamwork makes the stream work.**
-----------------------------------
###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 **About the team**
The Core Analytics Team is a centralized function dedicated to providing data\-driven insights to drive business and product success. We work closely with our Product, Engineering, and Marketing teams to deliver exceptional experiences to our customers while maximizing the value proposition for the business.
### **About the role**
Roku is looking for a Data Scientist to join the Core Analytics team to support our Customer Intelligence organization. Together, we answer high\-impact business questions from C\-suite with clear, decision\-ready insights. You’ll work on analytics that directly shape how Roku grows engagement and monetization across the streaming ecosystem, with visibility to cross\-functional leaders and meaningful ownership over high\-impact questions.  
This role is intentionally “business\-forward”: you’ll be expected to translate ambiguous stakeholder needs into strong analytical narratives and executive\-ready deliverables. Familiarity with causal inference/experimentation is important; deep specialization is a plus but not required. This is a hybrid role with four days per week in the office, Monday through Thursday. The selected candidate will be based out of NYC.  
For New York Only \- The estimated annual salary for this position is between $152,000\-$184,000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 **What you'll be doing**
* Own end\-to\-end analyses: scope the question, define success metrics, pull data, analyze, synthesize, and deliver data\-driven narratives.
* Drive stakeholder alignment: clarify objectives, assumptions, tradeoffs, and decision points; ensure outputs are usable.
* Build crisp storytelling \&amp; presentations: create executive\-ready readouts (slides, memos) with clear “so what / now what.”
* Develop SQL and Python\-based workflows: write and review SQL/Python code to create datasets, compute KPIs, and validate results; use Airflow to maintain and build new pipelines when needed.
* Create reporting in Tableau/Looker: develop dashboards or recurring scorecards that make performance tracking easier and reduce ad\-hoc churn.
* Measurement \&amp; causal thinking: apply or partner on quasi\-experimental approaches (e.g., diff\-in\-diff, propensity matching, synthetic controls) with appropriate caveats to address incrementality questions.
* Raise analytical quality: ensure statistical rigor, bias awareness, and clear limitations.
### **We're excited if you have**
* 3\+ years (or equivalent) in analytics/data science roles driving business decisions (tech, media, marketplaces, consumer products, etc.).
* Strong SQL (joins, window functions, building analysis\-ready tables, QA/validation).
* Proficiency in Excel to work with data, tables and visualization.
* Strong ability to communicate insights: structured thinking, clear writing, confident presenting to non\-technical and executive audiences.
* Solid foundation in statistics (hypothesis testing, confidence intervals, regression basics).
* Experienced with Python for analysis and data pipeline production (via Airflow).
* Hands\-on experience with visualization tools like Tableau or Looker
###### **\#LI\-OR1**
###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56">
      <c r="A156" t="inlineStr">
        <is>
          <t>in-a9150da224014a8c</t>
        </is>
      </c>
      <c r="B156" t="inlineStr">
        <is>
          <t>Bioinformatics Data Scientist</t>
        </is>
      </c>
      <c r="C156" t="inlineStr">
        <is>
          <t>Ansa Biotechnologies</t>
        </is>
      </c>
      <c r="D156" t="inlineStr">
        <is>
          <t>indeed</t>
        </is>
      </c>
      <c r="E156" t="inlineStr"/>
      <c r="F156" t="inlineStr"/>
      <c r="G156" t="inlineStr">
        <is>
          <t>Emeryville, CA, US</t>
        </is>
      </c>
      <c r="H156" s="2" t="n">
        <v>46030</v>
      </c>
      <c r="I156" t="inlineStr">
        <is>
          <t>*Job Summary:*
Ansa is seeking a highly skilled and motivated Bioinformatics Data Scientist to join our team. In this role you will work in collaboration with R\&amp;D scientists to understand experimental, manufacturing, and commercial data in the context of DNA sequence features. You will design and build data analysis pipelines that drive further innovation of Ansa’s enzymatic DNA synthesis products. Embedded on a team of bioinformatics data scientists and software engineers, you will integrate the tools you build into our production software ecosystem. This work will improve manufacturing outcomes, enhance product development efforts, and feed insights back to Ansa’s commercial strategy.
This role requires a strong background in the analysis and interpretation of DNA data and some experience in implementing data science workflows at scale. The ideal candidate has a Ph.D. and 2\+ years of experience in biotech or a related industry.
*Responsibilities:*
* Analyze data and present findings to drive decision\-making in R\&amp;D, manufacturing pipeline improvement, and product development.
* Critically evaluate statistical learning, AI, and bioinformatics tools for their appropriate application to experimental and production data.
* Design, develop, and deploy scalable and robust bioinformatics pipelines.
* Collaborate with cross\-functional teams to understand requirements and rapidly implement solutions from prototype/concept to production deployment.
* Ensure data integrity, traceability, accuracy, and security.
* Use software engineering best practices, including distributed version control, participation in team code review, and automation for building, testing, and deploying production code.
*Qualifications:*
* Ph.D. in Bioinformatics, Computational Biology, Biophysics, Computer Science, or a related quantitative field. Candidates with equivalent industry experience and demonstrated quantitative skill set will be considered.
* Proven track record in analyzing, interpreting, and modeling biological data, including high\-throughput sequencing data, using Python for data manipulation, analysis, and visualization.
* Proficient in using a wide range of bioinformatics tools and resources for DNA sequence analysis, including experience using statistical, machine learning, and AI methods in molecular biology and genomics.
* Demonstrated experience shipping production code in an industry setting using software engineering best practices.
* Experience deploying automated analysis pipelines using cloud computing resources.
* Excellent problem\-solving, communication, and collaboration skills.
* Desire to deliver high\-quality results in a fast\-paced, dynamic environment.
**What We Offer:**
* Competitive salary and equity.
* Generous benefits package including health, dental, and vision.
* Ongoing professional development and training opportunities.
* A collaborative and innovative work environment.
* The opportunity to be part of a company at the forefront of synthetic biology and innovation.
San Francisco Bay Area Pay Range
$131,250 \- $183,750 \- Depending upon experience
**Ansa Biotechnologies is an Equal Opportunity Employer.**
All applicants will be considered for employment without attention to race, color, religion, sex, sexual orientation, gender identity, national origin, veteran or disability status.
At Ansa, we’re building a community of intelligent and passionate humans that will help us change biotechnology research with our enzymatic DNA synthesis technology. We believe that challenging and trusting one another, and continuously learning are essential to our success. We believe that building diverse, inclusive and psychologically safe spaces are essential to a community culture that yields the happiest colleagues and friends, and the highest quality research.
As we are growing rapidly, this is an ever present goal: hiring the best people while building diversity in thought, experience and background within our team. While the biotechnology space can feel limited in BIPOC, non\-binary and even female representation, we endeavor to make hiring decisions that will continue to grow and support our team in the direction of cultural diversity and sustainability.</t>
        </is>
      </c>
    </row>
    <row r="157">
      <c r="A157" t="inlineStr">
        <is>
          <t>in-f75f4dd17c0839e6</t>
        </is>
      </c>
      <c r="B157" t="inlineStr">
        <is>
          <t>Principal Data Scientist</t>
        </is>
      </c>
      <c r="C157" t="inlineStr">
        <is>
          <t>DTE Energy</t>
        </is>
      </c>
      <c r="D157" t="inlineStr">
        <is>
          <t>indeed</t>
        </is>
      </c>
      <c r="E157" t="inlineStr"/>
      <c r="F157" t="inlineStr"/>
      <c r="G157" t="inlineStr">
        <is>
          <t>Detroit, MI, US</t>
        </is>
      </c>
      <c r="H157" s="2" t="n">
        <v>46030</v>
      </c>
      <c r="I157" t="inlineStr">
        <is>
          <t>DTE is one of the nation’s largest diversified energy companies. Our electric and gas companies have fueled our customer’s homes and Michigan’s progress for more than a century. And as Michigan’s largest source of renewable energy, we’re creating a cleaner, healthier environment to power our future. We’re also serving communities beyond Michigan, where our affiliated businesses offer renewable energy, emission control technologies, and energy services to industries in 19 states.
But we’re more than a leading energy company... and working at DTE is more than just a job. At DTE, we take great care of each other and our customers, and we use our energy to be a force for growth and prosperity in our communities. When you join us, you’ll be part of a team that welcomes, recognizes, and celebrates differences and values everyone’s health, safety, and wellbeing. Are you ready to make that kind of difference? Bring your energy to DTE. Together, we can achieve great things.
 **Testing Required:** Not Applicable
**Hybrid Role:** This role is hybrid, with an established schedule of in\-person work required at an assigned work location. Any remote work is expected to be performed from an employee’s primary residence, unless allowed (or prohibited) through the Company’s remote work guidelines.
**Emergency Response:** Yes – Must be available to perform a primary assignment in support of DTE’s emergency response to storms or other events that impact service to our customers.
**Job Summary**
---------------
Leads large business unit or enterprise\-level analytics projects with broad responsibilities for translating business requirements into analytical constructs and providing analytical insights for effective decision making. Mentors less experienced team members to run analytical experiments in a methodical manner, evaluates alternative approaches and develops predictive models to forecast business performance metrics.  
Communicates effectively to technical and non\-technical stakeholders with strong domain expertise and business acumen. Additionally, this role requires researching and recommending new technologies and best practices within the industry to develop the organization's analytics strategies and roadmap.
**Key Accountabilities**
------------------------
* Leads analytics projects and collaborates with cross\-functional stakeholders to complete end\-to\-end analyses that includes business requirements, data gathering, analysis, scaleable solutions, and presentations
* Conducts advanced statistical analysis to determine trends and significant data relationships, and proactively recommend areas of improvement.
* Develops complex data sets and predictive models to support key decisions to improve safety, employee
engagement, operation efficiency, product quality, and customer satisfaction  
* Prepares and delivers insightful presentations and actionable recommendations. Educates leaders and other employees on complex analytical findings in basic terms with storytelling and data visualization
* Identifies and evaluates technologies and provides strategic inputs to advance the organization's analytics capabilities
* Implements new statistical, mathematical, machine learning, or other methodologies for modeling or analyses
* Responsible for discovering insights from Big Data to help shape or meet specific business needs and goals.
* Utilizes business expertise to translate goals into data\-based deliverables, such as predictive models,
pattern detection analysis or optimization algorithms  
* Champions self\-service reporting capability and use of Business Intelligence and statistical tools; advances the analytical capabilities of the organization
* Develops data and analytical processes based on Continuous Improvement learnings and practices
**Minimum Education \&amp; Experience Requirements**
------------------------------------------------
This is a dual\-track base requirement job; education and experience requirements can be satisfied through one of the following two options:  
* Bachelor's degree with emphasis on coursework of a quantitative nature (e.g., Statistics, Computer Science, Engineering, Mathematics, Physics, Data Science, Industrial/Organizational Psychology and
 Econometrics, etc.) and 8 years of experience working in a data analytical or computer programming function  
* Master's degree with emphasis on coursework of a quantitative nature (e.g., Statistics, Computer Science, Engineering, Mathematics, Physics, Data Science, Industrial/Organizational Psychology and Econometrics, etc.) and 6 years of experience working in a data analytical or computer programming function
* Ph.D. with emphasis on coursework of a quantitative nature (e.g., Statistics, Computer Science, Engineering, Mathematics, Physics, Data Science, Industrial/Organizational Psychology and Econometrics, etc.) and 4 years of experience working in a data analytical or computer programming function
**Other Qualifications**
------------------------
Preferred:
* PhD degree in Data Science
* Experience in quantitative analytics (e.g., data mining, regression analysis, hypothesis testing, predictive modeling and model optimization)
* Intermediate\- to advanced\-level knowledge and skills in data modeling, data structure, and the application of complex SOL queries with data from multiple sources, including Big Data platforms (e.g., Hadoop, AWS, Azure)
* Experience with SAP Business Intelligence tools and SAP CRM, ISU, and BW data
* Intermediate\-level or higher Continuous Improvement knowledge, skills, and certifications
* Strong writter and verbal communication skills
* Strong business acumen and utility/energy industry experience
Other Requirements:
* Intermediate\- to advanced\-level skills and experience with data mining and statistical analysis using analytical packages/ tools (e.g., R, SAS, SPSS, Stata, MATLAB, Minitab, etc.)
* Intermediate\- to advanced\-level skills and experience articulating business questions, pulling data from relational databases (e.g., SAP BW, ORACLE, SOL SERVER) and using advanced excel and statistical tools (e.g., Minitab, Alteryx, Advanced Excel with VBA, R, SAS, SPSS, Stata, MATLAB, etc.) and determining the appropriate analytical approach to conduct in\-depth analysis to support decision making
* Intermediate\- to advanced\-level programming skills in SOL, C/C\+\+/C\#, Java, R, Python, PHP, ASP, or SAS
* Intermediate\- to advanced\-level skills in applied research design and machine learning (e.g., multivariate statistical analysis, unsupervised and supervised learning, predictive modeling, etc.)
* Self\-starter and quick learner; advances self and others' knowledge and skill sets in business processes, data science, new analytical frameworks, technologies, and applications
* Strong interpersonal, analytical and problem\-solving skills, including ability to communicate technical information and complex data analytics to a non\-technical audience
**Additional Information**
--------------------------
Incumbents may engage in all or some combination of the activities and accountabilities and utilize a variety of the competencies cited in this description depending upon the organization and role to which they are assigned. This description is intended to describe the general nature and level of work performed by incumbents in this  
job. It is not intended as an all\-inclusive list of accountabilities or responsibilities, nor is it intended to limit the rights of supervisors or management representatives to assign, direct and control the work of employees under their supervision.
 **PRIVACY NOTICE TO CALIFORNIA JOB APPLICANTS**
 *At DTE Energy, we are committed to providing an inclusive workplace where everyone feels welcome and a sense of belonging. We seek individuals with a heart for service, a passion to help our communities prosper, and ideas to help shape the future of energy. We are proud to be an equal opportunity, employer that considers all qualified applicants without regard to race, color, sex, sexual orientation, gender identity, age, religion, disability, national origin, citizenship, height, weight, genetic information, marital status, pregnancy, protected veteran status or any other status protected by applicable federal and/or state laws.*</t>
        </is>
      </c>
    </row>
    <row r="158">
      <c r="A158" t="inlineStr">
        <is>
          <t>in-129a81707270234f</t>
        </is>
      </c>
      <c r="B158" t="inlineStr">
        <is>
          <t>Senior Data Scientist - Demand Planning &amp; Forecasting</t>
        </is>
      </c>
      <c r="C158" t="inlineStr">
        <is>
          <t>Tiger Analytics</t>
        </is>
      </c>
      <c r="D158" t="inlineStr">
        <is>
          <t>indeed</t>
        </is>
      </c>
      <c r="E158" t="inlineStr"/>
      <c r="F158" t="inlineStr"/>
      <c r="G158" t="inlineStr">
        <is>
          <t>Remote, US</t>
        </is>
      </c>
      <c r="H158" s="2" t="n">
        <v>46030</v>
      </c>
      <c r="I158"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We are seeking a highly experienced **Senior Data Scientist** with deep expertise in **demand forecasting and time\-series modeling**. The ideal candidate will have strong applied experience building, deploying, and scaling forecasting solutions in production environments, particularly within **CPG, FMCG, retail, or similar industries**.
**Key Responsibilities**
* Design, develop, and deploy **time\-series forecasting models** including ARIMA, SARIMA, and ETS
* Build **machine\-learning\-based forecasting models** using GBM, Random Forest, XGBoost, and LightGBM
* Develop **hierarchical and multi\-level forecasting** solutions across products, regions, and channels
* Perform large\-scale data extraction, transformation, and analysis using **SQL**
* Implement and operationalize models in **cloud environments** (Azure preferred)
* Collaborate with business stakeholders to translate demand planning requirements into scalable analytics solutions
**Requirements**
* + **10\+ years** of experience in applied data science or advanced analytics
	+ **5\+ years** of hands\-on experience in **demand planning, demand forecasting, or sales forecasting**
	+ Strong domain experience in **CPG, FMCG, retail, or similar industries**
	+ Advanced proficiency in **Python** (pandas, NumPy, scikit\-learn, statsmodels)
	+ Strong **SQL** skills for large\-scale data processing
	+ Proven experience deploying models in **cloud environments** (Azure preferred)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159">
      <c r="A159" t="inlineStr">
        <is>
          <t>in-4f77a5adeffee715</t>
        </is>
      </c>
      <c r="B159" t="inlineStr">
        <is>
          <t>Data Scientist, Production Analytics</t>
        </is>
      </c>
      <c r="C159" t="inlineStr">
        <is>
          <t>CARVANA</t>
        </is>
      </c>
      <c r="D159" t="inlineStr">
        <is>
          <t>indeed</t>
        </is>
      </c>
      <c r="E159" t="inlineStr"/>
      <c r="F159" t="inlineStr"/>
      <c r="G159" t="inlineStr">
        <is>
          <t>Tempe, AZ, US</t>
        </is>
      </c>
      <c r="H159" s="2" t="n">
        <v>46030</v>
      </c>
      <c r="I159" t="inlineStr">
        <is>
          <t>**About Carvana**
At Carvana, we're changing the way people buy and sell cars. With an ambitious vision and a fundamentally different approach designed to be fun, fast, and fair, Carvana became the fastest\-growing automotive retailer in history. We expanded nationally, went public on the New York Stock Exchange, sold our 1 millionth car, and reached the Fortune 500, all in just eight years.
Today, with 4 million retail customers and counting, Carvana is both the fastest\-growing and the most profitable public automotive retailer, and we're just getting started. We continue to raise the bar for our customers as we tackle the enormous opportunity still ahead in the largest consumer vertical.
Working here means being part of a team that embraces change, celebrates creative problem solving, and always strives to be better. At Carvana, you'll have the opportunity to take on meaningful challenges, learn quickly, and help shape the future of automotive retail. If you're driven to grow and make an impact as part of a collaborative team, you'll fit right in. Learn more about what it's like to work here from the people that already do.
**About the team and position**
Have you ever wished the analytics projects you worked on could have visible and tangible benefits? The production analytics team owns advanced analytics (data science, optimization, data mining, etc.) in Carvana's vertically integrated vehicle inspection and reconditioning centers. Our team can walk through these centers and see our work in action.
We build predictive models that support decision\-making across our reconditioning operations. These models leverage vehicle characteristics and operational data to generate insights that drive business outcomes. The work can be high\-visibility and high\-impact. Our models directly influence operational strategy and performance measurement.
As a Data Scientist, you'll work closely with our Associate Director to build, maintain, and improve these production models. You'll develop both new models and maintain existing ones, with a focus on neural network architectures that power our production systems. This is a hands\-on role where you'll see your work deployed and making a difference.
**What you'll be doing**
* **Building and maintaining predictive models:**
	+ Developing neural network models (primarily TensorFlow/Keras) that leverage vehicle characteristics and operational data
	+ Building models that support operational decision\-making and performance insights
	+ Maintaining and improving existing production models as business needs evolve
	+ Using LightGBM and linear/logistic regression for benchmarking and explanatory analysis
	+ Implementing hyperparameter optimization and model tuning strategies
	+ Monitoring model performance and identify when recalibration is needed
* **Performing rigorous exploratory data analysis:**
	+ Investigating data quality before training models—validating that data matches operational reality
	+ Grounding expectations to what's actually happening in the business, not just what the data says
	+ Identifying anomalies, edge cases, and data quality issues that could impact model performance
	+ Creating visualizations that communicate patterns and insights to stakeholders
	+ Documenting data validation findings and decisions
* **Deploying and monitoring production models:**
	+ Working with engineering teams to integrate models into operational systems
	+ Tracking prediction accuracy and model drift over time
	+ Developing validation frameworks to ensure models perform as expected
	+ Iterating on models based on production performance and changing business needs
* **Collaborating and communicating:**
	+ Translating business problems into modeling approaches
	+ Explaining model predictions and limitations to non\-technical stakeholders
	+ Partnering with operations teams to understand domain context
	+ Documenting model architecture, assumptions, and performance characteristics
	+ Working under the technical direction of our Associate Director with regular guidance and code reviews
**What you should have**
* Bachelor's degree in Computer Science, Statistics, Mathematics, Data Science, or a related quantitative field.
* Strong understanding of neural networks. You should know how they work in practice, not just theory (architecture design, training dynamics, hyperparameter tuning, regularization).
* Proficiency in Python for data science (pandas, numpy, scikit\-learn, TensorFlow/Keras or PyTorch).
* SQL skills for data exploration and validation (Snowflake experience preferred).
* Strong statistical foundations (hypothesis testing, regression, experimental design).
* Experience with Git\-based version control, branching, and pull requests.
* Skeptical mindset about data quality—you don't assume data is correct, you validate it.
* Excellent communication skills to explain technical concepts to non\-technical audiences.
* Eagerness to learn and grow through mentorship and code reviews.
* A relentless drive to push work into production and see tangible impact.
**It would be great if you also had**
* Hands\-on experience with TensorFlow/Keras (preferred) or PyTorch for building production models.
* Experience with LightGBM or XGBoost for gradient boosting models.
* Familiarity with Snowflake or other cloud\-based data warehouses (Google Cloud Platform, AWS, Azure).
* Understanding of model deployment and MLOps practices.
* Experience with hyperparameter optimization frameworks (e.g., Hyperopt, Optuna).
* Knowledge of data validation and testing techniques.
* Exposure to manufacturing, operations, or automotive analytics environments.
* Experience building models for cost prediction or resource optimization.
* Understanding of Agile/iterative development practices.
* Familiarity with containerized code (Docker, Kubernetes).
**Legal stuff**
Hiring is contingent on passing a complete background check. This role is not eligible for visa sponsorship.
Carvana is an equal employment opportunity employer. All applicants receive consideration for employment without regard to race, color, religion, gender, sexual orientation, gender identity or expression, marital status, national origin, age, mental or physical disability, protected veteran status, or genetic information, or any other basis protected by applicable law. Carvana also prohibits harassment of applicants or employees based on any of these protected categories.
Please note this job description is not designed to contain a comprehensive listing of activities, duties, or responsibilities that are required of the employee for this job. Duties, responsibilities, and activities may change at any time with or without notice.</t>
        </is>
      </c>
    </row>
    <row r="160">
      <c r="A160" t="inlineStr">
        <is>
          <t>in-edab0f6acdb6bd6d</t>
        </is>
      </c>
      <c r="B160" t="inlineStr">
        <is>
          <t>Data Scientist (Remote)</t>
        </is>
      </c>
      <c r="C160" t="inlineStr">
        <is>
          <t>Elder Research Inc</t>
        </is>
      </c>
      <c r="D160" t="inlineStr">
        <is>
          <t>indeed</t>
        </is>
      </c>
      <c r="E160" t="inlineStr"/>
      <c r="F160" t="inlineStr"/>
      <c r="G160" t="inlineStr">
        <is>
          <t>Remote, US</t>
        </is>
      </c>
      <c r="H160" s="2" t="n">
        <v>46030</v>
      </c>
      <c r="I160" t="inlineStr">
        <is>
          <t>**Job Title:** Data Scientist
**Location:** Preference for individuals located in the DC Metro / DMV region
**Workplace:** Remote (occasional travel may be required)
**Clearance Required:** Secret
**Position Overview**
As a Data Scientist, you will work directly with clients, managers and technical staff to understand business needs, develop technical plans, and deliver data\-driven analytical solutions that solve client problems. You will process, analyze, and visualize data from a wide variety of sources and types using Databricks, Python, SQL, and Qlik.
**Responsibilities include:**
* Perform data science capabilities using analytic environments such as Databricks and open\-source analytic code such as Python and SQL.
* Deploy products (e.g., dashboards, workflows, decision support algorithms, etc.) for operational use on data platforms like Advana, using data visualization software such as Qlik.
* Create prototypes/proof of concept demonstrations utilizing rapid development of new data pipelines.
**Position Requirements:**
* Active Secret Security Clearance
* Bachelor of Science degree in Computer Science, Mathematics, Statistics, Data Science or similar field
* 3\+ years of experience
* Experience working with Python
* Experience with SQL
* Experience with data visualization (Qlik ideally, Tableau/PowerBI/other software acceptable)
* Continuous Learning Mindset
**Preferred Qualifications:**
* AWS Experience
* JavaScript familiarity
* Experience with Advana is a plus
* Experience with CDAO is a plus
* Familiarity with the mission space and Office of the Undersecretary of Defense for Personnel and Readiness is a plus
* Experience with or desire to learn to:
	+ Deploy validated models into production to support the development of decision support tools, dashboards, and workflows.
	+ Perform statistical learning and pattern recognition through unsupervised, supervised, and reinforcement learning methods.
	+ Leverage deep learning techniques/technologies such as neural networks/Graphical Processing Units (GPUs) to create large\-language models (LLMs).
**Why apply to this position at Elder Research?**
* **Competitive Salary and Benefits**
* **Important Work / Make a Difference** supporting U.S. national security.
* **Job Stability**: Elder Research is not a typical government contractor, we hire you for a career not just a contract.
* **People\-Focused Culture:** we prioritize work\-life\-balance and provide a supportive, positive, and collaborative work environment as well as opportunities for professional growth and advancement.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161">
      <c r="A161" t="inlineStr">
        <is>
          <t>in-d45feec17a6b58f7</t>
        </is>
      </c>
      <c r="B161" t="inlineStr">
        <is>
          <t>Marketing Data Scientist</t>
        </is>
      </c>
      <c r="C161" t="inlineStr">
        <is>
          <t>Hertz</t>
        </is>
      </c>
      <c r="D161" t="inlineStr">
        <is>
          <t>indeed</t>
        </is>
      </c>
      <c r="E161" t="inlineStr"/>
      <c r="F161" t="inlineStr"/>
      <c r="G161" t="inlineStr">
        <is>
          <t>Atlanta, GA, US</t>
        </is>
      </c>
      <c r="H161" s="2" t="n">
        <v>46030</v>
      </c>
      <c r="I161" t="inlineStr">
        <is>
          <t>**A Day in the Life:**
*The Marketing Data Scientist will play a critical role in advancing Hertz’s data\-driven marketing strategy. This position focuses on building and refining our Marketing Mix Model, supporting CRM data analysis, and enabling tactical and strategic Loyalty initiatives. The ideal candidate combines strong analytical skills with business acumen to deliver actionable insights that optimize marketing spend and enhance customer engagement. This position reports to the Director of Digital Growth.*
The salary range for this position is expected to be between $90k\-100k.
**What You’ll Do:**
* Combine data science with day\-to\-day execution, helping to solve key problems in the process, as well as providing solutions for current methods that lack critical data; work with analysts to identify the greatest areas of opportunity.
* Explore data, formulate questions, and deliver insights back to business leaders to be prioritized for further testing and exploration.
**Marketing Mix Modeling (MMM):**
* Develop, validate, and refine MMM frameworks to measure channel effectiveness.
* Integrate historical performance data and external factors to forecast marketing outcomes.
* Collaborate with Media and Finance teams to align MMM outputs with budget planning.
**CRM Data Analysis \&amp; Refinement:**
* Support data hygiene, segmentation, and enrichment for CRM systems.
* Analyze customer lifecycle metrics to inform personalized campaigns.
* Partner with the CRM team to improve targeting and retention strategies.
**Loyalty Program Analytics:**
* Provide analytical support for the Hertz Gold Plus Rewards, Dollar Express, and Thrifty Blue Chip loyalty programs.
* Support the evaluation of tests to measure program impact and member engagement.
* Deliver insights into both short\-term tactical actions and long\-term strategic planning.
**Ad\-Hoc Analysis \&amp; Strategic Projects:**
* Respond to urgent business questions with clear, data\-backed recommendations.
* Contribute to cross\-functional projects involving marketing technology, attribution, and customer journey measurement.
**What We’re Looking For:**
* Master’s degree or equivalent required; preferably in Statistics, Marketing Analytics, Business Analytics, Mathematics, or Engineering
* 2\+ years of industry experience in data science or operations research
* Knowledge of marketing attribution measurement or travel industry systems/data
* Strong communication skills to translate complex analyses into actionable insights
* Experience with time series forecasting, attribution modeling, or optimization
* Strong problem\-solving/analytical skills
* Excellent technical skills are required, including proficiency with SQL, Python/R, Tableau, and Excel
* Experience using one or more programming languages (e.g., Python, Java, C\+\+, C, etc.)
* Experience in big data mining, analysis, and visualization
**What You’ll Get:**
* Up to 40% off the base rate of any standard Hertz Rental
* Paid Time Off
* Medical, Dental \&amp; Vision plan options
* Retirement programs, including 401(k) employer matching
* Paid Parental Leave \&amp; Adoption Assistance
* Employee Assistance Program for employees \&amp; family
* Educational Reimbursement \&amp; Discounts
* Voluntary Insurance Programs \- Pet, Legal/Identity Theft, Critical Illness
* Perks \&amp; Discounts –Theme Park Tickets, Gym Discounts \&amp; more
The Hertz Corporation operates the Hertz, Dollar Car Rental, Thrifty Car Rental brands in approximately 9,700 corporate and franchisee locations throughout North America, Europe, The Caribbean, Latin America, Africa, the Middle East, Asia, Australia and New Zealand. The Hertz Corporation is one of the largest worldwide airport general use vehicle rental companies, and the Hertz brand is one of the most recognized in the world.
**US EEO STATEMENT**At Hertz, we champion and celebrate a culture of diversity and inclusion. We take affirmative steps to promote employment and advancement opportunities. The endless variety of perspectives, experiences, skills and talents that our employees invest in their work every day represent a significant part of our culture – and our success and reputation as a company.
Individuals are encouraged to apply for positions because of the characteristics that make them unique.
EOE, including disability/veteran</t>
        </is>
      </c>
    </row>
    <row r="162">
      <c r="A162" t="inlineStr">
        <is>
          <t>in-9d2caacd6163c195</t>
        </is>
      </c>
      <c r="B162" t="inlineStr">
        <is>
          <t>Senior Data Scientist</t>
        </is>
      </c>
      <c r="C162" t="inlineStr">
        <is>
          <t>UL Solutions</t>
        </is>
      </c>
      <c r="D162" t="inlineStr">
        <is>
          <t>indeed</t>
        </is>
      </c>
      <c r="E162" t="inlineStr"/>
      <c r="F162" t="inlineStr"/>
      <c r="G162" t="inlineStr">
        <is>
          <t>US</t>
        </is>
      </c>
      <c r="H162" s="2" t="n">
        <v>46030</v>
      </c>
      <c r="I162" t="inlineStr">
        <is>
          <t>* Leads advanced analytics initiatives to support strategic business objectives and drive data\-informed decision\-making.
* Owns end\-to\-end data science solutions, from problem discovery and modeling to deployment and adoption.
* Collaborates with senior stakeholders to align analytics projects with organizational priorities and business strategy.
* Provides technical leadership and mentorship to the data science team, fostering skill development and knowledge sharing.
* Evaluates emerging tools, technologies, and data sources to enhance analytics capabilities and innovation.
* Operates in a collaborative Agile environment, contributing to continuous improvement in analytics processes and methodologies.
* Ensures alignment of data science initiatives with governance, compliance, and organizational standards
* Lead stakeholder engagement to define complex business problems and translate them into actionable data science solutions.
* Own end\-to\-end analytics projects, including discovery, model development, deployment, and adoption of insights.
* Design, implement, and evaluate advanced statistical models and machine learning solutions to address business challenges.
* Drive data visualization strategy and communicate insights effectively to executive audiences.
* Establish and enforce best practices for data modeling, validation, documentation, and evaluation.
* Mentor and provide technical guidance to Data Scientists and Analysts, fostering team growth and capability.
* Partner with data engineering teams to design scalable analytics pipelines, data lakes, and infrastructure.
* Promote continuous improvement in analytics processes, tools, and methodologies.
* Manage analytics backlogs and delivery using Agile frameworks and Azure DevOps.
* Evaluate emerging tools, technologies, and external data sources to enhance analytics capabilities.
* Influence data strategy to support long\-term business goals and operational excellence.
* Master's degree in Data Science, Computer Science, Analytics, or a related field.
* 6–9\+ years of experience in data science or advanced analytics roles.
* Expert\-level proficiency in SQL, Python, and R.
* Strong experience with machine learning frameworks such as scikit\-learn, TensorFlow, or Keras.
* Advanced understanding of statistical modeling, experimentation, and evaluation metrics.
* Proven ability to translate complex business needs into scalable analytics solutions.
* Advanced experience with Power BI, Tableau, or similar visualization tools.
* Strong leadership, mentoring, and stakeholder influence skills.
* Experience working in Agile environments and using Azure DevOps.
* Preferred: NLP, deep learning, Salesforce reporting, and industry experience in manufacturing or business services.
**Core Competencies**
* Strategic thinking and business partnership
* Technical leadership and mentorship
* Executive\-level data storytelling
* Driving analytics innovation and team development
**What you’ll experience working for ULS**
UL Solutions has been pioneering change since 1894 and we’re still leading the way. From day one, we’ve blazed a trail protecting the planet and everyone on it. Our teams have influenced billions of products, plus services, software offerings and more. We break things, burn things and blow things up. All in the name of safety science.
That’s where you come in — because none of it could happen without you. It takes passion to protect people, problem\-solving to safeguard personal data and conviction to make the world a more sustainable place. It takes bold ideas and brilliant minds to build a better world for future generations across the globe.
This is more than a job. It’s a calling. A passion to use our expertise and play our part in creating a more secure, sustainable world today — and tomorrow. As a member of our safety science community, you’ll use your ideas, your energy and your ambition to innovate, challenge and ultimately, help create a safer world.
Everyone here is unique. But we’re also a global community, working together to help create a safer world. Join UL Solutions and you can connect with the brightest minds in the business, all bringing their distinct perspectives and diverse backgrounds together to deliver real change.
Empowering our customers to keep the world safe means thinking ahead. It means investing in training and empowering our people to learn and innovate. At UL Solutions, we help build a better future — one where everyone benefits.
Join UL Solutions to be at the center of safety. To learn more about us and the work we do, visit UL.com
Total Rewards: We understand compensation is an important factor as you consider the next step in your career. The estimated salary range for this position is $90,000 to $110,000 and is based on multiple factors, including job\-related knowledge/skills, experience, geographical location, as well as other factors. This position is eligible for annual bonus compensation with a target payout of 10% of the base salary. This position also provides health benefits such as medical, dental and vision; wellness benefits such as mental and financial health; and retirement savings (401K) commensurate with the standard rewards offered in each individual location or country. We also provide full\-time employees with paid time off including vacation (15 days), holiday including floating holidays (12 days) and sick time off (72 hours).
Accepting applications until 1/15/2026</t>
        </is>
      </c>
    </row>
    <row r="163">
      <c r="A163" t="inlineStr">
        <is>
          <t>in-04b5835bac45ecaa</t>
        </is>
      </c>
      <c r="B163" t="inlineStr">
        <is>
          <t>Data Scientist</t>
        </is>
      </c>
      <c r="C163" t="inlineStr">
        <is>
          <t>The Hartford</t>
        </is>
      </c>
      <c r="D163" t="inlineStr">
        <is>
          <t>indeed</t>
        </is>
      </c>
      <c r="E163" t="inlineStr"/>
      <c r="F163" t="inlineStr"/>
      <c r="G163" t="inlineStr">
        <is>
          <t>Columbus, OH, US</t>
        </is>
      </c>
      <c r="H163" s="2" t="n">
        <v>46030</v>
      </c>
      <c r="I163" t="inlineStr">
        <is>
          <t>Data Scientist \- GD08AE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seeks a Data Scientist within Data Science \&amp; Analytics Customer Operations department to develop machine learning and artificial intelligence solutions across a range of strategic initiatives.
The Customer Operations Data Science Team is a recently created data science and analytics team which engineers end\-to\-end analytic and machine learning solutions to optimize operational efficiency \&amp; customer experience, and utilizes all touchpoints generated by our customers on their omnichannel journey through The Hartford’s vast engagement ecosystem.
As a Data Scientist, you will participate in the entire model lifecycle partnering with cross\-functional business and technical partners to understand business strategies and design, develop, implement, and evolve modeling solutions. We use the latest technologies, machine learning methods, MLOps, and Agile delivery frameworks to build innovative and efficient solutions that maximize business value. This cutting edge and forward focused organization presents the opportunity for collaboration, self\-organization within the team, influencing decision\-making, and visibility as we focus on continuous business data delivery.
**Responsibilities:**
* Create statistical models, algorithms, and machine learning techniques to achieve financial objectives and solve business problems
* Participate in reviewing work with business partners and team members on an ongoing basis to calibrate deliverables against expectations
* Assist in identifying and assessing the value of new data sources and analytical techniques to ensure ongoing competitive advantage
* Participate in the creation and deployment of long\-term tools to continually evolve the business
* Contribute to the successful implementation of strategies to achieve targeted business objectives
* Develop knowledge of The Hartford's formal and informal structures, business processes, and data sources in your area of expertise
* Remain current on research techniques and become familiar with state\-of\-the\-art tools applicable to your function
* Provide economic, qualitative, and statistical support to ensure accuracy of characteristics and metrics being applied to business decisions
This role will have a Hybrid work schedule, with the expectation of working in an office (Columbus, OH, Chicago, IL, Hartford, CT or Charlotte, NC) 3 days a week (Tuesday through Thursday).
**Qualifications:**
* 2\+ years of relevant experience recommended
* Preference for Master’s or Ph.D. in Statistics, Applied Mathematics, Quantitative Economics, Actuarial Science, Data Science, Computer Science, or a similar analytical field, or progress towards a relevant professional designation
* Experience in statistical modeling, inference, and building machine learning algorithms in Python
* Experience in SQL and navigating databases to extract relevant attributes
* Experience in Unix and Git
* Experience in the end\-to\-end modeling lifecycle, from requirements gathering to monitoring and validation
* Exposure to building modeling solutions in cloud\-native environments, such as Sagemaker or Vertex AI, a plus
* Understanding of prompt engineering, retrieval\-augmented generation (RAG), agent workflow, and LLM evaluation is a plus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$90,160 \- $135,240
Equal Opportunity Employer/Sex/Race/Color/Veterans/Disability/Sexual Orientation/Gender Identity or Expression/Religion/Age
About Us \| Our Culture \| What It’s Like to Work Here \| Perks \&amp; Benefits</t>
        </is>
      </c>
    </row>
    <row r="164">
      <c r="A164" t="inlineStr">
        <is>
          <t>in-730f037ec02a96f6</t>
        </is>
      </c>
      <c r="B164" t="inlineStr">
        <is>
          <t>Data Scientist</t>
        </is>
      </c>
      <c r="C164" t="inlineStr">
        <is>
          <t>The Hartford</t>
        </is>
      </c>
      <c r="D164" t="inlineStr">
        <is>
          <t>indeed</t>
        </is>
      </c>
      <c r="E164" t="inlineStr"/>
      <c r="F164" t="inlineStr"/>
      <c r="G164" t="inlineStr">
        <is>
          <t>Charlotte, NC, US</t>
        </is>
      </c>
      <c r="H164" s="2" t="n">
        <v>46030</v>
      </c>
      <c r="I164" t="inlineStr">
        <is>
          <t>Data Scientist \- GD08AE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seeks a Data Scientist within Data Science \&amp; Analytics Customer Operations department to develop machine learning and artificial intelligence solutions across a range of strategic initiatives.
The Customer Operations Data Science Team is a recently created data science and analytics team which engineers end\-to\-end analytic and machine learning solutions to optimize operational efficiency \&amp; customer experience, and utilizes all touchpoints generated by our customers on their omnichannel journey through The Hartford’s vast engagement ecosystem.
As a Data Scientist, you will participate in the entire model lifecycle partnering with cross\-functional business and technical partners to understand business strategies and design, develop, implement, and evolve modeling solutions. We use the latest technologies, machine learning methods, MLOps, and Agile delivery frameworks to build innovative and efficient solutions that maximize business value. This cutting edge and forward focused organization presents the opportunity for collaboration, self\-organization within the team, influencing decision\-making, and visibility as we focus on continuous business data delivery.
**Responsibilities:**
* Create statistical models, algorithms, and machine learning techniques to achieve financial objectives and solve business problems
* Participate in reviewing work with business partners and team members on an ongoing basis to calibrate deliverables against expectations
* Assist in identifying and assessing the value of new data sources and analytical techniques to ensure ongoing competitive advantage
* Participate in the creation and deployment of long\-term tools to continually evolve the business
* Contribute to the successful implementation of strategies to achieve targeted business objectives
* Develop knowledge of The Hartford's formal and informal structures, business processes, and data sources in your area of expertise
* Remain current on research techniques and become familiar with state\-of\-the\-art tools applicable to your function
* Provide economic, qualitative, and statistical support to ensure accuracy of characteristics and metrics being applied to business decisions
This role will have a Hybrid work schedule, with the expectation of working in an office (Columbus, OH, Chicago, IL, Hartford, CT or Charlotte, NC) 3 days a week (Tuesday through Thursday).
**Qualifications:**
* 2\+ years of relevant experience recommended
* Preference for Master’s or Ph.D. in Statistics, Applied Mathematics, Quantitative Economics, Actuarial Science, Data Science, Computer Science, or a similar analytical field, or progress towards a relevant professional designation
* Experience in statistical modeling, inference, and building machine learning algorithms in Python
* Experience in SQL and navigating databases to extract relevant attributes
* Experience in Unix and Git
* Experience in the end\-to\-end modeling lifecycle, from requirements gathering to monitoring and validation
* Exposure to building modeling solutions in cloud\-native environments, such as Sagemaker or Vertex AI, a plus
* Understanding of prompt engineering, retrieval\-augmented generation (RAG), agent workflow, and LLM evaluation is a plus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$90,160 \- $135,240
Equal Opportunity Employer/Sex/Race/Color/Veterans/Disability/Sexual Orientation/Gender Identity or Expression/Religion/Age
About Us \| Our Culture \| What It’s Like to Work Here \| Perks \&amp; Benefits</t>
        </is>
      </c>
    </row>
    <row r="165">
      <c r="A165" t="inlineStr">
        <is>
          <t>in-bafc1bfdf2c2bdee</t>
        </is>
      </c>
      <c r="B165" t="inlineStr">
        <is>
          <t>Data Scientist</t>
        </is>
      </c>
      <c r="C165" t="inlineStr">
        <is>
          <t>The Hartford</t>
        </is>
      </c>
      <c r="D165" t="inlineStr">
        <is>
          <t>indeed</t>
        </is>
      </c>
      <c r="E165" t="inlineStr"/>
      <c r="F165" t="inlineStr"/>
      <c r="G165" t="inlineStr">
        <is>
          <t>Chicago, IL, US</t>
        </is>
      </c>
      <c r="H165" s="2" t="n">
        <v>46030</v>
      </c>
      <c r="I165" t="inlineStr">
        <is>
          <t>Data Scientist \- GD08AE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seeks a Data Scientist within Data Science \&amp; Analytics Customer Operations department to develop machine learning and artificial intelligence solutions across a range of strategic initiatives.
The Customer Operations Data Science Team is a recently created data science and analytics team which engineers end\-to\-end analytic and machine learning solutions to optimize operational efficiency \&amp; customer experience, and utilizes all touchpoints generated by our customers on their omnichannel journey through The Hartford’s vast engagement ecosystem.
As a Data Scientist, you will participate in the entire model lifecycle partnering with cross\-functional business and technical partners to understand business strategies and design, develop, implement, and evolve modeling solutions. We use the latest technologies, machine learning methods, MLOps, and Agile delivery frameworks to build innovative and efficient solutions that maximize business value. This cutting edge and forward focused organization presents the opportunity for collaboration, self\-organization within the team, influencing decision\-making, and visibility as we focus on continuous business data delivery.
**Responsibilities:**
* Create statistical models, algorithms, and machine learning techniques to achieve financial objectives and solve business problems
* Participate in reviewing work with business partners and team members on an ongoing basis to calibrate deliverables against expectations
* Assist in identifying and assessing the value of new data sources and analytical techniques to ensure ongoing competitive advantage
* Participate in the creation and deployment of long\-term tools to continually evolve the business
* Contribute to the successful implementation of strategies to achieve targeted business objectives
* Develop knowledge of The Hartford's formal and informal structures, business processes, and data sources in your area of expertise
* Remain current on research techniques and become familiar with state\-of\-the\-art tools applicable to your function
* Provide economic, qualitative, and statistical support to ensure accuracy of characteristics and metrics being applied to business decisions
This role will have a Hybrid work schedule, with the expectation of working in an office (Columbus, OH, Chicago, IL, Hartford, CT or Charlotte, NC) 3 days a week (Tuesday through Thursday).
**Qualifications:**
* 2\+ years of relevant experience recommended
* Preference for Master’s or Ph.D. in Statistics, Applied Mathematics, Quantitative Economics, Actuarial Science, Data Science, Computer Science, or a similar analytical field, or progress towards a relevant professional designation
* Experience in statistical modeling, inference, and building machine learning algorithms in Python
* Experience in SQL and navigating databases to extract relevant attributes
* Experience in Unix and Git
* Experience in the end\-to\-end modeling lifecycle, from requirements gathering to monitoring and validation
* Exposure to building modeling solutions in cloud\-native environments, such as Sagemaker or Vertex AI, a plus
* Understanding of prompt engineering, retrieval\-augmented generation (RAG), agent workflow, and LLM evaluation is a plus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$90,160 \- $135,240
Equal Opportunity Employer/Sex/Race/Color/Veterans/Disability/Sexual Orientation/Gender Identity or Expression/Religion/Age
About Us \| Our Culture \| What It’s Like to Work Here \| Perks \&amp; Benefits</t>
        </is>
      </c>
    </row>
    <row r="166">
      <c r="A166" t="inlineStr">
        <is>
          <t>in-ebf94a8a74801b3a</t>
        </is>
      </c>
      <c r="B166" t="inlineStr">
        <is>
          <t>Data Scientist</t>
        </is>
      </c>
      <c r="C166" t="inlineStr">
        <is>
          <t>The Hartford</t>
        </is>
      </c>
      <c r="D166" t="inlineStr">
        <is>
          <t>indeed</t>
        </is>
      </c>
      <c r="E166" t="inlineStr"/>
      <c r="F166" t="inlineStr"/>
      <c r="G166" t="inlineStr">
        <is>
          <t>Hartford, CT, US</t>
        </is>
      </c>
      <c r="H166" s="2" t="n">
        <v>46030</v>
      </c>
      <c r="I166" t="inlineStr">
        <is>
          <t>Data Scientist \- GD08AE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seeks a Data Scientist within Data Science \&amp; Analytics Customer Operations department to develop machine learning and artificial intelligence solutions across a range of strategic initiatives.
The Customer Operations Data Science Team is a recently created data science and analytics team which engineers end\-to\-end analytic and machine learning solutions to optimize operational efficiency \&amp; customer experience, and utilizes all touchpoints generated by our customers on their omnichannel journey through The Hartford’s vast engagement ecosystem.
As a Data Scientist, you will participate in the entire model lifecycle partnering with cross\-functional business and technical partners to understand business strategies and design, develop, implement, and evolve modeling solutions. We use the latest technologies, machine learning methods, MLOps, and Agile delivery frameworks to build innovative and efficient solutions that maximize business value. This cutting edge and forward focused organization presents the opportunity for collaboration, self\-organization within the team, influencing decision\-making, and visibility as we focus on continuous business data delivery.
**Responsibilities:**
* Create statistical models, algorithms, and machine learning techniques to achieve financial objectives and solve business problems
* Participate in reviewing work with business partners and team members on an ongoing basis to calibrate deliverables against expectations
* Assist in identifying and assessing the value of new data sources and analytical techniques to ensure ongoing competitive advantage
* Participate in the creation and deployment of long\-term tools to continually evolve the business
* Contribute to the successful implementation of strategies to achieve targeted business objectives
* Develop knowledge of The Hartford's formal and informal structures, business processes, and data sources in your area of expertise
* Remain current on research techniques and become familiar with state\-of\-the\-art tools applicable to your function
* Provide economic, qualitative, and statistical support to ensure accuracy of characteristics and metrics being applied to business decisions
This role will have a Hybrid work schedule, with the expectation of working in an office (Columbus, OH, Chicago, IL, Hartford, CT or Charlotte, NC) 3 days a week (Tuesday through Thursday).
**Qualifications:**
* 2\+ years of relevant experience recommended
* Preference for Master’s or Ph.D. in Statistics, Applied Mathematics, Quantitative Economics, Actuarial Science, Data Science, Computer Science, or a similar analytical field, or progress towards a relevant professional designation
* Experience in statistical modeling, inference, and building machine learning algorithms in Python
* Experience in SQL and navigating databases to extract relevant attributes
* Experience in Unix and Git
* Experience in the end\-to\-end modeling lifecycle, from requirements gathering to monitoring and validation
* Exposure to building modeling solutions in cloud\-native environments, such as Sagemaker or Vertex AI, a plus
* Understanding of prompt engineering, retrieval\-augmented generation (RAG), agent workflow, and LLM evaluation is a plus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$90,160 \- $135,240
Equal Opportunity Employer/Sex/Race/Color/Veterans/Disability/Sexual Orientation/Gender Identity or Expression/Religion/Age
About Us \| Our Culture \| What It’s Like to Work Here \| Perks \&amp; Benefits</t>
        </is>
      </c>
    </row>
    <row r="167">
      <c r="A167" t="inlineStr">
        <is>
          <t>in-b4c4d46ce3984138</t>
        </is>
      </c>
      <c r="B167" t="inlineStr">
        <is>
          <t>Data Scientist (Energy)</t>
        </is>
      </c>
      <c r="C167" t="inlineStr">
        <is>
          <t>Microsoft</t>
        </is>
      </c>
      <c r="D167" t="inlineStr">
        <is>
          <t>indeed</t>
        </is>
      </c>
      <c r="E167" t="inlineStr"/>
      <c r="F167" t="inlineStr"/>
      <c r="G167" t="inlineStr">
        <is>
          <t>Redmond, WA, US</t>
        </is>
      </c>
      <c r="H167" s="2" t="n">
        <v>46020</v>
      </c>
      <c r="I167" t="inlineStr">
        <is>
          <t>**Overview**  
Microsoft’s Cloud Operations \&amp; Innovation (CO\+I) team is responsible for the full lifecycle of Microsoft’s cloud infrastructure, spanning site selection, development, and operations. Our global footprint includes more than 400 datacenters in 34 countries, supported by over 165,000 miles of fiber optic cable. These facilities form the backbone of Microsoft Azure and are central to our commitment to reliable, secure, and sustainable digital infrastructure.
The CO\+I Energy Analytics team builds data platforms and insights that support Microsoft’s global datacenter growth and sustainability goals.
We work across the CO\+I Energy Team to translate complex energy data into trusted, actionable insights that inform decisions at scale. Our work helps the Energy Team plan, operate, and optimize responsibly as Microsoft continues to grow its cloud footprint worldwide and solidify its leadership in providing infrastructure for the global AI economy.
We value diverse perspectives, a growth mindset, and data‑driven problem solving. Our team takes a collaborative, end‑to‑end approach to challenges—combining technical rigor with curiosity and continuous learning—to deliver meaningful impact.
As a Data and Applied Scientist for Energy Analytics, you will focus on developing the data infrastructure necessary to operate and scale one of the world’s largest corporate energy portfolios. The candidate will work across sustainability reporting, energy markets, data center operations and other cross\-functional teams to build efficient architecture and integrate across these pillars to deliver solutions for the Energy team. The candidate will have the ability to ensure efficient and reliable delivery of data solutions across design, building and maintaining scalable data pipelines and other Azure infrastructure (blob storage, VMs, etc.) to automate deployment and integration workflows, as well as work closely with end users and reporting teams to understand requirements and develop targeted solutions.
The candidate will have the ability to collaborate with cross\-functional teams, get up to speed on new data sources or technologies quickly, and communicate clearly with technical and non\-technical audiences. They will bring an innovative, collaborative presence to the role to enable energy analytics to scale our portfolio with confidence, helping the business realize growth goals, lower costs, and meet sustainability targets. This role will provide the candidate a unique opportunity to join a high impact team and gain exposure to business\-critical topics of energy markets and cloud infrastructure.
 **Responsibilities**  
* Architect and Develop Data Pipelines: Design, build, and maintain scalable data pipelines and workflows using Python and SQL to support data integration, transformation, and loading processes.
* Build and Maintain ADO Pipelines: Develop and manage Azure DevOps (ADO) pipelines and other Azure Infrastructure (subscription, blob storage, VMs, etc.) to automate deployment and integration workflows, ensuring efficient and reliable delivery of data solutions.
* Implement Best Software Practices: Drive and enforce best practices in software development, including code reviews, testing, and continuous integration/continuous deployment (CI/CD) processes.
* Data Quality and Governance: Ensure data quality, integrity, and governance by implementing robust data validation, monitoring, and auditing processes.
* Collaborate with Cross\-Functional Teams: Work closely with data scientists, analysts, and other stakeholders to understand data requirements and deliver solutions that meet business needs.
**Qualifications**  
Required Qualifications:
* Doctorate in Data Science, Mathematics, Statistics, Econometrics, Economics, Operations Research, Computer Science, or related field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OR Bachelor's Degree in Data Science, Mathematics, Statistics, Econometrics, Economics, Operations Research, Computer Science, or related field AND 2\+ years data\-science experience (e.g., managing structured and unstructured data, applying statistical techniques and reporting results)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OR equivalent experience.
* 2\+ years' professional experience in applications of computer science, with coding experience in Python.
* 2\+ years' professional experience in designing, building, and maintaining scalable data pipelines and infrastructure.
* Experience in SQL databases.
* Demonstrated ability to perform in ambiguous environments and thrive in a dynamic work environment.
* Exceptional interpersonal and communication skills, especially the ability to explain complex issues clearly and concisely.
* Experience with Azure DevOps, Azure Data Factory, Databricks, and other Azure data services.
* Statistical background and/or data science experience.
\#COICareers \| \#EPCCareers \| \#DCDCareers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8">
      <c r="A168" t="inlineStr">
        <is>
          <t>in-46891e5ac004232e</t>
        </is>
      </c>
      <c r="B168" t="inlineStr">
        <is>
          <t>Senior Data Scientist</t>
        </is>
      </c>
      <c r="C168" t="inlineStr">
        <is>
          <t>Microsoft</t>
        </is>
      </c>
      <c r="D168" t="inlineStr">
        <is>
          <t>indeed</t>
        </is>
      </c>
      <c r="E168" t="inlineStr"/>
      <c r="F168" t="inlineStr"/>
      <c r="G168" t="inlineStr">
        <is>
          <t>US</t>
        </is>
      </c>
      <c r="H168" s="2" t="n">
        <v>46019</v>
      </c>
      <c r="I168" t="inlineStr">
        <is>
          <t>**Overview**  
Are you excited by the intersection of software engineering and data science? Do you thrive in solving complex problems with data\-driven solutions? If so, our team is the right place for you. We’re looking for a Senior Data Scientist who is passionate about building robust systems that turn data into actionable insights and enable business transformation through intelligent applications.
As a Senior Data Scientist on our team, you will design, build, and maintain scalable software solutions that support data science initiatives across the organization. You’ll work closely with data scientists, Machine Learning (ML) engineers, and product teams to enable experimentation, optimize workflows, and bring models into production.
This opportunity will allow you to deepen your understanding of machine learning infrastructure, expand your expertise in data\-centric development, and accelerate your growth as a hybrid technical contributor in both software engineering and data science. We offer flexible work arrangements and support partial to full remote work, depending on business needs and team alignment.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develop, test, and maintain scalable software systems that enable data science workflows, including data ingestion, transformation, feature engineering, and model deployment.
* Collaborate cross\-functionally with data scientists, machine learning engineers, product managers, and other software engineers to integrate intelligent solutions into production environments.
* Build and optimize data pipelines, Application Programming Interfaces (APIs), and tools that support experimentation, automation, and reproducibility in machine learning development.
* Ensure software quality, security, and compliance through robust testing, code reviews, and adherence to engineering best practices.
* Leverage telemetry and logging to monitor system health, debug issues, and improve performance.
* Contribute to architectural decisions and long\-term technical strategy for data\-driven applications.
* Stay current with emerging technologies and best practices in software engineering, data science, and machine learning infrastructure.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+ 3\+ years proficiency in at least one programming language such as Python, C\#, Java, or C\+\+.
* 4\+ years of professional software development experience, including designing, building, and maintaining production\-quality systems.
* 3\+ years of experience working with data systems, including relational databases, distributed data processing frameworks (e.g., Spark, Hadoop), or modern data warehouses.
* 1\+ year(s) understanding of software engineering fundamentals, including data structures, algorithms, and system design.
* 1\+ year(s) of demonstrated ability to collaborate effectively with cross\-functional teams.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9">
      <c r="A169" t="inlineStr">
        <is>
          <t>in-3c99d1254777b3c4</t>
        </is>
      </c>
      <c r="B169" t="inlineStr">
        <is>
          <t>Senior Data Scientist</t>
        </is>
      </c>
      <c r="C169" t="inlineStr">
        <is>
          <t>Microsoft</t>
        </is>
      </c>
      <c r="D169" t="inlineStr">
        <is>
          <t>indeed</t>
        </is>
      </c>
      <c r="E169" t="inlineStr"/>
      <c r="F169" t="inlineStr"/>
      <c r="G169" t="inlineStr">
        <is>
          <t>Redmond, WA, US</t>
        </is>
      </c>
      <c r="H169" s="2" t="n">
        <v>46013</v>
      </c>
      <c r="I169" t="inlineStr">
        <is>
          <t>**Overview**  
The Bing organization is looking for a senior data scientist and future potential lead for its online metric team. The team is pushing the boundaries regarding online A/B experimentation capabilities and methods, as well as informs our understanding for how users engage with search engines and integrated AI experiences, and then translates the insights into actionable metrics. These metrics provide direction to the the Bing and MAI organization and help engineers make the right ship decisions for their thousands of online controlled experiments.
Nearly half a billion users visit Bing.com worldwide monthly, and we have a large opportunity to grow further. At Bing, we celebrate our data driven culture: changes only ship when their impact is understood and positive. This role is a great opportunity to make solid, and even multiplicative impact on the org.
As a data and applied scientist in this team, you will have the chance to work on and deliver metrics that drive the direction of major Bing initiatives. You will have the chance to be involved in the analysis and decision making for 1000s of online controlled A/B experiments. You will also have the opportunity to develop into a lead for the team. Come join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Innovate around methods and capabilities for online A/B experimentation.
* Define, build and track success metrics for Bing customer satisfaction and retention.
* Develop strategies for understanding correlation between set of key Bing metrics and define overall ship decision criteria.
* Understand A/B online experiments, online user engagement and produce actionable, trustworthy conclusions.
* Develop tools to help analyze the movement of the metrics to help feature teams to understand why their treatment changes impact the metrics.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Experience with SQL\-like query languages
* Hands on experience in design \&amp; problem\-solving skills with one or more programming languages, such as Python, Java, C\# or C\+\+
* Ability to work independently, influence others, and solid communication and collaboration skills.
**Preferred Qualifications:**
*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 Familiarity with search engines, dealing with online instrumentation.
* Experience with large datasets and interest in consumer online search behaviors.
* Experience with building machine learning models on large scale data.
\#MicrosoftAI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0">
      <c r="A170" t="inlineStr">
        <is>
          <t>in-f455db91f59b7087</t>
        </is>
      </c>
      <c r="B170" t="inlineStr">
        <is>
          <t>Applied Scientist II</t>
        </is>
      </c>
      <c r="C170" t="inlineStr">
        <is>
          <t>Microsoft</t>
        </is>
      </c>
      <c r="D170" t="inlineStr">
        <is>
          <t>indeed</t>
        </is>
      </c>
      <c r="E170" t="inlineStr"/>
      <c r="F170" t="inlineStr"/>
      <c r="G170" t="inlineStr">
        <is>
          <t>Redmond, WA, US</t>
        </is>
      </c>
      <c r="H170" s="2" t="n">
        <v>45993</v>
      </c>
      <c r="I170" t="inlineStr">
        <is>
          <t>**Overview**  
We seek an Applied Scientist with expertise in Machine Learning, Generative AI, Agentic Modeling, Data Science, or related areas. The ideal candidate should be passionate about generative modeling, experimental prompt tuning, and large\-scale modeling optimization. The candidate should have hands\-on experience on working with LLMs, or SLMs such as Qwen, Llama or its variants. Microsoft AI unites product, engineering, and science teams to advance Bing and Consumer Copilot, aiming to provide the best generative search experience through advanced AI/ML technologies and innovative AI features.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Develop and evaluate ML models using prepared datasets, customer feedback, and novel training/fine\-tuning algorithms for language models.
* Finding insights and forming hypothesis on large\-scale data with various machine learning, feature engineering, statistical, and data mining techniques: e.g. regression, classification, NLP, optimization.
* Designing experiments, understanding the resulting data, and producing actionable, trustworthy conclusions from them including e2e shipping to users.
* Write production\-quality code, apply debugging best practices, and stay current with industry trends. Deliver robust, scalable solutions by applying advanced AI techniques and production\-grade data processes to improve quality, efficiency, and reliability.
* Wrangling large amounts of data (think petabytes) using various tools, including open\-source ones and your own. All programming languages are welcome, especially Python, C\#, R, C\+\+, Java, and SQL
* Taking complex problems and the associated data and giving the answers in a concise form to assist senior executives in making key business decisions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MS, Ph.D., or BS (with some industry experience) in Computer Science, Statistics, Applied Mathematics, Operation Research, Automation, Physics, or other engineering or science fields
* 2\+ years of proficient experience with C\#/C\+\+/Java/Python/Scala or any other OOP skills with a good knowledge of Data Structures/Algorithms
* Passionate and have experience in data analytics, applied machine learning, deep learning and/or related fields
\#MicrosoftAI \#Search\#MAI \#BING \#ML\# \#NLP\#GenAI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1">
      <c r="A171" t="inlineStr">
        <is>
          <t>in-41b9bcad48ff807c</t>
        </is>
      </c>
      <c r="B171" t="inlineStr">
        <is>
          <t>Applied Scientist</t>
        </is>
      </c>
      <c r="C171" t="inlineStr">
        <is>
          <t>Microsoft</t>
        </is>
      </c>
      <c r="D171" t="inlineStr">
        <is>
          <t>indeed</t>
        </is>
      </c>
      <c r="E171" t="inlineStr"/>
      <c r="F171" t="inlineStr"/>
      <c r="G171" t="inlineStr">
        <is>
          <t>US</t>
        </is>
      </c>
      <c r="H171" s="2" t="n">
        <v>45980</v>
      </c>
      <c r="I171" t="inlineStr">
        <is>
          <t>**Overview**  
The Data and AI team in Microsoft’s Developer Division is shaping the future of AI for Developers! We are a diverse, entrepreneurial, and multi\-disciplinary group of scientists, engineers, and researchers passionate about using AI to improve developer productivity worldwide. Our innovations power AI\-driven code experiences in GitHub Copilot, VS Code, Visual Studio, and other Microsoft products.
We are seeking a highly motivated Applied Scientist and Sr. Applied Scientist to contribute to impactful projects that bring research into product. You will collaborate with scientists, engineers, and designers across Microsoft Research, product teams, and GitHub to design, train, and evaluate advanced models for code understanding and generation. This role offers opportunities to apply and refine approaches using LLMs for software engineering, including retrieval\-augmented generation and efficient inference techniques. Most importantly, you will work closely with product teams to integrate models into real\-world developer experiences, iterating and improving AI solutions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**Develop and evaluate advanced models for code completion and editing**, improving code understanding, generation, and review within defined project scopes.
* **Implement context\-augmented techniques** to enhance model awareness of large and complex codebases, enabling context\-rich developer assistance.
* **Prototype and optimize inference algorithms** for efficient, interactive code generation experiences at scale.
* **Design, train, and validate machine learning models**, ensuring robustness, fairness, and performance in production environments.
* **Conduct experiments and analyze results** to iterate on model improvements and deliver measurable impact.
* **Collaborate with product and engineering teams** across GitHub and Microsoft to integrate models into user\-facing features.
* **Stay informed on research and product trends in AI for software engineering**, applying relevant advancements to improve model capabilities.
**Qualifications** **Required Qualifications**
* Bachelor's Degree in Statistics, Econometrics, Computer Science, Electrical or Computer Engineering, or related field AND 2\+ years related experience (e.g. Machine Learning, AI, Data Science)
	+ OR Master's Degree in Statistics, Econometrics, Computer Science, Electrical or Computer Engineering, or related field AND 1\+ year(s) related experience (e.g. Machine Learning, AI, Data Science)
	+ OR Doctorate in Statistics, Econometrics, Computer Science, Electrical or Computer Engineering, or related field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Bachelor's Degree in Statistics, Econometrics, Computer Science, Electrical or Computer Engineering, or related field AND 4\+ years related experience (e.g. Machine Learning, AI, Data Science)
	+ OR Master's Degree in Statistics, Econometrics, Computer Science, Electrical or Computer Engineering, or related field AND 3\+ years related experience (e.g. Machine Learning, AI, Data Science)
	+ OR Doctorate in Statistics, Econometrics, Computer Science, Electrical or Computer Engineering, or related field AND 1\+ year(s) related experience (e.g. Machine Learning, AI, Data Science)
	+ OR equivalent experience.
* 2\+ years of experience in applied research or development of applications with LLMs, including techniques such as fine\-tuning and retrieval\-augmented generation (RAG) pipelines.
* Experience presenting at conferences or other events in the outside research/industry community as an invited speaker.
* 3\+ years experience conducting research as part of a research program (in academic or industry settings).
* 1\+ year(s) experience developing and deploying live production systems, as part of a product team.
* 1\+ year(s) experience developing and deploying products or systems at multiple points in the product cycle from ideation to shipping.
\#DevDiv
\#DDJL
\#CoreAI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2">
      <c r="A172" t="inlineStr">
        <is>
          <t>in-1487594d6b1396d5</t>
        </is>
      </c>
      <c r="B172" t="inlineStr">
        <is>
          <t>Health Data Scientist</t>
        </is>
      </c>
      <c r="C172" t="inlineStr">
        <is>
          <t>Valiant Harbor International, LLC</t>
        </is>
      </c>
      <c r="D172" t="inlineStr">
        <is>
          <t>indeed</t>
        </is>
      </c>
      <c r="E172">
        <f>HYPERLINK("https://www.indeed.com/viewjob?jk=1487594d6b1396d5", "https://www.indeed.com/viewjob?jk=1487594d6b1396d5")</f>
        <v/>
      </c>
      <c r="F172">
        <f>HYPERLINK("https://theapplicantmanager.com/jobs?pos=vl402&amp;src=Indeed", "https://theapplicantmanager.com/jobs?pos=vl402&amp;src=Indeed")</f>
        <v/>
      </c>
      <c r="G172" t="inlineStr">
        <is>
          <t>Washington, DC, US</t>
        </is>
      </c>
      <c r="H172" s="3" t="n">
        <v>46030</v>
      </c>
      <c r="I172" t="inlineStr">
        <is>
          <t>**Valiant Harbor International** is a CVE Service\-Disabled Veteran Owned Small Business that specializes in technical, programmatic, acquisition, compliance, and financial services for Government science and technology, research and development, and technological programs. At Valiant Harbor International, we emphasize our intense focus on helping federal government agencies identify and address organizational challenges to tailor and integrate specific solutions to solve their most difficult problems. Success is defined by our ability to meet our customers’ needs quickly, efficiently, and effectively.  
Valiant Harbor International is seeking a detail\-oriented **Health Data Scientist** to provide technical leadership in data design, evaluation strategy, and clinical realism for a multi\-stakeholder program advancing AI diagnostics for rare diseases supporting the Advanced Research Projects Agency for Health (ARPA\-H), Proactive Health Office (PHO). This is a Science and Engineering and Technical Advisor (SETA) role focused on ensuring that datasets, benchmarks, and evaluation methods are scientifically rigorous, clinically grounded, and aligned with real\-world use.
In this role, you will operate at the intersection of health data, AI evaluation, and clinical practice, providing expert guidance to program leadership and external performers. You will help define what success means for AI diagnostics in rare disease contexts and ensure that technical progress translates into meaningful clinical insight and patient impact. This role is ideal for someone who combines deep experience with healthcare data and AI evaluation with the ability to critically assess methodologies, anticipate failure modes, and translate clinical realities into measurable technical criteria.  
**Key Responsibilities:**
* Lead and advise on the design, preparation, and validation of healthcare datasets used across the program, including EHR, genomic, and multimodal data.
* Define and assess evaluation strategies and benchmarks that are clinically realistic, methodologically sound, and resistant to shortcut learning or leakage.
* Review technical proposals, model submissions, and evaluation results from external teams, providing expert feedback on validity, risks, and interpretability.
* Assess data quality, representativeness, and bias, and advise on mitigation strategies appropriate to rare disease contexts.
* Evaluate alignment between technical performance metrics and clinical decision\-making needs, working closely with clinical SMEs.
* Identify gaps between benchmark performance and real\-world applicability, and advise on corrective actions.
* Serve as a technical bridge between AI developers, clinical experts, and program leadership.
* Support the program manager with technical assessments, recommendations, and decision support related to data and evaluation.
* Track progress of external partners and identify data\- or evaluation\-related risks that could impact program outcomes.
* Produce high\-quality written reports, analyses, and presentations that communicate technical findings to diverse audiences.
**This position is suited for candidates who:*** Think deeply about measurement, validity, and scientific rigor.
* Are comfortable exercising judgment in ambiguous or under\-specified evaluation contexts.
* Maintain high standards for data quality and methodological integrity.
* Communicate clearly across clinical, technical, and programmatic audiences.
* Operate with ownership and accountability in high\-stakes environments.
* Are motivated by advancing AI systems that deliver real clinical and patient impact, not just strong metrics.
**Required Qualifications:**
* PhD in Biomedical Informatics, Data Science, Biostatistics, or a related field.
* 5\+ years of experience working with healthcare or biomedical data in applied or evaluative roles.
* Hands\-on experience with EHR, genomic, or multimodal healthcare datasets.
* Deep understanding of AI/ML evaluation methods, including benchmarking, robustness, and sources of bias or leakage.
* Demonstrated ability to critically review and assess technical work across health data and AI domains.
* Strong understanding of data governance, privacy, and compliance in healthcare contexts.
* Excellent written and verbal communication skills, with experience producing high\-quality technical materials.
**Preferred Qualifications:**
* Domain expertise in rare disease, diagnostics, or clinical decision support.
* Prior experience in technical advisory, evaluation, or SETA\-style roles.
* Experience collaborating closely with clinicians and healthcare stakeholders.
* Experience working in fast\-paced, multi\-stakeholder, or early\-stage environments.
**Clearance Requirements:** Ability to obtain a Public Trust.  
**Salary Range:** Negotiable.  
**EEO Statement:** Valiant Harbor International, LLC is an Equal Opportunity/Affirmative Action employer. Valiant Harbor International prohibits discrimination with respect to the hiring or promotion of individuals, conditions of employment, disciplinary and discharge practices, or any other aspect of employment on the basis of sex, race, color, age, national origin, religion, disability, marital status, sexual orientation, gender identity, pregnancy, veteran status, or any other protected class.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(202\) 656\-4691 for assistance.</t>
        </is>
      </c>
    </row>
    <row r="173">
      <c r="A173" t="inlineStr">
        <is>
          <t>in-2f59b5cebd0b497b</t>
        </is>
      </c>
      <c r="B173" t="inlineStr">
        <is>
          <t>Senior Data Scientist, Level 5</t>
        </is>
      </c>
      <c r="C173" t="inlineStr">
        <is>
          <t>Snap Inc.</t>
        </is>
      </c>
      <c r="D173" t="inlineStr">
        <is>
          <t>indeed</t>
        </is>
      </c>
      <c r="E173">
        <f>HYPERLINK("https://www.indeed.com/viewjob?jk=2f59b5cebd0b497b", "https://www.indeed.com/viewjob?jk=2f59b5cebd0b497b")</f>
        <v/>
      </c>
      <c r="F173">
        <f>HYPERLINK("https://wd1.myworkdaysite.com/en-US/recruiting/snapchat/snap/job/Los-Angeles-California/Senior-Data-Scientist--Level-5_Q126DSA5", "https://wd1.myworkdaysite.com/en-US/recruiting/snapchat/snap/job/Los-Angeles-California/Senior-Data-Scientist--Level-5_Q126DSA5")</f>
        <v/>
      </c>
      <c r="G173" t="inlineStr">
        <is>
          <t>Los Angeles, CA, US</t>
        </is>
      </c>
      <c r="H173" s="3" t="n">
        <v>46030</v>
      </c>
      <c r="I173"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Data Science \&amp; Insights team seeks to leverage our massive data sets into actionable insights that deliver business value. As truth seekers and truth tellers, we relay what the data says without bias, even when inconvenient or difficult. We aim to improve decision\-making quality and speed across the organization to enable a deeper understanding of our customers and products. We focus on efficient and effective analytic execution, positioning ourselves as the go\-to experts with deep knowledge and expertise, constantly striving for better, faster insights from data.
We’re looking for a Sr. Data Scientist to join Snap Inc.
What you’ll do:* Apply your expertise in quantitative analysis, data mining, and statistical modeling to deliver impactful, objective, and actionable data insights that enable informed business and product decisions
* Drive informed and timely decision\-making that improves and optimizes the way our products are created, executed, and adopted'
* Collaborate with product managers, engineers, product marketers, and designers
* Think creatively, proactively, and futuristically to identify and size up new opportunities within Snap's long term roadmap for data\-scientific contributions
* Conduct machine learning or statistical analyses, and build pragmatic, scalable, and statistically rigorous solutions to deliver actionable insights, accurate predictions, and effective optimizations
* Communicate best practices in quantitative analysis and develop cross\-functional partnerships
Knowledge, Skills \&amp; Abilities:* Expertise using data modeling skills to identify key product trends and new product opportunities
* Ability to design implement, and track core metrics to analyze the performance of our products
* Ability to create visuals, dashboards, and reports to effectively communicate your insights
* Experience collaborating with engineers, product managers, and other cross\-functional teams
* Ability to initiate and drive projects to completion with minimal guidance
* An understanding of Snapchat with great product sense and product understanding
* Ability to communicate complex quantitative analysis in a clear, precise, and actionable manner
Minimum Qualifications:* Bachelor's Degree in a relevant technical field such as statistics, mathematics, economics, computer science, engineering or related field or equivalent years of practical work experience
* 5\+ years of post\-Bachelor’s quantitative analysis and data science experience ; or a Master’s degree in a technical field \+ 4\+ years of post\-grad quantitative analysis and data science experience; or a PhD in a related technical field \+ 1\+ years of post\-grad quantitative analysis and data science experience
Preferred Qualifications:* 5\+ years of experience using SQL or similar big data querying languages
* 5\+ years of experience with programming language, such as Python or R
* 5\+ years of experience with applied statistical techniques, such as inferential methods, causal methods, A/B testing, or statistical modeling techniques
* Advanced degree in applied mathematics, statistics, actuarial science, economics or related field
* Experience in a product\-focused role at a social media, online advertising, digital media and/or mobile technology company
* Experience using machine learning and statistical analysis for building data\-driven product solutions or performing methodological research.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$190,000\-$284,000 annually.  
Zone B:
The base salary range for this position is $181,000\-$270,000 annually.
Zone C:
The base salary range for this position is $162,000\-$241,000 annually.  
This position is eligible for equity in the form of RSUs.</t>
        </is>
      </c>
    </row>
    <row r="174">
      <c r="A174" t="inlineStr">
        <is>
          <t>in-b718e607fbf06ebb</t>
        </is>
      </c>
      <c r="B174" t="inlineStr">
        <is>
          <t>Sr. Data Scientist</t>
        </is>
      </c>
      <c r="C174" t="inlineStr">
        <is>
          <t>Western Governors University</t>
        </is>
      </c>
      <c r="D174" t="inlineStr">
        <is>
          <t>indeed</t>
        </is>
      </c>
      <c r="E174">
        <f>HYPERLINK("https://www.indeed.com/viewjob?jk=b718e607fbf06ebb", "https://www.indeed.com/viewjob?jk=b718e607fbf06ebb")</f>
        <v/>
      </c>
      <c r="F174">
        <f>HYPERLINK("https://wgu.wd5.myworkdayjobs.com/en-US/External/job/Salt-Lake-City-Office/Sr-Data-Scientist_JR-023984", "https://wgu.wd5.myworkdayjobs.com/en-US/External/job/Salt-Lake-City-Office/Sr-Data-Scientist_JR-023984")</f>
        <v/>
      </c>
      <c r="G174" t="inlineStr">
        <is>
          <t>Salt Lake City, UT, US</t>
        </is>
      </c>
      <c r="H174" s="3" t="n">
        <v>46030</v>
      </c>
      <c r="I174" t="inlineStr">
        <is>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Grade: Technical 410
Pay Range: $140,200\.00 \- $217,200\.00
Job Description
Job Duties* Documents data, analytics, and research needs in projects of high complexity with a student and equity\-centered lens, collaborating with peers, cross\-functional partners, faculty staff, and leaders. Leads the translation of user stories into technical requirements.
* Sets and manages expectations about complex analytics tasks and activities through clear, timely, and effective communication with partners and stakeholders.
* Answers complex business questions requiring extensive knowledge of the university’s data assets across several domains and departments.
* Identifies adequate data sources and data sets to evaluate hypotheses and produce forecasts.
* Analyzes very large data sets from both structured and unstructured sources and develops statistical and predictive models.
* Collaborates with Data Engineering in the development of complex ETL/ELT processes and data pipelines.
* Identifies, investigates, and solves complex data issues, contributing to the accuracy, completeness, consistency, timeliness, and validity of the university’s data.
* Collaborates with Data Engineering and other data \&amp; analytics partners to define standards and best practices that increase data quality across the university.
* Utilizes software, scripts, and algorithms to perform complex data\-related tasks (e.g., importing, cleaning, transforming, analyzing, displaying) without human intervention.
* Combines data analysis, visualization, and narrative structures to convey information in compelling ways that instigate deliberate action.
* Conveys information effectively to peers, partners, and senior leaders, using a variety of resources and formats (synchronous and asynchronous, verbal and written) such as e\-mails, presentations, meetings, and workshops.
* Creates and organizes information about processes, projects, operations, data assets, and insights from analyses and research, making it accessible in ways that increase the university’s knowledge and efficiency.
* Writes and interprets technical documentation (e.g., Entity\-Relationship, Conceptual, Logical, and Physical data models).
* Contributes actively to the development of the university’s data management platforms (e.g., data dictionaries, catalogs, etc.).
* Plays a prominent role in other team members’ development through constructive feedback and sharing of technical and institutional knowledge.
* Tracks and reports own progress, dependencies, and challenges diligently. Breaks down complex goals into concrete tasks and activities, and actively supports leaders in project planning.
* Drives tasks, activities, and medium\-scale projects with high levels of autonomy, confidence, and collaboration with peers and partners.
* Designs medium\-scale solutions and collaborates effectively with other technical specialists (e.g., data engineers) in the construction of data products, systems, and applications.
* Supports leadership in strategic planning and contributes to operational excellence across the department.
* Understands and abides by the relevant policies and methods to access, use, transform, store, and delete data in responsible, secure, and compliant ways. Identifies data security risks when dealing with concrete data sets and takes adequate mitigation actions.
* Works actively to improve skills and knowledge through internal and external, formal and informal, structured and unstructured learning. Is a lifelong learner and embodies a growth mindset. Stays abreast of innovative developments in their area of work and plays an active role in deploying them at the university.
* Performs other job\-related duties as assigned.
KSAs* Advanced knowledge in accessing, retrieving, manipulating, inserting, and deleting data from structured and unstructured databases.
* Advanced SQL proficiency, with experience writing queries and subqueries, modifying data (INSERT, UPDATE, DELETE), creating views, and knowledge of the different join types, filtering, sorting, aggregation, window functions, common table expressions (CTE), and performance tuning.
* Ability to interpret and design models that describe how data relate to one another and to the properties of the real\-world entities they represent. Understands conceptual and logical data modeling, and has experience with dimensional models, star schema, and snowflake schema.
* Familiarized with versioning tools in the context of CI/CD (e.g., Github) and deploys models using the university’s machine learning operations (MLOps) self\-service capabilities.
* Highly proficient and experienced in using tools like Tableau and Power BI to present data and information utilizing charts, graphs, and maps, in ways that make it easy to understand trends, patterns, and outliers.
* Subject matter expert in the selection and deployment of a variety of mathematical models, forecasting methods (e.g., time series, inferential, regression), descriptive statistics, and classification algorithms to make predictions and identify relationships based on limited sets of data.
* Considerable experience using Python, R, and/or Natural Language Processing in an ML environment, requiring little to no supervision.
* Highly skilled at selecting and deploying methods and techniques like A/B Testing.
* Comfortable with common project management methodologies and frameworks (e.g., Waterfall, Agile, SDLC).
* Proficient in the MS Office suite, including advanced Excel knowledge.
* Proficient in flowchart and diagramming tools like Miro, Visio, Lucidchart, and similar applications.
* Ability to apply sound judgment, systems\-thinking, and analytical skills to assess risks, perform root\-cause analyses, make recommendations, and drive cross\-functional decisions that contribute to the achievement of the university’s objectives.
* Ability to perform with very high levels of autonomy, reliability, self\-direction, and with a bias for action. Manages conflicting and concurrent activities with minimal need of supervision.
* Knowledge of the university’s most relevant KPIs, the drivers that affect them, and plays an active role in their definition and tracking.
Minimum Qualifications* Bachelor's Degree in a related discipline
* 7 years of related experience in Data Analysis, Business Intelligence, Data Science, Statistics, Decision Intelligence, Research, Learning Science, or Behavioral/Cognitive Psychology.
* Equivalent relevant experience performing the essential functions of this job may substitute for education degree requirements. Generally, equivalent relevant experience is defined as 1 year of experience for 1 year of education and is the discretion of the hiring manager.
Job Description Disclaimer: This position description provides the major duties/responsibilities, requirements and working conditions for the position. It is intended to be an accurate reflection of the current position, however management reserves the right to revise or change as necessary to meet organizational needs. Other responsibilities may be assigned when circumstances require.
Position \&amp; Application Details
Full\-Time Regular Positions (classified as regular and working 40 standard weekly hours): This is a full\-time, regular position (classified for 40 standard weekly hours)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How to Apply: If interested, an application will need to be submitted online. Internal WGU employees will need to apply through the internal job board in Workday.
Additional Information
Disclaimer: The job posting highlights the most critical responsibilities and requirements of the job. It’s not all\-inclusive.
Accommodations: Applicants with disabilities who require assistance or accommodation during the application or interview process should contact our Talent Acquisition team at recruiting@wgu.edu.
Equal Employment Opportunity: All qualified applicants will receive consideration for employment without regard to any protected characteristic as required by law.</t>
        </is>
      </c>
    </row>
    <row r="175">
      <c r="A175" t="inlineStr">
        <is>
          <t>in-5582aa553b12d230</t>
        </is>
      </c>
      <c r="B175" t="inlineStr">
        <is>
          <t>Senior Data Scientist</t>
        </is>
      </c>
      <c r="C175" t="inlineStr">
        <is>
          <t>Viatouch Media Inc</t>
        </is>
      </c>
      <c r="D175" t="inlineStr">
        <is>
          <t>indeed</t>
        </is>
      </c>
      <c r="E175">
        <f>HYPERLINK("https://www.indeed.com/viewjob?jk=5582aa553b12d230", "https://www.indeed.com/viewjob?jk=5582aa553b12d230")</f>
        <v/>
      </c>
      <c r="F175">
        <f>HYPERLINK("http://www.indeed.com/job/senior-data-scientist-5582aa553b12d230", "http://www.indeed.com/job/senior-data-scientist-5582aa553b12d230")</f>
        <v/>
      </c>
      <c r="G175" t="inlineStr">
        <is>
          <t>New York, NY, US</t>
        </is>
      </c>
      <c r="H175" s="3" t="n">
        <v>46031</v>
      </c>
      <c r="I175" t="inlineStr">
        <is>
          <t>Senior Data Scientist — ML/GenAI, Personalization \&amp; Real\-Time Scoring (Viatouch Vicki AI)Summary
We’re hiring a Senior Data Scientist to build **production ML \+ GenAI** that makes **Viatouch Vicki** smarter in real time: **personalized ads/offers/samples**, **low\-latency scoring**, and **LLM\-driven insights** that are grounded in our data.
What You’ll Do
* **Personalization / Next\-Best\-Action:** Build ranking/propensity models to decide what Vicki shows next (content, offer, sample, question) based on context \+ behavior.
* **Real\-Time Scoring in AWS:** Deploy low\-latency inference with monitoring, drift detection, versioning, and safe rollback.
* **LLMs \+ RAG \+ Agents:** Create data\-grounded assistants that answer questions, summarize campaigns, explain anomalies, and analyze open\-ended feedback (with traceability/guardrails).
* **Prompting \+ Fine\-Tuning \+ Evaluation:** Build prompt libraries, run model evaluations, reduce hallucinations, and set quality gates for releases.
* **Data Modeling for ML \+ BI:** Curate warehouse/lake datasets, create **Redshift** views, and support **QuickSight** dashboards used internally and by partners.
* **Fraud\-Aware Signals:** Incorporate risk/anomaly signals so personalization and measurement aren’t polluted by abuse.
What You Bring
* Proven experience shipping **ML to production** (not just notebooks).
* Strong **Python \+ SQL**; solid ML fundamentals (classification, ranking, clustering, evaluation).
* Experience with **personalization/recommendations** and real\-time decisioning.
* AWS proficiency (deploying, scaling, monitoring).
* Clear communicator who can lead projects end\-to\-end.
Tech Stack (Core)
**AWS, Redshift, QuickSight, Python, SQL, TensorFlow** (or equivalent), ETL/ELT (Talend a plus), Spark/Hadoop as needed, Bash.
If you want it even punchier, I can compress this into a **10–12 line posting** optimized for LinkedIn/Indeed.
Job Type: Full\-time
Pay: $108,401\.13 \- $130,547\.59 per year
Work Location: Hybrid remote in New York, NY 10001</t>
        </is>
      </c>
    </row>
    <row r="176">
      <c r="A176" t="inlineStr">
        <is>
          <t>in-74402c2c03ba30ff</t>
        </is>
      </c>
      <c r="B176" t="inlineStr">
        <is>
          <t>Jr. Data Scientist</t>
        </is>
      </c>
      <c r="C176" t="inlineStr">
        <is>
          <t>Osc Global</t>
        </is>
      </c>
      <c r="D176" t="inlineStr">
        <is>
          <t>indeed</t>
        </is>
      </c>
      <c r="E176">
        <f>HYPERLINK("https://www.indeed.com/viewjob?jk=74402c2c03ba30ff", "https://www.indeed.com/viewjob?jk=74402c2c03ba30ff")</f>
        <v/>
      </c>
      <c r="F176">
        <f>HYPERLINK("https://oscglobal.bamboohr.com/careers/249?source=indeed&amp;src=indeed&amp;postedDate=2026-01-09", "https://oscglobal.bamboohr.com/careers/249?source=indeed&amp;src=indeed&amp;postedDate=2026-01-09")</f>
        <v/>
      </c>
      <c r="G176" t="inlineStr">
        <is>
          <t>Remote, US</t>
        </is>
      </c>
      <c r="H176" s="3" t="n">
        <v>46030</v>
      </c>
      <c r="I176" t="inlineStr">
        <is>
          <t>**Company Background/Overview**
In 2024, OSC Global, LLC was formed as a wholly owned subsidiary of Cook Inlet Region, Inc. (CIRI), an Alaska Native Corporation. CIRI’s mission is to promote the economic and social well\-being and Alaska Native heritage of its Shareholders, now and into the future, through prudent stewardship of the company’s resources, while furthering self\-sufficiency among CIRI Shareholders and their families.
OSC Global, LLC is a parent company to a family of companies that provides IT/cyber enterprise management and professional services to support federal, state, and commercial customers. OSC Global and its subsidiaries employ approximately 500 professionals in the United States and seven other countries.
**Position Overview**
The Data Scientist Intern will work within the Chief Cyber Security Products Officer's (CCPO) office to support leadership through data\-driven insights. This role will analyze operational and financial data, build predictive models and present findings that inform decision\-making across OSC Global’s operating companies.
**Key Responsibilities**
* Collect, clean and transform large datasets from various operational and financial systems.
* Develop data visualizations, dashboards and reports that support operational efficiency and financial insights.
* Build and test statistical and machine learning models to identify trends, forecast performance and support resource planning.
* Collaborate with the executive and departmental leaders to understand data needs and deliver actionable insights.
* Document methodologies and present results to technical and non\-technical audiences.
* Support ongoing process improvement initiatives and help identify opportunities for automation or operational efficiency.
* Maintain data integrity and confidentiality, adhering to relevant compliance and security standards.
* Perform other duties as appropriate and as assigned.
**Knowledge/Skills/Abilities**
* Ability to understand and fulfill OSC Global’s mission, vision and strategic focus by incorporating knowledge into daily activities.
* General knowledge of data analysis tools such as Python, R, SQL and visualization tools
* Strong analytical and problem\-solving skills with a keen attention to detail.
* Ability and willingness to learn and quickly adapt to new information and processes.
* Ability to work independently and collaboratively in a fast\-paced environment.
* Knowledge of statistical analysis, predictive modeling, or operations research methods.
* Excellent communication skills and ability to explain technical concepts to non\-technical stakeholders.
* Excellent written and verbal communications skills, including thorough knowledge of proper grammar, advanced vocabulary, spelling, editing and proofreading skills.
* Broad understanding of the business objectives of OSC Global, its subsidiaries and how these objectives relate to and meet CIRI’s enterprise objectives.
* Superior organizational, follow\-up and detail\-oriented skills.
* Proficient using Microsoft Office products.
**Physical Abilities**
* Sufficient fine motor skills for use of computers, calculators with an ability to withstand repetitive keyboarding for extended periods of time.
* Visual and communication ability adequate to perform the essential functions of the job.
* Ability to kneel, bend and twist at the waist on an occasional basis.
* Ability to reach below shoulder height with regular frequency (desk position) and at or above shoulder height on occasion.
* Ability to push, pull, carry and lift objects weighing up to 10 pounds on a regular basis, and greater weights on an occasional basis.
* Ability to safely operate a motor vehicle and travel by motor vehicle and aircraft.
**Minimum Qualifications**
* High school diploma or GED equivalent
* Currently pursuing or recently completed degree in Data Science, Statistics, Computer Science, Finance or a related field.
* Proficient in data analysis tools such as Python, R, SQL and visualization tools (e.g., Power BI, Tableau).
* Must be a U.S. citizen
* Ability to pass pre\-employment background check
* Ability to obtain security clearance
**Preferred Qualifications**
* Familiarity with government contracting or regulated industries.
* Coursework or experience in finance, economics, or accounting.
* Experience with cloud\-based data platforms or big data technologies.
OSC Global, LLC does not discriminate, and the company provides equal employment opportunity for all employees and applicants without regard to race, religion, color, sex, gender, sexual orientation, national origin, citizenship status, age, marital status, pregnancy or parenthood, handicap or disability, genetics, veteran status or any other legally protected characteristic. OSC Global, LLC adheres to all federal, state and local laws regarding equal employment opportunity and will not discriminate against you in violation of these laws. OSC Global, LLC reserves the right to apply CIRI Shareholder preference to qualified Shareholders in employment and advancement opportunities.  
OSC Global participates in E\-Verify. We will provide the Social Security Administration (SSA) and, if necessary, the Department of Homeland Security (DHS), with information from each new employee's Form I\-9 to confirm work authorization.
Reasonable Accommodation:
OSC Global, LLC will provide reasonable accommodations, according to applicable state and federal laws, to all qualified individuals with physical or mental disabilities. In compliance with the ADA Amendments Act (ADAAA), if you have a disability and would like to request an accommodation in order to apply for a position with OSC Global, LLC or any of its subsidiaries, please email recruiting@ciri.com.</t>
        </is>
      </c>
    </row>
    <row r="177">
      <c r="A177" t="inlineStr">
        <is>
          <t>in-d2baecbfe23b6509</t>
        </is>
      </c>
      <c r="B177" t="inlineStr">
        <is>
          <t>Data Scientist</t>
        </is>
      </c>
      <c r="C177" t="inlineStr">
        <is>
          <t>Leidos</t>
        </is>
      </c>
      <c r="D177" t="inlineStr">
        <is>
          <t>indeed</t>
        </is>
      </c>
      <c r="E177">
        <f>HYPERLINK("https://www.indeed.com/viewjob?jk=d2baecbfe23b6509", "https://www.indeed.com/viewjob?jk=d2baecbfe23b6509")</f>
        <v/>
      </c>
      <c r="F177">
        <f>HYPERLINK("https://careers.leidos.com/jobs/17206086-data-scientist?tm_job=R-00173341&amp;tm_event=view&amp;tm_company=2502", "https://careers.leidos.com/jobs/17206086-data-scientist?tm_job=R-00173341&amp;tm_event=view&amp;tm_company=2502")</f>
        <v/>
      </c>
      <c r="G177" t="inlineStr">
        <is>
          <t>Omaha, NE, US</t>
        </is>
      </c>
      <c r="H177" s="3" t="n">
        <v>46030</v>
      </c>
      <c r="I177" t="inlineStr">
        <is>
          <t>**Description**
**Join Leidos as a Data Scientist and Help Drive Cutting\-Edge Analytics** Leidos is seeking a forward\-thinking Data Scientist with a strong foundation in statistical analysis, data ingestion and processing, and deep expertise in methods and analytics development. This role supports a high\-impact data analytics program for our customer, where innovation meets mission\-critical insights. You’ll be part of a collaborative team, developing sophisticated analytics through automated solutions, managing code repositories, and crafting documentation that empowers the broader enterprise.
* This is for a potential future opening.
**Primary Responsibilities:**
* Partner with the experimentation team to design and automate analytics and analytic methods using Python, R, or similar tools
* Identify and ETL relevant datasets to fuel powerful insights
* Build and train multilevel regression models to uncover complex patterns
* Create and deploy compelling visualizations that bring analytic results to life
* Leverage GitHub to store, version, and document analytic processes and code
* Contribute to customer\-facing analytic products with precision and clarity
* Manage the hardware, network, security, and software infrastructure essential for analytical success
**Basic Qualifications:**
* Must hold a current TS/SCI with Polygraph clearance on day 1\.
* Master’s Degree in Statistics, Mathematics, Data Analytics, or a related field with 15 years of relevant experience, or a Bachelor’s Degree with 20 years of relevant experience. Certifications and/or additional qualifications or experience will be considered.
* Proven experience with at least one programming language such as Python or R
* Hands\-on experience with data science libraries like Pandas, NumPy, and SciPy
* Skilled in relational databases, SQL, and API\-based data querying
**Preferred Qualifications:**
* Experience contributing to GitHub repositories and using Git for version control
* Exceptional coordination and collaboration skills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
January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78">
      <c r="A178" t="inlineStr">
        <is>
          <t>in-1da898d5dc18cc00</t>
        </is>
      </c>
      <c r="B178" t="inlineStr">
        <is>
          <t>Data Scientist, Generative &amp; Agentic AI Solutions: Senior Consultant</t>
        </is>
      </c>
      <c r="C178" t="inlineStr">
        <is>
          <t>Alvarez &amp; Marsal</t>
        </is>
      </c>
      <c r="D178" t="inlineStr">
        <is>
          <t>indeed</t>
        </is>
      </c>
      <c r="E178">
        <f>HYPERLINK("https://www.indeed.com/viewjob?jk=1da898d5dc18cc00", "https://www.indeed.com/viewjob?jk=1da898d5dc18cc00")</f>
        <v/>
      </c>
      <c r="F178">
        <f>HYPERLINK("https://careers.alvarezandmarsal.com/en/jobs/17206294-data-scientist-generative-and-agentic-ai-solutions-senior-consultant?tm_job=202600088&amp;tm_event=view&amp;tm_company=47710", "https://careers.alvarezandmarsal.com/en/jobs/17206294-data-scientist-generative-and-agentic-ai-solutions-senior-consultant?tm_job=202600088&amp;tm_event=view&amp;tm_company=47710")</f>
        <v/>
      </c>
      <c r="G178" t="inlineStr">
        <is>
          <t>Washington, DC, US</t>
        </is>
      </c>
      <c r="H178" s="3" t="n">
        <v>46030</v>
      </c>
      <c r="I178"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Join our growing AI \&amp; Analytics (AI\&amp;A) team within the Corporate Performance Improvement practice, where you'll drive innovation in AI by leveraging Generative and Agentic technologies to transform business strategies. As a Data Scientist at the Manager level, you will combine strategic consulting with hands\-on expertise to design and implement advanced AI solutions. Collaborating across practice areas, you will develop impactful applications that address complex business challenges and deliver measurable results for clients across industries.
This role offers the unique opportunity to serve as both a trusted advisor to clients and a hands\-on practitioner, developing and deploying advanced AI applications. You will collaborate closely with client executives, applying your technical skills to deliver tangible results. With access to exceptional career development opportunities, training, and exposure to diverse industries, you’ll play a key role in driving innovation and meaningful change.
**How you will contribute**
* Lead project workstreams effectively, balancing technical and functional while ensuring quality deliverables
* Serve as a hands\-on consultant, actively contributing to the development and implementation of AI solutions as needed to achieve project objectives
* Apply structured problem\-solving frameworks and methodologies to assist leaders to design and execute project plans, ensuring alignment with client goals
* Build strong relationships with clients, demonstrating executive presence and professionalism
* Support business development efforts, including proposal creation and sales initiatives
* Identify client needs and opportunities for A\&amp;M, leveraging your network to maintain and grow business relationships
* Foster an inclusive and engaging team environment that values collaboration and diverse perspectives
**Qualifications**
* 3\+ years of experience with Python, SQL, and AI/ML models, in analytics libraries like Pandas, NumPy, SciKit\-Learn, and PyTorch
* Proven experience and/or exposure developing Generative AI Solutions, including large language model (LLM) based applications, Retrieval\-Augmented Generation (RAG) systems
* Experience implementing Agentic AI frameworks, such as CrewAI and LangChain, to build autonomous systems in production settings
* Proficiency in building APIs and backend applications with frameworks like FastAPI and Flask
* Experience deploying solutions in cloud platforms such as AWS, GCP, or Azure (e.g. provisioning EC2 instances, creating Azure Bloc containers, etc.)
* Ability to translate and present complex technical concepts effectively
* Prior experience in consulting or a comparable client\-facing role
* Willingness to travel as required for client engagements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
Regular employees working 30 or more hours per week are also entitled to participate in Alvarez \&amp; Marsal Holdings’ fringe benefits consisting of healthcare plans, flexible spending and savings accounts, life, AD\&amp;D, and disability coverages at rates determined periodically as well as a 401(k) retirement savings plan. Provided the eligibility requirements are met, employees will also receive an annual discretionary contribution to their 401(k) retirement savings plan from Alvarez \&amp; Marsal. Additionally, employees are eligible for paid time off including vacation, personal days, seventy\-two (72\) hours of sick time (prorated for part time employees), ten federal holidays, one floating holiday, and parental leave. The amount of vacation and personal days available varies based on tenure and role type. Click here for more information regarding A\&amp;M’s benefits programs.
The salary range is $90,000 \- $130,000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Must be authorized to work in the US without the need for employment\-based sponsorship now or in the future. A\&amp;M will not sponsor applicants for US work visa status for this role.</t>
        </is>
      </c>
    </row>
    <row r="179">
      <c r="A179" t="inlineStr">
        <is>
          <t>in-125fc22a8d3f0beb</t>
        </is>
      </c>
      <c r="B179" t="inlineStr">
        <is>
          <t>Data Scientist, Generative &amp; Agentic AI Solutions: Senior Consultant</t>
        </is>
      </c>
      <c r="C179" t="inlineStr">
        <is>
          <t>Alvarez &amp; Marsal</t>
        </is>
      </c>
      <c r="D179" t="inlineStr">
        <is>
          <t>indeed</t>
        </is>
      </c>
      <c r="E179">
        <f>HYPERLINK("https://www.indeed.com/viewjob?jk=125fc22a8d3f0beb", "https://www.indeed.com/viewjob?jk=125fc22a8d3f0beb")</f>
        <v/>
      </c>
      <c r="F179">
        <f>HYPERLINK("https://careers.alvarezandmarsal.com/en/jobs/17206296-data-scientist-generative-and-agentic-ai-solutions-senior-consultant?tm_job=202600088-OTHLOC-Cq2bYfwl&amp;tm_event=view&amp;tm_company=47710", "https://careers.alvarezandmarsal.com/en/jobs/17206296-data-scientist-generative-and-agentic-ai-solutions-senior-consultant?tm_job=202600088-OTHLOC-Cq2bYfwl&amp;tm_event=view&amp;tm_company=47710")</f>
        <v/>
      </c>
      <c r="G179" t="inlineStr">
        <is>
          <t>TX, US</t>
        </is>
      </c>
      <c r="H179" s="3" t="n">
        <v>46030</v>
      </c>
      <c r="I179"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Join our growing AI \&amp; Analytics (AI\&amp;A) team within the Corporate Performance Improvement practice, where you'll drive innovation in AI by leveraging Generative and Agentic technologies to transform business strategies. As a Data Scientist at the Manager level, you will combine strategic consulting with hands\-on expertise to design and implement advanced AI solutions. Collaborating across practice areas, you will develop impactful applications that address complex business challenges and deliver measurable results for clients across industries.
This role offers the unique opportunity to serve as both a trusted advisor to clients and a hands\-on practitioner, developing and deploying advanced AI applications. You will collaborate closely with client executives, applying your technical skills to deliver tangible results. With access to exceptional career development opportunities, training, and exposure to diverse industries, you’ll play a key role in driving innovation and meaningful change.
**How you will contribute**
* Lead project workstreams effectively, balancing technical and functional while ensuring quality deliverables
* Serve as a hands\-on consultant, actively contributing to the development and implementation of AI solutions as needed to achieve project objectives
* Apply structured problem\-solving frameworks and methodologies to assist leaders to design and execute project plans, ensuring alignment with client goals
* Build strong relationships with clients, demonstrating executive presence and professionalism
* Support business development efforts, including proposal creation and sales initiatives
* Identify client needs and opportunities for A\&amp;M, leveraging your network to maintain and grow business relationships
* Foster an inclusive and engaging team environment that values collaboration and diverse perspectives
**Qualifications**
* 3\+ years of experience with Python, SQL, and AI/ML models, in analytics libraries like Pandas, NumPy, SciKit\-Learn, and PyTorch
* Proven experience and/or exposure developing Generative AI Solutions, including large language model (LLM) based applications, Retrieval\-Augmented Generation (RAG) systems
* Experience implementing Agentic AI frameworks, such as CrewAI and LangChain, to build autonomous systems in production settings
* Proficiency in building APIs and backend applications with frameworks like FastAPI and Flask
* Experience deploying solutions in cloud platforms such as AWS, GCP, or Azure (e.g. provisioning EC2 instances, creating Azure Bloc containers, etc.)
* Ability to translate and present complex technical concepts effectively
* Prior experience in consulting or a comparable client\-facing role
* Willingness to travel as required for client engagements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
Regular employees working 30 or more hours per week are also entitled to participate in Alvarez \&amp; Marsal Holdings’ fringe benefits consisting of healthcare plans, flexible spending and savings accounts, life, AD\&amp;D, and disability coverages at rates determined periodically as well as a 401(k) retirement savings plan. Provided the eligibility requirements are met, employees will also receive an annual discretionary contribution to their 401(k) retirement savings plan from Alvarez \&amp; Marsal. Additionally, employees are eligible for paid time off including vacation, personal days, seventy\-two (72\) hours of sick time (prorated for part time employees), ten federal holidays, one floating holiday, and parental leave. The amount of vacation and personal days available varies based on tenure and role type. Click here for more information regarding A\&amp;M’s benefits programs.
The salary range is $90,000 \- $130,000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Must be authorized to work in the US without the need for employment\-based sponsorship now or in the future. A\&amp;M will not sponsor applicants for US work visa status for this role.</t>
        </is>
      </c>
    </row>
    <row r="180">
      <c r="A180" t="inlineStr">
        <is>
          <t>in-adc72fa24769d95d</t>
        </is>
      </c>
      <c r="B180" t="inlineStr">
        <is>
          <t>Data Scientist, Generative &amp; Agentic AI Solutions: Senior Consultant</t>
        </is>
      </c>
      <c r="C180" t="inlineStr">
        <is>
          <t>Alvarez &amp; Marsal</t>
        </is>
      </c>
      <c r="D180" t="inlineStr">
        <is>
          <t>indeed</t>
        </is>
      </c>
      <c r="E180">
        <f>HYPERLINK("https://www.indeed.com/viewjob?jk=adc72fa24769d95d", "https://www.indeed.com/viewjob?jk=adc72fa24769d95d")</f>
        <v/>
      </c>
      <c r="F180">
        <f>HYPERLINK("https://careers.alvarezandmarsal.com/en/jobs/17206297-data-scientist-generative-and-agentic-ai-solutions-senior-consultant?tm_job=202600088-OTHLOC-Cu2bYfwp&amp;tm_event=view&amp;tm_company=47710", "https://careers.alvarezandmarsal.com/en/jobs/17206297-data-scientist-generative-and-agentic-ai-solutions-senior-consultant?tm_job=202600088-OTHLOC-Cu2bYfwp&amp;tm_event=view&amp;tm_company=47710")</f>
        <v/>
      </c>
      <c r="G180" t="inlineStr">
        <is>
          <t>TX, US</t>
        </is>
      </c>
      <c r="H180" s="3" t="n">
        <v>46030</v>
      </c>
      <c r="I180"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Join our growing AI \&amp; Analytics (AI\&amp;A) team within the Corporate Performance Improvement practice, where you'll drive innovation in AI by leveraging Generative and Agentic technologies to transform business strategies. As a Data Scientist at the Manager level, you will combine strategic consulting with hands\-on expertise to design and implement advanced AI solutions. Collaborating across practice areas, you will develop impactful applications that address complex business challenges and deliver measurable results for clients across industries.
This role offers the unique opportunity to serve as both a trusted advisor to clients and a hands\-on practitioner, developing and deploying advanced AI applications. You will collaborate closely with client executives, applying your technical skills to deliver tangible results. With access to exceptional career development opportunities, training, and exposure to diverse industries, you’ll play a key role in driving innovation and meaningful change.
**How you will contribute**
* Lead project workstreams effectively, balancing technical and functional while ensuring quality deliverables
* Serve as a hands\-on consultant, actively contributing to the development and implementation of AI solutions as needed to achieve project objectives
* Apply structured problem\-solving frameworks and methodologies to assist leaders to design and execute project plans, ensuring alignment with client goals
* Build strong relationships with clients, demonstrating executive presence and professionalism
* Support business development efforts, including proposal creation and sales initiatives
* Identify client needs and opportunities for A\&amp;M, leveraging your network to maintain and grow business relationships
* Foster an inclusive and engaging team environment that values collaboration and diverse perspectives
**Qualifications**
* 3\+ years of experience with Python, SQL, and AI/ML models, in analytics libraries like Pandas, NumPy, SciKit\-Learn, and PyTorch
* Proven experience and/or exposure developing Generative AI Solutions, including large language model (LLM) based applications, Retrieval\-Augmented Generation (RAG) systems
* Experience implementing Agentic AI frameworks, such as CrewAI and LangChain, to build autonomous systems in production settings
* Proficiency in building APIs and backend applications with frameworks like FastAPI and Flask
* Experience deploying solutions in cloud platforms such as AWS, GCP, or Azure (e.g. provisioning EC2 instances, creating Azure Bloc containers, etc.)
* Ability to translate and present complex technical concepts effectively
* Prior experience in consulting or a comparable client\-facing role
* Willingness to travel as required for client engagements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
Regular employees working 30 or more hours per week are also entitled to participate in Alvarez \&amp; Marsal Holdings’ fringe benefits consisting of healthcare plans, flexible spending and savings accounts, life, AD\&amp;D, and disability coverages at rates determined periodically as well as a 401(k) retirement savings plan. Provided the eligibility requirements are met, employees will also receive an annual discretionary contribution to their 401(k) retirement savings plan from Alvarez \&amp; Marsal. Additionally, employees are eligible for paid time off including vacation, personal days, seventy\-two (72\) hours of sick time (prorated for part time employees), ten federal holidays, one floating holiday, and parental leave. The amount of vacation and personal days available varies based on tenure and role type. Click here for more information regarding A\&amp;M’s benefits programs.
The salary range is $90,000 \- $130,000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Must be authorized to work in the US without the need for employment\-based sponsorship now or in the future. A\&amp;M will not sponsor applicants for US work visa status for this role.</t>
        </is>
      </c>
    </row>
    <row r="181">
      <c r="A181" t="inlineStr">
        <is>
          <t>in-69a0727af487f6e4</t>
        </is>
      </c>
      <c r="B181" t="inlineStr">
        <is>
          <t>Staff Product Data Scientist</t>
        </is>
      </c>
      <c r="C181" t="inlineStr">
        <is>
          <t>Google</t>
        </is>
      </c>
      <c r="D181" t="inlineStr">
        <is>
          <t>indeed</t>
        </is>
      </c>
      <c r="E181">
        <f>HYPERLINK("https://www.indeed.com/viewjob?jk=69a0727af487f6e4", "https://www.indeed.com/viewjob?jk=69a0727af487f6e4")</f>
        <v/>
      </c>
      <c r="F181">
        <f>HYPERLINK("https://careers.google.com/jobs/results/142442046743814854-staff-product-data-scientist/", "https://careers.google.com/jobs/results/142442046743814854-staff-product-data-scientist/")</f>
        <v/>
      </c>
      <c r="G181" t="inlineStr">
        <is>
          <t>Mountain View, CA, US</t>
        </is>
      </c>
      <c r="H181" s="3" t="n">
        <v>46030</v>
      </c>
      <c r="I181" t="inlineStr">
        <is>
          <t>### **Minimum qualifications:**
* Bachelor's degree in Statistics, Mathematics, Data Science, Engineering, Physics, Economics, or a related quantitative field.
* 10 years of work experience using analytics to solve product or business problems, performing statistical analysis, and coding (e.g., Python, R, SQL) (or 8 years work experience and a Master's degree).
### **Preferred qualifications:**
* Master's degree in Statistics, Mathematics, Data Science, Engineering, Physics, Economics, or a related quantitative field.
* 12 years of work experience using analytics to solve product or business problems, performing statistical analysis, and coding (e.g., Python, R, SQL).
**About the job**
-----------------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AMeasurement is a cornerstone of performance advertising, driving the majority of Google Ads business growth. Accurate and unbiased measurement empowers bidding engines to maximize advertiser ROI, fostering growth for both advertisers and Google. The Product Analyst team applies advanced analytics to guide Google Ads strategy in this crucial area, ensuring that our advertising solutions effectively connect businesses with customers and deliver measurable results across our ad platforms.  
The AIM Data Science team provides quantitative support, market understanding and a strategic perspective to our partners throughout the organization, in close collaboration with the Ads \&amp; Commerce Finance team.  
As the Staff Product Data Scientist for Enterprise Platforms, you will help drive the vision of how large advertisers buy Google and third party advertising inventory efficiently. You will be responsible for setting the team's strategic direction, managing stakeholder relationships.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Perform analysis utilizing relevant tools (e.g., SQL, R, Python). Provide analytical thought leadership through proactive and strategic contributions (e.g., suggests new analyses, infrastructure or experiments to drive improvements in the business).
* Own outcomes for projects by covering problem definition, metrics development, data extraction and manipulation, visualization, creation, implementation of analytical/statistical models, and presentation to stakeholders.
* Develop solutions, lead, and manage problems that may be ambiguous and lacking clear precedent by framing problems, generating hypotheses, and making recommendations from a perspective that combines both, analytical and product\-specific expertise.
* Oversee the integration of cross\-functional and cross\-organizational project/process timelines, develop process improvements and recommendations, and help define operational goals and objectives.
* Directly or indirectly oversee the contributions of others and develop colleagues’ capabilities in the area of specialization.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2">
      <c r="A182" t="inlineStr">
        <is>
          <t>in-88d1b9b4c7b4e145</t>
        </is>
      </c>
      <c r="B182" t="inlineStr">
        <is>
          <t>Senior Staff Data Scientist- Customer Success</t>
        </is>
      </c>
      <c r="C182" t="inlineStr">
        <is>
          <t>Intuit</t>
        </is>
      </c>
      <c r="D182" t="inlineStr">
        <is>
          <t>indeed</t>
        </is>
      </c>
      <c r="E182">
        <f>HYPERLINK("https://www.indeed.com/viewjob?jk=88d1b9b4c7b4e145", "https://www.indeed.com/viewjob?jk=88d1b9b4c7b4e145")</f>
        <v/>
      </c>
      <c r="F182">
        <f>HYPERLINK("https://jobs.intuit.com/job/mountain-view/senior-staff-data-scientist-customer-success/27595/90296444944", "https://jobs.intuit.com/job/mountain-view/senior-staff-data-scientist-customer-success/27595/90296444944")</f>
        <v/>
      </c>
      <c r="G182" t="inlineStr">
        <is>
          <t>San Diego, CA, US</t>
        </is>
      </c>
      <c r="H182" s="3" t="n">
        <v>46030</v>
      </c>
      <c r="I182" t="inlineStr">
        <is>
          <t>Category Data
Location Mountain View, California; San Diego, California
Job ID 18809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Come join the Intuit Customer Success data science team as a Senior Staff Data Scientist to shape the strategy to enable best\-in\-class customer experiences for QuickBook customers.
The Data Science team plays a critical role in shaping strategy, scaling new businesses, and delivering delightful customer experiences. Our mission is to accelerate decision\-making through advanced models, insights, and experimentation that address our most important customer and business challenges.
 **Responsibilities**
We are seeking a Senior Staff Data Scientist to deliver impactful insights into business performance and growth opportunities, build predictive models and insights, and drive measurable outcomes. This role requires a strong background in quantitative analysis, data\-driven decision\-making, and expertise in working with large data sets.
* Conceptualize business problems or opportunities, formulate hypotheses and goals, define key metrics, and make actionable recommendations.
* Drive strategic insights that shape the future of Intuit's core Accounting offering, impacting millions of small businesses.
* Develop predictive models, conduct experimentation beyond A/B testing, and generate actionable customer insights that inform product innovation.
* Build and apply durable customer segmentation patterns to refine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helping customers.
* BS or MS degree in Statistics, Mathematics, Operations Research, Computer Science, Econometrics, or a related field.
* 10\+ years of experience in data science or product analytics, with a strong foundation in predictive modeling, customer segmentation, and experimentation.
* Ability to formulate data\-backed strategies that will drive step\-function growth for the business and increase customer benefit.
* Ability to generate hypotheses grounded in customer behavior, industry trends, and external market factors.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decision\-makers and build consensus with teams.
* Quick learner, adaptable, with the ability to work independently or as part of a team in a fast\-paced environment.
**Technical Skills:**
* Advanced SQL skills and proficiency in visualization tools such as Qlik, Tableau, Plotly Dash.
* Strong analytical and modeling skills using Python (for its rich suite of statistical and modeling libraries like NumPy, Pandas, Scikit\-learn, etc.).
* Experience with Causal inference techniques such as propensity score matching, difference\-in\-differences, and synthetic control methods.
* Familiarity with Generative AI and other evolving technologies to accelerate insights from multi\-modal data.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83">
      <c r="A183" t="inlineStr">
        <is>
          <t>in-381b486cd4c41f60</t>
        </is>
      </c>
      <c r="B183" t="inlineStr">
        <is>
          <t>Business Model Staff Data Scientist</t>
        </is>
      </c>
      <c r="C183" t="inlineStr">
        <is>
          <t>Intuit</t>
        </is>
      </c>
      <c r="D183" t="inlineStr">
        <is>
          <t>indeed</t>
        </is>
      </c>
      <c r="E183">
        <f>HYPERLINK("https://www.indeed.com/viewjob?jk=381b486cd4c41f60", "https://www.indeed.com/viewjob?jk=381b486cd4c41f60")</f>
        <v/>
      </c>
      <c r="F183">
        <f>HYPERLINK("https://jobs.intuit.com/job/mountain-view/business-model-staff-data-scientist/27595/90418336112", "https://jobs.intuit.com/job/mountain-view/business-model-staff-data-scientist/27595/90418336112")</f>
        <v/>
      </c>
      <c r="G183" t="inlineStr">
        <is>
          <t>Mountain View, CA, US</t>
        </is>
      </c>
      <c r="H183" s="3" t="n">
        <v>46030</v>
      </c>
      <c r="I183" t="inlineStr">
        <is>
          <t>Category Data
Location Mountain View, California
Job ID 18916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We are seeking an experienced Staff Data Scientist to join our Business Strategy Data Science Team. This role is focused on product lineup and pricing strategy of Intuit’s core TurboTax business as it relates to driving growth and monetization. This is a high\-impact role where your work will directly influence product, marketing, and business model strategies.
As a Staff Data Scientist, you will serve as a strategic thought partner to cross\-functional leaders, bringing deep analytical expertise and business acumen to bear on Intuit’s most critical growth questions. You’ll lead projects that require advanced econometric modeling, causal inference, and experimental design. You will deliver insights that guide investment decisions, optimize user journeys, and inform strategy at the highest levels. This is a unique opportunity to apply your passion for data and causal reasoning to shape the future of financial empowerment for millions of users.
 **Responsibilities**
Causal Inference: Lead causal inference and econometric analyses to understand and influence key levers of business growth with a crisp understanding of incremental impact.
Experimentation: Design, implement, and analyze experiments and quasi\-experiments to measure the impact of new initiatives in product and marketing.
Define KPIs and Success Metrics: Establish key business indicators for projects, ensuring alignment with company objectives and clear measures of success.
Communication: Translate complex technical findings into clear, actionable insights for senior leadership, including product, finance, and marketing executives.
Mentorship: Mentor junior team members and help shape the team’s analytical rigor and methodology standards in causal inference and A/B testing.
Leadership and Ownership: Demonstrate boundaryless leadership and extreme accountability \- proactively drives outcomes across teams and leads with influence, not authority.
 **Qualifications**
A Bachelor's degree in Statistics, Economics, Computer Science or a related quantitative field is required. Advanced degrees, particularly a Master's or PhD in economics or statistics, are highly desirable.
At least 6 years of experience applying statistical / econometric and modeling skills in decision making without an advanced degree, 2 years of experience with an advanced degree.
Demonstrated expertise in causal inference—including but not limited to advanced experimentation, synthetic controls, regression discontinuity, and instrumental variables—with a track record of rigorously solving problems with these methods.
A demonstrated ability to navigate through ambiguity and deliver results that significantly impact the business.
Excellent communication skills and the ability to work effectively with both technical and non\-technical colleagues.
Proficiency in SQL and a statistical programming language such as Python and/or R.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84">
      <c r="A184" t="inlineStr">
        <is>
          <t>in-bfe71bf5afbc3dac</t>
        </is>
      </c>
      <c r="B184" t="inlineStr">
        <is>
          <t>Staff Data Scientist</t>
        </is>
      </c>
      <c r="C184" t="inlineStr">
        <is>
          <t>Intuit</t>
        </is>
      </c>
      <c r="D184" t="inlineStr">
        <is>
          <t>indeed</t>
        </is>
      </c>
      <c r="E184">
        <f>HYPERLINK("https://www.indeed.com/viewjob?jk=bfe71bf5afbc3dac", "https://www.indeed.com/viewjob?jk=bfe71bf5afbc3dac")</f>
        <v/>
      </c>
      <c r="F184">
        <f>HYPERLINK("https://jobs.intuit.com/job/mountain-view/staff-data-scientist/27595/90290665984", "https://jobs.intuit.com/job/mountain-view/staff-data-scientist/27595/90290665984")</f>
        <v/>
      </c>
      <c r="G184" t="inlineStr">
        <is>
          <t>Mountain View, CA, US</t>
        </is>
      </c>
      <c r="H184" s="3" t="n">
        <v>46030</v>
      </c>
      <c r="I184" t="inlineStr">
        <is>
          <t>Category Data
Location Mountain View, California
Job ID 18822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We are seeking an experienced Staff Data Scientist to drive data\-informed sales strategies for our partner sales organization. In this role, you will partner closely with Sales, Marketing, Finance, and Strategy teams to uncover insights, optimize performance, and shape strategic initiatives that drive revenue growth.
 **Responsibilities**
* Develop and manage analytical frameworks, dashboards, and reporting to measure sales performance, pipeline health, and productivity.
* Translate complex data into actionable insights to guide sales strategy, territory design, incentive planning, and forecasting.
* Collaborate cross\-functionally with Sales, Marketing, and Finance to align KPIs and data sources for consistent reporting.
* Drive adoption of analytics tools and methodologies, improving the scalability and accuracy of insights.
* Present insights and recommendations to senior leadership to inform key decisions on go\-to\-market strategies and revenue planning.
 **Qualifications**
* Bachelor’s degree in Business, Analytics, Statistics, Economics, or related field
* 7\+ years of experience in sales analytics, business intelligence, or data strategy
* Proven experience managing cross\-functional stakeholders
* Strong SQL and data visualization skills (e.g., Tableau, Power BI, Looker)
* Deep understanding of sales processes, CRM systems (preferably Salesforce), and pipeline analytics
* Excellent communication skills and executive presence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$186,500 \- $252,000\.</t>
        </is>
      </c>
    </row>
    <row r="185">
      <c r="A185" t="inlineStr">
        <is>
          <t>in-5b4be57b9685b63a</t>
        </is>
      </c>
      <c r="B185" t="inlineStr">
        <is>
          <t>Senior Data Scientist</t>
        </is>
      </c>
      <c r="C185" t="inlineStr">
        <is>
          <t>Intuit</t>
        </is>
      </c>
      <c r="D185" t="inlineStr">
        <is>
          <t>indeed</t>
        </is>
      </c>
      <c r="E185">
        <f>HYPERLINK("https://www.indeed.com/viewjob?jk=5b4be57b9685b63a", "https://www.indeed.com/viewjob?jk=5b4be57b9685b63a")</f>
        <v/>
      </c>
      <c r="F185">
        <f>HYPERLINK("https://jobs.intuit.com/job/mountain-view/senior-data-scientist/27595/90352756096", "https://jobs.intuit.com/job/mountain-view/senior-data-scientist/27595/90352756096")</f>
        <v/>
      </c>
      <c r="G185" t="inlineStr">
        <is>
          <t>San Diego, CA, US</t>
        </is>
      </c>
      <c r="H185" s="3" t="n">
        <v>46030</v>
      </c>
      <c r="I185" t="inlineStr">
        <is>
          <t>Category Data
Location Mountain View, California; San Diego, California; San Francisco, California
Job ID 15911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Intuit’s Global Business Solutions Group (GBSG) is committed to building tools and services that significantly enhance the ability of small and medium\-sized businesses to manage cash flow. At the heart of this mission, the QuickBooks Capital team is developing innovative solutions that empower customers to confidently access the right loan offerings with greater ease.
The Lending Data Science team is seeking an experienced Data Scientist to lead data science and analytics for the Lending Product —a strategic growth initiative focused on connecting small and medium businesses with the most suitable loans. By leveraging Intuit’s rich customer data, this platform
aims to deliver personalized loan offers and streamline the application experience.
In this role, you’ll analyze both internal and lender data to uncover actionable insights, provide strategic recommendations, and help scale the marketplace rapidly. The ideal candidate will have a solid foundation in quantitative analysis, experience working with large datasets, and a strong background in data\-driven decision\-making. Prior experience in fintech lending including credit card or marketplace analytics is a plus.
 **Responsibilities**
As a Senior Data Scientist on the Lending Data Science team, you will play a pivotal role in shaping strategy through deep analytical insights. This includes:
* Conceptualizing business opportunities, formulating hypotheses, defining goals and key metrics, and delivering actionable recommendations.
* Driving strategic insights to shape the future of Intuit’s Lending Marketplace and positively impact millions of small and medium sized businesses
* Developing predictive models, conducting experiments beyond A/B testing, and uncovering customer insights to drive product, marketing, and lending innovations.
* Creating durable customer segmentation strategies to enhance targeting, positioning, and user experience.
* Collaborating closely with cross\-functional partners in Product Management, Marketing, Engineering, and Design to inform and guide product strategy.
* Translating complex data into clear, actionable insights for both technical and non\-technical stakeholders
 **Qualifications**
* We’re looking for a curious, proactive data scientist with a passion for fintech.
* 4\-8 years of experience in data science and analytics in the fintech sector, ideally in lending, credit cards, or marketplaces.
* Proven ability to form hypotheses and find business opportunities based on customer behavior, industry trends, and market conditions.
* Demonstrated success designing and interpreting complex experiments beyond traditional A/B testing.
* Strong expertise in predictive modeling, customer segmentation, and experimentation design.
* Experience in building scalable, reusable analytics tools and avoiding redundant efforts.
* Excellent communication and stakeholder influence skills across business and technical teams.
* Ability to work independently and collaboratively in a fast\-paced, dynamic environment.
* BS or MS in Statistics, Mathematics, Operations Research, Computer Science, Engineering, Econometrics, or a related field.
Technical Skills:
* Advanced SQL proficiency and hands\-on experience with visualization tools such as Tableau
* Strong analytical and modeling skills using Python or R
* Experience applying statistical and machine learning techniques to solve go\-to\-market and product problems
Preferred Additional Qualifications
* Experience addressing growth\-related challenges at fintech companies focused on lending, credit cards, or marketplaces serving consumers or SMBs.
* Understanding of lending product nuances.
* Mix of product and marketing data science and/or analytics experience.
* Experience scaling multi\-sided marketplace companies.
* Familiarity with Generative AI and other emerging technologies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$ 159,500\- 215,500
Southern California: $ 149,500\- 202,500</t>
        </is>
      </c>
    </row>
    <row r="186">
      <c r="A186" t="inlineStr">
        <is>
          <t>in-ab238049c52a929a</t>
        </is>
      </c>
      <c r="B186" t="inlineStr">
        <is>
          <t>Senior Data Scientist, Revenue Management Systems</t>
        </is>
      </c>
      <c r="C186" t="inlineStr">
        <is>
          <t>Viking Cruises</t>
        </is>
      </c>
      <c r="D186" t="inlineStr">
        <is>
          <t>indeed</t>
        </is>
      </c>
      <c r="E186">
        <f>HYPERLINK("https://www.indeed.com/viewjob?jk=ab238049c52a929a", "https://www.indeed.com/viewjob?jk=ab238049c52a929a")</f>
        <v/>
      </c>
      <c r="F186">
        <f>HYPERLINK("https://vikingcruises.recruiterbox.com/jobs/fk0z1wt?fjb_hash=ezLpq610", "https://vikingcruises.recruiterbox.com/jobs/fk0z1wt?fjb_hash=ezLpq610")</f>
        <v/>
      </c>
      <c r="G186" t="inlineStr">
        <is>
          <t>Los Angeles, CA, US</t>
        </is>
      </c>
      <c r="H186" s="3" t="n">
        <v>46030</v>
      </c>
      <c r="I186" t="inlineStr">
        <is>
          <t>**Senior Data Scientist, Revenue Management Systems**
**Job Summary****:**
Viking is scaling its Revenue Management System (RMS) from a successful MVP to full inventory coverage and sustained yield uplift. This role serves as the hands‑on technical lead for the RMS analytics engine owning the suite of machine‑learning models, setting methodological direction, and making pragmatic decisions about when to use (or not use) ML.
The Lead Data Scientist sits embedded with the Yield team (business) while partnering daily with Technology (data engineering, front‑end, MLOps) to ensure the RMS remains stable, fast, explainable, and tightly aligned with business needs.
This is a hybrid position based in our Woodland Hills, CA office. You will be required to adhere to our hybrid work policy, working from our office Monday and Thursday plus one additional weekday on a weekly basis.
**Job Responsibilities****:**
* **Own the RMS analytics engine end‑to‑end:** demand forecasting, cancellations, price optimization, and recommendation logic—including data prep, training, validation, deployment, monitoring, documentation, and on‑time retrains.
* **Improve reliability, coherence, and trust:** by refining constraints, features, guardrails, and business rules; reducing edge‑case behaviors; strengthening monitoring, drift detection, and recovery playbooks; and improving model response times.
* **Drive adoption and business impact:** by partnering with Yield and Front‑End to expand RMS‑managed sailing coverage, ensure outputs are actionable in the tool, and track yield uplift versus control.
* **Lead high‑value experimentation:** by defining hypotheses, offline evaluation frameworks (IPS/DR), shadow tests, guardrails, and safe on‑policy trials; promote winning changes to production with rollback plans.
* **Embed with Yield stakeholders:** to translate pricing and inventory strategy into model logic and constraints, explain drivers of recommendations, and present results in clear business terms.
* **Ensure strong production hygiene \&amp; MLOps:** in partnership with Data Engineering/DevOps, including CI/CD, pipeline health, retraining orchestration, versioning, and feature‑store usage.
* **Champion pragmatic, right‑sized solutions:** using rules, SQL, or heuristics where signal, latency, governance, or explainability make ML unsuitable.
* **Strengthen explainability \&amp; documentation:** by upgrading care‑and‑feeding guides, methodology docs, and analyst manuals, lead knowledge transfer as external support tapers.
**Success Metrics:**
* **Coverage:** Increasing percentage of sailings price‑managed by RMS quarter‑over‑quarter.
* **Yield Uplift:** Stable, measurable uplift vs. control groups with well‑documented drivers and explainers.
* **Quality \&amp; Speed:** Reduction in edge‑case incidents, improved model response times, increased analyst trust and recommendation acceptance rates.
* **Operational Hygiene:** On‑time retrains, green pipeline SLAs, and zero critical incidents attributable to model logic.
**Job Requirements****:**
* 6\+ years of experience delivering production‑grade, commercially impactful ML solutions.
* Preferred experience in pricing, forecasting, or inventory optimization within travel or hospitality.
* Expert proficiency in Python, SQL, Spark, Databricks, and production ML practices (versioning, feature stores, monitoring, CI/CD).
* Strong foundation in constrained optimization, experimental design, time‑series modeling, causal inference, and interpretable ML techniques.
* Demonstrated success shipping ML features into user‑facing tools and collaborating with business owners.
* Exceptional communication skills with the ability to explain complex concepts simply and defend methodological choices.
**What We Offer You****:**
* Highly competitive compensation plan.
* + Salary range $200,000\-$220,000 annually determined by a myriad of factors including, but not limited to, years of experience, depth of experience, and other relevant business considerations.
	+ Employees are eligible for annual discretionary bonus.
	+ 401(k) plan with company match.
	+ Employee Share Purchase Plan (ESPP) Viking full\-time regular employees working in the United States can purchase Viking shares through payroll deductions.
* Full benefits including medical, dental, vision, life and disability insurance at a highly subsidized rate (some plans are fully paid by Viking).
* Accrue 15 paid vacation days, sick time accrual by state, and 6 paid holidays per year.
* Opportunity to take a free and/or discounted cruise.
* Highly subsidized gym membership.
* Discounts on theatres, theme parks, movie tickets, travel discounts through IATA membership and too many more discounts to name.
***Viking is a certified Great Place to Work company. This certification is a result of our commitment to excellence, integrity and our teams’ outstanding contributions.***
**About Viking**
Viking was founded in 1997 and provides destination\-focused voyages on oceans, rivers and lakes around the world. Designed for experienced travelers with interests in science, history, culture and cuisine, Chairman Torstein Hagen often says Viking offers experiences for The Thinking Person®.
Viking has more than 250 awards to its name, including being rated \#1 for Rivers, \#1 for Oceans and \#1 for Expeditions by *Condé Nast Traveler* and voted at the top of its categories by *Travel \+ Leisure*. No other cruise line has ever received these same honors by both publications at the same time.</t>
        </is>
      </c>
    </row>
    <row r="187">
      <c r="A187" t="inlineStr">
        <is>
          <t>in-157dcb70f9e1a701</t>
        </is>
      </c>
      <c r="B187" t="inlineStr">
        <is>
          <t>Principal, Data Scientist</t>
        </is>
      </c>
      <c r="C187" t="inlineStr">
        <is>
          <t>American Tower</t>
        </is>
      </c>
      <c r="D187" t="inlineStr">
        <is>
          <t>indeed</t>
        </is>
      </c>
      <c r="E187">
        <f>HYPERLINK("https://www.indeed.com/viewjob?jk=157dcb70f9e1a701", "https://www.indeed.com/viewjob?jk=157dcb70f9e1a701")</f>
        <v/>
      </c>
      <c r="F187">
        <f>HYPERLINK("https://careers.americantower.com/#en/sites/CX_1/job/2271", "https://careers.americantower.com/#en/sites/CX_1/job/2271")</f>
        <v/>
      </c>
      <c r="G187" t="inlineStr">
        <is>
          <t>Woburn, MA, US</t>
        </is>
      </c>
      <c r="H187" s="3" t="n">
        <v>46030</v>
      </c>
      <c r="I187" t="inlineStr">
        <is>
          <t>**The Team**
We are seeking a Principal Data Scientist to join American Tower’s Information Technology organization’s Data \&amp; Analytics team. The team drives the strategy, architecture, and delivery of advanced machine learning (ML) and artificial intelligence (AI) solutions across the enterprise.
Day to day you will design and implement scalable ML systems, partner with the Data Engineering team on pipelines, and collaborate with the Productization \&amp; Adoption team to deploy models into production. As a Principal Data Scientist, you will set technical standards, mentor team members, and ensure solutions align with governance frameworks established by the Strategy \&amp; Governance team.
American Tower is a global digital infrastructure company serving customers through tower sites and other real estate solutions that support connectivity and opportunity, focused on achieving our vision of Building a More Connected World. Our success is rooted in the potential of our people and the power of local teams at our offices and sites across 25 countries.
We are one of the largest global Real Estate Investment Trusts (REITs) and a publicly traded (NYSE:AMT), Fortune 500 Company headquartered in Boston, Massachusetts. The next decade will be an exciting time as we evolve our infrastructure to meet tomorrow’s needs and position our people to elevate their impact, their potential, and our shared success. Come grow your career with us!
For more information about how American Tower is building a more connected world, visit americantower.com
American Tower is proud to be an equal opportunity employer and will not discriminate against an applicant or employee based on age, sex, sexual orientation, gender identity, race, color, creed, religion, national origin or ancestry, citizenship, marital status, familial status, disability, military or veteran status, genetic information, pregnancy, reproductive decisions, or any other characteristic protected under applicable law.  
American Tower is committed to fair and equitable compensation practices. Placement within the salary range is based on a variety of factors, including relevant experience, skills, certifications, job level, and location. For U.S.\-based candidates only, please see the base salary range for this position listed below. This position is also eligible for annual bonus, and annual equity award and participation in the Employee Stock Purchase Plan (ESPP). For candidates outside of the U.S., salary and benefits are based upon local market practice.
American Tower also offers a comprehensive benefits package, which includes healthcare coverage, a 401(k) savings plan, paid time off, company holidays, sick leave, parental leave, and access to an Employee Assistance Program focused on mental and financial wellness, please click here to learn more.
**What You Need to Succeed**
* Bachelor’s degree required, with a concentration in Computer Science, Statistics, Engineering, Physics, or a related quantitative field preferred.
* Master’s degree or other advanced degree preferred.
* A minimum of 8 years of data science or machine learning experience with at least 5 years as a senior\- or principal\-level practitioner delivering models in production required.
* Expert proficiency in Python programming language and ML libraries (e.g., scikit\-learn, TensorFlow, PyTorch).
* Strong foundation in statistics, causal inference, time series, and optimization with an ability to select appropriate methods for given problems.
* Deep expertise in computer vision or geospatial/geographic information system modeling.
* Experience with MLOps platforms and workflows (Databricks, MLflow, Azure ML, Amazon SageMaker, or Google Vertex AI), including experiment tracking and model registry.
* Experience deploying models to production systems (application programming interfaces, streaming, batch workflows) with appropriate monitoring and alerting.
* Familiarity with data platforms (Databricks or Snowflake) and enterprise systems (Salesforce CRM, Oracle Enterprise Resource Planning) preferred.
* Strong written and oral communication skills, including the ability to present ideas and suggestions clearly and effectively.
* Ability to work with different functional groups and levels of employees to effectively and professionally achieve results.
* Strong organizational skills; ability to accomplish multiple tasks within the agreed\-upon timeframes through effective prioritization of duties and functions in a fast\-paced environment.
**What You Can Offer Us**
* Partner with Operations, Finance, Sales, and Legal department stakeholders to translate complex problems into measurable AI and ML initiatives, influence the analytics roadmap, and communicate findings to technical and non\-technical audiences.
* Act as lead technical consultant and subject matter expert for scoping AI projects, defining requirements, and ensuring high\-quality deliveries of advanced solutions.
* Design and implement supervised, unsupervised, and reinforcement learning models, including feature engineering, model selection, and rigorous validation for accuracy and scalability.
* Architect solutions for unstructured data (contracts, documents, images), geospatial data, and enterprise systems (Salesforce customer resource management (“CRM”), Oracle Enterprise Resource Planning) to deliver actionable insights.
* Design and build end\-to\-end ML systems aligned with machine learning operations (“MLOps”) best practices; collaborate with the Data Engineering team on pipelines and with the Productization \&amp; Adoption team on deployments.
* Define and enforce standards for model governance, ethics, and bias detection in compliance with organizational policies.
* Mentor and guide Data Scientists, lead technical reviews, and recommend tools and methodologies to enhance the team’s capabilities and performance.
* Other duties as assigned.</t>
        </is>
      </c>
    </row>
    <row r="188">
      <c r="A188" t="inlineStr">
        <is>
          <t>in-6ebd05dee0be0755</t>
        </is>
      </c>
      <c r="B188" t="inlineStr">
        <is>
          <t>Senior Lead Data Scientist - Molecular AI</t>
        </is>
      </c>
      <c r="C188" t="inlineStr">
        <is>
          <t>Novo Nordisk, Inc.</t>
        </is>
      </c>
      <c r="D188" t="inlineStr">
        <is>
          <t>indeed</t>
        </is>
      </c>
      <c r="E188">
        <f>HYPERLINK("https://www.indeed.com/viewjob?jk=6ebd05dee0be0755", "https://www.indeed.com/viewjob?jk=6ebd05dee0be0755")</f>
        <v/>
      </c>
      <c r="F188">
        <f>HYPERLINK("https://careers.novonordisk.com/job/Lexington-Senior-Lead-Data-Scientist-Molecular-AI-MA-02420/1282101201/", "https://careers.novonordisk.com/job/Lexington-Senior-Lead-Data-Scientist-Molecular-AI-MA-02420/1282101201/")</f>
        <v/>
      </c>
      <c r="G188" t="inlineStr">
        <is>
          <t>Lexington, MA, US</t>
        </is>
      </c>
      <c r="H188" s="3" t="n">
        <v>46030</v>
      </c>
      <c r="I188" t="inlineStr">
        <is>
          <t>Senior Lead Data Scientist \- Molecular AI
**Facility:** Data \&amp; AI
**Location:**Lexington, MA, US
**About the Site**
Our Research \&amp; Development organization brings together the best minds in life science innovation. The teams located in facilities in Lexington, Watertown, and Cambridge reflect the full R\&amp;D continuum, from early research through late\-stage clinical development. Here, we are building for the future, creating a distinct R\&amp;D community based on collaboration, partnerships, and cutting\-edge research across multiple modalities and therapeutic areas. We recognize that improving human health starts here and that patients rely on us. Our R\&amp;D hub merges biotech speed and agility with large pharmaceutical company quality, resources, and stability, uniting the best of both worlds to develop new medicines for patients.  
**About the Department**
The Molecular AI (MolAI) team is part of Novo Nordisk’s AI and Digital Innovation (ADI) area where we apply and develop state of the art capabilities in predictive science, AI/ML and structure\-based drug design. Scientists within MolAI collaborate seamlessly with teams across the globe to invent better molecules faster. With an unbiased approach to drug modalities, in\-house access to the newest screening techniques, and world\-class experimentation, we have a wealth of opportunities to impact our pipeline and ultimately save and improve patient lives. We work in multidisciplinary, highly collaborative discovery teams both locally and across Novo Nordisk’s global network to invent novel medicines by applying advanced computational techniques and developing innovative computational methods. We engage in external collaborations to ensure access to cutting edge research and technology.  
We believe in the value of a diverse and inclusive culture. Together, we build and grow talent to ensure the development of new solutions. The team is comprised of collaborative, diverse and passionate people who have a true sense of pride in their work. We are committed to helping each other grow, and we are driven by the opportunity to make a difference in the lives of people living with chronic disease. Everything we do starts and ends with the patient. And, while changing the future of chronic disease treatment, such as diabetes and obesity, is no easy task, we also recognize the importance of an enjoyable workplace, which is why we’ve cultivated a culture of fun, ingenuity, and innovation. Our competitive compensation package and support of a healthy work\-life balance all add to a best\-in\-class employee experience. **The Position \- open to hiring at the Principal level commensurate with experience**
The Sr. Lead/Principal ML Scientist – Molecular AI will be a critical senior member of MolAI team. This is a senior, high\-impact role within MolAI. You will work closely with the team to set scientific and technical direction for the team and to develop new AI\-driven projects that influence R\&amp;D priorities across Novo Nordisk. You will be a visible technical champion for generative AI in molecular design, shaping strategy, mentoring colleagues, and driving cross\-functional initiatives.  
You will join a team and organization that is investing heavily in AI\-enabled discovery: significant experimental and data\-generation resources are being directed toward producing the high\-quality datasets that make advanced generative models and other AI methods most effective. In this environment you will have the opportunity to develop and deploy state\-of\-the\-art models that directly inform experimental design and accelerate therapeutic discovery.  
**Relationships**
The Sr. Lead/Principal ML Scientist – Molecular AI reports to the Head of Molecular AI and interacts closely with colleagues in the department and in the other departments within AI and Digital Innovation (ADI), in particular the area of Digital Chemistry and Design, to drive the applications of generative AI within R\&amp;D’s computational drug discovery portfolio. Additional internal partners include experimental and data scientists, specialists, engineers, software developers, technology scouts \&amp; partnership developers and others across US and Denmark. External relationships include commercial and academic collaboration partners.  
**Essential Functions**
* Provide senior scientific leadership: identify capability gaps, set goals, and lead initiatives that deliver business impact.
* Lead research and development of generative AI methodologies for computational drug design; advance, optimize, and deploy models that balance multiple design criteria.
* Translate computational insights into experimental strategies and leverage the organization’s substantial data\-generation capabilities to train and validate models.
* Develop and implement new deep learning approaches (e.g., diffusion models, reinforcement/active learning, LLMs for molecular design) and maintain a well\-documented, reusable codebase with traceable model history.
* Represent MolAI externally and internally: publish in top venues, present at conferences, and build collaborations with academic and commercial partners.
* Mentor and grow talent: lead, guide, and develop junior ML scientists and engineers; promote best practices in version control, CI/testing, and model reproducibility.
* Participate in cross\-functional teams and program readouts, partnering closely with Digital Chemistry and Design, experimental scientists, research engineers, and IT.
* Publish research in developing AI methods (example in ICLR, NeurIPS, ICML, Nature, Science, Cell etc.)
* Advise leadership in the formation of global teams of experts to address specialized tasks
* Drive the implementation of data science best practices across Novo Nordisk
* Demonstrates ability to drive frequent collaborations with external commercial and academic partners.
**Physical Requirements**
Up to 10% overnight travel required, including internationally  
**Qualifications**
* Master’s degree or PhD highly preferred. Minimum of Bachelor’s degree required. Degree within within machine learning, computer science, computational chemistry or a related quantitative discipline preferred.
* Master’s Degree with 8\+ years’ relevant experience, or PhD with 6\+ years’ relevant experience or a Bachelor’s degree with 10\+ years’ relevant experience, can be considered
* Relevant experience includes:
	+ Strong track record with modern molecular design AI technologies and a demonstrated history of leadership and cross\-disciplinary impact.
	+ Deep proficiency in Python and PyTorch; experience training, fine\-tuning and deploying large models on GPUs and HPC environments.
	+ Experience with modern version control, CI/testing systems, and well\-documented code practices.
	+ Knowledge in at least two of: deep learning, diffusion models, reinforcement/active learning, LLMs in molecular design.
	+ Demonstrated ability to translate computational work into experimental strategies and influence program decision\-making.
	+ Strong publication record or clear thought leadership in AI for biology/molecular design
	+ Excellent communication, collaboration, and mentorship skills.
	+ Detail oriented with strong documentation skills as demonstrated through examples from your GitHub repository or publications
* Excellent written and oral communication skills; experience presenting technical results to diverse scientific audiences.
* Demonstrated ability to generate valuable and relevant ideas, create concepts based on ideas, and develop new products based on concepts
* Ability to set AI project metrics and drive activities to meet those metrics
We commit to an inclusive recruitment process and equality of opportunity for all our job applicants.  
We’re not your typical healthcare company. In a modern world of quick fixes, we focus on solutions to defeat serious chronic diseases and promote long\-term health. Our unordinary mindset is at the heart of everything we do. We seek out new ideas and put people first as we push the boundaries of science, make healthcare more accessible, and treat, prevent, and even cure diseases that affect millions of lives. Because it takes an unordinary approach to drive real, lasting change in health.  
Novo Nordisk is an equal opportunity employer. Qualified applicants will receive consideration for employment without regard to race, ethnicity, color, religion, sex, gender identity, sexual orientation, national origin, disability, protected veteran status or any other characteristic protected by local, state or federal laws, rules or regulations.  
If you are interested in applying to Novo Nordisk and need special assistance or an accommodation to apply, please call us at 1\-855\-411\-5290\. This contact is for accommodation requests only and cannot be used to inquire about the status of applications.</t>
        </is>
      </c>
    </row>
    <row r="189">
      <c r="A189" t="inlineStr">
        <is>
          <t>in-d7021bbf7a3b6f7c</t>
        </is>
      </c>
      <c r="B189" t="inlineStr">
        <is>
          <t>Junior Data Scientist</t>
        </is>
      </c>
      <c r="C189" t="inlineStr">
        <is>
          <t>Medpace</t>
        </is>
      </c>
      <c r="D189" t="inlineStr">
        <is>
          <t>indeed</t>
        </is>
      </c>
      <c r="E189">
        <f>HYPERLINK("https://www.indeed.com/viewjob?jk=d7021bbf7a3b6f7c", "https://www.indeed.com/viewjob?jk=d7021bbf7a3b6f7c")</f>
        <v/>
      </c>
      <c r="F189">
        <f>HYPERLINK("https://careers.medpace.com/jobs/12240/job?utm_source=indeed_integration&amp;iis=Job%20Board&amp;iisn=Indeed&amp;indeed-apply-token=73a2d2b2a8d6d5c0a62696875eaebd669103652d3f0c2cd5445d3e66b1592b0f", "https://careers.medpace.com/jobs/12240/job?utm_source=indeed_integration&amp;iis=Job%20Board&amp;iisn=Indeed&amp;indeed-apply-token=73a2d2b2a8d6d5c0a62696875eaebd669103652d3f0c2cd5445d3e66b1592b0f")</f>
        <v/>
      </c>
      <c r="G189" t="inlineStr">
        <is>
          <t>Cincinnati, OH, US</t>
        </is>
      </c>
      <c r="H189" s="3" t="n">
        <v>46030</v>
      </c>
      <c r="I189" t="inlineStr">
        <is>
          <t>Job Summary:
The Medpace Analytics and Business Intelligence team is growing rapidly and is focused on building a data driven culture across the enterprise. The BI team uses data and insights to drive increased strategic and operational efficiencies across the organization. As a Junior Data Scientist, you will hold a highly visible analytical role that requires interaction and partnership with leadership across the Medpace organization.
What’s in this for you?
* Work in a collaborative, fast paced, entrepreneurial, and innovative workplace;
* Gain experience and exposure to advanced BI concepts from visualization to data warehousing;
* Grow business knowledge by working with leadership across all aspects of Medpace’s business.
Responsibilities :
* **Data Collection \&amp; Cleaning:** Gather, clean, and preprocess large, raw datasets;
* **Analysis \&amp; Modeling:** Perform statistical analysis, build \&amp; validate machine learning models, and test hypotheses (e.g., A/B testing);
* **Algorithm Development:** Create algorithms to manage and interpret information, often automating processes;
* **Insight Generation:** Discover trends, patterns, and insights to inform business strategy;
* **Visualization \&amp; Communication:** Present complex findings visually (dashboards, charts) and verbally to technical and non\-technical teams;
* **Collaboration:** Work with engineering, product, and business teams to implement solutions;
* **Model Monitoring:** Deploy and maintain models, iterating for continuous improvement.
Qualifications :
* Bachelor's Degree in Business, Life Science, Computer Science, or Related Degree;
* 0\-3 years of experience in business intelligence or analytics – Python, R, SQL heavily preferred
* Strong analytical and communication skills;
* Excellent organization skills and the ability to multitask while efficiently completing high quality work.
Medpace Overview :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190">
      <c r="A190" t="inlineStr">
        <is>
          <t>in-0f455b6043cab3e9</t>
        </is>
      </c>
      <c r="B190" t="inlineStr">
        <is>
          <t>Business Model Staff Data Scientist</t>
        </is>
      </c>
      <c r="C190" t="inlineStr">
        <is>
          <t>Intuit</t>
        </is>
      </c>
      <c r="D190" t="inlineStr">
        <is>
          <t>indeed</t>
        </is>
      </c>
      <c r="E190">
        <f>HYPERLINK("https://www.indeed.com/viewjob?jk=0f455b6043cab3e9", "https://www.indeed.com/viewjob?jk=0f455b6043cab3e9")</f>
        <v/>
      </c>
      <c r="F190">
        <f>HYPERLINK("https://dsp.prng.co/N6TLznb", "https://dsp.prng.co/N6TLznb")</f>
        <v/>
      </c>
      <c r="G190" t="inlineStr">
        <is>
          <t>Mountain View, CA, US</t>
        </is>
      </c>
      <c r="H190" s="3" t="n">
        <v>46030</v>
      </c>
      <c r="I190" t="inlineStr">
        <is>
          <t>**Overview**
------------
* We are seeking an experienced Staff Data Scientist to join our Business Strategy Data Science Team. This role is focused on product lineup and pricing strategy of Intuit’s core TurboTax business as it relates to driving growth and monetization. This is a high\-impact role where your work will directly influence product, marketing, and business model strategies.
* As a Staff Data Scientist, you will serve as a strategic thought partner to cross\-functional leaders, bringing deep analytical expertise and business acumen to bear on Intuit’s most critical growth questions. You’ll lead projects that require advanced econometric modeling, causal inference, and experimental design. You will deliver insights that guide investment decisions, optimize user journeys, and inform strategy at the highest levels. This is a unique opportunity to apply your passion for data and causal reasoning to shape the future of financial empowerment for millions of users.
 **Responsibilities**
* Causal Inference: Lead causal inference and econometric analyses to understand and influence key levers of business growth with a crisp understanding of incremental impact.
* Experimentation: Design, implement, and analyze experiments and quasi\-experiments to measure the impact of new initiatives in product and marketing.
* Define KPIs and Success Metrics: Establish key business indicators for projects, ensuring alignment with company objectives and clear measures of success.
* Communication: Translate complex technical findings into clear, actionable insights for senior leadership, including product, finance, and marketing executives.
* Mentorship: Mentor junior team members and help shape the team’s analytical rigor and methodology standards in causal inference and A/B testing.
* Leadership and Ownership: Demonstrate boundaryless leadership and extreme accountability \- proactively drives outcomes across teams and leads with influence, not authority.
 **Qualifications**
* A Bachelor's degree in Statistics, Economics, Computer Science or a related quantitative field is required. Advanced degrees, particularly a Master's or PhD in economics or statistics, are highly desirable.
* At least 6 years of experience applying statistical / econometric and modeling skills in decision making without an advanced degree, 2 years of experience with an advanced degree.
* Demonstrated expertise in causal inference—including but not limited to advanced experimentation, synthetic controls, regression discontinuity, and instrumental variables—with a track record of rigorously solving problems with these methods.
* A demonstrated ability to navigate through ambiguity and deliver results that significantly impact the business.
* Excellent communication skills and the ability to work effectively with both technical and non\-technical colleagues.
* Proficiency in SQL and a statistical programming language such as Python and/or R.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91">
      <c r="A191" t="inlineStr">
        <is>
          <t>in-54c5970f39217f5f</t>
        </is>
      </c>
      <c r="B191" t="inlineStr">
        <is>
          <t>Sr Data Scientist</t>
        </is>
      </c>
      <c r="C191" t="inlineStr">
        <is>
          <t>PayPal</t>
        </is>
      </c>
      <c r="D191" t="inlineStr">
        <is>
          <t>indeed</t>
        </is>
      </c>
      <c r="E191">
        <f>HYPERLINK("https://www.indeed.com/viewjob?jk=54c5970f39217f5f", "https://www.indeed.com/viewjob?jk=54c5970f39217f5f")</f>
        <v/>
      </c>
      <c r="F191">
        <f>HYPERLINK("https://paypal.eightfold.ai/careers?domain=paypal.com&amp;sort_by=relevance&amp;query=R0133589", "https://paypal.eightfold.ai/careers?domain=paypal.com&amp;sort_by=relevance&amp;query=R0133589")</f>
        <v/>
      </c>
      <c r="G191" t="inlineStr">
        <is>
          <t>Chicago, IL, US</t>
        </is>
      </c>
      <c r="H191" s="3" t="n">
        <v>46030</v>
      </c>
      <c r="I191"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Leverage advanced data science techniques to optimize approve/decline strategies, line assignment methodologies, pricing models, and data visualization tables for PayPal’s small business lending portfolio. Design, develop, and test/validate the efficacy of new data\-driven risk prevention and mitigation strategies for small business lending products, including approve/decline decision frameworks, credit line assignment algorithms, and risk\-based pricing models. Conduct deep\-dive analysis on portfolio performance, market trends, and risk indicators to inform strategic decision\-making. Partner with product, operations, and technology teams to ensure seamless strategy execution and alignment with business objectives. Deliver clear, impactful presentations to key stakeholders, including senior leadership, explaining complex analytical findings and strategic recommendations. Maintain detailed documentation of analytical methodologies and model performance for regulatory and audit purposes.
Job Description:
**Essential Responsibilities:**
* Lead the development and implementation of advanced data science models.
* Collaborate with stakeholders to understand requirements.
* Drive best practices in data science.
* Ensure data quality and integrity in all processes.
* Mentor and guide junior data scientists.
* Stay updated with the latest trends in data science.
**Expected Qualifications:**
* 3\+ years relevant experience and a Bachelor’s degree OR Any equivalent combination of education and experience.
Additional\_Responsibilities\_And\_Preferred\_Qualifications:
* 2\+ years SQL
* 2\+ years Python
* 2\+ years Microsoft Excel
* 2\+ years Microsoft PowerPoint
* 2\+ years Experience in risk strategies for either consumer or commercial lending products
* 2\+ years Experience developing and implementing risk management frameworks
* 2\+ years Experience with statistical modeling and data analysis in a financial services environment
* 2\+ years Credit risk principals and regulatory requirements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92">
      <c r="A192" t="inlineStr">
        <is>
          <t>in-0d38684f0dc9a6ac</t>
        </is>
      </c>
      <c r="B192" t="inlineStr">
        <is>
          <t>Principal Data Scientist</t>
        </is>
      </c>
      <c r="C192" t="inlineStr">
        <is>
          <t>Information Technology Senior Management Forum</t>
        </is>
      </c>
      <c r="D192" t="inlineStr">
        <is>
          <t>indeed</t>
        </is>
      </c>
      <c r="E192">
        <f>HYPERLINK("https://www.indeed.com/viewjob?jk=0d38684f0dc9a6ac", "https://www.indeed.com/viewjob?jk=0d38684f0dc9a6ac")</f>
        <v/>
      </c>
      <c r="F192">
        <f>HYPERLINK("https://jobs.itsmfleaders.org/job/ykhsgw/principal-data-scientist/mclean/va", "https://jobs.itsmfleaders.org/job/ykhsgw/principal-data-scientist/mclean/va")</f>
        <v/>
      </c>
      <c r="G192" t="inlineStr">
        <is>
          <t>McLean, VA, US</t>
        </is>
      </c>
      <c r="H192" s="3" t="n">
        <v>46030</v>
      </c>
      <c r="I192" t="inlineStr">
        <is>
          <t>Posted Date
1/09/2026
Description
Principal Data Scientist**Principal Associate, Data Scientist \- Business Card and Payments**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Business Card \&amp; Payments Data Science team builds industry leading machine learning models to power real\-time credit underwriting decisions. This gives us the opportunity to make an impact on every Capital One business applicant by granting the right access to credit to grow their business. Our team builds full\-spectrum credit models to support new and existing credit products and marketing strategies. We use new modeling techniques, develop new data sources, and engage in strong collaboration across multiple areas of our business to problem solve and develop innovative approaches that define our long term modeling and data strategy.**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3 years’ experience in Python**
* **At least 3 years’ experience with machine learning\- end\-to\-end development through deployment experience is a plus.**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Richmond, VA: $147,100 \- $167,900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Principal Data Scientist**Principal Associate, Data Scientist \- Business Card and Payments**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Business Card \&amp; Payments Data Science team builds industry leading machine learning models to power real\-time credit underwriting decisions. This gives us the opportunity to make an impact on every Capital One business applicant by granting the right access to credit to grow their business. Our team builds full\-spectrum credit models to support new and existing credit products and marketing strategies. We use new modeling techniques, develop new data sources, and engage in strong collaboration across multiple areas of our business to problem solve and develop innovative approaches that define our long term modeling and data strategy.**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3 years’ experience in Python**
* **At least 3 years’ experience with machine learning\- end\-to\-end development through deployment experience is a plus.**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Richmond, VA: $147,100 \- $167,900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193">
      <c r="A193" t="inlineStr">
        <is>
          <t>in-b34cbfd142431da3</t>
        </is>
      </c>
      <c r="B193" t="inlineStr">
        <is>
          <t>Data Scientist</t>
        </is>
      </c>
      <c r="C193" t="inlineStr">
        <is>
          <t>Foxconn</t>
        </is>
      </c>
      <c r="D193" t="inlineStr">
        <is>
          <t>indeed</t>
        </is>
      </c>
      <c r="E193">
        <f>HYPERLINK("https://www.indeed.com/viewjob?jk=b34cbfd142431da3", "https://www.indeed.com/viewjob?jk=b34cbfd142431da3")</f>
        <v/>
      </c>
      <c r="F193">
        <f>HYPERLINK("https://workforcenow.adp.com/mascsr/default/mdf/recruitment/recruitment.html?cid=ddf923b7-c798-4af2-9f4e-9a2afc104011&amp;ccId=19000101_000001&amp;jobId=541337&amp;source=IN&amp;lang=en_US", "https://workforcenow.adp.com/mascsr/default/mdf/recruitment/recruitment.html?cid=ddf923b7-c798-4af2-9f4e-9a2afc104011&amp;ccId=19000101_000001&amp;jobId=541337&amp;source=IN&amp;lang=en_US")</f>
        <v/>
      </c>
      <c r="G193" t="inlineStr">
        <is>
          <t>Milwaukee, WI, US</t>
        </is>
      </c>
      <c r="H193" s="3" t="n">
        <v>46030</v>
      </c>
      <c r="I193" t="inlineStr">
        <is>
          <t>**Data Scientist**
Foxconn provides innovative design and advanced manufacturing capabilities through AI\-driven solutions. As a global leader in technology services and smart manufacturing, Foxconn is expanding across electric vehicles, digital health and robotics, underpinned by core strengths in artificial intelligence, semiconductors and next\-generation communications to enable smart manufacturing, smart EV and smart city platforms. AFE, Inc., a Foxconn company, is currently seeking a Data Scientist to join our Smart Manufacturing Platform\-industrial AI (SMP\-iAI) team in Milwaukee, WI. This role focuses on designing, developing, and deploying data science and GenAI solutions for factory and industrial applications. You will work closely with product, platform and software teams to translate real\-world manufacturing use cases into robust, scalable AI capabilities on our Smart Manufacturing Platform.
**Responsibilities Include:**
* Design, build and maintain end\-to\-end data science and GenAI solutions for manufacturing use cases, from problem framing and data exploration through model development, validation, deployment and monitoring.
* Develop and operationalize GenAI and LLM\-based applications for industrial scenarios, such as:
* Natural\-language copilots for process engineers and operators to query production, quality and equipment data;
* Work\-instruction and SOP assistants that summarize and personalize procedures by product, line or station;
* Root\-cause and anomaly analysis assistants that explain out\-of\-control conditions and suggest likely causes;
* NL\-driven maintenance and quality\-report generators that transform logs and sensor data into clear narratives.
* Implement natural\-language–based data analytics and data modeling workflows that convert user questions into reproducible analyses (e.g., auto\-generated SQL / queries, model runs, dashboards) and return interpretable results aligned with KPIs such as yield, scrap, downtime and OEE.
* Work with structured and unstructured data from diverse factory and enterprise sources (MES, ERP, sensor/IoT data, images, PDFs and logs), including data ingestion, cleaning, feature engineering and data quality checks.
* Build and refine GenAI workflows including prompt design, retrieval\-augmented generation (RAG), vector search, tool\-calling and guardrails, with a focus on safety, reliability, latency and explainability in production settings.
* Collaborate with software engineers and architects to integrate ML and GenAI models into backend services and the Smart Manufacturing Platform, supporting API design, performance tuning and lifecycle management.
* Participate in planning and roadmap discussions for AI initiatives: help define scope, technical approach, success metrics, data requirements and deployment plans across multiple plants and product lines.
* Create clear documentation, technical reports and reusable code artifacts so that solutions can be supported, scaled, and transferred to other teams or sites
* Engage with cross\-functional stakeholders (manufacturing, operations, quality, IT, business teams) to understand needs, prioritize opportunities and present findings and recommendations to both technical and non\-technical audiences.
* Stay current with advancements in data science, machine learning and GenAI (models, frameworks, tooling, MLOps/LLMOps) and share best practices within the team.
* Perform other duties and responsibilities as required or requested.
 **Education Requirements, Ideal Experience:**
* Bachelor’s degree in Computer Science, Data Science, Statistics, Engineering or a related field required; Master’s degree preferred.
* 2–5 years of recent, hands\-on experience in data science and machine learning, including delivering models or analytics solutions into production or business use.
* Strong foundation in core ML techniques (regression, classification, clustering, time\-series, deep learning; supervised and unsupervised methods) and experience applying them to real business problems.
* Practical experience with generative AI and large language models, such as prompt engineering, fine\-tuning or adapting foundation models, building chat/assistant workflows, or RAG\-style applications.
* Proficiency in Python for data science and ML (e.g., pandas, NumPy, scikit\-learn; plus PyTorch or equivalent).
* Solid understanding of data engineering and storage technologies, including SQL and NoSQL databases and data pipeline/ETL concepts. Experience with big data frameworks or streaming data is a plus.
* Familiarity with modern software development practices (Git, code review, testing, CI/CD) and with web/API concepts (RESTful services, basic HTML/CSS/JavaScript) is preferred.
* Experience working with cloud platforms and, ideally, GPU\-accelerated environments for deploying AI models, is a plus.
* Strong analytical and problem\-solving skills, with the ability to design experiments, interpret complex results, and drive decisions using data.
* Team\-oriented mindset and demonstrated ability to collaborate with distributed, cross\-functional teams, with excellent written and verbal communication skills.
Foxconn provides equal employment opportunities (EEO) to all employees and applicants for employment without regard to race, color, religion, sex, national origin, age, disability, or genetics. In addition to federal law requirements, Foxconn complies with applicable state and local laws governing nondiscrimination in employment in every location in which the company has facilities. This policy applies to all terms and conditions of employment, including recruiting, hiring, placement, promotion, termination, layoff, recall, and transfer, leaves of absence, compensation, and training.</t>
        </is>
      </c>
    </row>
    <row r="194">
      <c r="A194" t="inlineStr">
        <is>
          <t>in-1a251569d5bb422e</t>
        </is>
      </c>
      <c r="B194" t="inlineStr">
        <is>
          <t>Senior Associate, Marketing Data Scientist, B2B</t>
        </is>
      </c>
      <c r="C194" t="inlineStr">
        <is>
          <t>Humana</t>
        </is>
      </c>
      <c r="D194" t="inlineStr">
        <is>
          <t>indeed</t>
        </is>
      </c>
      <c r="E194">
        <f>HYPERLINK("https://www.indeed.com/viewjob?jk=1a251569d5bb422e", "https://www.indeed.com/viewjob?jk=1a251569d5bb422e")</f>
        <v/>
      </c>
      <c r="F194">
        <f>HYPERLINK("https://click.appcast.io/t/Fh_hlQbBTm3pBJ6tY6bP34kml0kTs_GVyXcPXHLOxY4=", "https://click.appcast.io/t/Fh_hlQbBTm3pBJ6tY6bP34kml0kTs_GVyXcPXHLOxY4=")</f>
        <v/>
      </c>
      <c r="G194" t="inlineStr">
        <is>
          <t>Tampa, FL, US</t>
        </is>
      </c>
      <c r="H194" s="3" t="n">
        <v>46030</v>
      </c>
      <c r="I194"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95">
      <c r="A195" t="inlineStr">
        <is>
          <t>in-cc789f28e97b962b</t>
        </is>
      </c>
      <c r="B195" t="inlineStr">
        <is>
          <t>Senior Associate, Marketing Data Scientist, B2B</t>
        </is>
      </c>
      <c r="C195" t="inlineStr">
        <is>
          <t>Humana</t>
        </is>
      </c>
      <c r="D195" t="inlineStr">
        <is>
          <t>indeed</t>
        </is>
      </c>
      <c r="E195">
        <f>HYPERLINK("https://www.indeed.com/viewjob?jk=cc789f28e97b962b", "https://www.indeed.com/viewjob?jk=cc789f28e97b962b")</f>
        <v/>
      </c>
      <c r="F195">
        <f>HYPERLINK("https://click.appcast.io/t/IfZbSE-eVB-XzHqz2IEC10ezVXtdVuM3eZHaNiEjUHE=", "https://click.appcast.io/t/IfZbSE-eVB-XzHqz2IEC10ezVXtdVuM3eZHaNiEjUHE=")</f>
        <v/>
      </c>
      <c r="G195" t="inlineStr">
        <is>
          <t>Tampa, FL, US</t>
        </is>
      </c>
      <c r="H195" s="3" t="n">
        <v>46030</v>
      </c>
      <c r="I195"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96">
      <c r="A196" t="inlineStr">
        <is>
          <t>in-983ffaf2017ae119</t>
        </is>
      </c>
      <c r="B196" t="inlineStr">
        <is>
          <t>Senior Associate, Marketing Data Scientist, B2B</t>
        </is>
      </c>
      <c r="C196" t="inlineStr">
        <is>
          <t>Humana</t>
        </is>
      </c>
      <c r="D196" t="inlineStr">
        <is>
          <t>indeed</t>
        </is>
      </c>
      <c r="E196">
        <f>HYPERLINK("https://www.indeed.com/viewjob?jk=983ffaf2017ae119", "https://www.indeed.com/viewjob?jk=983ffaf2017ae119")</f>
        <v/>
      </c>
      <c r="F196">
        <f>HYPERLINK("https://click.appcast.io/t/i8sNW9sUuHGR9y-nidXYR35JH0FdrgKpq_3ZNvJuZuY=", "https://click.appcast.io/t/i8sNW9sUuHGR9y-nidXYR35JH0FdrgKpq_3ZNvJuZuY=")</f>
        <v/>
      </c>
      <c r="G196" t="inlineStr">
        <is>
          <t>Nashville, TN, US</t>
        </is>
      </c>
      <c r="H196" s="3" t="n">
        <v>46030</v>
      </c>
      <c r="I196"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97">
      <c r="A197" t="inlineStr">
        <is>
          <t>in-8455217479b7c440</t>
        </is>
      </c>
      <c r="B197" t="inlineStr">
        <is>
          <t>Senior Associate, Marketing Data Scientist, B2B</t>
        </is>
      </c>
      <c r="C197" t="inlineStr">
        <is>
          <t>Humana</t>
        </is>
      </c>
      <c r="D197" t="inlineStr">
        <is>
          <t>indeed</t>
        </is>
      </c>
      <c r="E197">
        <f>HYPERLINK("https://www.indeed.com/viewjob?jk=8455217479b7c440", "https://www.indeed.com/viewjob?jk=8455217479b7c440")</f>
        <v/>
      </c>
      <c r="F197">
        <f>HYPERLINK("https://click.appcast.io/t/66B1gaCSnnASJsi6qONtjy1pmi0QYo76B8C827i4i7I=", "https://click.appcast.io/t/66B1gaCSnnASJsi6qONtjy1pmi0QYo76B8C827i4i7I=")</f>
        <v/>
      </c>
      <c r="G197" t="inlineStr">
        <is>
          <t>Tampa, FL, US</t>
        </is>
      </c>
      <c r="H197" s="3" t="n">
        <v>46030</v>
      </c>
      <c r="I197"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98">
      <c r="A198" t="inlineStr">
        <is>
          <t>in-0d23ac00413f5aa6</t>
        </is>
      </c>
      <c r="B198" t="inlineStr">
        <is>
          <t>Senior Associate, Marketing Data Scientist, B2B</t>
        </is>
      </c>
      <c r="C198" t="inlineStr">
        <is>
          <t>Humana</t>
        </is>
      </c>
      <c r="D198" t="inlineStr">
        <is>
          <t>indeed</t>
        </is>
      </c>
      <c r="E198">
        <f>HYPERLINK("https://www.indeed.com/viewjob?jk=0d23ac00413f5aa6", "https://www.indeed.com/viewjob?jk=0d23ac00413f5aa6")</f>
        <v/>
      </c>
      <c r="F198">
        <f>HYPERLINK("https://click.appcast.io/t/ExyyiNhcTRN7tPNfa7NFmarVvo_a0YJTGXvX9SK41Rk=", "https://click.appcast.io/t/ExyyiNhcTRN7tPNfa7NFmarVvo_a0YJTGXvX9SK41Rk=")</f>
        <v/>
      </c>
      <c r="G198" t="inlineStr">
        <is>
          <t>Fort Lauderdale, FL, US</t>
        </is>
      </c>
      <c r="H198" s="3" t="n">
        <v>46030</v>
      </c>
      <c r="I198"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99">
      <c r="A199" t="inlineStr">
        <is>
          <t>in-280f7c30a1b42194</t>
        </is>
      </c>
      <c r="B199" t="inlineStr">
        <is>
          <t>Senior Associate, Marketing Data Scientist, B2B</t>
        </is>
      </c>
      <c r="C199" t="inlineStr">
        <is>
          <t>Humana</t>
        </is>
      </c>
      <c r="D199" t="inlineStr">
        <is>
          <t>indeed</t>
        </is>
      </c>
      <c r="E199">
        <f>HYPERLINK("https://www.indeed.com/viewjob?jk=280f7c30a1b42194", "https://www.indeed.com/viewjob?jk=280f7c30a1b42194")</f>
        <v/>
      </c>
      <c r="F199">
        <f>HYPERLINK("https://click.appcast.io/t/x_1sTubL6HXIFR_F9cmvl3f8uG9m-6UpsD9Nl9dcPR0=", "https://click.appcast.io/t/x_1sTubL6HXIFR_F9cmvl3f8uG9m-6UpsD9Nl9dcPR0=")</f>
        <v/>
      </c>
      <c r="G199" t="inlineStr">
        <is>
          <t>Tampa, FL, US</t>
        </is>
      </c>
      <c r="H199" s="3" t="n">
        <v>46030</v>
      </c>
      <c r="I199"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00">
      <c r="A200" t="inlineStr">
        <is>
          <t>in-b7fbd4f931492d7d</t>
        </is>
      </c>
      <c r="B200" t="inlineStr">
        <is>
          <t>Senior Associate, Marketing Data Scientist, B2B</t>
        </is>
      </c>
      <c r="C200" t="inlineStr">
        <is>
          <t>Humana</t>
        </is>
      </c>
      <c r="D200" t="inlineStr">
        <is>
          <t>indeed</t>
        </is>
      </c>
      <c r="E200">
        <f>HYPERLINK("https://www.indeed.com/viewjob?jk=b7fbd4f931492d7d", "https://www.indeed.com/viewjob?jk=b7fbd4f931492d7d")</f>
        <v/>
      </c>
      <c r="F200">
        <f>HYPERLINK("https://click.appcast.io/t/EvXcLRw4wmqAYW2ooHJYzUHhcSlx_HS6bGhs-98ZGUE=", "https://click.appcast.io/t/EvXcLRw4wmqAYW2ooHJYzUHhcSlx_HS6bGhs-98ZGUE=")</f>
        <v/>
      </c>
      <c r="G200" t="inlineStr">
        <is>
          <t>Nashville, TN, US</t>
        </is>
      </c>
      <c r="H200" s="3" t="n">
        <v>46030</v>
      </c>
      <c r="I200"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01">
      <c r="A201" t="inlineStr">
        <is>
          <t>in-2a161c50745aa766</t>
        </is>
      </c>
      <c r="B201" t="inlineStr">
        <is>
          <t>Senior Associate, Marketing Data Scientist, B2B</t>
        </is>
      </c>
      <c r="C201" t="inlineStr">
        <is>
          <t>Humana</t>
        </is>
      </c>
      <c r="D201" t="inlineStr">
        <is>
          <t>indeed</t>
        </is>
      </c>
      <c r="E201">
        <f>HYPERLINK("https://www.indeed.com/viewjob?jk=2a161c50745aa766", "https://www.indeed.com/viewjob?jk=2a161c50745aa766")</f>
        <v/>
      </c>
      <c r="F201">
        <f>HYPERLINK("https://click.appcast.io/t/s5EM3bIPE8HqiscawImpdDPhXfZUQjdfpDyz6erbirg=", "https://click.appcast.io/t/s5EM3bIPE8HqiscawImpdDPhXfZUQjdfpDyz6erbirg=")</f>
        <v/>
      </c>
      <c r="G201" t="inlineStr">
        <is>
          <t>NY, US</t>
        </is>
      </c>
      <c r="H201" s="3" t="n">
        <v>46030</v>
      </c>
      <c r="I201"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02">
      <c r="A202" t="inlineStr">
        <is>
          <t>in-1933c433d1607634</t>
        </is>
      </c>
      <c r="B202" t="inlineStr">
        <is>
          <t>Senior Associate, Marketing Data Scientist, B2B</t>
        </is>
      </c>
      <c r="C202" t="inlineStr">
        <is>
          <t>Humana</t>
        </is>
      </c>
      <c r="D202" t="inlineStr">
        <is>
          <t>indeed</t>
        </is>
      </c>
      <c r="E202">
        <f>HYPERLINK("https://www.indeed.com/viewjob?jk=1933c433d1607634", "https://www.indeed.com/viewjob?jk=1933c433d1607634")</f>
        <v/>
      </c>
      <c r="F202">
        <f>HYPERLINK("https://click.appcast.io/t/VGd_DHmgDIFU2JhPQvrNwluKnO5eg8DmlAPuKDoqJY8=", "https://click.appcast.io/t/VGd_DHmgDIFU2JhPQvrNwluKnO5eg8DmlAPuKDoqJY8=")</f>
        <v/>
      </c>
      <c r="G202" t="inlineStr">
        <is>
          <t>Tampa, FL, US</t>
        </is>
      </c>
      <c r="H202" s="3" t="n">
        <v>46030</v>
      </c>
      <c r="I202"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03">
      <c r="A203" t="inlineStr">
        <is>
          <t>in-24fbd90ff6cc224c</t>
        </is>
      </c>
      <c r="B203" t="inlineStr">
        <is>
          <t>Senior Associate, Marketing Data Scientist, B2B</t>
        </is>
      </c>
      <c r="C203" t="inlineStr">
        <is>
          <t>Humana</t>
        </is>
      </c>
      <c r="D203" t="inlineStr">
        <is>
          <t>indeed</t>
        </is>
      </c>
      <c r="E203">
        <f>HYPERLINK("https://www.indeed.com/viewjob?jk=24fbd90ff6cc224c", "https://www.indeed.com/viewjob?jk=24fbd90ff6cc224c")</f>
        <v/>
      </c>
      <c r="F203">
        <f>HYPERLINK("https://click.appcast.io/t/yudF9Z3pJvb1eVrg8bkJmTikMZapgdvE-dZXo0W6JmQ=", "https://click.appcast.io/t/yudF9Z3pJvb1eVrg8bkJmTikMZapgdvE-dZXo0W6JmQ=")</f>
        <v/>
      </c>
      <c r="G203" t="inlineStr">
        <is>
          <t>Nashville, TN, US</t>
        </is>
      </c>
      <c r="H203" s="3" t="n">
        <v>46030</v>
      </c>
      <c r="I203"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04">
      <c r="A204" t="inlineStr">
        <is>
          <t>in-c4ca03510576bd73</t>
        </is>
      </c>
      <c r="B204" t="inlineStr">
        <is>
          <t>Senior Associate, Marketing Data Scientist, B2B</t>
        </is>
      </c>
      <c r="C204" t="inlineStr">
        <is>
          <t>Humana</t>
        </is>
      </c>
      <c r="D204" t="inlineStr">
        <is>
          <t>indeed</t>
        </is>
      </c>
      <c r="E204">
        <f>HYPERLINK("https://www.indeed.com/viewjob?jk=c4ca03510576bd73", "https://www.indeed.com/viewjob?jk=c4ca03510576bd73")</f>
        <v/>
      </c>
      <c r="F204">
        <f>HYPERLINK("https://click.appcast.io/t/4SX4dtB-HOdFAoMRCo3tJdEgakQKDRpxdeCqpZVtQ-g=", "https://click.appcast.io/t/4SX4dtB-HOdFAoMRCo3tJdEgakQKDRpxdeCqpZVtQ-g=")</f>
        <v/>
      </c>
      <c r="G204" t="inlineStr">
        <is>
          <t>Fort Lauderdale, FL, US</t>
        </is>
      </c>
      <c r="H204" s="3" t="n">
        <v>46030</v>
      </c>
      <c r="I204"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05">
      <c r="A205" t="inlineStr">
        <is>
          <t>in-b10f43af8252faac</t>
        </is>
      </c>
      <c r="B205" t="inlineStr">
        <is>
          <t>Senior Associate, Marketing Data Scientist, B2B</t>
        </is>
      </c>
      <c r="C205" t="inlineStr">
        <is>
          <t>Humana</t>
        </is>
      </c>
      <c r="D205" t="inlineStr">
        <is>
          <t>indeed</t>
        </is>
      </c>
      <c r="E205">
        <f>HYPERLINK("https://www.indeed.com/viewjob?jk=b10f43af8252faac", "https://www.indeed.com/viewjob?jk=b10f43af8252faac")</f>
        <v/>
      </c>
      <c r="F205">
        <f>HYPERLINK("https://click.appcast.io/t/tJRrXSfPjIQtS4lVDehcW-kqbWU9EvDAwj4Bh-huLtU=", "https://click.appcast.io/t/tJRrXSfPjIQtS4lVDehcW-kqbWU9EvDAwj4Bh-huLtU=")</f>
        <v/>
      </c>
      <c r="G205" t="inlineStr">
        <is>
          <t>IL, US</t>
        </is>
      </c>
      <c r="H205" s="3" t="n">
        <v>46030</v>
      </c>
      <c r="I205"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06">
      <c r="A206" t="inlineStr">
        <is>
          <t>in-f04465b31d116b1c</t>
        </is>
      </c>
      <c r="B206" t="inlineStr">
        <is>
          <t>Senior Associate, Marketing Data Scientist, B2B</t>
        </is>
      </c>
      <c r="C206" t="inlineStr">
        <is>
          <t>Humana</t>
        </is>
      </c>
      <c r="D206" t="inlineStr">
        <is>
          <t>indeed</t>
        </is>
      </c>
      <c r="E206">
        <f>HYPERLINK("https://www.indeed.com/viewjob?jk=f04465b31d116b1c", "https://www.indeed.com/viewjob?jk=f04465b31d116b1c")</f>
        <v/>
      </c>
      <c r="F206">
        <f>HYPERLINK("https://click.appcast.io/t/wnp-7J-6JGMK8dTFoV3KFsOaFXuSJ-DGnLAGCQjQqWk=", "https://click.appcast.io/t/wnp-7J-6JGMK8dTFoV3KFsOaFXuSJ-DGnLAGCQjQqWk=")</f>
        <v/>
      </c>
      <c r="G206" t="inlineStr">
        <is>
          <t>Washington, DC, US</t>
        </is>
      </c>
      <c r="H206" s="3" t="n">
        <v>46030</v>
      </c>
      <c r="I206"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07">
      <c r="A207" t="inlineStr">
        <is>
          <t>in-0fd3372ae58896e2</t>
        </is>
      </c>
      <c r="B207" t="inlineStr">
        <is>
          <t>Senior Associate, Marketing Data Scientist, B2B</t>
        </is>
      </c>
      <c r="C207" t="inlineStr">
        <is>
          <t>Humana</t>
        </is>
      </c>
      <c r="D207" t="inlineStr">
        <is>
          <t>indeed</t>
        </is>
      </c>
      <c r="E207">
        <f>HYPERLINK("https://www.indeed.com/viewjob?jk=0fd3372ae58896e2", "https://www.indeed.com/viewjob?jk=0fd3372ae58896e2")</f>
        <v/>
      </c>
      <c r="F207">
        <f>HYPERLINK("https://click.appcast.io/t/GUbGxnC_Vj7ZElxVJ4qNQyG1OWXefx-dCceuDNLtfVg=", "https://click.appcast.io/t/GUbGxnC_Vj7ZElxVJ4qNQyG1OWXefx-dCceuDNLtfVg=")</f>
        <v/>
      </c>
      <c r="G207" t="inlineStr">
        <is>
          <t>Nashville, TN, US</t>
        </is>
      </c>
      <c r="H207" s="3" t="n">
        <v>46030</v>
      </c>
      <c r="I207"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08">
      <c r="A208" t="inlineStr">
        <is>
          <t>in-735ec70e64f2bfc8</t>
        </is>
      </c>
      <c r="B208" t="inlineStr">
        <is>
          <t>Senior Associate, Marketing Data Scientist, B2B</t>
        </is>
      </c>
      <c r="C208" t="inlineStr">
        <is>
          <t>Humana</t>
        </is>
      </c>
      <c r="D208" t="inlineStr">
        <is>
          <t>indeed</t>
        </is>
      </c>
      <c r="E208">
        <f>HYPERLINK("https://www.indeed.com/viewjob?jk=735ec70e64f2bfc8", "https://www.indeed.com/viewjob?jk=735ec70e64f2bfc8")</f>
        <v/>
      </c>
      <c r="F208">
        <f>HYPERLINK("https://click.appcast.io/t/ST7j-Uh2DGwL_C3Pkxyt8xkqELUQtHHEZSKx9TMnZAQ=", "https://click.appcast.io/t/ST7j-Uh2DGwL_C3Pkxyt8xkqELUQtHHEZSKx9TMnZAQ=")</f>
        <v/>
      </c>
      <c r="G208" t="inlineStr">
        <is>
          <t>Nashville, TN, US</t>
        </is>
      </c>
      <c r="H208" s="3" t="n">
        <v>46030</v>
      </c>
      <c r="I208"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09">
      <c r="A209" t="inlineStr">
        <is>
          <t>in-efcb0b3f5e91468d</t>
        </is>
      </c>
      <c r="B209" t="inlineStr">
        <is>
          <t>Senior Associate, Marketing Data Scientist, B2B</t>
        </is>
      </c>
      <c r="C209" t="inlineStr">
        <is>
          <t>Humana</t>
        </is>
      </c>
      <c r="D209" t="inlineStr">
        <is>
          <t>indeed</t>
        </is>
      </c>
      <c r="E209">
        <f>HYPERLINK("https://www.indeed.com/viewjob?jk=efcb0b3f5e91468d", "https://www.indeed.com/viewjob?jk=efcb0b3f5e91468d")</f>
        <v/>
      </c>
      <c r="F209">
        <f>HYPERLINK("https://click.appcast.io/t/8RtUd6c0CEK_97hyx4-VCERM7_1kNw3YDA7S2n82n-4=", "https://click.appcast.io/t/8RtUd6c0CEK_97hyx4-VCERM7_1kNw3YDA7S2n82n-4=")</f>
        <v/>
      </c>
      <c r="G209" t="inlineStr">
        <is>
          <t>Fort Lauderdale, FL, US</t>
        </is>
      </c>
      <c r="H209" s="3" t="n">
        <v>46030</v>
      </c>
      <c r="I209"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10">
      <c r="A210" t="inlineStr">
        <is>
          <t>in-75b188d0cf934964</t>
        </is>
      </c>
      <c r="B210" t="inlineStr">
        <is>
          <t>Senior Associate, Marketing Data Scientist, B2B</t>
        </is>
      </c>
      <c r="C210" t="inlineStr">
        <is>
          <t>Humana</t>
        </is>
      </c>
      <c r="D210" t="inlineStr">
        <is>
          <t>indeed</t>
        </is>
      </c>
      <c r="E210">
        <f>HYPERLINK("https://www.indeed.com/viewjob?jk=75b188d0cf934964", "https://www.indeed.com/viewjob?jk=75b188d0cf934964")</f>
        <v/>
      </c>
      <c r="F210">
        <f>HYPERLINK("https://click.appcast.io/t/hqkMYb_wK-M1iX5_gUbdjvEJQtATEh0OWKoTuVs1348=", "https://click.appcast.io/t/hqkMYb_wK-M1iX5_gUbdjvEJQtATEh0OWKoTuVs1348=")</f>
        <v/>
      </c>
      <c r="G210" t="inlineStr">
        <is>
          <t>Fort Lauderdale, FL, US</t>
        </is>
      </c>
      <c r="H210" s="3" t="n">
        <v>46030</v>
      </c>
      <c r="I210"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11">
      <c r="A211" t="inlineStr">
        <is>
          <t>in-768482db08747146</t>
        </is>
      </c>
      <c r="B211" t="inlineStr">
        <is>
          <t>Senior Associate, Marketing Data Scientist, B2B</t>
        </is>
      </c>
      <c r="C211" t="inlineStr">
        <is>
          <t>Humana</t>
        </is>
      </c>
      <c r="D211" t="inlineStr">
        <is>
          <t>indeed</t>
        </is>
      </c>
      <c r="E211">
        <f>HYPERLINK("https://www.indeed.com/viewjob?jk=768482db08747146", "https://www.indeed.com/viewjob?jk=768482db08747146")</f>
        <v/>
      </c>
      <c r="F211">
        <f>HYPERLINK("https://click.appcast.io/t/VZe5tvqioMkJkmHgk6s0rqbRMOsbswNK3dDYqKvekqw=", "https://click.appcast.io/t/VZe5tvqioMkJkmHgk6s0rqbRMOsbswNK3dDYqKvekqw=")</f>
        <v/>
      </c>
      <c r="G211" t="inlineStr">
        <is>
          <t>Fort Lauderdale, FL, US</t>
        </is>
      </c>
      <c r="H211" s="3" t="n">
        <v>46030</v>
      </c>
      <c r="I211"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12">
      <c r="A212" t="inlineStr">
        <is>
          <t>in-275552c90735518e</t>
        </is>
      </c>
      <c r="B212" t="inlineStr">
        <is>
          <t>Senior Associate, Marketing Data Scientist, B2B</t>
        </is>
      </c>
      <c r="C212" t="inlineStr">
        <is>
          <t>Humana</t>
        </is>
      </c>
      <c r="D212" t="inlineStr">
        <is>
          <t>indeed</t>
        </is>
      </c>
      <c r="E212">
        <f>HYPERLINK("https://www.indeed.com/viewjob?jk=275552c90735518e", "https://www.indeed.com/viewjob?jk=275552c90735518e")</f>
        <v/>
      </c>
      <c r="F212">
        <f>HYPERLINK("https://click.appcast.io/t/ww4d-CWZhj2P1jMJY-i0KUwwT9yeXHYXNu8hFWOSElc=", "https://click.appcast.io/t/ww4d-CWZhj2P1jMJY-i0KUwwT9yeXHYXNu8hFWOSElc=")</f>
        <v/>
      </c>
      <c r="G212" t="inlineStr">
        <is>
          <t>Nashville, TN, US</t>
        </is>
      </c>
      <c r="H212" s="3" t="n">
        <v>46030</v>
      </c>
      <c r="I212"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13">
      <c r="A213" t="inlineStr">
        <is>
          <t>in-d374537b75252d17</t>
        </is>
      </c>
      <c r="B213" t="inlineStr">
        <is>
          <t>Senior Associate, Marketing Data Scientist, B2B</t>
        </is>
      </c>
      <c r="C213" t="inlineStr">
        <is>
          <t>Humana</t>
        </is>
      </c>
      <c r="D213" t="inlineStr">
        <is>
          <t>indeed</t>
        </is>
      </c>
      <c r="E213">
        <f>HYPERLINK("https://www.indeed.com/viewjob?jk=d374537b75252d17", "https://www.indeed.com/viewjob?jk=d374537b75252d17")</f>
        <v/>
      </c>
      <c r="F213">
        <f>HYPERLINK("https://click.appcast.io/t/pHXFAnntImH4pz0538dCK0p3UK6bXRhvkTu59kVYWVo=", "https://click.appcast.io/t/pHXFAnntImH4pz0538dCK0p3UK6bXRhvkTu59kVYWVo=")</f>
        <v/>
      </c>
      <c r="G213" t="inlineStr">
        <is>
          <t>Tampa, FL, US</t>
        </is>
      </c>
      <c r="H213" s="3" t="n">
        <v>46030</v>
      </c>
      <c r="I213"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14">
      <c r="A214" t="inlineStr">
        <is>
          <t>in-35548185cd702fcc</t>
        </is>
      </c>
      <c r="B214" t="inlineStr">
        <is>
          <t>Senior Associate, Marketing Data Scientist, B2B</t>
        </is>
      </c>
      <c r="C214" t="inlineStr">
        <is>
          <t>Humana</t>
        </is>
      </c>
      <c r="D214" t="inlineStr">
        <is>
          <t>indeed</t>
        </is>
      </c>
      <c r="E214">
        <f>HYPERLINK("https://www.indeed.com/viewjob?jk=35548185cd702fcc", "https://www.indeed.com/viewjob?jk=35548185cd702fcc")</f>
        <v/>
      </c>
      <c r="F214">
        <f>HYPERLINK("https://click.appcast.io/t/WSCRqVFNC8051yQE5cllqNaHQpn4PNEb0N-MLLyeqrE=", "https://click.appcast.io/t/WSCRqVFNC8051yQE5cllqNaHQpn4PNEb0N-MLLyeqrE=")</f>
        <v/>
      </c>
      <c r="G214" t="inlineStr">
        <is>
          <t>Fort Lauderdale, FL, US</t>
        </is>
      </c>
      <c r="H214" s="3" t="n">
        <v>46030</v>
      </c>
      <c r="I214"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15">
      <c r="A215" t="inlineStr">
        <is>
          <t>in-1fb0d1449511d511</t>
        </is>
      </c>
      <c r="B215" t="inlineStr">
        <is>
          <t>Senior Associate, Marketing Data Scientist, B2B</t>
        </is>
      </c>
      <c r="C215" t="inlineStr">
        <is>
          <t>Humana</t>
        </is>
      </c>
      <c r="D215" t="inlineStr">
        <is>
          <t>indeed</t>
        </is>
      </c>
      <c r="E215">
        <f>HYPERLINK("https://www.indeed.com/viewjob?jk=1fb0d1449511d511", "https://www.indeed.com/viewjob?jk=1fb0d1449511d511")</f>
        <v/>
      </c>
      <c r="F215">
        <f>HYPERLINK("https://click.appcast.io/t/n4PhAc4wgAkAIwkX1ntxGd-EIfNhVN9mD8uawo6E244=", "https://click.appcast.io/t/n4PhAc4wgAkAIwkX1ntxGd-EIfNhVN9mD8uawo6E244=")</f>
        <v/>
      </c>
      <c r="G215" t="inlineStr">
        <is>
          <t>Tampa, FL, US</t>
        </is>
      </c>
      <c r="H215" s="3" t="n">
        <v>46030</v>
      </c>
      <c r="I215"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16">
      <c r="A216" t="inlineStr">
        <is>
          <t>in-b8ea429f168f00ea</t>
        </is>
      </c>
      <c r="B216" t="inlineStr">
        <is>
          <t>Senior Associate, Marketing Data Scientist, B2B</t>
        </is>
      </c>
      <c r="C216" t="inlineStr">
        <is>
          <t>Humana</t>
        </is>
      </c>
      <c r="D216" t="inlineStr">
        <is>
          <t>indeed</t>
        </is>
      </c>
      <c r="E216">
        <f>HYPERLINK("https://www.indeed.com/viewjob?jk=b8ea429f168f00ea", "https://www.indeed.com/viewjob?jk=b8ea429f168f00ea")</f>
        <v/>
      </c>
      <c r="F216">
        <f>HYPERLINK("https://click.appcast.io/t/-U139hNWVeWilN-AO9k0piy7HD8F3CuRrDE127C883I=", "https://click.appcast.io/t/-U139hNWVeWilN-AO9k0piy7HD8F3CuRrDE127C883I=")</f>
        <v/>
      </c>
      <c r="G216" t="inlineStr">
        <is>
          <t>MA, US</t>
        </is>
      </c>
      <c r="H216" s="3" t="n">
        <v>46030</v>
      </c>
      <c r="I216"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17">
      <c r="A217" t="inlineStr">
        <is>
          <t>in-5c8f41dfae767752</t>
        </is>
      </c>
      <c r="B217" t="inlineStr">
        <is>
          <t>Senior Associate, Marketing Data Scientist, B2B</t>
        </is>
      </c>
      <c r="C217" t="inlineStr">
        <is>
          <t>Humana</t>
        </is>
      </c>
      <c r="D217" t="inlineStr">
        <is>
          <t>indeed</t>
        </is>
      </c>
      <c r="E217">
        <f>HYPERLINK("https://www.indeed.com/viewjob?jk=5c8f41dfae767752", "https://www.indeed.com/viewjob?jk=5c8f41dfae767752")</f>
        <v/>
      </c>
      <c r="F217">
        <f>HYPERLINK("https://click.appcast.io/t/Xb7A7U-dL-0YghG1erPoa5eowXIGcyriwkwIThFMqUA=", "https://click.appcast.io/t/Xb7A7U-dL-0YghG1erPoa5eowXIGcyriwkwIThFMqUA=")</f>
        <v/>
      </c>
      <c r="G217" t="inlineStr">
        <is>
          <t>Louisville, KY, US</t>
        </is>
      </c>
      <c r="H217" s="3" t="n">
        <v>46030</v>
      </c>
      <c r="I217"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18">
      <c r="A218" t="inlineStr">
        <is>
          <t>in-2a636fa9093d53bb</t>
        </is>
      </c>
      <c r="B218" t="inlineStr">
        <is>
          <t>Senior Associate, Marketing Data Scientist, B2B</t>
        </is>
      </c>
      <c r="C218" t="inlineStr">
        <is>
          <t>Humana</t>
        </is>
      </c>
      <c r="D218" t="inlineStr">
        <is>
          <t>indeed</t>
        </is>
      </c>
      <c r="E218">
        <f>HYPERLINK("https://www.indeed.com/viewjob?jk=2a636fa9093d53bb", "https://www.indeed.com/viewjob?jk=2a636fa9093d53bb")</f>
        <v/>
      </c>
      <c r="F218">
        <f>HYPERLINK("https://click.appcast.io/t/KAeTgAH7Gwbl4VVNbYBDc_Geau8VgBpAmQ6t-yYTxAA=", "https://click.appcast.io/t/KAeTgAH7Gwbl4VVNbYBDc_Geau8VgBpAmQ6t-yYTxAA=")</f>
        <v/>
      </c>
      <c r="G218" t="inlineStr">
        <is>
          <t>WA, US</t>
        </is>
      </c>
      <c r="H218" s="3" t="n">
        <v>46030</v>
      </c>
      <c r="I218"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19">
      <c r="A219" t="inlineStr">
        <is>
          <t>in-23bb572e07644cc9</t>
        </is>
      </c>
      <c r="B219" t="inlineStr">
        <is>
          <t>Senior Associate, Marketing Data Scientist, B2B</t>
        </is>
      </c>
      <c r="C219" t="inlineStr">
        <is>
          <t>Humana</t>
        </is>
      </c>
      <c r="D219" t="inlineStr">
        <is>
          <t>indeed</t>
        </is>
      </c>
      <c r="E219">
        <f>HYPERLINK("https://www.indeed.com/viewjob?jk=23bb572e07644cc9", "https://www.indeed.com/viewjob?jk=23bb572e07644cc9")</f>
        <v/>
      </c>
      <c r="F219">
        <f>HYPERLINK("https://click.appcast.io/t/NLhDX4hkSRTv9IB9TYEwKEGehwuH7WXtpNghijMosLE=", "https://click.appcast.io/t/NLhDX4hkSRTv9IB9TYEwKEGehwuH7WXtpNghijMosLE=")</f>
        <v/>
      </c>
      <c r="G219" t="inlineStr">
        <is>
          <t>Fort Lauderdale, FL, US</t>
        </is>
      </c>
      <c r="H219" s="3" t="n">
        <v>46030</v>
      </c>
      <c r="I219"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20">
      <c r="A220" t="inlineStr">
        <is>
          <t>in-af5b668c6f40b7e7</t>
        </is>
      </c>
      <c r="B220" t="inlineStr">
        <is>
          <t>Senior Associate, Marketing Data Scientist, B2B</t>
        </is>
      </c>
      <c r="C220" t="inlineStr">
        <is>
          <t>Humana</t>
        </is>
      </c>
      <c r="D220" t="inlineStr">
        <is>
          <t>indeed</t>
        </is>
      </c>
      <c r="E220">
        <f>HYPERLINK("https://www.indeed.com/viewjob?jk=af5b668c6f40b7e7", "https://www.indeed.com/viewjob?jk=af5b668c6f40b7e7")</f>
        <v/>
      </c>
      <c r="F220">
        <f>HYPERLINK("https://click.appcast.io/t/zq_cDafyJB9vNJEOLTENjaA_-i6u_99U19kn-Nqjmt8=", "https://click.appcast.io/t/zq_cDafyJB9vNJEOLTENjaA_-i6u_99U19kn-Nqjmt8=")</f>
        <v/>
      </c>
      <c r="G220" t="inlineStr">
        <is>
          <t>Nashville, TN, US</t>
        </is>
      </c>
      <c r="H220" s="3" t="n">
        <v>46030</v>
      </c>
      <c r="I220"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21">
      <c r="A221" t="inlineStr">
        <is>
          <t>in-7352f83e53eba6b4</t>
        </is>
      </c>
      <c r="B221" t="inlineStr">
        <is>
          <t>Senior Associate, Marketing Data Scientist, B2B</t>
        </is>
      </c>
      <c r="C221" t="inlineStr">
        <is>
          <t>Humana</t>
        </is>
      </c>
      <c r="D221" t="inlineStr">
        <is>
          <t>indeed</t>
        </is>
      </c>
      <c r="E221">
        <f>HYPERLINK("https://www.indeed.com/viewjob?jk=7352f83e53eba6b4", "https://www.indeed.com/viewjob?jk=7352f83e53eba6b4")</f>
        <v/>
      </c>
      <c r="F221">
        <f>HYPERLINK("https://click.appcast.io/t/_Cwq8H7I1FlV4U1C70rqltS8c_sxPrhn1-zIRDfLQDM=", "https://click.appcast.io/t/_Cwq8H7I1FlV4U1C70rqltS8c_sxPrhn1-zIRDfLQDM=")</f>
        <v/>
      </c>
      <c r="G221" t="inlineStr">
        <is>
          <t>CO, US</t>
        </is>
      </c>
      <c r="H221" s="3" t="n">
        <v>46030</v>
      </c>
      <c r="I221" t="inlineStr">
        <is>
          <t>**Become a part of our caring community and help us put health first**
======================================================================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**Use your skills to make an impact**
=====================================
**Required Qualifications**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22">
      <c r="A222" t="inlineStr">
        <is>
          <t>in-42b774a90f9a9ed5</t>
        </is>
      </c>
      <c r="B222" t="inlineStr">
        <is>
          <t>Data Scientist I: Network and Contracts</t>
        </is>
      </c>
      <c r="C222" t="inlineStr">
        <is>
          <t>Oscar Health</t>
        </is>
      </c>
      <c r="D222" t="inlineStr">
        <is>
          <t>indeed</t>
        </is>
      </c>
      <c r="E222">
        <f>HYPERLINK("https://www.indeed.com/viewjob?jk=42b774a90f9a9ed5", "https://www.indeed.com/viewjob?jk=42b774a90f9a9ed5")</f>
        <v/>
      </c>
      <c r="F222">
        <f>HYPERLINK("https://grnh.se/6w0dkbec1us", "https://grnh.se/6w0dkbec1us")</f>
        <v/>
      </c>
      <c r="G222" t="inlineStr">
        <is>
          <t>New York, NY, US</t>
        </is>
      </c>
      <c r="H222" s="3" t="n">
        <v>46030</v>
      </c>
      <c r="I222" t="inlineStr">
        <is>
          <t>Hi, we're Oscar. We're hiring a Data Scientist to join our Data team.
Oscar is the first health insurance company built around a full stack technology platform and a relentless focus on serving our members. We started Oscar in 2012 to create the kind of health insurance company we would want for ourselves—one that behaves like a doctor in the family.
**About the role:**
As a Data Scientist I, you will partner closely with our Market P\&amp;L, Tech and Legal teams to develop models and tooling to better understand Oscar's medical costs across its networks. You will develop a deep understanding of healthcare reimbursement and use various data sources to inform negotiations, establish reimbursement for out\-of\-network providers, and help manage medical costs for Oscar members.
You will report into the Senior Data Scientist.
**Work Location:** This position is based in our New York City office, requiring a hybrid work schedule with 3 days of in\-office work per week. Thursdays are a required in\-office day for team meetings and events, while your other two office days are flexible to suit your schedule. \#LI\-Hybrid
**Pay Transparency:** The base pay for this role is: $119,200\- $156,450 per year. You are also eligible for employee benefits, participation in Oscar's unlimited vacation program, company equity grants, and annual performance bonuses.
**Responsibilities:**
* Responsible for the creation, implementation, and maintenance of data pipelines. This includes ensuring the accuracy, reliability, and timeliness of data flow with the support of a manager.
* Support upkeep and enhancement of our models. This involves regular model testing, validation, and refinement to ensure the models remain effective and up\-to\-date with the latest industry standards and practices.
* Develop advanced analytics and validation checks on data and statistical model outputs under the review of a manager at critical points. This includes identifying potential issues, anomalies, or inconsistencies in the data, and implementing corrective measures to ensure the integrity of our models and analyses.
* Collaborate closely with data leaders and business teams to enhance overall data processes. This involves understanding their needs and requirements, providing them with the necessary data support, and working together to develop strategies and solutions that improve our risk adjustment processes and outcomes.
* Compliance with all applicable laws and regulations
* Other duties as assigned
**Requirements:**
* A bachelor's degree in a technical field OR 1\+ years of relevant work experience
* 1\+ years experience working with SQL or intermediate Python \[For example, working with multiple data sources]
* 1\+ years experience building data models and using more advanced analytics methods, including conducting in depth analysis, rather than simple descriptive analysis
**Bonus points:**
* Master's degree in a technical field
* Knowledge of or previous work experience in health care or health insurance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223">
      <c r="A223" t="inlineStr">
        <is>
          <t>in-d3a3e8675616e19a</t>
        </is>
      </c>
      <c r="B223" t="inlineStr">
        <is>
          <t>Data Scientist II: Networks and Contracts</t>
        </is>
      </c>
      <c r="C223" t="inlineStr">
        <is>
          <t>Oscar Health</t>
        </is>
      </c>
      <c r="D223" t="inlineStr">
        <is>
          <t>indeed</t>
        </is>
      </c>
      <c r="E223">
        <f>HYPERLINK("https://www.indeed.com/viewjob?jk=d3a3e8675616e19a", "https://www.indeed.com/viewjob?jk=d3a3e8675616e19a")</f>
        <v/>
      </c>
      <c r="F223">
        <f>HYPERLINK("https://grnh.se/a6f81ub71us", "https://grnh.se/a6f81ub71us")</f>
        <v/>
      </c>
      <c r="G223" t="inlineStr">
        <is>
          <t>New York, NY, US</t>
        </is>
      </c>
      <c r="H223" s="3" t="n">
        <v>46030</v>
      </c>
      <c r="I223" t="inlineStr">
        <is>
          <t>Hi, we're Oscar. We're hiring a Data Scientist II to join our Data team.
Oscar is the first health insurance company built around a full stack technology platform and a relentless focus on serving our members. We started Oscar in 2012 to create the kind of health insurance company we would want for ourselves—one that behaves like a doctor in the family.
**About the role:**
Oscar's data team is focused on pushing our understanding of this complex landscape of health insurance. Insurance companies sit on a trove of data that is both broad and deep, spanning financial claims, clinical medical records, and rich product interaction data from our members. Connecting the dots across these datasets gives us unique insight into how the healthcare system functions and allows us to improve care coordination, better manage risk, build higher\-performing provider networks, and create a standout consumer experience in our product.
As a Data Scientist II, you will partner closely with our Market P\&amp;L, Tech and Legal teams to develop models and tooling to better understand Oscar's medical costs across its networks. You will develop a deep understanding of healthcare reimbursement and use various data sources to inform negotiations, establish reimbursement for out\-of\-network providers, and help manage medical costs for Oscar members.
You will report into the Senior Data Scientist.
**Work Location:** This position is based in our New York City office, requiring a hybrid work schedule with 3 days of in\-office work per week. Thursdays are a required in\-office day for team meetings and events, while your other two office days are flexible to suit your schedule. \#LI\-Hybrid
**Pay Transparency:** The base pay for this role is: $131,200 \- $172,200 per year. You are also eligible for employee benefits, participation in Oscar's unlimited vacation program, company equity grants, and annual performance bonuses.
**Responsibilities:**
* Responsible for the creation, implementation, and maintenance of data pipelines. This includes ensuring the accuracy, reliability, and timeliness of data flow with the support of a manager.
* Support upkeep and enhancement of our models. This involves regular model testing, validation, and refinement to ensure the models remain effective and up\-to\-date with the latest industry standards and practices.
* Develop advanced analytics and validation checks on data and statistical model outputs under the review of a manager at critical points. This includes identifying potential issues, anomalies, or inconsistencies in the data, and implementing corrective measures to ensure the integrity of our models and analyses.
* Collaborate closely with data leaders and business teams to enhance overall data processes. This involves understanding their needs and requirements, providing them with the necessary data support, and working together to develop strategies and solutions that improve our risk adjustment processes and outcomes.
* Ensures processes and policies are aligned with departmental strategies and roadmaps
* May mentor junior data scientists and/or analysts
* Compliance with all applicable laws and regulations
* Other duties as assigned
**Requirements:**
* 3\+ years of industry or other quantitative technical fields (which may include academia).
* 2\+ years of work experience working with SQL, R, and/or Python to query, manipulate and analyze data
* 2\+ years experience building data models, using more advanced analytics methods, statistical modeling, and/or data processing
**Bonus points:**
* Masters degree in a quantitative or technical field
* Knowledge of or previous work experience in health care or health insurance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224">
      <c r="A224" t="inlineStr">
        <is>
          <t>in-39cbf4c3ca190870</t>
        </is>
      </c>
      <c r="B224" t="inlineStr">
        <is>
          <t>Staff Data Scientist - Product</t>
        </is>
      </c>
      <c r="C224" t="inlineStr">
        <is>
          <t>Gusto</t>
        </is>
      </c>
      <c r="D224" t="inlineStr">
        <is>
          <t>indeed</t>
        </is>
      </c>
      <c r="E224">
        <f>HYPERLINK("https://www.indeed.com/viewjob?jk=39cbf4c3ca190870", "https://www.indeed.com/viewjob?jk=39cbf4c3ca190870")</f>
        <v/>
      </c>
      <c r="F224">
        <f>HYPERLINK("https://grnh.se/ptkjca2i1us", "https://grnh.se/ptkjca2i1us")</f>
        <v/>
      </c>
      <c r="G224" t="inlineStr">
        <is>
          <t>San Francisco, CA, US</t>
        </is>
      </c>
      <c r="H224" s="3" t="n">
        <v>46030</v>
      </c>
      <c r="I224"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Gusto is looking for highly skilled and motivated Data Scientists with extensive experience (7\+ years) applying their expertise in a business environment. As a Staff Data Scientist, you will play a crucial role in leveraging experimentation, statistical inference, and causal analysis to drive strategic decision making that contributes to the overall success of our organization. The ideal candidate is a trusted data storyteller with strong statistical and coding skills, and a passion for applying these skills to help small businesses thrive.
**About the Team:**
In this role you will work closely with our Product, Engineering, Design, Finance, and other Data teams to become an expert in the data for your domain, define and track metrics that help us understand our business performance, and dive deep into our Payroll, Benefits, and HR data to deliver insights and answer questions. You'll also integrate AI\-assisted practices to accelerate analysis, enhance rigor, and expand the reach of insights across Gusto. We have multiple senior roles open, each focused on a different area of our business.
**Here's what you'll do day\-to\-day:**
* **Lead:** Own ambiguous problems, design analysis frameworks, and introduce structure that scales across multiple product domains.
* **Strategic Partnership:** Collaborate with product managers, engineering leads, designers, and operations teams to proactively identify opportunities, align on strategy, and guide data\-informed decision\-making.
* **Analytical Rigor:** Apply advanced statistical methods, causal inference, experimentation, and AI\-assisted analytics to surface drivers of product performance, separating signal from noise.
* **Experimentation \&amp; Measurement:** Design, analyze, and interpret experiments; ensure insights highlight trade\-offs and limitations based on sample size and data quality.
* **Execution:** Deliver multiple high\-impact projects, balancing trade\-offs to maximize business value, and maintain clear expectations of deliverables and timelines.
* **Communication:** Present complex findings in a structured, compelling way to technical and non\-technical stakeholders, fostering a data\-informed mindset across the company.
* **Independence:** Work with minimal guidance to prioritize, create, and deliver data science roadmaps, proactively resolving conflicts or misalignment across stakeholders.
* **Scaling the Craft:** Mentor other data practitioners, up\-level team best practices in experimentation, statistical modeling, and metric interpretation. Drive improvements in data quality, rigor, and adoption of better data capabilities leveraging AI\-native tools and workflows across the org.
**Here's what we're looking for:**
* 7–10 years of experience in Data Science at a product\-focused software company.
* Strong SQL skills and comfort with Python
* Proven ability to apply statistical methods, causal inference, AI tools, and experimental design to real business problems.
* Excellent communication skills, with a track record of influencing cross\-functional stakeholders and leadership.
* Demonstrated experience leading large, technically complex projects with clear business impact.
* A proactive, resilient problem\-solver who independently structures ambiguous problems into actionable insights.
* Passion for mentoring others and raising the bar for data science craft across the team.
* BS/MS/PhD in a quantitative field (Statistics, Economics, Computer Science, Applied Math, etc.) or equivalent industry experience.
Our cash compensation amount for this role is targeted at $154,000/yr \- $181,000/yr in Denver, $168,000/yr \- $198,000/yr in Los Angeles, $186,000/yr \- $225,000 for San Francisco, Seattle and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225">
      <c r="A225" t="inlineStr">
        <is>
          <t>in-5a0320b891974e98</t>
        </is>
      </c>
      <c r="B225" t="inlineStr">
        <is>
          <t>Senior Data Scientist</t>
        </is>
      </c>
      <c r="C225" t="inlineStr">
        <is>
          <t>Integral Ad Science</t>
        </is>
      </c>
      <c r="D225" t="inlineStr">
        <is>
          <t>indeed</t>
        </is>
      </c>
      <c r="E225">
        <f>HYPERLINK("https://www.indeed.com/viewjob?jk=5a0320b891974e98", "https://www.indeed.com/viewjob?jk=5a0320b891974e98")</f>
        <v/>
      </c>
      <c r="F225">
        <f>HYPERLINK("https://integralads.wd1.myworkdayjobs.com/IAScareers/job/US---New-York-NY/Senior-Data-Scientist_R-101114", "https://integralads.wd1.myworkdayjobs.com/IAScareers/job/US---New-York-NY/Senior-Data-Scientist_R-101114")</f>
        <v/>
      </c>
      <c r="G225" t="inlineStr">
        <is>
          <t>San Francisco, CA, US</t>
        </is>
      </c>
      <c r="H225" s="3" t="n">
        <v>46030</v>
      </c>
      <c r="I225" t="inlineStr">
        <is>
          <t>**Job Description:**
As a Senior Data Scientist at IAS, you will be part of a team that is at the center of innovation for the company and a major contributor to our core products. As part of the data science group at IAS, you will push the boundaries of applications of machine learning (ML) and deliver best\-in\-class solutions to serve our clients. Innovation is at the heart of our competitive advantage, and innovation starts with people and culture. You will join a group of data scientists committed to deep collaboration and high quality scientific research, ultimately producing a lasting impact on the IAS business.  
The types of challenges we solve have attracted people from industry and academia with diverse backgrounds, ranging from ML, mathematics, physics, biology, neuroscience, and computer science to finance and economics. We’re passionate about maintaining an open and collaborative environment, where team members bring their own unique style of thinking and tools to the table.  
**What you’ll get to do:**
* Drive innovative research within the data science team, improve the accuracy and increase the scope of our multimedia content classification for targeting \&amp; avoidance in web, mobile, CTV, gaming, social media etc.
* Collaborate with the Core Research and Innovation Teams, understand the nature of evolving trends and invent creative, quantitative solutions to address contextual targeting and avoidance needs
* Develop automated ML systems based on science, data, and ML applications. Communicate the value they add to multiple stakeholders across the organization, socialize the predictive power and business value of data\-driven ML
* Join a team of highly motivated ML researchers and developers, own projects from end\-to\-end, while collaborating with team members, learning, mentoring, contributing to the collective impact data science has on the IAS business
* Collaborate with engineers to integrate fraud solutions within larger engineering workflows
* Respond to internal and client\-facing incidents as they arise
 **You should apply if you have most of this experience:**
* PhD or masters in a quantitative discipline (e.g., mathematics, statistics, computer science, physics, economics, computational neuroscience)
* 3\-5 years experience solving analytical problems using quantitative approaches and ML methods in a business environment
* Practical experience building ML systems, ideally using weak supervision and automated data labeling. End\-to\-end ownership of your work: from prototyping, debugging, evaluation, optimization, production deployment, to live monitoring
* Knowledge of cutting edge research in ML applications and deep learning
* Capable of using SQL to answer key data questions at the drop of a hat
* Expertise in standard scripting languages used in data science for statistical computation: Python, R
* Enthusiasm for telling stories with data, deep understanding of how data works and flows through systems to produce business outcomes
* An innate curiosity about data problems, strongly held commitment to getting to the bottom of things
* A love of science, the scientific method, and faith in your fellow practitioners in the scientific trade
**IAS Pay Transparency:**
The annualized base salary ranges for the primary location, and any additional locations are listed below. Our pay ranges are based on the work location. As part of IAS compensation package, we offer a comprehensive benefits package that includes paid time off, health insurance (medical, dental, vision) as well as PPO, HSA and FSA options and 401k with employer matching contributions. All full\-time employee roles include competitive compensation and are eligible for an annual bonus and/or other incentive plans. Each candidate’s compensation package is based on multiple factors, but not limited to, geography, experience, skills, job duties, and business need.
**Primary Location:**
US \- New York, NY**Primary Location Base Pay Range:**
$100,800\.00 \- $172,800\.00 Annual**Additional Locations:**
US \- San Francisco, CA**Additional Locations Pay Range:**
100,800\.00 \- 172,800\.00 USD Annual**About Integral Ad Science:**
Integral Ad Science (IAS) is a leading global media measurement and optimization platform that delivers the industry’s most actionable data to drive superior results for the world’s largest advertisers, publishers, and media platforms. IAS’s software provides comprehensive and enriched data that ensures ads are seen by real people in safe and suitable environments, while improving return on ad spend for advertisers and yield for publishers. Our mission is to be the global benchmark for trust and transparency in digital media quality. For more information, visit integralads.com.
**Equal Opportunity Employer:**
IAS is an equal opportunity employer, committed to our diversity and inclusiveness. We will consider all qualified applicants without regard to race, color, nationality, gender, gender identity or expression, sexual orientation, religion, disability or age. We strongly encourage women, people of color, members of the LGBTQIA community, people with disabilities and veterans to apply.
**California Applicant Pre\-Collection Notice:**
We collect personal information (PI) from you in connection with your application for employment or engagement with IAS, including the following categories of PI: identifiers, personal records, commercial information, professional or employment or engagement information, non\-public education records, and inferences drawn from your PI. We collect your PI for our purposes, including performing services and operations related to your potential employment or engagement. For additional details or if you have questions, contact us at compliance@integralads.com.
**Attention agency/3rd party recruiters:** IAS does not accept any unsolicited resumes or candidate profiles. If you are interested in becoming an IAS recruiting partner, please send an email introducing your company to recruitingagencies@integralads.com. We will get back to you if there's interest in a partnership.
\#LI\-Hybrid</t>
        </is>
      </c>
    </row>
    <row r="226">
      <c r="A226" t="inlineStr">
        <is>
          <t>in-8f3adaea483fc6ef</t>
        </is>
      </c>
      <c r="B226" t="inlineStr">
        <is>
          <t>Senior Data Scientist</t>
        </is>
      </c>
      <c r="C226" t="inlineStr">
        <is>
          <t>Integral Ad Science</t>
        </is>
      </c>
      <c r="D226" t="inlineStr">
        <is>
          <t>indeed</t>
        </is>
      </c>
      <c r="E226">
        <f>HYPERLINK("https://www.indeed.com/viewjob?jk=8f3adaea483fc6ef", "https://www.indeed.com/viewjob?jk=8f3adaea483fc6ef")</f>
        <v/>
      </c>
      <c r="F226">
        <f>HYPERLINK("https://integralads.wd1.myworkdayjobs.com/IAScareers/job/US---New-York-NY/Senior-Data-Scientist_R-101114", "https://integralads.wd1.myworkdayjobs.com/IAScareers/job/US---New-York-NY/Senior-Data-Scientist_R-101114")</f>
        <v/>
      </c>
      <c r="G226" t="inlineStr">
        <is>
          <t>New York, NY, US</t>
        </is>
      </c>
      <c r="H226" s="3" t="n">
        <v>46030</v>
      </c>
      <c r="I226" t="inlineStr">
        <is>
          <t>**Job Description:**
As a Senior Data Scientist at IAS, you will be part of a team that is at the center of innovation for the company and a major contributor to our core products. As part of the data science group at IAS, you will push the boundaries of applications of machine learning (ML) and deliver best\-in\-class solutions to serve our clients. Innovation is at the heart of our competitive advantage, and innovation starts with people and culture. You will join a group of data scientists committed to deep collaboration and high quality scientific research, ultimately producing a lasting impact on the IAS business.  
The types of challenges we solve have attracted people from industry and academia with diverse backgrounds, ranging from ML, mathematics, physics, biology, neuroscience, and computer science to finance and economics. We’re passionate about maintaining an open and collaborative environment, where team members bring their own unique style of thinking and tools to the table.  
**What you’ll get to do:**
* Drive innovative research within the data science team, improve the accuracy and increase the scope of our multimedia content classification for targeting \&amp; avoidance in web, mobile, CTV, gaming, social media etc.
* Collaborate with the Core Research and Innovation Teams, understand the nature of evolving trends and invent creative, quantitative solutions to address contextual targeting and avoidance needs
* Develop automated ML systems based on science, data, and ML applications. Communicate the value they add to multiple stakeholders across the organization, socialize the predictive power and business value of data\-driven ML
* Join a team of highly motivated ML researchers and developers, own projects from end\-to\-end, while collaborating with team members, learning, mentoring, contributing to the collective impact data science has on the IAS business
* Collaborate with engineers to integrate fraud solutions within larger engineering workflows
* Respond to internal and client\-facing incidents as they arise
 **You should apply if you have most of this experience:**
* PhD or masters in a quantitative discipline (e.g., mathematics, statistics, computer science, physics, economics, computational neuroscience)
* 3\-5 years experience solving analytical problems using quantitative approaches and ML methods in a business environment
* Practical experience building ML systems, ideally using weak supervision and automated data labeling. End\-to\-end ownership of your work: from prototyping, debugging, evaluation, optimization, production deployment, to live monitoring
* Knowledge of cutting edge research in ML applications and deep learning
* Capable of using SQL to answer key data questions at the drop of a hat
* Expertise in standard scripting languages used in data science for statistical computation: Python, R
* Enthusiasm for telling stories with data, deep understanding of how data works and flows through systems to produce business outcomes
* An innate curiosity about data problems, strongly held commitment to getting to the bottom of things
* A love of science, the scientific method, and faith in your fellow practitioners in the scientific trade
**IAS Pay Transparency:**
The annualized base salary ranges for the primary location, and any additional locations are listed below. Our pay ranges are based on the work location. As part of IAS compensation package, we offer a comprehensive benefits package that includes paid time off, health insurance (medical, dental, vision) as well as PPO, HSA and FSA options and 401k with employer matching contributions. All full\-time employee roles include competitive compensation and are eligible for an annual bonus and/or other incentive plans. Each candidate’s compensation package is based on multiple factors, but not limited to, geography, experience, skills, job duties, and business need.
**Primary Location:**
US \- New York, NY**Primary Location Base Pay Range:**
$100,800\.00 \- $172,800\.00 Annual**Additional Locations:**
US \- San Francisco, CA**Additional Locations Pay Range:**
100,800\.00 \- 172,800\.00 USD Annual**About Integral Ad Science:**
Integral Ad Science (IAS) is a leading global media measurement and optimization platform that delivers the industry’s most actionable data to drive superior results for the world’s largest advertisers, publishers, and media platforms. IAS’s software provides comprehensive and enriched data that ensures ads are seen by real people in safe and suitable environments, while improving return on ad spend for advertisers and yield for publishers. Our mission is to be the global benchmark for trust and transparency in digital media quality. For more information, visit integralads.com.
**Equal Opportunity Employer:**
IAS is an equal opportunity employer, committed to our diversity and inclusiveness. We will consider all qualified applicants without regard to race, color, nationality, gender, gender identity or expression, sexual orientation, religion, disability or age. We strongly encourage women, people of color, members of the LGBTQIA community, people with disabilities and veterans to apply.
**California Applicant Pre\-Collection Notice:**
We collect personal information (PI) from you in connection with your application for employment or engagement with IAS, including the following categories of PI: identifiers, personal records, commercial information, professional or employment or engagement information, non\-public education records, and inferences drawn from your PI. We collect your PI for our purposes, including performing services and operations related to your potential employment or engagement. For additional details or if you have questions, contact us at compliance@integralads.com.
**Attention agency/3rd party recruiters:** IAS does not accept any unsolicited resumes or candidate profiles. If you are interested in becoming an IAS recruiting partner, please send an email introducing your company to recruitingagencies@integralads.com. We will get back to you if there's interest in a partnership.
\#LI\-Hybrid</t>
        </is>
      </c>
    </row>
    <row r="227">
      <c r="A227" t="inlineStr">
        <is>
          <t>in-0ca71ce7d87f0f41</t>
        </is>
      </c>
      <c r="B227" t="inlineStr">
        <is>
          <t>Image Data Scientist in Center of Excellence for Structural Cell Biology</t>
        </is>
      </c>
      <c r="C227" t="inlineStr">
        <is>
          <t>St. Jude Children's Research Hospital</t>
        </is>
      </c>
      <c r="D227" t="inlineStr">
        <is>
          <t>indeed</t>
        </is>
      </c>
      <c r="E227">
        <f>HYPERLINK("https://www.indeed.com/viewjob?jk=0ca71ce7d87f0f41", "https://www.indeed.com/viewjob?jk=0ca71ce7d87f0f41")</f>
        <v/>
      </c>
      <c r="F227">
        <f>HYPERLINK("https://jsv3.recruitics.com/redirect?rx_cid=3706&amp;rx_jobId=JR6169&amp;rx_url=https%3A%2F%2Ftalent.stjude.org%2Fcareers%2FJobDetail%2FImage-Data-Scientist-in-Center-of-Excellence-for-Structural-Cell-Biology-JR6169%2F4164%3Frx_a%3D0%26rx_c%3D%26rx_ch%3Djobp4p%26rx_group%3D452306%26rx_id%3Dfe1a475d-ed8a-11f0-96d0-b5d1d1abbefc%26rx_job%3DJR6169%26rx_medium%3Dcpc%26rx_r%3Dnone%26rx_source%3Dindeed%26rx_ts%3D20260110T040548Z%26rx_vp%3Dcpc%26source%3DRecruitics_Indeed_Organic%26utm_campaign%3D%26utm_medium%3Dorganic%26utm_source%3DRecruitics_Indeed_Organic", "https://jsv3.recruitics.com/redirect?rx_cid=3706&amp;rx_jobId=JR6169&amp;rx_url=https%3A%2F%2Ftalent.stjude.org%2Fcareers%2FJobDetail%2FImage-Data-Scientist-in-Center-of-Excellence-for-Structural-Cell-Biology-JR6169%2F4164%3Frx_a%3D0%26rx_c%3D%26rx_ch%3Djobp4p%26rx_group%3D452306%26rx_id%3Dfe1a475d-ed8a-11f0-96d0-b5d1d1abbefc%26rx_job%3DJR6169%26rx_medium%3Dcpc%26rx_r%3Dnone%26rx_source%3Dindeed%26rx_ts%3D20260110T040548Z%26rx_vp%3Dcpc%26source%3DRecruitics_Indeed_Organic%26utm_campaign%3D%26utm_medium%3Dorganic%26utm_source%3DRecruitics_Indeed_Organic")</f>
        <v/>
      </c>
      <c r="G227" t="inlineStr">
        <is>
          <t>Memphis, TN, US</t>
        </is>
      </c>
      <c r="H227" s="3" t="n">
        <v>46030</v>
      </c>
      <c r="I227" t="inlineStr">
        <is>
          <t>**Job Description**  
The Image Data Scientist is responsible for analysis of biomedical imagery data produced from a variety of imaging techniques at St. Jude. Designs, develops, tests, maintains, evaluates, documents and operates image analysis computer programs. Works closely with researchers to understand analytical needs and provides technical consultation, designs image analysis approaches, generates reports and performs analyses and results evaluation.  
**About the Role:**  
We are seeking a highly skilled and motivated Imaging Scientist to join our multidisciplinary team in developing and applying cutting\-edge approaches for cryo\-electron tomography and cryo\-volume electron microscopy data analysis. The successful candidate will focus on image processing, segmentation, visualization and quantitative analysis of large 3D EM datasets to reveal (sub)cellular and molecular architecture underlying various biological processes. Working at the interface of cell biology, computational imaging and data science, this position offers a unique opportunity to contribute to discoveries that impact development of pediatric diseases.  
**The World's Brightest Minds Always Innovate**  
At St. Jude Children's Research Hospital, we know what can be achieved when the brightest scientific minds face the fewest barriers. That's why we provide world\-class facilities. State\-of\-the\-art technologies. Extraordinary support. And a collaborative, bench\-to\-bedside environment where you can see, firsthand, how your science translates into survival for the children we serve. Quite simply, at St. Jude, we encourage you to dream big and stop at nothing when it comes to finding cures and saving children.
**Key Responsibilities:**  
* Develop and implement automated and semi\-automated segmentation pipelines for volume EM datasets (FIB\-SEM and TEM tomography).
* Apply and adapt machine learning and deep learning techniques for feature detection, instance segmentation, and 3D reconstruction.
* Perform quantitative image analysis, including morphometric and spatial characterization of cellular and organellar structures.
* Manage large imaging datasets using high\-performance computing and scalable data workflows.
* Document and disseminate computational methods, contributing to open\-source tools and scientific publications.
* Support training and mentorship of staff and collaborators in image analysis workflows.
**Minimum Education and/or Training:**  
* Bachelor's degree in applied mathematics, physics, chemistry, bioinformatics, computer science, data science, computer engineering or related field required.
* Master's degree preferred.
**Minimum Experience:**  
* Minimum Requirement: Bachelor's degree with 1\+ years of work experience in relevant area (e.g., applied mathematics, physics, chemistry, bioinformatics, computer science, data science, computer engineering) required.
* Experience Exception: Master's degree with no experience.
* Experience in image analyses, image data management, and programming (e.g., Python, R, Matlab, Java, C/C\+\+)
* Experience in image analysis platforms (e.g., ImageJ/Fiji, CellProfiler), scientific computing, scientific data visualization, scientific computer code optimization and evaluation in an HPC environment, development of algorithms, statistical methods or scientific software, working with large image data volumes, biological/medical imaging.
**Preferred Qualifications \&amp; Experience:**  
* PhD or equivalent degree in Structural Biology, Biophysics, Biochemistry, Cell Biology or a related field
* Demonstrated expertise in 3D image processing and segmentation, ideally with electron microscopy or other large\-volume imaging modalities
* Experience with alignment of correlated light and electron microscopy datasets
* Experience with visualization tools such as Napari, ChimeraX, Blender, or similar
* Experience with deep learning frameworks such as TensorFlow is a plus
* Familiarity with large\-scale data management is advantageous
* Strong problem\-solving skills
* Ability to work independently and within an interdisciplinary team
* Excellent communication skills and a collaborative mindset
**The World's Best Stop at Nothing**
There's a reason St. Jude Children's Research Hospital is consistently ranked on Glassdoor's "Best Places to Work" list. Actually, there are more than 5,500 reasons. At our world\-class pediatric research hospital, every one of our 5,500 professionals shares our commitment to making a difference in the lives of the children we serve. There's a unique bond when you are part of a team that will stop at nothing to advance the treatments and cures of pediatric catastrophic diseases. The result is a collaborative, positive environment where all employees, regardless of their role, receive the resources, support, and encouragement to advance and grow their careers.
**Better at Work. Better at Life.**
When you work at St. Jude, you'll join a highly collaborative work culture that inspires you every day to be your best. With opportunities for learning and growth, you can shape a career path that is right for you while also enjoying all the benefits and stability of working for a world\-class institution. This includes work\-life balance with generous paid time\-off and on\-campus conveniences that make life a little easier. Join us and you'll quickly see why St. Jude is consistently ranked by our employees on Glassdoor as a "Best Place to Work."
**Compensation**  
In recognition of certain U.S. state and municipal pay transparency laws, St. Jude is including a reasonable estimate of the compensation range for this role. This is an estimate offered in good faith and a specific salary offer takes into account factors that are considered in making compensation decisions including but not limited to skill sets, experience and training, licensure and certifications, and other business and organizational needs. It is not typical for an individual to be hired at or near the top of the salary range and compensation decisions are dependent on the facts and circumstances of each case. A reasonable estimate of the current salary range is $78,000 \- $139,360 per year for the role of Image Data Scientist in Center of Excellence for Structural Cell Biology.  
Explore our exceptional benefits !  
St. Jude is an Equal Opportunity Employer
**No Search Firms**
St. Jude Children's Research Hospital does not accept unsolicited assistance from search firms for employment opportunities. Please do not call or email. All resumes submitted by search firms to any employee or other representative at St. Jude via email, the internet or in any form and/or method without a valid written search agreement in place and approved by HR will result in no fee being paid in the event the candidate is hired by St. Jude.</t>
        </is>
      </c>
    </row>
    <row r="228">
      <c r="A228" t="inlineStr">
        <is>
          <t>in-8ff6a35b949e1f82</t>
        </is>
      </c>
      <c r="B228" t="inlineStr">
        <is>
          <t>Data Scientist, Generative &amp; Agentic AI Solutions: Senior Consultant</t>
        </is>
      </c>
      <c r="C228" t="inlineStr">
        <is>
          <t>Alvarez &amp; Marsal</t>
        </is>
      </c>
      <c r="D228" t="inlineStr">
        <is>
          <t>indeed</t>
        </is>
      </c>
      <c r="E228">
        <f>HYPERLINK("https://www.indeed.com/viewjob?jk=8ff6a35b949e1f82", "https://www.indeed.com/viewjob?jk=8ff6a35b949e1f82")</f>
        <v/>
      </c>
      <c r="F228">
        <f>HYPERLINK("https://careers.alvarezandmarsal.com/jobs/17206294-data-scientist-generative-and-agentic-ai-solutions-senior-consultant", "https://careers.alvarezandmarsal.com/jobs/17206294-data-scientist-generative-and-agentic-ai-solutions-senior-consultant")</f>
        <v/>
      </c>
      <c r="G228" t="inlineStr">
        <is>
          <t>Washington, DC, US</t>
        </is>
      </c>
      <c r="H228" s="3" t="n">
        <v>46030</v>
      </c>
      <c r="I228" t="inlineStr">
        <is>
          <t>Location: Washington, DC, United States  
Date Posted: Jan 9, 2026
**Description**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Join our growing AI \&amp; Analytics (AI\&amp;A) team within the Corporate Performance Improvement practice, where you'll drive innovation in AI by leveraging Generative and Agentic technologies to transform business strategies. As a Data Scientist at the Manager level, you will combine strategic consulting with hands\-on expertise to design and implement advanced AI solutions. Collaborating across practice areas, you will develop impactful applications that address complex business challenges and deliver measurable results for clients across industries.
This role offers the unique opportunity to serve as both a trusted advisor to clients and a hands\-on practitioner, developing and deploying advanced AI applications. You will collaborate closely with client executives, applying your technical skills to deliver tangible results. With access to exceptional career development opportunities, training, and exposure to diverse industries, you’ll play a key role in driving innovation and meaningful change.
**How you will contribute**
* Lead project workstreams effectively, balancing technical and functional while ensuring quality deliverables
* Serve as a hands\-on consultant, actively contributing to the development and implementation of AI solutions as needed to achieve project objectives
* Apply structured problem\-solving frameworks and methodologies to assist leaders to design and execute project plans, ensuring alignment with client goals
* Build strong relationships with clients, demonstrating executive presence and professionalism
* Support business development efforts, including proposal creation and sales initiatives
* Identify client needs and opportunities for A\&amp;M, leveraging your network to maintain and grow business relationships
* Foster an inclusive and engaging team environment that values collaboration and diverse perspectives
**Qualifications**
* 3\+ years of experience with Python, SQL, and AI/ML models, in analytics libraries like Pandas, NumPy, SciKit\-Learn, and PyTorch
* Proven experience and/or exposure developing Generative AI Solutions, including large language model (LLM) based applications, Retrieval\-Augmented Generation (RAG) systems
* Experience implementing Agentic AI frameworks, such as CrewAI and LangChain, to build autonomous systems in production settings
* Proficiency in building APIs and backend applications with frameworks like FastAPI and Flask
* Experience deploying solutions in cloud platforms such as AWS, GCP, or Azure (e.g. provisioning EC2 instances, creating Azure Bloc containers, etc.)
* Ability to translate and present complex technical concepts effectively
* Prior experience in consulting or a comparable client\-facing role
* Willingness to travel as required for client engagements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
Regular employees working 30 or more hours per week are also entitled to participate in Alvarez \&amp; Marsal Holdings’ fringe benefits consisting of healthcare plans, flexible spending and savings accounts, life, AD\&amp;D, and disability coverages at rates determined periodically as well as a 401(k) retirement savings plan. Provided the eligibility requirements are met, employees will also receive an annual discretionary contribution to their 401(k) retirement savings plan from Alvarez \&amp; Marsal. Additionally, employees are eligible for paid time off including vacation, personal days, seventy\-two (72\) hours of sick time (prorated for part time employees), ten federal holidays, one floating holiday, and parental leave. The amount of vacation and personal days available varies based on tenure and role type.
The salary range is $90,000 \- $130,000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Must be authorized to work in the US without the need for employment\-based sponsorship now or in the future. A\&amp;M will not sponsor applicants for US work visa status for this role.
**Inclusive Diversity**
-----------------------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encouraging everyone to bring their whole self to work each day. It runs through how we recruit, develop employees, conduct business, support clients, and partner with vendors. It is the A\&amp;M way.
**Equal Opportunity Employer**
------------------------------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
**Unsolicited Resumes from Third\-Party Recruiters**
----------------------------------------------------
Please note that as per A\&amp;M policy, we do not accept unsolicited resumes from third\-party recruiters unless such recruiters are engaged to provide candidates for a specified opening. Any employment agency, person or entity that submits an unsolicited resume does so with the understanding that A\&amp;M will have the right to hire that applicant at its discretion without any fee owed to the submitting employment agency, person or entity.</t>
        </is>
      </c>
    </row>
    <row r="229">
      <c r="A229" t="inlineStr">
        <is>
          <t>in-a262649f0b0db938</t>
        </is>
      </c>
      <c r="B229" t="inlineStr">
        <is>
          <t>Data Scientist, Generative &amp; Agentic AI Solutions: Senior Consultant</t>
        </is>
      </c>
      <c r="C229" t="inlineStr">
        <is>
          <t>Alvarez &amp; Marsal</t>
        </is>
      </c>
      <c r="D229" t="inlineStr">
        <is>
          <t>indeed</t>
        </is>
      </c>
      <c r="E229">
        <f>HYPERLINK("https://www.indeed.com/viewjob?jk=a262649f0b0db938", "https://www.indeed.com/viewjob?jk=a262649f0b0db938")</f>
        <v/>
      </c>
      <c r="F229">
        <f>HYPERLINK("https://careers.alvarezandmarsal.com/jobs/17206295-data-scientist-generative-and-agentic-ai-solutions-senior-consultant", "https://careers.alvarezandmarsal.com/jobs/17206295-data-scientist-generative-and-agentic-ai-solutions-senior-consultant")</f>
        <v/>
      </c>
      <c r="G229" t="inlineStr">
        <is>
          <t>Chicago, IL, US</t>
        </is>
      </c>
      <c r="H229" s="3" t="n">
        <v>46030</v>
      </c>
      <c r="I229" t="inlineStr">
        <is>
          <t>Location: Chicago, IL, United States  
Date Posted: Jan 9, 2026
**Description**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Join our growing AI \&amp; Analytics (AI\&amp;A) team within the Corporate Performance Improvement practice, where you'll drive innovation in AI by leveraging Generative and Agentic technologies to transform business strategies. As a Data Scientist at the Manager level, you will combine strategic consulting with hands\-on expertise to design and implement advanced AI solutions. Collaborating across practice areas, you will develop impactful applications that address complex business challenges and deliver measurable results for clients across industries.
This role offers the unique opportunity to serve as both a trusted advisor to clients and a hands\-on practitioner, developing and deploying advanced AI applications. You will collaborate closely with client executives, applying your technical skills to deliver tangible results. With access to exceptional career development opportunities, training, and exposure to diverse industries, you’ll play a key role in driving innovation and meaningful change.
**How you will contribute**
* Lead project workstreams effectively, balancing technical and functional while ensuring quality deliverables
* Serve as a hands\-on consultant, actively contributing to the development and implementation of AI solutions as needed to achieve project objectives
* Apply structured problem\-solving frameworks and methodologies to assist leaders to design and execute project plans, ensuring alignment with client goals
* Build strong relationships with clients, demonstrating executive presence and professionalism
* Support business development efforts, including proposal creation and sales initiatives
* Identify client needs and opportunities for A\&amp;M, leveraging your network to maintain and grow business relationships
* Foster an inclusive and engaging team environment that values collaboration and diverse perspectives
**Qualifications**
* 3\+ years of experience with Python, SQL, and AI/ML models, in analytics libraries like Pandas, NumPy, SciKit\-Learn, and PyTorch
* Proven experience and/or exposure developing Generative AI Solutions, including large language model (LLM) based applications, Retrieval\-Augmented Generation (RAG) systems
* Experience implementing Agentic AI frameworks, such as CrewAI and LangChain, to build autonomous systems in production settings
* Proficiency in building APIs and backend applications with frameworks like FastAPI and Flask
* Experience deploying solutions in cloud platforms such as AWS, GCP, or Azure (e.g. provisioning EC2 instances, creating Azure Bloc containers, etc.)
* Ability to translate and present complex technical concepts effectively
* Prior experience in consulting or a comparable client\-facing role
* Willingness to travel as required for client engagements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
Regular employees working 30 or more hours per week are also entitled to participate in Alvarez \&amp; Marsal Holdings’ fringe benefits consisting of healthcare plans, flexible spending and savings accounts, life, AD\&amp;D, and disability coverages at rates determined periodically as well as a 401(k) retirement savings plan. Provided the eligibility requirements are met, employees will also receive an annual discretionary contribution to their 401(k) retirement savings plan from Alvarez \&amp; Marsal. Additionally, employees are eligible for paid time off including vacation, personal days, seventy\-two (72\) hours of sick time (prorated for part time employees), ten federal holidays, one floating holiday, and parental leave. The amount of vacation and personal days available varies based on tenure and role type.
The salary range is $90,000 \- $130,000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Must be authorized to work in the US without the need for employment\-based sponsorship now or in the future. A\&amp;M will not sponsor applicants for US work visa status for this role.
**Inclusive Diversity**
-----------------------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encouraging everyone to bring their whole self to work each day. It runs through how we recruit, develop employees, conduct business, support clients, and partner with vendors. It is the A\&amp;M way.
**Equal Opportunity Employer**
------------------------------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
**Unsolicited Resumes from Third\-Party Recruiters**
----------------------------------------------------
Please note that as per A\&amp;M policy, we do not accept unsolicited resumes from third\-party recruiters unless such recruiters are engaged to provide candidates for a specified opening. Any employment agency, person or entity that submits an unsolicited resume does so with the understanding that A\&amp;M will have the right to hire that applicant at its discretion without any fee owed to the submitting employment agency, person or entity.</t>
        </is>
      </c>
    </row>
    <row r="230">
      <c r="A230" t="inlineStr">
        <is>
          <t>in-f9464a2c3eead0ad</t>
        </is>
      </c>
      <c r="B230" t="inlineStr">
        <is>
          <t>Data Scientist, Generative &amp; Agentic AI Solutions: Senior Consultant</t>
        </is>
      </c>
      <c r="C230" t="inlineStr">
        <is>
          <t>Alvarez &amp; Marsal</t>
        </is>
      </c>
      <c r="D230" t="inlineStr">
        <is>
          <t>indeed</t>
        </is>
      </c>
      <c r="E230">
        <f>HYPERLINK("https://www.indeed.com/viewjob?jk=f9464a2c3eead0ad", "https://www.indeed.com/viewjob?jk=f9464a2c3eead0ad")</f>
        <v/>
      </c>
      <c r="F230">
        <f>HYPERLINK("https://careers.alvarezandmarsal.com/jobs/17206296-data-scientist-generative-and-agentic-ai-solutions-senior-consultant", "https://careers.alvarezandmarsal.com/jobs/17206296-data-scientist-generative-and-agentic-ai-solutions-senior-consultant")</f>
        <v/>
      </c>
      <c r="G230" t="inlineStr">
        <is>
          <t>Dallas, TX, US</t>
        </is>
      </c>
      <c r="H230" s="3" t="n">
        <v>46030</v>
      </c>
      <c r="I230" t="inlineStr">
        <is>
          <t>Location: Dallas, TX, United States  
Date Posted: Jan 9, 2026
**Description**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Join our growing AI \&amp; Analytics (AI\&amp;A) team within the Corporate Performance Improvement practice, where you'll drive innovation in AI by leveraging Generative and Agentic technologies to transform business strategies. As a Data Scientist at the Manager level, you will combine strategic consulting with hands\-on expertise to design and implement advanced AI solutions. Collaborating across practice areas, you will develop impactful applications that address complex business challenges and deliver measurable results for clients across industries.
This role offers the unique opportunity to serve as both a trusted advisor to clients and a hands\-on practitioner, developing and deploying advanced AI applications. You will collaborate closely with client executives, applying your technical skills to deliver tangible results. With access to exceptional career development opportunities, training, and exposure to diverse industries, you’ll play a key role in driving innovation and meaningful change.
**How you will contribute**
* Lead project workstreams effectively, balancing technical and functional while ensuring quality deliverables
* Serve as a hands\-on consultant, actively contributing to the development and implementation of AI solutions as needed to achieve project objectives
* Apply structured problem\-solving frameworks and methodologies to assist leaders to design and execute project plans, ensuring alignment with client goals
* Build strong relationships with clients, demonstrating executive presence and professionalism
* Support business development efforts, including proposal creation and sales initiatives
* Identify client needs and opportunities for A\&amp;M, leveraging your network to maintain and grow business relationships
* Foster an inclusive and engaging team environment that values collaboration and diverse perspectives
**Qualifications**
* 3\+ years of experience with Python, SQL, and AI/ML models, in analytics libraries like Pandas, NumPy, SciKit\-Learn, and PyTorch
* Proven experience and/or exposure developing Generative AI Solutions, including large language model (LLM) based applications, Retrieval\-Augmented Generation (RAG) systems
* Experience implementing Agentic AI frameworks, such as CrewAI and LangChain, to build autonomous systems in production settings
* Proficiency in building APIs and backend applications with frameworks like FastAPI and Flask
* Experience deploying solutions in cloud platforms such as AWS, GCP, or Azure (e.g. provisioning EC2 instances, creating Azure Bloc containers, etc.)
* Ability to translate and present complex technical concepts effectively
* Prior experience in consulting or a comparable client\-facing role
* Willingness to travel as required for client engagements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
Regular employees working 30 or more hours per week are also entitled to participate in Alvarez \&amp; Marsal Holdings’ fringe benefits consisting of healthcare plans, flexible spending and savings accounts, life, AD\&amp;D, and disability coverages at rates determined periodically as well as a 401(k) retirement savings plan. Provided the eligibility requirements are met, employees will also receive an annual discretionary contribution to their 401(k) retirement savings plan from Alvarez \&amp; Marsal. Additionally, employees are eligible for paid time off including vacation, personal days, seventy\-two (72\) hours of sick time (prorated for part time employees), ten federal holidays, one floating holiday, and parental leave. The amount of vacation and personal days available varies based on tenure and role type.
The salary range is $90,000 \- $130,000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Must be authorized to work in the US without the need for employment\-based sponsorship now or in the future. A\&amp;M will not sponsor applicants for US work visa status for this role.
**Inclusive Diversity**
-----------------------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encouraging everyone to bring their whole self to work each day. It runs through how we recruit, develop employees, conduct business, support clients, and partner with vendors. It is the A\&amp;M way.
**Equal Opportunity Employer**
------------------------------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
**Unsolicited Resumes from Third\-Party Recruiters**
----------------------------------------------------
Please note that as per A\&amp;M policy, we do not accept unsolicited resumes from third\-party recruiters unless such recruiters are engaged to provide candidates for a specified opening. Any employment agency, person or entity that submits an unsolicited resume does so with the understanding that A\&amp;M will have the right to hire that applicant at its discretion without any fee owed to the submitting employment agency, person or entity.</t>
        </is>
      </c>
    </row>
    <row r="231">
      <c r="A231" t="inlineStr">
        <is>
          <t>in-c1892ed02cbce9b5</t>
        </is>
      </c>
      <c r="B231" t="inlineStr">
        <is>
          <t>Data Scientist, Generative &amp; Agentic AI Solutions: Senior Consultant</t>
        </is>
      </c>
      <c r="C231" t="inlineStr">
        <is>
          <t>Alvarez &amp; Marsal</t>
        </is>
      </c>
      <c r="D231" t="inlineStr">
        <is>
          <t>indeed</t>
        </is>
      </c>
      <c r="E231">
        <f>HYPERLINK("https://www.indeed.com/viewjob?jk=c1892ed02cbce9b5", "https://www.indeed.com/viewjob?jk=c1892ed02cbce9b5")</f>
        <v/>
      </c>
      <c r="F231">
        <f>HYPERLINK("https://careers.alvarezandmarsal.com/jobs/17206297-data-scientist-generative-and-agentic-ai-solutions-senior-consultant", "https://careers.alvarezandmarsal.com/jobs/17206297-data-scientist-generative-and-agentic-ai-solutions-senior-consultant")</f>
        <v/>
      </c>
      <c r="G231" t="inlineStr">
        <is>
          <t>Houston, TX, US</t>
        </is>
      </c>
      <c r="H231" s="3" t="n">
        <v>46030</v>
      </c>
      <c r="I231" t="inlineStr">
        <is>
          <t>Location: Houston, TX, United States  
Date Posted: Jan 9, 2026
**Description**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Join our growing AI \&amp; Analytics (AI\&amp;A) team within the Corporate Performance Improvement practice, where you'll drive innovation in AI by leveraging Generative and Agentic technologies to transform business strategies. As a Data Scientist at the Manager level, you will combine strategic consulting with hands\-on expertise to design and implement advanced AI solutions. Collaborating across practice areas, you will develop impactful applications that address complex business challenges and deliver measurable results for clients across industries.
This role offers the unique opportunity to serve as both a trusted advisor to clients and a hands\-on practitioner, developing and deploying advanced AI applications. You will collaborate closely with client executives, applying your technical skills to deliver tangible results. With access to exceptional career development opportunities, training, and exposure to diverse industries, you’ll play a key role in driving innovation and meaningful change.
**How you will contribute**
* Lead project workstreams effectively, balancing technical and functional while ensuring quality deliverables
* Serve as a hands\-on consultant, actively contributing to the development and implementation of AI solutions as needed to achieve project objectives
* Apply structured problem\-solving frameworks and methodologies to assist leaders to design and execute project plans, ensuring alignment with client goals
* Build strong relationships with clients, demonstrating executive presence and professionalism
* Support business development efforts, including proposal creation and sales initiatives
* Identify client needs and opportunities for A\&amp;M, leveraging your network to maintain and grow business relationships
* Foster an inclusive and engaging team environment that values collaboration and diverse perspectives
**Qualifications**
* 3\+ years of experience with Python, SQL, and AI/ML models, in analytics libraries like Pandas, NumPy, SciKit\-Learn, and PyTorch
* Proven experience and/or exposure developing Generative AI Solutions, including large language model (LLM) based applications, Retrieval\-Augmented Generation (RAG) systems
* Experience implementing Agentic AI frameworks, such as CrewAI and LangChain, to build autonomous systems in production settings
* Proficiency in building APIs and backend applications with frameworks like FastAPI and Flask
* Experience deploying solutions in cloud platforms such as AWS, GCP, or Azure (e.g. provisioning EC2 instances, creating Azure Bloc containers, etc.)
* Ability to translate and present complex technical concepts effectively
* Prior experience in consulting or a comparable client\-facing role
* Willingness to travel as required for client engagements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
Regular employees working 30 or more hours per week are also entitled to participate in Alvarez \&amp; Marsal Holdings’ fringe benefits consisting of healthcare plans, flexible spending and savings accounts, life, AD\&amp;D, and disability coverages at rates determined periodically as well as a 401(k) retirement savings plan. Provided the eligibility requirements are met, employees will also receive an annual discretionary contribution to their 401(k) retirement savings plan from Alvarez \&amp; Marsal. Additionally, employees are eligible for paid time off including vacation, personal days, seventy\-two (72\) hours of sick time (prorated for part time employees), ten federal holidays, one floating holiday, and parental leave. The amount of vacation and personal days available varies based on tenure and role type.
The salary range is $90,000 \- $130,000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Must be authorized to work in the US without the need for employment\-based sponsorship now or in the future. A\&amp;M will not sponsor applicants for US work visa status for this role.
**Inclusive Diversity**
-----------------------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encouraging everyone to bring their whole self to work each day. It runs through how we recruit, develop employees, conduct business, support clients, and partner with vendors. It is the A\&amp;M way.
**Equal Opportunity Employer**
------------------------------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
**Unsolicited Resumes from Third\-Party Recruiters**
----------------------------------------------------
Please note that as per A\&amp;M policy, we do not accept unsolicited resumes from third\-party recruiters unless such recruiters are engaged to provide candidates for a specified opening. Any employment agency, person or entity that submits an unsolicited resume does so with the understanding that A\&amp;M will have the right to hire that applicant at its discretion without any fee owed to the submitting employment agency, person or entity.</t>
        </is>
      </c>
    </row>
    <row r="232">
      <c r="A232" t="inlineStr">
        <is>
          <t>in-1005ffa4eb0df5b3</t>
        </is>
      </c>
      <c r="B232" t="inlineStr">
        <is>
          <t>Data Scientist, Generative &amp; Agentic AI Solutions: Senior Consultant</t>
        </is>
      </c>
      <c r="C232" t="inlineStr">
        <is>
          <t>Alvarez &amp; Marsal</t>
        </is>
      </c>
      <c r="D232" t="inlineStr">
        <is>
          <t>indeed</t>
        </is>
      </c>
      <c r="E232">
        <f>HYPERLINK("https://www.indeed.com/viewjob?jk=1005ffa4eb0df5b3", "https://www.indeed.com/viewjob?jk=1005ffa4eb0df5b3")</f>
        <v/>
      </c>
      <c r="F232">
        <f>HYPERLINK("https://careers.alvarezandmarsal.com/jobs/17206298-data-scientist-generative-and-agentic-ai-solutions-senior-consultant", "https://careers.alvarezandmarsal.com/jobs/17206298-data-scientist-generative-and-agentic-ai-solutions-senior-consultant")</f>
        <v/>
      </c>
      <c r="G232" t="inlineStr">
        <is>
          <t>New York, NY, US</t>
        </is>
      </c>
      <c r="H232" s="3" t="n">
        <v>46030</v>
      </c>
      <c r="I232" t="inlineStr">
        <is>
          <t>Location: New York, NY, United States  
Date Posted: Jan 9, 2026
**Description**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Join our growing AI \&amp; Analytics (AI\&amp;A) team within the Corporate Performance Improvement practice, where you'll drive innovation in AI by leveraging Generative and Agentic technologies to transform business strategies. As a Data Scientist at the Manager level, you will combine strategic consulting with hands\-on expertise to design and implement advanced AI solutions. Collaborating across practice areas, you will develop impactful applications that address complex business challenges and deliver measurable results for clients across industries.
This role offers the unique opportunity to serve as both a trusted advisor to clients and a hands\-on practitioner, developing and deploying advanced AI applications. You will collaborate closely with client executives, applying your technical skills to deliver tangible results. With access to exceptional career development opportunities, training, and exposure to diverse industries, you’ll play a key role in driving innovation and meaningful change.
**How you will contribute**
* Lead project workstreams effectively, balancing technical and functional while ensuring quality deliverables
* Serve as a hands\-on consultant, actively contributing to the development and implementation of AI solutions as needed to achieve project objectives
* Apply structured problem\-solving frameworks and methodologies to assist leaders to design and execute project plans, ensuring alignment with client goals
* Build strong relationships with clients, demonstrating executive presence and professionalism
* Support business development efforts, including proposal creation and sales initiatives
* Identify client needs and opportunities for A\&amp;M, leveraging your network to maintain and grow business relationships
* Foster an inclusive and engaging team environment that values collaboration and diverse perspectives
**Qualifications**
* 3\+ years of experience with Python, SQL, and AI/ML models, in analytics libraries like Pandas, NumPy, SciKit\-Learn, and PyTorch
* Proven experience and/or exposure developing Generative AI Solutions, including large language model (LLM) based applications, Retrieval\-Augmented Generation (RAG) systems
* Experience implementing Agentic AI frameworks, such as CrewAI and LangChain, to build autonomous systems in production settings
* Proficiency in building APIs and backend applications with frameworks like FastAPI and Flask
* Experience deploying solutions in cloud platforms such as AWS, GCP, or Azure (e.g. provisioning EC2 instances, creating Azure Bloc containers, etc.)
* Ability to translate and present complex technical concepts effectively
* Prior experience in consulting or a comparable client\-facing role
* Willingness to travel as required for client engagements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
Regular employees working 30 or more hours per week are also entitled to participate in Alvarez \&amp; Marsal Holdings’ fringe benefits consisting of healthcare plans, flexible spending and savings accounts, life, AD\&amp;D, and disability coverages at rates determined periodically as well as a 401(k) retirement savings plan. Provided the eligibility requirements are met, employees will also receive an annual discretionary contribution to their 401(k) retirement savings plan from Alvarez \&amp; Marsal. Additionally, employees are eligible for paid time off including vacation, personal days, seventy\-two (72\) hours of sick time (prorated for part time employees), ten federal holidays, one floating holiday, and parental leave. The amount of vacation and personal days available varies based on tenure and role type.
The salary range is $90,000 \- $130,000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Must be authorized to work in the US without the need for employment\-based sponsorship now or in the future. A\&amp;M will not sponsor applicants for US work visa status for this role.
**Inclusive Diversity**
-----------------------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encouraging everyone to bring their whole self to work each day. It runs through how we recruit, develop employees, conduct business, support clients, and partner with vendors. It is the A\&amp;M way.
**Equal Opportunity Employer**
------------------------------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
**Unsolicited Resumes from Third\-Party Recruiters**
----------------------------------------------------
Please note that as per A\&amp;M policy, we do not accept unsolicited resumes from third\-party recruiters unless such recruiters are engaged to provide candidates for a specified opening. Any employment agency, person or entity that submits an unsolicited resume does so with the understanding that A\&amp;M will have the right to hire that applicant at its discretion without any fee owed to the submitting employment agency, person or entity.</t>
        </is>
      </c>
    </row>
    <row r="233">
      <c r="A233" t="inlineStr">
        <is>
          <t>in-fb42dae9df353f83</t>
        </is>
      </c>
      <c r="B233" t="inlineStr">
        <is>
          <t>Data Scientist (MMM)</t>
        </is>
      </c>
      <c r="C233" t="inlineStr">
        <is>
          <t>FocusKPI Inc.</t>
        </is>
      </c>
      <c r="D233" t="inlineStr">
        <is>
          <t>indeed</t>
        </is>
      </c>
      <c r="E233">
        <f>HYPERLINK("https://www.indeed.com/viewjob?jk=fb42dae9df353f83", "https://www.indeed.com/viewjob?jk=fb42dae9df353f83")</f>
        <v/>
      </c>
      <c r="F233">
        <f>HYPERLINK("https://focuskpi.applytojob.com/apply/PGltbK2XOB/Data-Scientist-MMM?source=INDE&amp;~", "https://focuskpi.applytojob.com/apply/PGltbK2XOB/Data-Scientist-MMM?source=INDE&amp;~")</f>
        <v/>
      </c>
      <c r="G233" t="inlineStr">
        <is>
          <t>San Bruno, CA, US</t>
        </is>
      </c>
      <c r="H233" s="3" t="n">
        <v>46030</v>
      </c>
      <c r="I233" t="inlineStr">
        <is>
          <t>FocusKPI is seeking a **Data Scientist with MMM (Market Mix Modeling)** to enable deep media insights through advanced analytics for our client, one of the largest retailers/e\-commerce companies in the U.S.
Work Location:**Remote in the U.S.**  
Duration:**6\-month contract with potential for extension and conversion, depending on budget and performance**  
Pay range: **$50\+/hour**
**Responsibilities:**
* Perform hands\-on coding to retrieve and analyze large datasets using Python and SQL
* Integrate disparate data sources and leverage state\-of\-the\-art analytics best practices to deliver integrated, actionable insights to partners and stakeholders
* Manage and streamline the data extraction process with great attention to detail
* Assess the potential usefulness, validity, and rigor of new data sources
* Work witha cross\-functional team to ensure that the quality of the data is of the highest standard
* Help with media mix models to connect the impact of marketing tactics and business short\-term and long\-term outcomes
**Qualifications:**
* Ph.D. degree in statistics/mathematics, engineering, computer science, economics, or a related field
* 3\+ years of industry experience in a data, analytics, and data science role
* Experience with advertising, measurement, and/or digital marketing analytics
* Experience with advertising technology platforms, Ad servers, DSPs, DMPs, etc.
* Proficient coding skills (**SQL/Python/R**)
* Deep knowledge of relational database capabilities and experience with big data technologies (Hive/Hadoop)
* Proficient BI/BA data visualization tools (**Tableau**, Power BI, ThoughtSpot, Looker, etc.)
* Experience working with **Marketing Mix Modeling (MMM) and/or Multi\-Touch Attribution Models (MTA)**
* Experience with Modeling and Machine learning
* Experience with cloud technologies such as GCP, AWS, and Azure
* Experience in integrating, structuring, and analyzing large amounts of data from diverse sources
* Strong project management skills, attention to detail, and documentation skills.
* Strong written and verbal communication with the ability to communicate complex technical topics clearly to a range of audiences and to ‘tell a story that provides insight into the business
* Passion for working in a fast\-paced agile environment.
* A collaborative mindset and sense of curiosity
* Experience with predictive modeling algorithms and optimization techniques
* Experience applying statistics to business problems
Thank you!
FocusKPI Hiring Team
Founded in 2010, FocusKPI, Inc. (FocusKPI) is a data science and technology firm specializing in predictive analytics practice and methodologies. FocusKPI is a US company headquartered in Silicon Valley, California with an East Coast office in Boston, Massachusetts.
**NOTICE:** Please be aware of fraudulent emails regarding job postings, job offers and fake checks. FocusKPI's recruiting team will strictly reach out via @focuskpi.com email domain. If you have received fraudulent emails now or in the past, please report it to https://reportfraud.ftc.gov/ .  
The domain @focuskpijobs.com is fraudulent and not related to FocusKPI. Please do not not reply or communicate to anyone with @focuskpijobs.com.
PGltbK2XOB</t>
        </is>
      </c>
    </row>
    <row r="234">
      <c r="A234" t="inlineStr">
        <is>
          <t>in-38023d25a7714dd3</t>
        </is>
      </c>
      <c r="B234" t="inlineStr">
        <is>
          <t>Manager, Data Scientist - US Card (Generative AI Systems)</t>
        </is>
      </c>
      <c r="C234" t="inlineStr">
        <is>
          <t>Information Technology Senior Management Forum</t>
        </is>
      </c>
      <c r="D234" t="inlineStr">
        <is>
          <t>indeed</t>
        </is>
      </c>
      <c r="E234">
        <f>HYPERLINK("https://www.indeed.com/viewjob?jk=38023d25a7714dd3", "https://www.indeed.com/viewjob?jk=38023d25a7714dd3")</f>
        <v/>
      </c>
      <c r="F234">
        <f>HYPERLINK("https://jobs.itsmfleaders.org/job/rfgnnl/manager-data-scientist-us-card-(generative-ai-systems)/mclean/va", "https://jobs.itsmfleaders.org/job/rfgnnl/manager-data-scientist-us-card-(generative-ai-systems)/mclean/va")</f>
        <v/>
      </c>
      <c r="G234" t="inlineStr">
        <is>
          <t>McLean, VA, US</t>
        </is>
      </c>
      <c r="H234" s="3" t="n">
        <v>46029</v>
      </c>
      <c r="I234" t="inlineStr">
        <is>
          <t>Posted Date
1/08/2026
Description
Manager, Data Scientist \- US Card (Generative AI Systems)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Generative AI Systems (Genesis) team within Card Data Science builds state\-of\-art, generative AI\-based solutions for dialogue, text summarization, reading comprehension, speech recognition, image/document processing as well as time\-series sequencing modeling. We partner with product, tech and design teams to deliver internal applications based on these solutions that drive efficiency in our business and data analytics teams, as well as customer\-facing applications that enhance the customer experience. You will work with a seasoned group of natural language processing (NLP), speech, and computer vision specialists, experimenting with emerging technologies in generative AI, delivering software implementing these technologies, and contributing research to major NLP and AI/ML conferences.
**Role Description**
In this role, you will:
* Partner with a cross\-functional team of data scientists, software engineers, and product managers to deliver a product customers love
* Leverage a broad stack of technologies — Python, Kubernetes,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data science solutions using open\-source tools and cloud computing platforms.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6 years of experience performing data analytics
	+ A Master's Degree in a quantitative field (Statistics, Economics, Operations Research, Analytics, Mathematics, Computer Science, or a related quantitative field) or an MBA with a quantitative concentration plus 4 years of experience performing data analytics
	+ A PhD in a quantitative field (Statistics, Economics, Operations Research, Analytics, Mathematics, Computer Science, or a related quantitative field) plus 1 year of experience performing data analytics
* At least 1 year of experience leveraging open source programming languages for large scale data analysis
* At least 1 year of experience working with machine learning
* At least 1 year of experience utilizing relational databases
**Preferred Qualifications:**
* PhD in “STEM” field (Science, Technology, Engineering, or Mathematics) plus 3 years of experience in data analytics
* At least 1 year of experience working with AWS
* At least 4 years’ experience in Python, Scala, or R for large scale data analysis
* At least 4 years’ experience with machine learning
* At least 4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Mgr, Data Science  
New York, NY: $215,200 \- $245,600 for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Manager, Data Scientist \- US Card (Generative AI Systems)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Generative AI Systems (Genesis) team within Card Data Science builds state\-of\-art, generative AI\-based solutions for dialogue, text summarization, reading comprehension, speech recognition, image/document processing as well as time\-series sequencing modeling. We partner with product, tech and design teams to deliver internal applications based on these solutions that drive efficiency in our business and data analytics teams, as well as customer\-facing applications that enhance the customer experience. You will work with a seasoned group of natural language processing (NLP), speech, and computer vision specialists, experimenting with emerging technologies in generative AI, delivering software implementing these technologies, and contributing research to major NLP and AI/ML conferences.
**Role Description**
In this role, you will:
* Partner with a cross\-functional team of data scientists, software engineers, and product managers to deliver a product customers love
* Leverage a broad stack of technologies — Python, Kubernetes,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data science solutions using open\-source tools and cloud computing platforms.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6 years of experience performing data analytics
	+ A Master's Degree in a quantitative field (Statistics, Economics, Operations Research, Analytics, Mathematics, Computer Science, or a related quantitative field) or an MBA with a quantitative concentration plus 4 years of experience performing data analytics
	+ A PhD in a quantitative field (Statistics, Economics, Operations Research, Analytics, Mathematics, Computer Science, or a related quantitative field) plus 1 year of experience performing data analytics
* At least 1 year of experience leveraging open source programming languages for large scale data analysis
* At least 1 year of experience working with machine learning
* At least 1 year of experience utilizing relational databases
**Preferred Qualifications:**
* PhD in “STEM” field (Science, Technology, Engineering, or Mathematics) plus 3 years of experience in data analytics
* At least 1 year of experience working with AWS
* At least 4 years’ experience in Python, Scala, or R for large scale data analysis
* At least 4 years’ experience with machine learning
* At least 4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Mgr, Data Science  
New York, NY: $215,200 \- $245,600 for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197,300\.00 \- 225,100\.00 Annual
Type
Full\-time</t>
        </is>
      </c>
    </row>
    <row r="235">
      <c r="A235" t="inlineStr">
        <is>
          <t>in-f64801cfaf2219be</t>
        </is>
      </c>
      <c r="B235" t="inlineStr">
        <is>
          <t>Data Scientist</t>
        </is>
      </c>
      <c r="C235" t="inlineStr">
        <is>
          <t>Jorie AI</t>
        </is>
      </c>
      <c r="D235" t="inlineStr">
        <is>
          <t>indeed</t>
        </is>
      </c>
      <c r="E235">
        <f>HYPERLINK("https://www.indeed.com/viewjob?jk=f64801cfaf2219be", "https://www.indeed.com/viewjob?jk=f64801cfaf2219be")</f>
        <v/>
      </c>
      <c r="F235">
        <f>HYPERLINK("https://jorieai.bamboohr.com/careers/142?source=indeed&amp;src=indeed&amp;postedDate=2025-12-19", "https://jorieai.bamboohr.com/careers/142?source=indeed&amp;src=indeed&amp;postedDate=2025-12-19")</f>
        <v/>
      </c>
      <c r="G235" t="inlineStr">
        <is>
          <t>Oak Brook, IL, US</t>
        </is>
      </c>
      <c r="H235" s="3" t="n">
        <v>46009</v>
      </c>
      <c r="I235" t="inlineStr">
        <is>
          <t>**About Jorie:**
Jorie AI, occupies a uniquely interconnected position at the center of the healthcare industry. An inseparable part of today's healthcare billing ecosystem, with leading edge technology that is driving transformation with AI infused Robotic Process Automation for end\-to\-end Revenue Cycle Management, providing practice and financial management services to the healthcare industry. Applied Intelligence, Better Insight, Accelerated Efficiencies with Jorie AI.
 **Our work environment:**
* Remote opportunities
* Growth advancement opportunities
* Flexible work environment (Work\-life Balance)
* Collaborative and friendly company culture
**Pay:**
* $110\-$150K
**Job Title: Data Scientist**
Job Overview:
We are seeking a highly skilled Data Scientist with strong Healthcare Revenue Cycle Management (RCM) expertise to join our Data Science and Engineering Team. The primary responsibility for this role is to build high\-quality, client facing RCM dashboards using Power BI that provide executives and operations teams with actionable insights.
The Ideal candidate understands the full RCM ecosystem, charges, payments, write\-offs, denials, AR gaining, coding workflows, payor reimbursement behavior and has advanced analytics skills to translate raw data into meaningful metrics. They should also have experience with Databricks, distributed data processing, predictive modeling, and agile documentation tolls like Confluence and Jira.  
This role is highly collaborative and client\-facing supporting data discovery, dashboard development, and interpreting insights that drive RCM performance improvement.
 **Responsibilities:**
* Power BI Dashboard Development (Primary Responsibility)
	+ Build end\-to\-end RCM dashboards in Power BI for new and existing clients.
	+ Transform raw encounter, claims, payment, AR, and denial data into intuitive visualizations.
	+ Develop KPI frameworks and executive\-level dashboards (e.g., collections, denials, AR performance, coding trends).
	+ Optimize data models for performance, accuracy, and refresh reliability.
	+ Ensure all dashboards adhere to internal design standards, naming conventions, and SOPs.
* RCM Analytics \&amp; Insight Generation
	+ Analyze healthcare RCM datasets to uncover trends, bottlenecks, and improvement opportunities.
	+ Work directly with RCM and client teams to understand workflows and convert business rules into measurable KPIs.
	+ Provide data\-driven recommendations to improve reimbursement, throughput, and operational efficiency.
* Data Engineering \&amp; Databricks Collaboration
	+ Use Databricks for data discovery, transformation, and validation.
	+ Troubleshoot data quality issues and partner with engineers to ensure accurate pipeline execution.
	+ Validate that received client data aligns with expected volume, structure, and completeness.
* Predictive Modeling \&amp; Advanced Analytics (Secondary Responsibility)
	+ Develop predictive models such as denial prediction, payment probability, and cashflow forecasting.
	+ Support innovation in analytics across the department.
* Project Management, Documentation \&amp; Collaboration
	+ Use Jira to manage spring tasks, dashboard documentation, metric definitions, and process notes in Confluence.
	+ Support onboarding calls, requirements intake, and client data mapping sessions.
**Required Qualifications:**
* Bachelor’s or Master’s degree in data science, Statistics, Health Informatics, Computer Science, or related field.
* 3\-5\+ years of hands\-on experience in healthcare RCM analytics (claims, billing, AR, payments, denials).
* 2\+ years of building Power BI dashboards with strong DAX and modeling skills.
* Strong SQL skills and familiarity with large\-scale healthcare datasets.
* Experience working with Databricks
* Proven ability to translate business and RCM requirements into dashboards and KPIs.
* Experience using Confluence and Jira in an agile environment.
* Excellent communication skills with the ability to present insights to clients.
* Strong understanding of HIPAA regulations and healthcare data security.
**Preferred Qualifications**
* Experience with Azure (ADLS, AKV, ADF).
* Experience automating data ingestion (API, SFTP, RPA).
* Familiarity with Tableau (not required, but helpful).
* Prior consulting or client\-facing analytics experience.
* Background supporting medical groups, billing companies, or RCM vendors.
**Core Competencies**
* Strong analytical and critical thinking
* Clear and concise communication
* Detail\-orientation and accuracy in analysis
* Results\-driven mindset
* Ability to manage multiple clients and tasks simultaneously
* Collaborative and willing to work cross\-functionally
**What We Offer**
* The opportunity to build analytics dashboards that clients rely on to run their business
* Fast\-paced environment with significant impact
* Growth in predictive analytics, automation, and large\-scale data engineering
* Collaborative team culture within Data Science \&amp; Engineering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li-4359408818</t>
        </is>
      </c>
      <c r="B2" t="inlineStr">
        <is>
          <t>RBQM Data Scientist</t>
        </is>
      </c>
      <c r="C2" t="inlineStr">
        <is>
          <t>Largeton Group</t>
        </is>
      </c>
      <c r="D2" t="inlineStr">
        <is>
          <t>linkedin</t>
        </is>
      </c>
      <c r="E2" t="inlineStr"/>
      <c r="F2" t="inlineStr"/>
      <c r="G2" t="inlineStr"/>
      <c r="H2" t="inlineStr"/>
      <c r="I2" t="inlineStr">
        <is>
          <t>**Job Summary (List Format):** 
**RBQM Data Scientist (Remote)**
* Support central monitoring and risk\-based quality management (RBQM) for pharmaceutical clinical trials.
* Implement and maintain pre\-defined Key Risk Indicators (KRIs), Quality Tolerance Limits (QTLs), and triggers using advanced SAS programming.
* Extract, transform, and integrate clinical data from EDC systems (e.g., RAVE) and other sources into analysis\-ready SAS datasets.
* Generate routine and ad\-hoc RBQM/central monitoring outputs (tables, listings, data extracts, dashboard feeds) for signal detection and study review.
* Perform quality control and troubleshooting of SAS code to ensure accuracy and efficiency of outputs.
* Maintain thorough technical documentation for all RBQM programs and processes, including specifications, validation records, and change logs.
* Collaborate with cross\-functional teams (Central Monitors, Statistical Monitors, Data Management, Biostatistics, Study Operations) to gather requirements and implement RBQM metrics correctly.
* Utilize strong pharmaceutical clinical development experience and advanced SAS skills in a clinical trial setting.
* Prefer candidates with experience in RAVE EDC, knowledge of CDISC standards, and exposure to other programming languages or clinical data visualization tools.
* Education requirements: PhD/MS/BA/BS in relevant field with appropriate years of clinical development experience.</t>
        </is>
      </c>
    </row>
    <row r="3">
      <c r="A3" t="inlineStr">
        <is>
          <t>li-4359750211</t>
        </is>
      </c>
      <c r="B3" t="inlineStr">
        <is>
          <t>Data Scientist (Remote)</t>
        </is>
      </c>
      <c r="C3" t="inlineStr">
        <is>
          <t>Elder Research</t>
        </is>
      </c>
      <c r="D3" t="inlineStr">
        <is>
          <t>linkedin</t>
        </is>
      </c>
      <c r="E3" t="inlineStr"/>
      <c r="F3" t="inlineStr"/>
      <c r="G3" t="inlineStr"/>
      <c r="H3" t="inlineStr"/>
      <c r="I3" t="inlineStr">
        <is>
          <t>**Job Title:** 
 Data Scientist
**Location:** 
 Preference for individuals located in the DC Metro / DMV region
**Workplace:** 
 Remote (occasional travel may be required)
**Clearance Required:** 
 Secret
**Position Overview**
 As a Data Scientist, you will work directly with clients, managers and technical staff to understand business needs, develop technical plans, and deliver data\-driven analytical solutions that solve client problems. You will process, analyze, and visualize data from a wide variety of sources and types using Databricks, Python, SQL, and Qlik.
**Responsibilities Include**
* Perform data science capabilities using analytic environments such as Databricks and open\-source analytic code such as Python and SQL.
* Deploy products (e.g., dashboards, workflows, decision support algorithms, etc.) for operational use on data platforms like Advana, using data visualization software such as Qlik.
* Create prototypes/proof of concept demonstrations utilizing rapid development of new data pipelines.
**Position Requirements**
* Active Secret Security Clearance
* Bachelor of Science degree in Computer Science, Mathematics, Statistics, Data Science or similar field
* 3\+ years of experience
* Experience working with Python
* Experience with SQL
* Experience with data visualization (Qlik ideally, Tableau/PowerBI/other software acceptable)
* Continuous Learning Mindset
**Preferred Qualifications** 
* AWS Experience
* JavaScript familiarity
* Experience with Advana is a plus
* Experience with CDAO is a plus
* Familiarity with the mission space and Office of the Undersecretary of Defense for Personnel and Readiness is a plus
* Experience with or desire to learn to:
+ Deploy validated models into production to support the development of decision support tools, dashboards, and workflows.
+ Perform statistical learning and pattern recognition through unsupervised, supervised, and reinforcement learning methods.
+ Leverage deep learning techniques/technologies such as neural networks/Graphical Processing Units (GPUs) to create large\-language models (LLMs).
**Why apply to this position at Elder Research?**
* Competitive Salary and Benefits
* Important Work / Make a Difference supporting U.S. national security.
* Job Stability: Elder Research is not a typical government contractor, we hire you for a career not just a contract.
* People\-Focused Culture: we prioritize work\-life\-balance and provide a supportive, positive, and collaborative work environment as well as opportunities for professional growth and advancement.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4">
      <c r="A4" t="inlineStr">
        <is>
          <t>li-4350076161</t>
        </is>
      </c>
      <c r="B4" t="inlineStr">
        <is>
          <t>Data Scientist, Product Analytics</t>
        </is>
      </c>
      <c r="C4" t="inlineStr">
        <is>
          <t>Meta</t>
        </is>
      </c>
      <c r="D4" t="inlineStr">
        <is>
          <t>linkedin</t>
        </is>
      </c>
      <c r="E4" t="inlineStr"/>
      <c r="F4" t="inlineStr"/>
      <c r="G4" t="inlineStr">
        <is>
          <t>Mountain View, CA</t>
        </is>
      </c>
      <c r="H4" t="inlineStr"/>
      <c r="I4"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
      <c r="A5" t="inlineStr">
        <is>
          <t>li-4350285320</t>
        </is>
      </c>
      <c r="B5" t="inlineStr">
        <is>
          <t>Data Scientist, Product Analytics</t>
        </is>
      </c>
      <c r="C5" t="inlineStr">
        <is>
          <t>Meta</t>
        </is>
      </c>
      <c r="D5" t="inlineStr">
        <is>
          <t>linkedin</t>
        </is>
      </c>
      <c r="E5" t="inlineStr"/>
      <c r="F5" t="inlineStr"/>
      <c r="G5" t="inlineStr">
        <is>
          <t>Fremont, CA</t>
        </is>
      </c>
      <c r="H5" t="inlineStr"/>
      <c r="I5"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
      <c r="A6" t="inlineStr">
        <is>
          <t>li-4344769602</t>
        </is>
      </c>
      <c r="B6" t="inlineStr">
        <is>
          <t>Data Scientist</t>
        </is>
      </c>
      <c r="C6" t="inlineStr">
        <is>
          <t>Juul Labs</t>
        </is>
      </c>
      <c r="D6" t="inlineStr">
        <is>
          <t>linkedin</t>
        </is>
      </c>
      <c r="E6" t="inlineStr"/>
      <c r="F6" t="inlineStr"/>
      <c r="G6" t="inlineStr"/>
      <c r="H6" t="inlineStr"/>
      <c r="I6" t="inlineStr">
        <is>
          <t>**THE COMPANY:** 
 Juul Labs's mission is to transition the world’s billion adult smokers away from combustible cigarettes, eliminate their use, and combat underage usage of our products. We have the opportunity to address one of the world’s most intractable challenges through a commitment to exceptional quality, research, design, and innovation. Backed by leading technology investors, we are committed to the same excellence when it comes to hiring great talent.
 We are a diverse team that is united by this common purpose and we are hiring the world’s best engineers, scientists, designers, product managers, operations experts, and customer service and business professionals. If the opportunity to build your career is compelling, read on for more details.
**ROLE AND RESPONSIBILITIES:** 
* Comfortable being in a hybrid role, working between the business, other data scientists, and data engineers to reveal what trends and KPIs matter. You will primarily focus on advancing conviction in decision making throughout Juul Labs
* Design robust, reusable and scalable data solutions and data mining frameworks to automate analysis. We largely use DBT, BigQuery, Hex, Vertex AI, and Tableau today – however are open to adapt
* Build models to analyze various datasets across the organization, largely leveraging our vast commercial sales and execution data
* Partner and collaborate with Data Engineers in active development of large\-scale engineering projects across the entire lifecycle of Data from source, ingestion, modeling, and mining
* Work in an agile environment using Trello
* Develop new systems and tools to enable stakeholders to consume and understand data more intuitively
* Create and establish design standards and assurance processes to ensure compatibility and operability of data connections, flows and storage requirements
* Keep JUUL Labs on the cutting edge of data technology
* Perform related duties as assigned, within your scope of practice
* Our Data Stack:
+ Airflow, Pub/Sub, Cloud Run, Fivetran
+ Google Cloud Platform \- GCP (BigQuery, Vertex AI, Storage, Dataflow, Pub/Sub, Cloud Run, Cloud Build
+ DBT
+ Foundational.IO
+ Tableau, Hex
**PERSONAL AND PROFESSIONAL QUALIFICATIONS:** 
* 5\+ years of data science experience
* Experience translating complex analytical findings into clear business recommendations
* Experience independently driving data science and engineering solutions
* Advanced knowledge in using Python and SQL for data analysis over large\-scale datasets
* Skilled using python libraries and packages (Pandas, Polars, PyArrow) in conjunction with the Google Cloud Platform (BigQuery)
* Comfortable working on AI pipelines (Vertex AI)
* Knowledge of bash/shell and orchestration tools (e.g. Airflow), is preferred
* Experience with version control (Git) and containers (Docker)
* Skilled in analytical SQL in support of data modeling/ transformations and manipulating multiple data formats (dbt)
* Foundational expertise of deploying and maintaining machine learning pipelines is a plus
**EDUCATION:** 
* Bachelor's degree required
* Masters degree in Computer Science, Engineering, Math, or equivalent experience preferred
**JUUL LABS PERKS \&amp; BENEFITS:** 
* A place to grow your career. We’ll help you set big goals \- and exceed them
* People. Work with talented, committed and supportive teammates
* Equity and performance bonuses. Every employee is a stakeholder in our success
* Cell phone subsidy, commuter benefits and discounts on JUUL products
* Excellent medical, dental and vision, disability, and life insurance, plus family support, wellness, legal, and employee assistance program benefits
* 401(k) plan with company matching
* Plus biannual discretionary performance bonuses
 Juul Labs is proud to be an equal opportunity employer and is committed to creating a diverse and inclusive work environment for all employees and job applicants, without regard to race, color, religion, sex, sexual orientation, age, gender identity or gender expression, national origin, disability or veteran status. Juul Labs also complies with applicable employment eligibility verification requirements. All applicants must have the authorization to work for Juul Labs in the country of employment.
 SALARY RANGES:Salary varies by role, level and location, and is dependent on the cost of labor in a givengeographic region among other factors. These ranges may be modified at any time.LOCATIONS:Tier 1 Locations: Greater New York City, and San Francisco Bay AreaTier 2 Locations: Greater Boston, Washington DC Metropolitan Area, Seattle/Tacoma,Greater Sacramento, Southern California (Los Angeles/OC/San Diego, Riverside and Imperial counties)Tier 3 Locations: Rest of New England, NY Capital District, Rest of New Jersey, GreaterPhiladelphia, Pittsburgh, Delaware, Rest of Maryland, Rest of Virginia, North Carolina,Atlanta, Miami\-Fort Lauderdale\-WPB, Chicagoland, Dallas, Houston, Austin,Minneapolis/St. Paul, Colorado, Phoenix, Las Vegas, Reno, Carson City NV., Portland Ore./VancouverWash., Rest of California, HawaiiTier 4 Locations: Rest of US including Alaska and Puerto Rico
 Tier 1 Range:: $185,000 USD \- $227,000 USD
 Tier 2 Range:: $168,000 USD \- $206,000 USD
 Tier 3 Range:: $158,000 USD \- $194,000 USD
 Tier 4 Range:: $141,000 USD \- $173,000 USD</t>
        </is>
      </c>
    </row>
    <row r="7">
      <c r="A7" t="inlineStr">
        <is>
          <t>li-4347861151</t>
        </is>
      </c>
      <c r="B7" t="inlineStr">
        <is>
          <t>Senior Data Scientist</t>
        </is>
      </c>
      <c r="C7" t="inlineStr">
        <is>
          <t>Samsara</t>
        </is>
      </c>
      <c r="D7" t="inlineStr">
        <is>
          <t>linkedin</t>
        </is>
      </c>
      <c r="E7" t="inlineStr"/>
      <c r="F7" t="inlineStr"/>
      <c r="G7" t="inlineStr"/>
      <c r="H7" t="inlineStr"/>
      <c r="I7"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The Senior Data Scientist will bring rigor to strategic initiatives across the Support Organization. As a Senior Data Scientist, you will be a core technical contributor to our Data Science and Analytics team with deep expertise in driving data\-driven decision\-making, data querying/munging, data visualization, and predictive analytics. You will work closely with Support, Product, and technical teams to translate business questions into quantitative analysis and deliver data\-driven strategies.
 This role is open to candidates residing in the US except the San Francisco Bay Area (125 mi. radius from 1 De Haro St, San Francisco) and NYC Metro Area (50 mi. radius from 131 W 55th St, New York).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Translate data into strategic insights via memos, presentations, dashboards, etc. to support decision\-making for operational and leadership teams
* Building analytical models to identify patterns, anomalies, and root causes (e.g., analyzing ticket data to proactively identify common customer issues)
* Design and run A/B and other experiments and tests to evaluate AI solutions
* Build relationships with technical and non\-technical stakeholders to understand data structures and business priorities
* Leverage SQL, Python/R to shape and analyze data
* Build a strong sense of product and data acumen (e.g. customer experience, data logging)
* Stay connected to industry and academic research and adopt novel technology that suits Samsara’s needs
* Champion, role model, and embed Samsara’s cultural principles (Focus on Customer Success, Build for the Long Term, Adopt a Growth Mindset, Be Inclusive, Win as a Team) as we scale globally and across new offices
**Minimum requirements for the role:**
* Advance degree in Statistics or other quantitative field (e.g., Applied Math, Engineering, Computer Science, Physics, etc.)
* 8\+ years experience in a data\-related role relevant (data science, data analyst, business analytics, business intelligence)
* Proficiency in data manipulation and processing in SQL, Python, and/or R
* Experience building statistical and other analytical models, preferably in Python or R
* Ability to communicate trends and learnings via data visualizations including Tableau
* Ability to effectively share project statuses and take ownership of tasks while handling competing priorities
* Ability to distill informal or ambiguous customer and business requirements into crisp problem definitions
* Proven ability to communicate verbally and in writing to technical peers and leadership teams with various levels of technical knowledge
* Curious about our data, our product and excited to have an impact
**An ideal candidate also has:**
* PhD in Statistics or other quantitative field
* Ability to scale models into automated pipelines
* A strong track record of cross\-functional partnership
* Record of successful mentoring and development of team members
* Experience working with large datasets using distributed computing (e.g., Spark, Hive)
 The range of annual base salary for full\-time employees for this position is below. Please note that base pay offered may vary depending on factors including your city of residence, job\-related knowledge, skills, and experience.
 $119,000—$200,000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8">
      <c r="A8" t="inlineStr">
        <is>
          <t>li-4359624648</t>
        </is>
      </c>
      <c r="B8" t="inlineStr">
        <is>
          <t>Data Scientist (Energy)</t>
        </is>
      </c>
      <c r="C8" t="inlineStr">
        <is>
          <t>Microsoft</t>
        </is>
      </c>
      <c r="D8" t="inlineStr">
        <is>
          <t>linkedin</t>
        </is>
      </c>
      <c r="E8" t="inlineStr"/>
      <c r="F8" t="inlineStr"/>
      <c r="G8" t="inlineStr">
        <is>
          <t>Redmond, WA</t>
        </is>
      </c>
      <c r="H8" t="inlineStr"/>
      <c r="I8" t="inlineStr">
        <is>
          <t>**Overview**
 Microsoft’s Cloud Operations \&amp; Innovation (CO\+I) team is responsible for the full lifecycle of Microsoft’s cloud infrastructure, spanning site selection, development, and operations. Our global footprint includes more than 400 datacenters in 34 countries, supported by over 165,000 miles of fiber optic cable. These facilities form the backbone of Microsoft Azure and are central to our commitment to reliable, secure, and sustainable digital infrastructure.
 The CO\+I Energy Analytics team builds data platforms and insights that support Microsoft’s global datacenter growth and sustainability goals.
 We work across the CO\+I Energy Team to translate complex energy data into trusted, actionable insights that inform decisions at scale. Our work helps the Energy Team plan, operate, and optimize responsibly as Microsoft continues to grow its cloud footprint worldwide and solidify its leadership in providing infrastructure for the global AI economy.
 We value diverse perspectives, a growth mindset, and data‑driven problem solving. Our team takes a collaborative, end‑to‑end approach to challenges—combining technical rigor with curiosity and continuous learning—to deliver meaningful impact.
 As a Data and Applied Scientist for Energy Analytics, you will focus on developing the data infrastructure necessary to operate and scale one of the world’s largest corporate energy portfolios. The candidate will work across sustainability reporting, energy markets, data center operations and other cross\-functional teams to build efficient architecture and integrate across these pillars to deliver solutions for the Energy team. The candidate will have the ability to ensure efficient and reliable delivery of data solutions across design, building and maintaining scalable data pipelines and other Azure infrastructure (blob storage, VMs, etc.) to automate deployment and integration workflows, as well as work closely with end users and reporting teams to understand requirements and develop targeted solutions.
 The candidate will have the ability to collaborate with cross\-functional teams, get up to speed on new data sources or technologies quickly, and communicate clearly with technical and non\-technical audiences. They will bring an innovative, collaborative presence to the role to enable energy analytics to scale our portfolio with confidence, helping the business realize growth goals, lower costs, and meet sustainability targets. This role will provide the candidate a unique opportunity to join a high impact team and gain exposure to business\-critical topics of energy markets and cloud infrastructure.
**Responsibilities**
* Architect and Develop Data Pipelines: Design, build, and maintain scalable data pipelines and workflows using Python and SQL to support data integration, transformation, and loading processes.
* Build and Maintain ADO Pipelines: Develop and manage Azure DevOps (ADO) pipelines and other Azure Infrastructure (subscription, blob storage, VMs, etc.) to automate deployment and integration workflows, ensuring efficient and reliable delivery of data solutions.
* Implement Best Software Practices: Drive and enforce best practices in software development, including code reviews, testing, and continuous integration/continuous deployment (CI/CD) processes.
* Data Quality and Governance: Ensure data quality, integrity, and governance by implementing robust data validation, monitoring, and auditing processes.
* Collaborate with Cross\-Functional Teams: Work closely with data scientists, analysts, and other stakeholders to understand data requirements and deliver solutions that meet business needs.
**Qualifications**
 Required Qualifications:
* Doctorate in Data Science, Mathematics, Statistics, Econometrics, Economics, Operations Research, Computer Science, or related field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OR Bachelor's Degree in Data Science, Mathematics, Statistics, Econometrics, Economics, Operations Research, Computer Science, or related field AND 2\+ years data\-science experience (e.g., managing structured and unstructured data, applying statistical techniques and reporting results)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OR equivalent experience.
* 2\+ years' professional experience in applications of computer science, with coding experience in Python.
* 2\+ years' professional experience in designing, building, and maintaining scalable data pipelines and infrastructure.
* Experience in SQL databases.
* Demonstrated ability to perform in ambiguous environments and thrive in a dynamic work environment.
* Exceptional interpersonal and communication skills, especially the ability to explain complex issues clearly and concisely.
* Experience with Azure DevOps, Azure Data Factory, Databricks, and other Azure data services.
* Statistical background and/or data science experience.
 \#COICareers \| \#EPCCareers \| \#DCDCareers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
      <c r="A9" t="inlineStr">
        <is>
          <t>li-3686240569</t>
        </is>
      </c>
      <c r="B9" t="inlineStr">
        <is>
          <t>Data Scientist</t>
        </is>
      </c>
      <c r="C9" t="inlineStr">
        <is>
          <t>The Voleon Group</t>
        </is>
      </c>
      <c r="D9" t="inlineStr">
        <is>
          <t>linkedin</t>
        </is>
      </c>
      <c r="E9" t="inlineStr"/>
      <c r="F9" t="inlineStr"/>
      <c r="G9" t="inlineStr">
        <is>
          <t>Berkeley, CA</t>
        </is>
      </c>
      <c r="H9" t="inlineStr"/>
      <c r="I9" t="inlineStr">
        <is>
          <t>Voleon is a technology company that applies state\-of\-the\-art AI and machine learning techniques to real\-world problems in finance. For nearly two decades, we have led our industry and worked at the frontier of applying AI/ML to investment management. We have become a multibillion\-dollar asset manager, and we have ambitious goals for the future.
 Your colleagues will include internationally recognized experts in artificial intelligence and machine learning research as well as highly experienced finance and technology professionals.
 In addition to our enriching and collegial working environment, we offer highly competitive compensation and benefits packages, technology talks by our experts, a beautiful modern office, daily catered lunches, and more.
 The Voleon Group is forming a new team to help advance our data\-driven investment initiatives. As a Data Scientist, you will be responsible for harvesting insights from a complex array of data. Your role will involve data curation, analysis, interpretation, visualization, and communication of your findings to members of the research staff and executive leadership. This role is a means to make a difference: as a machine learning company, data insights are essential to our business.
**Responsibilities**
* Design and implement systems to ensure data correctness and monitor data health in data stores and live feeds
* Proactively identify abnormal production behavior and communicate them clearly to relevant stakeholders
* Perform extemporaneous analyses on research and production trading systems with leadership
* Harness financial expertise and statistical analysis to gain actionable insights into our production trading and research systems
* Design and implement analysis pipelines that automate those analyses found to be valuable for ongoing monitoring
**Requirements**
* 1\+ years of applied end\-to\-end industry experience, including internships working with complex datasets, including curation, querying, aggregation, exploratory data analysis, and visualization
* Experience using statistical methods to analyze data, identify patterns, conduct root cause analysis, discover insights, and recommend solutions
* Ability to frame and answer questions mathematically
* Ability to infer useful forward\-looking directions from results of retrospective analysis
* Fluency in managing, processing, and visualizing tabular data using a combination of SQL, Pandas, and R
* Basic software development skills and experience with bash, linux/unix, and git
* Ability to refine requirements from ambiguous requests to produce reports demonstrating excellence in communication
* Bachelor’s degree in a quantitative discipline (statistics, biostatistics, data science, computer science, or a related field)
**Preferred**
* Master’s degree in a quantitative discipline
* Prior industry experience or displayed interest in finance, such as related academic projects, coursework in financial engineering, or industry internships
* Experience developing in a production\-facing environment and familiarity with standard concepts and tooling, e.g., CI/CD, git, Airflow
**Compensation**
 The base salary range for this position is $150,000 to $190,000 in the location(s) of this posting. Individual salaries are determined through a variety of factors, including, but not limited to, education, experience, knowledge, skills, and geography. Base salary does not include other forms of total compensation, such as bonus compensation and other benefits. Our benefits package includes medical, dental, and vision coverage, life and AD\&amp;D insurance, 20 days of paid time off, 9 sick days, and a 401(k) plan with a company match.
**“Friends of Voleon”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We may use artificial intelligence (AI) tools to support parts of the hiring process. These tools assist our recruitment team but do not replace human judgement. Final hiring decisions are ultimately made by humans. If you would like more information about how your data is processed, please contact us.</t>
        </is>
      </c>
    </row>
    <row r="10">
      <c r="A10" t="inlineStr">
        <is>
          <t>li-4297629315</t>
        </is>
      </c>
      <c r="B10" t="inlineStr">
        <is>
          <t>Senior Data Scientist, Measurement</t>
        </is>
      </c>
      <c r="C10" t="inlineStr">
        <is>
          <t>Samba TV</t>
        </is>
      </c>
      <c r="D10" t="inlineStr">
        <is>
          <t>linkedin</t>
        </is>
      </c>
      <c r="E10" t="inlineStr"/>
      <c r="F10" t="inlineStr"/>
      <c r="G10" t="inlineStr">
        <is>
          <t>New York, NY</t>
        </is>
      </c>
      <c r="H10" t="inlineStr"/>
      <c r="I10" t="inlineStr">
        <is>
          <t>**Samba TV tracks streaming and broadcast video across the world with our proprietary data and technology. We are on a mission to fundamentally transform the viewing experience for everyone. Our data enables media companies to connect with audiences for new shows and movies, and enables advertisers to engage viewers and measure reach across all their devices. We have an amazing story with a unique perspective on culture formed by a global footprint of data and AI\-driven insights.** 
 Reporting to the VP of Data Science, as the Senior Data Scientist on our Measurement Sciences team, you will design and operationalize robust measurement frameworks—leveraging causal inference, experiment design, and advanced machine learning—to deliver transparent, actionable insights on ad incrementality, audience targeting, and cross\-platform attribution. You will provide thought leadership and help guide the transformation of how advertisers measure, attribute, and optimize TV campaigns across linear and streaming platforms.
**WHAT YOU'LL DO** 
* Design and implement ad incrementality measurement methodologies (A/B tests, uplift modeling, synthetic controls, Bayesian causal models) for linear TV and Connected TV (CTV) campaigns
* Develop globally scalable audience segmentation and targeting models using our viewership data ecosystem via millions of connected TVs
* Build and validate multi\-touch attribution frameworks that reconcile impressions, views, and conversions across linear, CTV, OTT, and digital channels
* Lead the full analytics lifecycle—from data ingestion/ETL (SQL, Spark, Python) through feature engineering, model development, evaluation, and production deployment
* Partner closely with data engineering and DevOps teams to operationalize models in our cloud platform and ensure data quality, security, and scalability
* Translate complex analytical findings into clear, concise presentations and dashboards for internal stakeholders and external clients, driving strategic decision\-making.
* Support sales and marketing teams with the development of strong positioning stories to highlight the value of our audience media and measurement opportunities
* Mentor junior data scientists and analytics engineers, fostering best practices in experimentation, code quality, and reproducibility
**WHO YOU ARE** 
* Have a Master’s or advanced degree in Statistics, Econometrics, Data Science, Computer Science, or related quantitative field
* 7\-10 years of hands\-on experience in advertising/marketing analytics, media measurement, or a closely related discipline
* Expert in causal inference techniques (RCT design, difference\-in\-differences, propensity scoring, synthetic control) and uplift modeling. Background in Bayesian statistics or hierarchical modeling for uncertainty quantification
* Have a proven track record building attribution and incrementality solutions for TV and cross\-media campaigns
* Have advanced programming skills in Python and SQL; Familiarity with Spark or other distributed compute frameworks
* Have demonstrated leadership in mentoring small data science teams and managing end\-to\-end data science projects
* Able to visualize data in a way that makes it easy for others to understand
* Are detail\-oriented, highly organized, and proactive
* Have strong verbal and written communication skills, with the ability to explain complex analyses to both technical and non\-technical audiences
* Thrive in a dynamic, fast\-paced Agile and global environment, and being a team player
* Experience with data platforms (Databricks, Sagemaker, BigQuery, etc.), data orchestration tools (Airflow, dbt) and CI/CD best practices a plus
* Bonus: Strong knowledge or experience working with TV viewership data sources (set\-top box, return\-path, panel, census\-level) and measurement vendors (Samba TV, Nielsen, Comscore, etc.)
* Bonus: Track record of publishing research and white papers or presenting at industry conferences
**Samba TV is an equal opportunity employer. We celebrate diversity and are committed to creating an inclusive environment for all employees.  We strive to empower connection with one another, reflect the communities we serve, and tackle meaningful projects that make a real impact.** 
 Samba TV may collect personal information directly from you, as a job applicant, Samba TV may also receive personal information from third parties, for example, in connection with a background, employment or reference check, in accordance with the applicable law.
**For further details, please see Samba's** 
**Applicant Privacy Policy** 
**.** 
**For residents of the EU , Samba Inc. is the data controller.** 
 Samba TV expects to offer a base salary between $160,000 \- $220,000 per year for roles to be performed in New York or California; actual base salary offered will depend on various factors, including but not limited to, location, experience, and performance. Base salary is just one component of Samba TV’s total compensation package for employees. Other rewards may include bonuses, short\-term incentives, and long\-term incentives. In addition, Samba provides health insurance, wellness offerings, life and disability insurance, a retirement savings plan, paid holidays and paid time off (PTO), and other employee benefits.</t>
        </is>
      </c>
    </row>
    <row r="11">
      <c r="A11" t="inlineStr">
        <is>
          <t>li-4331584512</t>
        </is>
      </c>
      <c r="B11" t="inlineStr">
        <is>
          <t>Strategic Data Scientist</t>
        </is>
      </c>
      <c r="C11" t="inlineStr">
        <is>
          <t>Keystone AI</t>
        </is>
      </c>
      <c r="D11" t="inlineStr">
        <is>
          <t>linkedin</t>
        </is>
      </c>
      <c r="E11" t="inlineStr"/>
      <c r="F11" t="inlineStr"/>
      <c r="G11" t="inlineStr">
        <is>
          <t>New York, United States</t>
        </is>
      </c>
      <c r="H11" t="inlineStr"/>
      <c r="I11" t="inlineStr">
        <is>
          <t>For more than two decades, Keystone has been a premier, tech\-forward strategy and economics consulting firm, helping leading technology companies, global brands, and top law firms solve their most complex challenges in competition, strategy, and regulation.
 Our founders believed that modern consulting should integrate economics, strategy, and technology to drive true digital transformation and business model innovation. That’s what we call our “Triad of Skills."
 Keystone brings this interdisciplinary approach to the forefront of influential technology cases, changing consumer behavior and regulation laws and impacting society on a global scale, by leveraging the intersection of economics, technology, and business strategy to deliver transformative ideas.
 As we rapidly expand, we are redefining what a consulting firm can be.
**Economic, Technology, and Strategy Advisory (ETSA)**
 Keystone’s practices sit within our Economic, Technology, and Strategy Advisory (ETSA) group, which provides expert guidance across high\-stakes business, legal, and technology challenges.
**What We Do**
 ETSA leverages Keystone's connections with leading industry and academic experts to solve complex legal and regulatory issues and win high\-stakes legal cases. Through our Centres of Excellence in Keystone Economics and Keystone Advanced Technology Services, we unite economists, technologists and management scientists to solve the hardest problems facing our clients.
**How We Operate**
 Our tech\-native, internal consultants bring unique insights and experience to evaluate and solve client issues. Our economic, industry, and tech experts carry out in\-depth analysis, build robust data and technology solutions, and produce economic and technology reports that win cases.
**Who We Serve**
 Our ETSA group helps major law firms, Fortune Global 500 companies, leading technology companies, and government agencies.
**Our practice areas**
* Antitrust \&amp; Competition
* Financial Economics, Tax, and Securities (FETS)
* Intellectual Property (IP)
* Information Strategy, Risk and Regulation (ISRR)
* Healthcare and Life Sciences
* Technical Investigations
* Behavioral Insights
* Strategy Consulting
 As a Strategic Data Scientist at Keystone, you will design and deploy analytical models, machine learning systems, and investigative workflows that support expert testimony, litigation strategy, and regulatory advisory in areas such as AI, cybersecurity, and platform governance. Working alongside economists, fellow technologists and strategists, you’ll transform complex, often unstructured datasets (e.g., JSON, CSV, logs, scraped data) into defensible insights that drive decisions in high\-impact cases involving antitrust, digital risk, and emerging technology regulation.
**Role expectations**
* Work with an interdisciplinary team on litigation cases spanning AI, data analytics, digital risk, emerging technology governance, and regulatory compliance
* Build analytical models, investigative workflows, and technology assessments
* Build, test and operationalize machine learning models, large language models (LLMs), and analytical pipelines that scale across projects
* Contribute to the development of internal tools, libraries, and frameworks that enhance analytical consistency and scalability
**Qualifications**
* Advanced graduate degree in Computer Science, Engineering, Mathematics, Statistics, or related technical field
* 4\+ years of relevant professional experience analysing large volumes of qualitative and quantitively data (JSON, CSV) to support complex strategic initiatives
* Fluency in Python and SQL for data analysis
* Advanced knowledge of many core technologies and programming paradigms
* Specific domain expertise in a field such as AI/ML, Cybersecurity, Data Science, Distributed Computing, NLP, or Blockchain
* Desire to work in a fast\-paced, self\-directed entrepreneurial environment
* Analytical skills with a keen understanding of financial and operational levers
* Ability to manage multiple complex work streams and work across organizational boundaries
* Able to effectively communicate technical concepts across a wide range of audiences
* Team player who can collaborate with multiple functional areas
**Why Keystone**
 Join a fast\-growing, tech\-enabled consulting firm that partners with the world’s leading companies on their most critical challenges and biggest opportunities.
* Work on frontier matters shaping the future of AI, data, and digital regulation
* Collaborate with leading academics and experts from institutions such as Harvard, Stanford, MIT, and Wharton
* Apply a unique blend of management science and computer science to real\-world challenges across technology, litigation, policy, and strategy
* Thrive in a culture defined by collaboration, curiosity, and excellence \- where your ideas have direct, tangible impact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In addition to annual salary, we provide an annual discretionary bonus, 401k contribution, and competitive benefits package. Actual Compensation within the range will depend upon the level the individual is hired into based on their skills, experience, and qualifications.
 Annual Salary Range
 $120,000—$198,000 USD</t>
        </is>
      </c>
    </row>
    <row r="12">
      <c r="A12" t="inlineStr">
        <is>
          <t>li-4359624679</t>
        </is>
      </c>
      <c r="B12" t="inlineStr">
        <is>
          <t>Senior Data Scientist - NQC Reduction and Manufacturing Quality</t>
        </is>
      </c>
      <c r="C12" t="inlineStr">
        <is>
          <t>Tiger Analytics</t>
        </is>
      </c>
      <c r="D12" t="inlineStr">
        <is>
          <t>linkedin</t>
        </is>
      </c>
      <c r="E12" t="inlineStr"/>
      <c r="F12" t="inlineStr"/>
      <c r="G12" t="inlineStr"/>
      <c r="H12" t="inlineStr"/>
      <c r="I12"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We are looking for a highly experienced
 **Senior Data Scientist** 
 with a strong background in
 **manufacturing, quality, and process optimization analytics** 
 . This role will focus on analyzing complex manufacturing and sensor data to drive measurable improvements in
 **cost, quality, yield, and waste reduction** 
 .
**Key Responsibilities**
* Analyze large\-scale manufacturing data, including sensor, batch, recipe, and production line data
* Develop analytics solutions to identify defects, scrap, rework, and process deviations
* Perform root cause analysis and multivariate process analysis to uncover drivers of quality issues
* Build anomaly and defect detection models to proactively identify process failures
* Partner with manufacturing, quality, and operations teams to translate findings into actionable improvements
* Deliver measurable outcomes such as cost reduction, waste minimization, and quality improvement
**Requirements**
* 10\+ years of experience in applied data science or advanced analytics
* 5\+ years of hands\-on experience in manufacturing, quality, or process optimization analytics
* Proven experience working with manufacturing process data and quality outcome data
* Demonstrated track record of delivering measurable business impact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13">
      <c r="A13" t="inlineStr">
        <is>
          <t>li-4327929731</t>
        </is>
      </c>
      <c r="B13" t="inlineStr">
        <is>
          <t>Data Scientist</t>
        </is>
      </c>
      <c r="C13" t="inlineStr">
        <is>
          <t>Visa</t>
        </is>
      </c>
      <c r="D13" t="inlineStr">
        <is>
          <t>linkedin</t>
        </is>
      </c>
      <c r="E13" t="inlineStr"/>
      <c r="F13" t="inlineStr"/>
      <c r="G13" t="inlineStr">
        <is>
          <t>Miami, FL</t>
        </is>
      </c>
      <c r="H13" t="inlineStr"/>
      <c r="I13"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 USA Inc., a Visa Inc. company, needs a Data Scientist (multiple openings) in Miami, FL to:
* Extract and understand data to form an opinion to support clients and derive relevant insights.
* Develop visualizations to make complex analyses accessible to a broad audience.
* Craft products out of analyses that are suitable for multiple clients.
* Work with stakeholders throughout the organization to identify opportunities for leveraging Visa data to drive business solutions.
* Mine and analyze data from company databases to drive optimization and improvement of product, marketing techniques and business strategies for Visa and its clients.
* Assess the effectiveness and accuracy of new data sources and data gathering techniques.
* Develop custom data models and algorithms to apply to data sets.
* Use predictive modeling to increase and optimize customer experiences, revenue generation, data insights, advertising targeting and other business outcomes.
* Develop processes and tools to monitor and analyze model performance and data accuracy.
* Position reports to the Miami, Florida office and may allow for partial telecommuting.
**Qualifications**
 Basic Qualifications:
* Bachelor’s degree in Engineering, Mathematics, Statistics, Machine Learning, Analytics, Information Systems or related field and 2 years of experience in the job offered or in a Data Scientist\-related occupation.
* Alternatively, a Master’s degree in Engineering, Mathematics, Statistics, Machine Learning, Analytics, Information Systems or related field.
* Position requires experience in the following:
	+ Big Data; (Spark, Hadoop, Hive, Python, Conda, Presto, Docker).
	+ Machine Learning.
	+ SQL.
	+ Tableau.
	+ Statistics (Design of Experiments).
	+ Marketing Analytics.
**Additional Information**
**Worksite:**
 Miami, FL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does not require travel.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**U.S. APPLICANTS ONLY: The estimated salary range for a new hire into this position is $116,800\.00 USD to $180,600\.00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4">
      <c r="A14" t="inlineStr">
        <is>
          <t>li-4332242751</t>
        </is>
      </c>
      <c r="B14" t="inlineStr">
        <is>
          <t>Strategic Data Scientist</t>
        </is>
      </c>
      <c r="C14" t="inlineStr">
        <is>
          <t>Keystone AI</t>
        </is>
      </c>
      <c r="D14" t="inlineStr">
        <is>
          <t>linkedin</t>
        </is>
      </c>
      <c r="E14" t="inlineStr"/>
      <c r="F14" t="inlineStr"/>
      <c r="G14" t="inlineStr">
        <is>
          <t>San Francisco, CA</t>
        </is>
      </c>
      <c r="H14" t="inlineStr"/>
      <c r="I14" t="inlineStr">
        <is>
          <t>For more than two decades, Keystone has been a premier, tech\-forward strategy and economics consulting firm, helping leading technology companies, global brands, and top law firms solve their most complex challenges in competition, strategy, and regulation.
 Our founders believed that modern consulting should integrate economics, strategy, and technology to drive true digital transformation and business model innovation. That’s what we call our “Triad of Skills."
 Keystone brings this interdisciplinary approach to the forefront of influential technology cases, changing consumer behavior and regulation laws and impacting society on a global scale, by leveraging the intersection of economics, technology, and business strategy to deliver transformative ideas.
 As we rapidly expand, we are redefining what a consulting firm can be.
**Economic, Technology, and Strategy Advisory (ETSA)**
 Keystone’s practices sit within our Economic, Technology, and Strategy Advisory (ETSA) group, which provides expert guidance across high\-stakes business, legal, and technology challenges.
**What We Do**
 ETSA leverages Keystone's connections with leading industry and academic experts to solve complex legal and regulatory issues and win high\-stakes legal cases. Through our Centres of Excellence in Keystone Economics and Keystone Advanced Technology Services, we unite economists, technologists and management scientists to solve the hardest problems facing our clients.
**How We Operate**
 Our tech\-native, internal consultants bring unique insights and experience to evaluate and solve client issues. Our economic, industry, and tech experts carry out in\-depth analysis, build robust data and technology solutions, and produce economic and technology reports that win cases.
**Who We Serve**
 Our ETSA group helps major law firms, Fortune Global 500 companies, leading technology companies, and government agencies.
**Our practice areas**
* Antitrust \&amp; Competition
* Financial Economics, Tax, and Securities (FETS)
* Intellectual Property (IP)
* Information Strategy, Risk and Regulation (ISRR)
* Healthcare and Life Sciences
* Technical Investigations
* Behavioral Insights
* Strategy Consulting
 As a Strategic Data Scientist at Keystone, you will design and deploy analytical models, machine learning systems, and investigative workflows that support expert testimony, litigation strategy, and regulatory advisory in areas such as AI, cybersecurity, and platform governance. Working alongside economists, fellow technologists and strategists, you’ll transform complex, often unstructured datasets (e.g., JSON, CSV, logs, scraped data) into defensible insights that drive decisions in high\-impact cases involving antitrust, digital risk, and emerging technology regulation.
**Role expectations**
* Work with an interdisciplinary team on litigation cases spanning AI, data analytics, digital risk, emerging technology governance, and regulatory compliance
* Build analytical models, investigative workflows, and technology assessments
* Build, test and operationalize machine learning models, large language models (LLMs), and analytical pipelines that scale across projects
* Contribute to the development of internal tools, libraries, and frameworks that enhance analytical consistency and scalability
**Qualifications**
* Advanced graduate degree in Computer Science, Engineering, Mathematics, Statistics, or related technical field
* 4\+ years of relevant professional experience analysing large volumes of qualitative and quantitively data (JSON, CSV) to support complex strategic initiatives
* Fluency in Python and SQL for data analysis
* Advanced knowledge of many core technologies and programming paradigms
* Specific domain expertise in a field such as AI/ML, Cybersecurity, Data Science, Distributed Computing, NLP, or Blockchain
* Desire to work in a fast\-paced, self\-directed entrepreneurial environment
* Analytical skills with a keen understanding of financial and operational levers
* Ability to manage multiple complex work streams and work across organizational boundaries
* Able to effectively communicate technical concepts across a wide range of audiences
* Team player who can collaborate with multiple functional areas
**Why Keystone**
 Join a fast\-growing, tech\-enabled consulting firm that partners with the world’s leading companies on their most critical challenges and biggest opportunities.
* Work on frontier matters shaping the future of AI, data, and digital regulation
* Collaborate with leading academics and experts from institutions such as Harvard, Stanford, MIT, and Wharton
* Apply a unique blend of management science and computer science to real\-world challenges across technology, litigation, policy, and strategy
* Thrive in a culture defined by collaboration, curiosity, and excellence \- where your ideas have direct, tangible impact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In addition to annual salary, we provide an annual discretionary bonus, 401k contribution, and competitive benefits package. Actual Compensation within the range will depend upon the level the individual is hired into based on their skills, experience, and qualifications.
 Annual Salary Range
 $120,000—$198,000 USD</t>
        </is>
      </c>
    </row>
    <row r="15">
      <c r="A15" t="inlineStr">
        <is>
          <t>li-4331964437</t>
        </is>
      </c>
      <c r="B15" t="inlineStr">
        <is>
          <t>Strategic Data Scientist</t>
        </is>
      </c>
      <c r="C15" t="inlineStr">
        <is>
          <t>Keystone AI</t>
        </is>
      </c>
      <c r="D15" t="inlineStr">
        <is>
          <t>linkedin</t>
        </is>
      </c>
      <c r="E15" t="inlineStr"/>
      <c r="F15" t="inlineStr"/>
      <c r="G15" t="inlineStr">
        <is>
          <t>Washington, DC</t>
        </is>
      </c>
      <c r="H15" t="inlineStr"/>
      <c r="I15" t="inlineStr">
        <is>
          <t>For more than two decades, Keystone has been a premier, tech\-forward strategy and economics consulting firm, helping leading technology companies, global brands, and top law firms solve their most complex challenges in competition, strategy, and regulation.
 Our founders believed that modern consulting should integrate economics, strategy, and technology to drive true digital transformation and business model innovation. That’s what we call our “Triad of Skills."
 Keystone brings this interdisciplinary approach to the forefront of influential technology cases, changing consumer behavior and regulation laws and impacting society on a global scale, by leveraging the intersection of economics, technology, and business strategy to deliver transformative ideas.
 As we rapidly expand, we are redefining what a consulting firm can be.
**Economic, Technology, and Strategy Advisory (ETSA)**
 Keystone’s practices sit within our Economic, Technology, and Strategy Advisory (ETSA) group, which provides expert guidance across high\-stakes business, legal, and technology challenges.
**What We Do**
 ETSA leverages Keystone's connections with leading industry and academic experts to solve complex legal and regulatory issues and win high\-stakes legal cases. Through our Centres of Excellence in Keystone Economics and Keystone Advanced Technology Services, we unite economists, technologists and management scientists to solve the hardest problems facing our clients.
**How We Operate**
 Our tech\-native, internal consultants bring unique insights and experience to evaluate and solve client issues. Our economic, industry, and tech experts carry out in\-depth analysis, build robust data and technology solutions, and produce economic and technology reports that win cases.
**Who We Serve**
 Our ETSA group helps major law firms, Fortune Global 500 companies, leading technology companies, and government agencies.
**Our practice areas**
* Antitrust \&amp; Competition
* Financial Economics, Tax, and Securities (FETS)
* Intellectual Property (IP)
* Information Strategy, Risk and Regulation (ISRR)
* Healthcare and Life Sciences
* Technical Investigations
* Behavioral Insights
* Strategy Consulting
 As a Strategic Data Scientist at Keystone, you will design and deploy analytical models, machine learning systems, and investigative workflows that support expert testimony, litigation strategy, and regulatory advisory in areas such as AI, cybersecurity, and platform governance. Working alongside economists, fellow technologists and strategists, you’ll transform complex, often unstructured datasets (e.g., JSON, CSV, logs, scraped data) into defensible insights that drive decisions in high\-impact cases involving antitrust, digital risk, and emerging technology regulation.
**Role expectations**
* Work with an interdisciplinary team on litigation cases spanning AI, data analytics, digital risk, emerging technology governance, and regulatory compliance
* Build analytical models, investigative workflows, and technology assessments
* Build, test and operationalize machine learning models, large language models (LLMs), and analytical pipelines that scale across projects
* Contribute to the development of internal tools, libraries, and frameworks that enhance analytical consistency and scalability
**Qualifications**
* Advanced graduate degree in Computer Science, Engineering, Mathematics, Statistics, or related technical field
* 4\+ years of relevant professional experience analysing large volumes of qualitative and quantitively data (JSON, CSV) to support complex strategic initiatives
* Fluency in Python and SQL for data analysis
* Advanced knowledge of many core technologies and programming paradigms
* Specific domain expertise in a field such as AI/ML, Cybersecurity, Data Science, Distributed Computing, NLP, or Blockchain
* Desire to work in a fast\-paced, self\-directed entrepreneurial environment
* Analytical skills with a keen understanding of financial and operational levers
* Ability to manage multiple complex work streams and work across organizational boundaries
* Able to effectively communicate technical concepts across a wide range of audiences
* Team player who can collaborate with multiple functional areas
**Why Keystone**
 Join a fast\-growing, tech\-enabled consulting firm that partners with the world’s leading companies on their most critical challenges and biggest opportunities.
* Work on frontier matters shaping the future of AI, data, and digital regulation
* Collaborate with leading academics and experts from institutions such as Harvard, Stanford, MIT, and Wharton
* Apply a unique blend of management science and computer science to real\-world challenges across technology, litigation, policy, and strategy
* Thrive in a culture defined by collaboration, curiosity, and excellence \- where your ideas have direct, tangible impact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In addition to annual salary, we provide an annual discretionary bonus, 401k contribution, and competitive benefits package. Actual Compensation within the range will depend upon the level the individual is hired into based on their skills, experience, and qualifications.
 Annual Salary Range
 $120,000—$198,000 USD</t>
        </is>
      </c>
    </row>
    <row r="16">
      <c r="A16" t="inlineStr">
        <is>
          <t>li-4283917990</t>
        </is>
      </c>
      <c r="B16" t="inlineStr">
        <is>
          <t>Senior ML Scientist</t>
        </is>
      </c>
      <c r="C16" t="inlineStr">
        <is>
          <t>Cleerly</t>
        </is>
      </c>
      <c r="D16" t="inlineStr">
        <is>
          <t>linkedin</t>
        </is>
      </c>
      <c r="E16" t="inlineStr"/>
      <c r="F16" t="inlineStr"/>
      <c r="G16" t="inlineStr"/>
      <c r="H16" t="inlineStr"/>
      <c r="I16" t="inlineStr">
        <is>
          <t>**About Cleerly**
 We’re Cleerly – a healthcare company that’s revolutionizing how heart disease is diagnosed, treated, and tracked. We were founded in 2017 by one of the world’s leading cardiologists and are a growing team of world\-class engineering, operations, medical affairs, marketing, and sales leaders. We raised $223M in Series C funding in 2022 which has enabled rapid growth and continued support of our mission. In December 2024 we received an additional $106M in a Series C extension funding. Most of our teams work remotely and have access to our offices in Denver, Colorado, New, York, New York, Dallas, Texas, and Lisbon, Portugal with some roles requiring you to be on\-site in a location.
 Cleerly has created a new standard of care for heart disease through value\-based, AI\-driven precision diagnostic solutions with the goal of helping prevent heart attacks. Our technology goes beyond traditional measures of heart disease by enabling comprehensive quantification and characterization of atherosclerosis, or plaque buildup, in each of the heart arteries. Cleerly’s solutions are supported by more than a decade of performing some of the world’s largest clinical trials to identify important findings beyond symptoms that increase a person’s risk of heart attacks.
 At Cleerly, we collaborate digitally and use a wide variety of systems. Our people use Google Workspace (GMail, Drive, Docs, Sheets, Slides), Slack, Confluence/Jira, and Zoom Video, prior experience in these areas is a plus. Role or department specific technology needs may vary and will be listed as requirements in the job description.
 While we are mostly a remote company, travel is required for some team meetings and cross function projects typically once per month or once per quarter, for some roles like sales or external facing roles travel could be up to 90% of the time.
**About The Opportunity**
 We are seeking a highly skilled Machine Learning Scientist to drive the development and translation of cutting\-edge ML models that have a direct impact on the care pathway for heart disease diagnosis and prognosis. In this role, you will collaborate with ML scientists, data engineers, biostatisticians, regulatory experts, and senior leadership to understand clinical requirements, develop innovative solutions, and support product development and regulatory approvals. You will also engage in high\-impact research collaborations with world\-renowned academic and medical institutions.
**Responsibilities**
* Research and develop state\-of\-the\-art machine learning models for coronary CT angiography imaging applications.
* Conduct rigorous analysis and validation of machine learning algorithms and prototypes.
* Explore novel methods for processing and analyzing large, complex medical imaging datasets.
* Collaborate with engineering teams to deploy ML algorithms in clinical practice.
* Present research findings, insights, and recommendations to internal stakeholders and external collaborators.
* Author scientific publications and contribute to patent development.
* Manage collaborative research projects with leading academic partners.
**Requirements**
* Ph.D. in Computer Science, Data Science, Biomedical Engineering, Biomedical Imaging, or a related technical field; OR an M.S. with 5\+ years of relevant experience.
* Strong theoretical and practical expertise in image science, applied mathematics, machine learning, and deep learning.
* Research experience in applying ML and deep learning techniques to medical image processing, including segmentation, registration, classification, reconstruction, and detection.
* Proven track record of publications in top\-tier medical imaging or computer vision conferences and journals (e.g., MICCAI, IEEE TMI, CVPR, Medical Image Analysis).
* Proficiency in Python, with experience handling large datasets, implementing ML pipelines, and visualizing analysis results.
* Ability to translate complex clinical requirements into machine learning solutions.
* Strong critical thinking, problem\-solving, and project management skills.
* Excellent interpersonal, cross\-functional, and cross\-cultural collaboration skills.
**Preferred Qualifications:**
* 2\+ years of postdoctoral research or industry experience.
* Hands\-on experience in developing and applying advanced deep learning models, including vision transformers, semi\-supervised/self\-supervised/unsupervised learning, incremental learning, and continuous learning techniques.
* Strong domain knowledge in CT imaging and its clinical applications.
**TTC\*: $207k \- $265k**
* Total Target Compensation (TTC): Total Cash Compensation (including base pay, variable pay, commission, bonuses, etc.).
*Each role at Cleerly has a defined salary range based on market data and company stage. We typically hire at the lower to mid\-point of the range, with the top end reserved for internal growth and exceptional performance. Actual pay depends on factors like experience, technical depth, geographic location, and alignment with internal peers.*
**Working at Cleerly takes HEART. Discover our Core Values:**
* H: Humility\- be a servant leader
* E: Excellence\- deliver world\-changing results
* A: Accountability\- do what you say; expect the same from others
* R: Remarkable\- inspire \&amp; innovate with impact
* T: Teamwork\- together we win
 Don’t meet 100 percent of the qualifications? Apply anyway and help us diversify our candidate pool and workforce. We value experience, whether gained formally or informally on the job or through other experiences.
 *Job duties, activities and responsibilities are subject to change by our company.*
***OUR COMPANY IS AN EQUAL OPPORTUNITY EMPLOYER.***
*We do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By submitting your application, you agree to receive SMS messages from Cleerly recruiters throughout the interview process. Message frequency may vary. Message and data rates may apply. You can STOP messaging by sending STOP and get more help by sending HELP. For more information see our Privacy Policy (https://cleerlyhealth.com/privacy\-policy). All official emails will come from @cleerlyhealth.com email accounts.
 \#Cleerly</t>
        </is>
      </c>
    </row>
    <row r="17">
      <c r="A17" t="inlineStr">
        <is>
          <t>li-4359496218</t>
        </is>
      </c>
      <c r="B17" t="inlineStr">
        <is>
          <t>Data Scientist</t>
        </is>
      </c>
      <c r="C17" t="inlineStr">
        <is>
          <t>Sutoer Solutions</t>
        </is>
      </c>
      <c r="D17" t="inlineStr">
        <is>
          <t>linkedin</t>
        </is>
      </c>
      <c r="E17" t="inlineStr"/>
      <c r="F17" t="inlineStr"/>
      <c r="G17" t="inlineStr">
        <is>
          <t>Chicago, IL</t>
        </is>
      </c>
      <c r="H17" t="inlineStr"/>
      <c r="I17" t="inlineStr">
        <is>
          <t>**Location:** 
 ON\-SITE 60608
**Department:** 
 Information Technology
**Reports To:** 
 IT Manager/Director and VP of Technology
 Salary $130,000 to $180,000
 Hours are 6:30am to 4p daily with one Saturday a month 6:30a to 12p
**Role Overview** 
 We are seeking a forward\-thinking
 **Power BI / Data Scientist** 
 to lead the development of our next\-generation data ecosystem. In this role, you will bridge the gap between traditional business intelligence and advanced AI by leveraging
 **Microsoft Fabric** 
 to curate data, build complex Power BI reports, and develop sophisticated
 **AI Agents** 
 . A key focus will be preparing our data for natural language interaction by building and refining
 **Linguistic Schemas** 
 and AI\-ready semantic models.
**Key Responsibilities** 
* **Power BI \&amp; Reporting:** 
 Design, develop, and maintain high\-impact
 **Power BI** 
 dashboards and interactive reports using advanced
 **DAX** 
 and
 **Power Query** 
 .
* **Data Curation:** 
 Curate and transform raw data into high\-quality, reporting\-ready datasets within
 **Microsoft Fabric OneLake** 
 to ensure data integrity and optimized retrieval.
* **AI Agent Development:** 
 Build and configure
 **Fabric Data Agents** 
 that enable users to interact with enterprise data through natural language (Q\&amp;A).
* **Linguistic Schema \&amp; AI Prep:** 
 Prepare data for AI consumption by building and importing
 **Linguistic Schema** 
 (.lsdl.yaml files) to enhance natural language understanding.
* **Model Optimization:** 
 Refine semantic models with specific
 **AI instructions** 
 , example queries, and synonyms to improve the accuracy of generative AI responses.
**Required Skills \&amp; Experience** 
1. **Reporting \&amp; Visualization:** 
 Proven experience developing complex
 **Power BI** 
 solutions, including semantic data modeling.
2. **Microsoft Fabric Proficiency:** 
 Hands\-on experience with
 **Fabric OneLake** 
 , Lakehouses, and the integration of diverse data sources (SQL, Parquet, Delta tables).
3. **AI \&amp; LLM Integration:** 
 Experience developing
 **AI Agents** 
 or conversational AI experiences using Large Language Models (LLMs) like GPT\-4, specifically within the Microsoft ecosystem.
4. **Linguistic Modeling:** 
 Experience editing and managing
 **Linguistic Schemas** 
 in Power BI Desktop to support Q\&amp;A and AI\-driven insights.
5. **Data Science Fundamentals:** 
 Experience in
 **Python** 
 or
 **R** 
 for exploratory data analysis and model development.
6. **SQL \&amp; DAX:** 
 Advanced ability to write and optimize
 **T\-SQL** 
 and
 **DAX** 
 queries for structured data environments.</t>
        </is>
      </c>
    </row>
    <row r="18">
      <c r="A18" t="inlineStr">
        <is>
          <t>li-4331544369</t>
        </is>
      </c>
      <c r="B18" t="inlineStr">
        <is>
          <t>Data Scientist</t>
        </is>
      </c>
      <c r="C18" t="inlineStr">
        <is>
          <t>RemoteHunter</t>
        </is>
      </c>
      <c r="D18" t="inlineStr">
        <is>
          <t>linkedin</t>
        </is>
      </c>
      <c r="E18" t="inlineStr"/>
      <c r="F18" t="inlineStr"/>
      <c r="G18" t="inlineStr"/>
      <c r="H18" t="inlineStr"/>
      <c r="I18" t="inlineStr">
        <is>
          <t>About the Opportunity:
 A growing team is seeking a Data Scientist to support data\-driven decisions across critical business initiatives such as carrier growth and new product development. The organization has achieved profitability and aims to scale from 5 million to 50 million customers with a goal to become a $10 billion business. The role involves leveraging advanced machine learning models to analyze data and inform growth strategies within a super app that simplifies car ownership—including insurance, loans, repairs, and more—in a $2 trillion U.S. market.
 Responsibilities:
 • Collaborate with marketing, product, and business development teams to apply customer insights to acquisition strategies
 • Lead design, execution, and analysis of A/B tests on new and existing features to extract actionable insights
 • Define and test levers to drive profitable and scalable user acquisition and partnership growth
 • Identify opportunities to automate processes and improve operational efficiency
 Requirements:
 • Bachelor’s degree in a quantitatively or intellectually rigorous discipline
 • Minimum 1 year experience at a top\-tier economic consulting firm (e.g., Analysis Group, Cornerstone Research, Charles River Associates), management consulting firm (e.g., McKinsey, Bain, Boston Consulting Group), or relevant data science/business analysis experience
 • Proficient in SQL or Python
 • Strong problem\-solving framework based on first principles
 • Effective communication skills across all organizational levels, from front\-line employees to C\-suite executives
 • High standards for personal and team performance, with a commitment to continual improvement
 Benefits \&amp; Perks:
 • Health, dental, and vision insurance
 • Paid time off and paid parental leave
 • 401(k) plan with employer matching
 • Wellness benefits
 • Equity opportunities as part of total rewards package
 Compensation:
 • Starting pay determined by job\-related factors including skills, experience, qualifications, work location, and market conditions
 • Compensation may include base salary and equity grants
 • Pay ranges are market\-dependent and subject to future modification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
      <c r="A19" t="inlineStr">
        <is>
          <t>li-4331504667</t>
        </is>
      </c>
      <c r="B19" t="inlineStr">
        <is>
          <t>Strategic Data Scientist</t>
        </is>
      </c>
      <c r="C19" t="inlineStr">
        <is>
          <t>Keystone AI</t>
        </is>
      </c>
      <c r="D19" t="inlineStr">
        <is>
          <t>linkedin</t>
        </is>
      </c>
      <c r="E19" t="inlineStr"/>
      <c r="F19" t="inlineStr"/>
      <c r="G19" t="inlineStr">
        <is>
          <t>Boston, MA</t>
        </is>
      </c>
      <c r="H19" t="inlineStr"/>
      <c r="I19" t="inlineStr">
        <is>
          <t>For more than two decades, Keystone has been a premier, tech\-forward strategy and economics consulting firm, helping leading technology companies, global brands, and top law firms solve their most complex challenges in competition, strategy, and regulation.
 Our founders believed that modern consulting should integrate economics, strategy, and technology to drive true digital transformation and business model innovation. That’s what we call our “Triad of Skills."
 Keystone brings this interdisciplinary approach to the forefront of influential technology cases, changing consumer behavior and regulation laws and impacting society on a global scale, by leveraging the intersection of economics, technology, and business strategy to deliver transformative ideas.
 As we rapidly expand, we are redefining what a consulting firm can be.
**Economic, Technology, and Strategy Advisory (ETSA)**
 Keystone’s practices sit within our Economic, Technology, and Strategy Advisory (ETSA) group, which provides expert guidance across high\-stakes business, legal, and technology challenges.
**What We Do**
 ETSA leverages Keystone's connections with leading industry and academic experts to solve complex legal and regulatory issues and win high\-stakes legal cases. Through our Centres of Excellence in Keystone Economics and Keystone Advanced Technology Services, we unite economists, technologists and management scientists to solve the hardest problems facing our clients.
**How We Operate**
 Our tech\-native, internal consultants bring unique insights and experience to evaluate and solve client issues. Our economic, industry, and tech experts carry out in\-depth analysis, build robust data and technology solutions, and produce economic and technology reports that win cases.
**Who We Serve**
 Our ETSA group helps major law firms, Fortune Global 500 companies, leading technology companies, and government agencies.
**Our practice areas**
* Antitrust \&amp; Competition
* Financial Economics, Tax, and Securities (FETS)
* Intellectual Property (IP)
* Information Strategy, Risk and Regulation (ISRR)
* Healthcare and Life Sciences
* Technical Investigations
* Behavioral Insights
* Strategy Consulting
 As a Strategic Data Scientist at Keystone, you will design and deploy analytical models, machine learning systems, and investigative workflows that support expert testimony, litigation strategy, and regulatory advisory in areas such as AI, cybersecurity, and platform governance. Working alongside economists, fellow technologists and strategists, you’ll transform complex, often unstructured datasets (e.g., JSON, CSV, logs, scraped data) into defensible insights that drive decisions in high\-impact cases involving antitrust, digital risk, and emerging technology regulation.
**Role expectations**
* Work with an interdisciplinary team on litigation cases spanning AI, data analytics, digital risk, emerging technology governance, and regulatory compliance
* Build analytical models, investigative workflows, and technology assessments
* Build, test and operationalize machine learning models, large language models (LLMs), and analytical pipelines that scale across projects
* Contribute to the development of internal tools, libraries, and frameworks that enhance analytical consistency and scalability
**Qualifications**
* Advanced graduate degree in Computer Science, Engineering, Mathematics, Statistics, or related technical field
* 4\+ years of relevant professional experience analysing large volumes of qualitative and quantitively data (JSON, CSV) to support complex strategic initiatives
* Fluency in Python and SQL for data analysis
* Advanced knowledge of many core technologies and programming paradigms
* Specific domain expertise in a field such as AI/ML, Cybersecurity, Data Science, Distributed Computing, NLP, or Blockchain
* Desire to work in a fast\-paced, self\-directed entrepreneurial environment
* Analytical skills with a keen understanding of financial and operational levers
* Ability to manage multiple complex work streams and work across organizational boundaries
* Able to effectively communicate technical concepts across a wide range of audiences
* Team player who can collaborate with multiple functional areas
**Why Keystone**
 Join a fast\-growing, tech\-enabled consulting firm that partners with the world’s leading companies on their most critical challenges and biggest opportunities.
* Work on frontier matters shaping the future of AI, data, and digital regulation
* Collaborate with leading academics and experts from institutions such as Harvard, Stanford, MIT, and Wharton
* Apply a unique blend of management science and computer science to real\-world challenges across technology, litigation, policy, and strategy
* Thrive in a culture defined by collaboration, curiosity, and excellence \- where your ideas have direct, tangible impact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In addition to annual salary, we provide an annual discretionary bonus, 401k contribution, and competitive benefits package. Actual Compensation within the range will depend upon the level the individual is hired into based on their skills, experience, and qualifications.
 Annual Salary Range
 $120,000—$198,000 USD</t>
        </is>
      </c>
    </row>
    <row r="20">
      <c r="A20" t="inlineStr">
        <is>
          <t>li-4326787294</t>
        </is>
      </c>
      <c r="B20" t="inlineStr">
        <is>
          <t>Data Scientist</t>
        </is>
      </c>
      <c r="C20" t="inlineStr">
        <is>
          <t>Sysco</t>
        </is>
      </c>
      <c r="D20" t="inlineStr">
        <is>
          <t>linkedin</t>
        </is>
      </c>
      <c r="E20" t="inlineStr"/>
      <c r="F20" t="inlineStr"/>
      <c r="G20" t="inlineStr">
        <is>
          <t>Houston, TX</t>
        </is>
      </c>
      <c r="H20" t="inlineStr"/>
      <c r="I20" t="inlineStr">
        <is>
          <t>**JOB SUMMARY**
 This role will apply advanced analytics to support the evaluation and development of new demand generation, assortment, costing, pricing and supply chain models. This will require expert ability in data acquisition (internal and external to Sysco), cleansing and manipulation; mathematical modeling; analytical and heuristic solution methods; and the ability to synthesize, visualize and communicate the result. This role will require close collaboration with other functions within the Enterprise Analytics and insights Team in addition to other functions within Sysco.
**RESPONSIBILITIES**
* Identify necessary data elements and their sources, leverage appropriate tools to acquire and consolidate large volumes of data from different internal and external sources, and identify and resolve any irrelevant, corrupt, missing, or incongruent data
* Identify and use appropriate advanced analytic tools, technologies and platforms to execute analysis against business requirements, including the ability to scale, deploy and distribute models across the enterprise as needed.
* Develop performance scorecards and dashboards to monitor the adoption, implementation, and impact of models and strategies.
* Work cross\-functionally with other roles within the Enterprise Analytics Team and the Sysco broadly to tune models and ensure value created from models.
* Work with Business Technology resources on API, front end, and down stream integration.
* Collaborate with business process owners to validate model outputs and construct an appropriate training
**QUALIFICATIONS**
 Education and / or Experience:
* Master’s degree or PhD or Bachelor’s degree \+ 3 years of industry experience in management consulting, strategy, analytics, at a specialized analytics company or in an analytics organization in a corporate setting.
* Degree should be in mathematics, statistics or computer science or related field; preferred from a top tier University.
* 1\-4 years of overall analytics experience, can be inclusive of post\-graduate work
* 2\+ years of experience accessing and manipulating data in SQL or NoSQL database environments
* 1\+ years of experience with scientific scripting languages (e.g., Python) and/or object\-oriented programming (e.g., C\+\+, Java)
* 2\+ years of experience with Bayesian statistics, regression analysis (beyond linear regression), supervised learning, unsupervised learning or time\-series analysis required
**Professional Skills** 
* Experience accessing and manipulating data in SQL or NoSQL database environments
* Experience with scientific scripting languages (e.g., Python) and/or object\-oriented programming (e.g., C\+\+, Java)
* Experience with regression analysis (beyond linear regression), supervised learning, unsupervised learning or time\-series analysis required</t>
        </is>
      </c>
    </row>
    <row r="21">
      <c r="A21" t="inlineStr">
        <is>
          <t>li-4359743667</t>
        </is>
      </c>
      <c r="B21" t="inlineStr">
        <is>
          <t>Data Scientist</t>
        </is>
      </c>
      <c r="C21" t="inlineStr">
        <is>
          <t>The Jupiter Group, Inc</t>
        </is>
      </c>
      <c r="D21" t="inlineStr">
        <is>
          <t>linkedin</t>
        </is>
      </c>
      <c r="E21" t="inlineStr"/>
      <c r="F21" t="inlineStr"/>
      <c r="G21" t="inlineStr">
        <is>
          <t>Houston, TX</t>
        </is>
      </c>
      <c r="H21" t="inlineStr"/>
      <c r="I21" t="inlineStr">
        <is>
          <t>**Business Data Scientist** 
**The Business Data Scientist will develop and deliver advanced analytics and machine learning models to support business performance, strategic decision\-making, and operational optimization across the organization. This role leverages diverse data sources such as ERP, CRM, and macroeconomic data, utilizing Python and Snowflake to generate actionable insights that drive revenue growth and improve bottom\-line results. Responsibilities include building predictive models, managing large\-scale data processing, and maintaining dashboards and visualizations with Power BI. The position requires collaboration with cross\-functional teams and participation in data governance, along with a strong technical background in modern analytics tools and methods.** 
**Job Description** 
**PRIMARY RESPONSIBILITIES** 
* Develop and deliver advanced analytics to support business performance, strategic decision\-making, and operational optimization across the organization.
* Leverage ERP, CRM, and external macroeconomic data to generate actionable insights for leadership and cross\-functional teams.
* Build predictive analytics and segmentation models to support business growth initiatives, increase revenue, and enhance bottom\-line performance.
* Design, implement, and deploy machine learning models to solve complex business problems and uncover actionable insights that support business growth and profitability.
* Develop and maintain dashboards and reporting tools to monitor key business metrics and performance indicators.
* Conduct data mining, statistical analysis, and data visualization to identify trends, opportunities, and areas for business process improvement.
* Collaborate with stakeholders across departments to drive adoption of analytics and data\-driven changes in business practices.
* Participate in and support Data Governance initiatives to ensure the quality, consistency, and effective use of enterprise data.
* Design and deliver reports and metrics that demonstrate business performance, efficiency, and progress toward organizational goals.
* Assist in developing and implementing systems and process improvements within operational and strategic business areas.
* Document requirements and support change management for process improvements.
* Ensure compliance with company objectives, HSE, and quality standards.
- 
**Education \&amp; Experience Qualifications** 
* Master’s degree preferred in Data Science, Mathematics, Computer Science, Economics, Statistics, Business, Industrial Engineering, or a related field.
* 5\+ years of experience in data science, analytics, business analysis, or a related discipline, ideally in a manufacturing, industrial, or similarly complex environment.
* Demonstrated expertise in developing analytics that drive revenue growth, cost reduction, and improved bottom\-line performance.
* Experience with machine learning methods and frameworks for predictive modeling, classification, clustering, and optimization.
* Experience with ERP and CRM systems, relational databases, and modern analytics tools (e.g., Python, R, SQL, or other scalable packages).
* Strong proficiency with Snowflake as a data platform and Power BI for data visualization and dashboard creation.
* Experience with large, multi\-dimensional data sets and business intelligence software.
* Proven success in a collaborative, team\-oriented environment.
**Job Requirements** 
* Advanced proficiency in data analysis, automation, and visualization using modern analytics tools and programming languages.
* Experience using Snowflake for backend data processing, integration, and analytics.
* Expertise with business intelligence and reporting platforms, particularly Power BI.
* Experience working with large\-scale, distributed data systems and cloud\-based data infrastructure.
* Ability to manage multiple priorities and communicate effectively with stakeholders across business units.
* Experience with process innovation, change management, and continuous improvement.
* High degree of business acumen, situational awareness, and the ability to influence and drive cross\-functional initiatives.</t>
        </is>
      </c>
    </row>
    <row r="22">
      <c r="A22" t="inlineStr">
        <is>
          <t>li-4359417205</t>
        </is>
      </c>
      <c r="B22" t="inlineStr">
        <is>
          <t>Senior Data Scientist</t>
        </is>
      </c>
      <c r="C22" t="inlineStr">
        <is>
          <t>Deep Sync</t>
        </is>
      </c>
      <c r="D22" t="inlineStr">
        <is>
          <t>linkedin</t>
        </is>
      </c>
      <c r="E22" t="inlineStr"/>
      <c r="F22" t="inlineStr"/>
      <c r="G22" t="inlineStr">
        <is>
          <t>Kirkland, WA</t>
        </is>
      </c>
      <c r="H22" t="inlineStr"/>
      <c r="I22" t="inlineStr">
        <is>
          <t>**Description**
**Deep Sync** 
 is the industry leader in deterministic identity. Leveraging our 35\-year foundation of compiling direct mail\-grade datasets, Deep Sync develops data\-first technologies that power marketing, measurement, AI, and business intelligence for agencies and brands with our fully deterministic identity graph, privacy\-first audiences, comprehensive data solutions, and integrations with leading platforms and cloud providers.
 We are seeking a
 **Senior Data Scientist** 
 to drive advanced analytics, machine learning, and data\-driven decision\-making across the organization. In this role, you will work closely with engineering, product, and business stakeholders to design, build, and deploy models that solve real\-world problems at scale. You will be expected to operate as both a
 **hands\-on practitioner** 
 and a
 **technical leader** 
 , owning projects end\-to\-end—from problem formulation and data exploration to model deployment and impact measurement.
**Responsibilities**
* Partner with product, engineering, and business teams to translate ambiguous problems into data science solutions
* Design, develop, and deploy statistical models and machine learning algorithms in production environments
* Perform exploratory data analysis (EDA) to uncover trends, patterns, and actionable insights
* Build and evaluate predictive, classification, clustering, and/or recommendation models for identity resolution and audience segmentation
* Analyze large, complex datasets to extract actionable intelligence and drive data\-informed decision making
* Build and optimize data pipelines (ETL) to support machine learning models in production
* Define success metrics and measure model and business impact over time
* Communicate findings clearly to both technical and non\-technical audiences
* Collaborate with data engineers on data pipelines, feature engineering, and scalable model deployment
* Mentor junior data scientists and contribute to data science best practices
* Influence data strategy, tooling, and model governance across teams
**Requirements**
* 5\+ years of experience in data science, applied statistics, or machine learning
* Master’s or PhD in Computer Science, Physics, Mathematics or related quantitative field
* Strong proficiency in Python (e.g., pandas, NumPy, scikit\-learn)
* Experience with SQL and working with large, complex datasets
* Solid understanding of statistics, probability, and experimental design
* Hands\-on experience deploying models into production environments
* Ability to clearly explain complex analyses and results to diverse stakeholders
**Knowledge And Skills**
* Experience with cloud platforms (AWS, Azure, or GCP)
* Familiarity with big data technologies (Spark, EMR, Databricks, etc.)
* Experience with deep learning frameworks (TensorFlow, PyTorch)
* Background in A/B testing, causal inference, or experimentation platforms
* Exposure to MLOps practices (model versioning, monitoring, CI/CD)
* Experience with identity resolution, customer segmentation, or marketing analytics
* Prior experience mentoring or leading data science initiatives
* Knowledge of data privacy regulations (GDPR, CCPA) and experience handling PII data securely
* Understanding of privacy\-preserving machine learning techniques and anonymization methods
**Benefits**
* Flexible Time Off and Paid Holidays
* Medical/Vision/Dental Insurance, Voluntary Life \&amp; AD\&amp;D Insurance, Short\-Term \&amp; Long\-Term Disability, Critical Illness \&amp; Accident Insurance
* 401(k) with employer matching
* Hybrid with flexible work schedule
**Location:**
 Kirkland, WA (First 6 months in\-office; hybrid schedule available thereafter—typically remote on Mondays and Fridays, with Tuesday–Thursday in\-office, subject to manager’s discretion).
*Registered to do business and willing to consider fully remote candidates in the following states; California, Colorado, Florida, Georgia, Missouri, New York, Oregon, South Carolina, Tennessee, Texas, and Washington.*
**Work Authorization:** 
*Applicants must be authorized to work for ANY employer in the U.S. We are unable to sponsor or take over sponsorship of an employment Visa at this time.*
**Equal Opportunity Employer:** 
*Deep Sync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**Please Contact:** 
 Human Resources \| hr@deepsync.com</t>
        </is>
      </c>
    </row>
    <row r="23">
      <c r="A23" t="inlineStr">
        <is>
          <t>li-4345023510</t>
        </is>
      </c>
      <c r="B23" t="inlineStr">
        <is>
          <t>Data Scientist II, Real World Evidence (RWE), Pharma R&amp;D</t>
        </is>
      </c>
      <c r="C23" t="inlineStr">
        <is>
          <t>Tempus AI</t>
        </is>
      </c>
      <c r="D23" t="inlineStr">
        <is>
          <t>linkedin</t>
        </is>
      </c>
      <c r="E23" t="inlineStr"/>
      <c r="F23" t="inlineStr"/>
      <c r="G23" t="inlineStr">
        <is>
          <t>New York, NY</t>
        </is>
      </c>
      <c r="H23" t="inlineStr"/>
      <c r="I23"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**About The Role**
 The Real World Evidence (RWE) group within the Pharma R\&amp;D team at Tempus works with major pharmaceutical partners to provide best\-in\-class data, analysis, and methodological guidance for Tempus’s real\-world data offering.
 We are seeking a highly motivated and solutions\-oriented RWE Data Scientist II with experience and interest in oncology and epidemiological study design to join our team. This role requires the ability to lead observational studies, derive insights from complex real\-world clinical data, implement advanced statistical methods, and leverage cutting\-edge AI tools to scale tasks and augment insights.
**Key Responsibilities**
* Pharma Collaboration \&amp; Strategy: Partner with pharmaceutical collaborators to independently execute robust RWE research plans that leverage the Tempus multimodal platform to address key questions in trial design and outcomes research.
* Real World Data Expertise: Lead the derivation of complex real\-world endpoints using extensive coding, demonstrating deep comprehension of Tempus clinical and molecular data structures and complexity, while also serving as an expert on the methodological nuances and limitations of real\-world data.
* Methodology \&amp; Platform Contribution: Stay up\-to\-date on methodological advancements in real\-world studies (e.g., causal inference, survival analysis) and oncology guidelines (NCCN and ongoing clinical trials) to contribute to reusable code, internal packages, and best practices that can be applied across multiple collaborations.
* AI \&amp; LLM Innovation: Incorporate LLMs, agentic workflows and other AI tools into day\-to\-day workflows to accelerate code development, discovery, documentation, review, and insight generation.
* Scientific Interpretation \&amp; Communication: Interpret results of RWE analyses to draw appropriate inferences based on study design/statistical methods, while also evaluating study limitations. Communicate complex methods and results clearly to both technical and non\-technical stakeholders. Prepare and present internal reports, external\-facing deliverables, and, where appropriate, manuscripts or conference materials.
* Cross\-Functional Collaboration: Collaborate with internal product, oncology, and clinical abstraction, and real\-world data science teams to continually enhance Tempus data quality, products, and analytical best practices.
**Minimum Qualifications**
* Education: Education in epidemiology, biostatistics, data science, public health, or a related field, to the level of either:
+ PhD
+ Master’s degree and 2\+ years of additional work experience
* Technical and Statistical Proficiency:
+ Proficiency with observational real\-world healthcare data, including analytical experience with time\-to\-event methodologies (survival analysis).
+ Proven expertise in executing RWD analytical studies.
+ Proficient in using R and SQL, especially statistical tools and packages.
+ Proficiency applying machine learning, LLM\-based coding assistants (e.g., Copilot, Cursor) and agentic frameworks to support data analysis, code review, or scientific documentation workflows.
+ Adherence to good software engineering practices (version control, modular code, documentation).
* Communication \&amp; Client Focus: Demonstrated experience interfacing with clients, showcasing adeptness in presenting and tailoring messaging to a variety of stakeholders.
* Soft Skills: Excellent written and verbal communication skills with strong project management skills. Ability to thrive in a fast\-paced, dynamic environment working with multi\-disciplinary scientists on complex problems.
**Preferred Skillsets**
* Experience working with Pharma or drug development.
* Experience in clinical trial design (particularly Phase II\-III) in the clinical development space.
* Analytical proficiency with claims, EHR, or registry data.
* Practical experience configuring or adapting LLMs, or using related tools/frameworks, to support scientific work.
* Knowledge of oncology guidelines (e.g., NCCN).
* Experience with biomarker or molecular data (e.g., genomics).
* Experience with cloud platforms such as AWS and/or BigQuery and/or Google Cloud Platform (GCP).
 CHI: $90,000\-$135,000 USD
 NYC/SF: $100,000\-$150,000 USD
 The expected salary range above is applicable if the role is performed from California and may vary for other locations (Colorado, Illinois, New York). Actual salary may vary based on qualifications and experience. Tempus offers a full range of benefits, which may include incentive compensation, restricted stock units, medical and other benefits depending on the position.
 Additionally,
 ***for remote roles open to individuals in unincorporated Los Angeles** 
 – including remote roles\-* 
 Tempus reasonably believes that criminal history may have a direct, adverse and negative relationship on the following job duties, potentially resulting in the withdrawal of the conditional offer of employment: engaging positively with customers and other employees; accessing confidential information, including intellectual property, trade secrets, and protected health information; and appropriately handling such information in accordance with legal and ethical standards. Qualified applicants with arrest or conviction records will be considered for employment in accordance with applicable law, including the Los Angeles County Fair Chance Ordinance for Employers and the California Fair Chance Act.
 We are an equal opportunity employer. We do not discriminate on the basis of race, religion, color, national origin, gender, sexual orientation, age, marital status, veteran status, or disability status.</t>
        </is>
      </c>
    </row>
    <row r="24">
      <c r="A24" t="inlineStr">
        <is>
          <t>li-4315352760</t>
        </is>
      </c>
      <c r="B24" t="inlineStr">
        <is>
          <t>Forward-Deployed Data Scientist, AI Deployment</t>
        </is>
      </c>
      <c r="C24" t="inlineStr">
        <is>
          <t>Braze</t>
        </is>
      </c>
      <c r="D24" t="inlineStr">
        <is>
          <t>linkedin</t>
        </is>
      </c>
      <c r="E24" t="inlineStr"/>
      <c r="F24" t="inlineStr"/>
      <c r="G24" t="inlineStr">
        <is>
          <t>San Francisco, CA</t>
        </is>
      </c>
      <c r="H24" t="inlineStr"/>
      <c r="I24"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As our customer base continues to grow with the excitement around BrazeAI, we’re expanding our team! Join our Field Data Scientist group of creative technical experts who partner with customers to ensure their success. In this role, you will:
* Collaborate with customer Analytics/BI teams and Braze colleagues on implementations, including use case definition, data integration, pipeline setup, and ML model configuration
* Extend product capabilities by improving architecture and developing reusable data pipelines, APIs, and components
* Work closely with the RL pipeline development team to refine and advance our reinforcement learning (self\-learning) algorithms
* Contribute to shaping OfferFit’s product strategy and roadmap through customer\-facing insights and technical expertise
* Provide ongoing technical expertise to ensure successful adoption, measurable outcomes, and long\-term customer success
**Who You Are**
* Education: Bachelor’s degree in Computer Science, Data Science, Mathematics, Engineering, or a related field required; Master’s or PhD in a relevant technical discipline preferred
* Experience: 3–5\+ years of hands\-on experience as a Data Scientist, Machine Learning Engineer, or similar role working with large\-scale data and production environments. Experience in customer\-facing or consulting roles is strongly preferred
* Strong technical expertise: Proficient in Python (Pandas) and core ML libraries (TensorFlow, Keras, scikit\-learn, CatBoost, XGBoost). Skilled in SQL for querying/manipulating datasets, with experience in machine learning pipelines and model deployment
* Engineering best practices: You write well\-structured, modular, documented code; follow strong development practices (Git, CI/CD, testing frameworks, type\-hinting, code reviews); and can build scalable, maintainable solutions
* Nice\-to\-have skills: Experience with DevOps tools (Airflow, Kubernetes, Terraform, GCP), data integration/ETL and pipeline optimization, or reinforcement learning algorithms
* Customer collaborator: Comfortable working directly with clients and cross\-functional teams, aligning stakeholders, and translating technical concepts into clear business value
* Entrepreneurial problem\-solver: You identify opportunities and risks early, troubleshoot obstacles, and drive creative solutions
* Continuous learner: You stay current with industry trends, explore new tools/technologies, and thrive in environments that push you to grow
* Clear communicator: Able to explain complex technical ideas persuasively to both technical and non\-technical audiences
 For candidates based in the United States, the pay range for this position at the start of employment is expected to be between $145,800 \- $217,8000/year with an expected On Target Earnings (OTE) between $162,000 \- $242,000/year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25">
      <c r="A25" t="inlineStr">
        <is>
          <t>li-4354603487</t>
        </is>
      </c>
      <c r="B25" t="inlineStr">
        <is>
          <t>Data Scientist</t>
        </is>
      </c>
      <c r="C25" t="inlineStr">
        <is>
          <t>STAND 8 Technology Consulting</t>
        </is>
      </c>
      <c r="D25" t="inlineStr">
        <is>
          <t>linkedin</t>
        </is>
      </c>
      <c r="E25" t="inlineStr"/>
      <c r="F25" t="inlineStr"/>
      <c r="G25" t="inlineStr">
        <is>
          <t>Long Beach, CA</t>
        </is>
      </c>
      <c r="H25" t="inlineStr"/>
      <c r="I25" t="inlineStr">
        <is>
          <t>STAND 8 provides end to end IT solutions to enterprise partners across the United States and with offices in Los Angeles, New York, New Jersey, Atlanta, and more including internationally in Mexico and India
 We are seeking a highly analytical and technically skilled Data Scientist to transform complex, multi\-source data into unified, actionable insights used for executive reporting and decision\-making.
 This role requires expertise in business intelligence design, data modeling, metadata management, data integrity validation, and the development of dashboards, reports, and analytics used across operational and strategic environments.
 The ideal candidate thrives in a fast\-paced environment, demonstrates strong investigative skills, and can collaborate effectively with technical teams, business stakeholders, and leadership.
**Essential Duties \&amp; Responsibilities** 
* As a Data Scientist, participate across the full solution lifecycle: business case, planning, design, development, testing, migration, and production support.
* Analyze large and complex datasets with accuracy and attention to detail.
* Collaborate with users to develop effective metadata and data relationships.
* Identify reporting and dashboard requirements across business units.
* Determine strategic placement of business logic within ETL or metadata models.
* Build enterprise data warehouse metadata/semantic models.
* Design and develop unified dashboards, reports, and data extractions from multiple data sources.
* Develop and execute testing methodologies for reports and metadata models.
* Document BI architecture, data lineage, and project report requirements.
* Provide technical specifications and data definitions to support the enterprise data dictionary.
* Apply analytical skills and Data Science techniques to understand business processes, financial calculations, data flows, and application interactions.
* Identify and implement improvements, workarounds, or alternative solutions related to ETL processes, ensuring integrity and timeliness.
* Create UI components or portal elements (e.g., SharePoint) for dynamic or interactive stakeholder reporting.
* As a Data Scientist, download and process SQL database information to build Power BI or Tableau reports (including cybersecurity awareness campaigns).
* Utilize SQL, Python, R, or similar languages for data analysis and modeling.
* Support process optimization through advanced modeling, leveraging experience as a Data Scientist where needed.
**Required Knowledge \&amp; Attributes** 
* Highly self\-motivated with strong organizational skills and ability to manage multiple verbal and written assignments.
* Experience collaborating across organizational boundaries for data sourcing and usage.
* Analytical understanding of business processes, forecasting, capacity planning, and data governance.
* Proficient with BI tools (Power BI, Tableau, PBIRS, SSRS, SSAS).
* Strong Microsoft Office skills (Word, Excel, Visio, PowerPoint).
* High attention to detail and accuracy.
* Ability to work independently, demonstrate ownership, and ensure high\-quality outcomes.
* Strong communication, interpersonal, and stakeholder engagement skills.
* Deep understanding that data integrity and consistency are essential for adoption and trust.
* Ability to shift priorities and adapt within fast\-paced environments.
**Required Education \&amp; Experience** 
* Bachelor's degree in Computer Science, Mathematics, or Statistics (or equivalent experience).
* 3\+ years of BI development experience.
* 3\+ years with Power BI and supporting Microsoft stack tools (SharePoint 2019, PBIRS/SSRS, Excel 2019/2021\).
* 3\+ years of experience with SDLC/project lifecycle processes
* 3\+ years of experience with data warehousing methodologies (ETL, Data Modeling).
* 3\+ years of VBA experience in Excel and Access.
* Strong ability to write SQL queries and work with SQL Server 2017\-2022\.
* Experience with BI tools including PBIRS, SSRS, SSAS, Tableau.
* Strong analytical skills in business processes, financial modeling, forecasting, and data flow understanding.
* Critical thinking and problem\-solving capabilities.
* Experience producing high\-quality technical documentation and presentations.
* Excellent communication and presentation skills, with the ability to explain insights to leadership and business teams.
**Benefits** 
* Medical coverage and Health Savings Account (HSA) through Anthem
* Dental/Vision/Various Ancillary coverages through Unum
* 401(k) retirement savings plan
* Paid\-time\-off options
* Company\-paid Employee Assistance Program (EAP)
* Discount programs through ADP WorkforceNow
**Additional Details**
 The base range for this contract position is $73 \- $83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
 By applying to this position, your data will be processed in accordance with the STAND 8 Privacy Policy.</t>
        </is>
      </c>
    </row>
    <row r="26">
      <c r="A26" t="inlineStr">
        <is>
          <t>li-4315366303</t>
        </is>
      </c>
      <c r="B26" t="inlineStr">
        <is>
          <t>Forward-Deployed Data Scientist, AI Deployment</t>
        </is>
      </c>
      <c r="C26" t="inlineStr">
        <is>
          <t>Braze</t>
        </is>
      </c>
      <c r="D26" t="inlineStr">
        <is>
          <t>linkedin</t>
        </is>
      </c>
      <c r="E26" t="inlineStr"/>
      <c r="F26" t="inlineStr"/>
      <c r="G26" t="inlineStr">
        <is>
          <t>New York, NY</t>
        </is>
      </c>
      <c r="H26" t="inlineStr"/>
      <c r="I26"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As our customer base continues to grow with the excitement around BrazeAI, we’re expanding our team! Join our Field Data Scientist group of creative technical experts who partner with customers to ensure their success. In this role, you will:
* Collaborate with customer Analytics/BI teams and Braze colleagues on implementations, including use case definition, data integration, pipeline setup, and ML model configuration
* Extend product capabilities by improving architecture and developing reusable data pipelines, APIs, and components
* Work closely with the RL pipeline development team to refine and advance our reinforcement learning (self\-learning) algorithms
* Contribute to shaping OfferFit’s product strategy and roadmap through customer\-facing insights and technical expertise
* Provide ongoing technical expertise to ensure successful adoption, measurable outcomes, and long\-term customer success
**Who You Are**
* Education: Bachelor’s degree in Computer Science, Data Science, Mathematics, Engineering, or a related field required; Master’s or PhD in a relevant technical discipline preferred
* Experience: 3–5\+ years of hands\-on experience as a Data Scientist, Machine Learning Engineer, or similar role working with large\-scale data and production environments. Experience in customer\-facing or consulting roles is strongly preferred
* Strong technical expertise: Proficient in Python (Pandas) and core ML libraries (TensorFlow, Keras, scikit\-learn, CatBoost, XGBoost). Skilled in SQL for querying/manipulating datasets, with experience in machine learning pipelines and model deployment
* Engineering best practices: You write well\-structured, modular, documented code; follow strong development practices (Git, CI/CD, testing frameworks, type\-hinting, code reviews); and can build scalable, maintainable solutions
* Nice\-to\-have skills: Experience with DevOps tools (Airflow, Kubernetes, Terraform, GCP), data integration/ETL and pipeline optimization, or reinforcement learning algorithms
* Customer collaborator: Comfortable working directly with clients and cross\-functional teams, aligning stakeholders, and translating technical concepts into clear business value
* Entrepreneurial problem\-solver: You identify opportunities and risks early, troubleshoot obstacles, and drive creative solutions
* Continuous learner: You stay current with industry trends, explore new tools/technologies, and thrive in environments that push you to grow
* Clear communicator: Able to explain complex technical ideas persuasively to both technical and non\-technical audiences
 For candidates based in the United States, the pay range for this position at the start of employment is expected to be between $145,800 \- $217,8000/year with an expected On Target Earnings (OTE) between $162,000 \- $242,000/year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27">
      <c r="A27" t="inlineStr">
        <is>
          <t>li-4344953795</t>
        </is>
      </c>
      <c r="B27" t="inlineStr">
        <is>
          <t>Data Scientist</t>
        </is>
      </c>
      <c r="C27" t="inlineStr">
        <is>
          <t>Corteva Agriscience</t>
        </is>
      </c>
      <c r="D27" t="inlineStr">
        <is>
          <t>linkedin</t>
        </is>
      </c>
      <c r="E27" t="inlineStr"/>
      <c r="F27" t="inlineStr"/>
      <c r="G27" t="inlineStr">
        <is>
          <t>Indianapolis, IN</t>
        </is>
      </c>
      <c r="H27" t="inlineStr"/>
      <c r="I27" t="inlineStr">
        <is>
          <t>**Who We Are And What We Do**
 At Corteva Agriscience, you will help us grow what’s next. No matter your role, you will be part of a team that is building the future of agriculture – leading breakthroughs in the innovation and application of science and technology that will better the lives of people all over the world and fuel the progress of humankind.
 We are seeking a highly skilled
 **Data Scientist** 
 with experience in bioprocess control to join our global Data Science team. This role will focus on applying artificial intelligence, machine learning, and statistical modeling to develop active bioprocess control algorithms, optimize bioprocess workflows, improve operational efficiency, and enable data\-driven decision\-making in manufacturing and R\&amp;D environments.
**What You’ll Do**
* Design and implement active process control strategies, leveraging online measurements and dynamic parameter adjustment for improved productivity and safety.
* Develop and deploy predictive models for bioprocess optimization, including fermentation and downstream processing.
* Partner with engineers and scientists to translate process insights into actionable improvements, such as yield enhancement and cost reduction.
* Analyze high\-complexity datasets from bioprocess operations, including sensor data, batch records, and experimental results.
* Collaborate with cross\-functional teams to integrate data science solutions into plant operations, ensuring scalability and compliance.
* Communicate findings through clear visualizations, reports, and presentations to technical and non\-technical stakeholders.
* Contribute to continuous improvement of data pipelines and modeling frameworks for bioprocess control.
**What Skills You Need**
* M.S. \+ 3 years’ experience or Ph.D. in Data Science, Computer Science, Chemical Engineering, Bioprocess Engineering, Statistics, or related quantitative field.
* Strong foundation in machine learning, statistical modeling, and process control.
* Proficiency in Python, R, or another programming language.
* Excellent communication and collaboration skills; ability to work in multidisciplinary teams.
**Preferred Skills**
* Familiarity with bioprocess workflows, fermentation, and downstream processing.
* Hands\-on experience with bioprocess optimization models and active process control strategies.
* Experience with industrial data systems and cloud platforms.
* Knowledge of reinforcement learning or adaptive experimentation for process improvement.
**Benefits – How We’ll Support You**
* Numerous development opportunities offered to build your skills
* Be part of a company with a higher purpose and contribute to making the world a better place
* Health benefits for you and your family on your first day of employment
* Four weeks of paid time off and two weeks of well\-being pay per year, plus paid holidays
* Excellent parental leave which includes a minimum of 16 weeks for mother and father
* Future planning with our competitive retirement savings plan and tuition reimbursement program
* Learn more about our total rewards package here \- Corteva Benefits
* Check out life at Corteva! www.linkedin.com/company/corteva/life
 Are you a good match? Apply today! We seek applicants from all backgrounds to ensure we get the best, most creative talent on our team.
 Corteva Agriscience is an equal opportunity employer. We are committed to embracing our differences to enrich lives, advance innovation, and boost company performance. Qualified applicants will be considered without regard to race, color, religion, creed, sex, sexual orientation, gender identity, marital status, national origin, age, military or veteran status, pregnancy related conditions (including pregnancy, childbirth, or related medical conditions), disability or any other protected status in accordance with federal, state, or local laws.</t>
        </is>
      </c>
    </row>
    <row r="28">
      <c r="A28" t="inlineStr">
        <is>
          <t>li-4344874654</t>
        </is>
      </c>
      <c r="B28" t="inlineStr">
        <is>
          <t>Data Scientist II, Real World Evidence (RWE), Pharma R&amp;D</t>
        </is>
      </c>
      <c r="C28" t="inlineStr">
        <is>
          <t>Tempus AI</t>
        </is>
      </c>
      <c r="D28" t="inlineStr">
        <is>
          <t>linkedin</t>
        </is>
      </c>
      <c r="E28" t="inlineStr"/>
      <c r="F28" t="inlineStr"/>
      <c r="G28" t="inlineStr">
        <is>
          <t>Redwood City, CA</t>
        </is>
      </c>
      <c r="H28" t="inlineStr"/>
      <c r="I28"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**About The Role**
 The Real World Evidence (RWE) group within the Pharma R\&amp;D team at Tempus works with major pharmaceutical partners to provide best\-in\-class data, analysis, and methodological guidance for Tempus’s real\-world data offering.
 We are seeking a highly motivated and solutions\-oriented RWE Data Scientist II with experience and interest in oncology and epidemiological study design to join our team. This role requires the ability to lead observational studies, derive insights from complex real\-world clinical data, implement advanced statistical methods, and leverage cutting\-edge AI tools to scale tasks and augment insights.
**Key Responsibilities**
* Pharma Collaboration \&amp; Strategy: Partner with pharmaceutical collaborators to independently execute robust RWE research plans that leverage the Tempus multimodal platform to address key questions in trial design and outcomes research.
* Real World Data Expertise: Lead the derivation of complex real\-world endpoints using extensive coding, demonstrating deep comprehension of Tempus clinical and molecular data structures and complexity, while also serving as an expert on the methodological nuances and limitations of real\-world data.
* Methodology \&amp; Platform Contribution: Stay up\-to\-date on methodological advancements in real\-world studies (e.g., causal inference, survival analysis) and oncology guidelines (NCCN and ongoing clinical trials) to contribute to reusable code, internal packages, and best practices that can be applied across multiple collaborations.
* AI \&amp; LLM Innovation: Incorporate LLMs, agentic workflows and other AI tools into day\-to\-day workflows to accelerate code development, discovery, documentation, review, and insight generation.
* Scientific Interpretation \&amp; Communication: Interpret results of RWE analyses to draw appropriate inferences based on study design/statistical methods, while also evaluating study limitations. Communicate complex methods and results clearly to both technical and non\-technical stakeholders. Prepare and present internal reports, external\-facing deliverables, and, where appropriate, manuscripts or conference materials.
* Cross\-Functional Collaboration: Collaborate with internal product, oncology, and clinical abstraction, and real\-world data science teams to continually enhance Tempus data quality, products, and analytical best practices.
**Minimum Qualifications**
* Education: Education in epidemiology, biostatistics, data science, public health, or a related field, to the level of either:
+ PhD
+ Master’s degree and 2\+ years of additional work experience
* Technical and Statistical Proficiency:
+ Proficiency with observational real\-world healthcare data, including analytical experience with time\-to\-event methodologies (survival analysis).
+ Proven expertise in executing RWD analytical studies.
+ Proficient in using R and SQL, especially statistical tools and packages.
+ Proficiency applying machine learning, LLM\-based coding assistants (e.g., Copilot, Cursor) and agentic frameworks to support data analysis, code review, or scientific documentation workflows.
+ Adherence to good software engineering practices (version control, modular code, documentation).
* Communication \&amp; Client Focus: Demonstrated experience interfacing with clients, showcasing adeptness in presenting and tailoring messaging to a variety of stakeholders.
* Soft Skills: Excellent written and verbal communication skills with strong project management skills. Ability to thrive in a fast\-paced, dynamic environment working with multi\-disciplinary scientists on complex problems.
**Preferred Skillsets**
* Experience working with Pharma or drug development.
* Experience in clinical trial design (particularly Phase II\-III) in the clinical development space.
* Analytical proficiency with claims, EHR, or registry data.
* Practical experience configuring or adapting LLMs, or using related tools/frameworks, to support scientific work.
* Knowledge of oncology guidelines (e.g., NCCN).
* Experience with biomarker or molecular data (e.g., genomics).
* Experience with cloud platforms such as AWS and/or BigQuery and/or Google Cloud Platform (GCP).
 CHI: $90,000\-$135,000 USD
 NYC/SF: $100,000\-$150,000 USD
 The expected salary range above is applicable if the role is performed from California and may vary for other locations (Colorado, Illinois, New York). Actual salary may vary based on qualifications and experience. Tempus offers a full range of benefits, which may include incentive compensation, restricted stock units, medical and other benefits depending on the position.
 Additionally,
 ***for remote roles open to individuals in unincorporated Los Angeles** 
 – including remote roles\-* 
 Tempus reasonably believes that criminal history may have a direct, adverse and negative relationship on the following job duties, potentially resulting in the withdrawal of the conditional offer of employment: engaging positively with customers and other employees; accessing confidential information, including intellectual property, trade secrets, and protected health information; and appropriately handling such information in accordance with legal and ethical standards. Qualified applicants with arrest or conviction records will be considered for employment in accordance with applicable law, including the Los Angeles County Fair Chance Ordinance for Employers and the California Fair Chance Act.
 We are an equal opportunity employer. We do not discriminate on the basis of race, religion, color, national origin, gender, sexual orientation, age, marital status, veteran status, or disability status.</t>
        </is>
      </c>
    </row>
    <row r="29">
      <c r="A29" t="inlineStr">
        <is>
          <t>li-4343066067</t>
        </is>
      </c>
      <c r="B29" t="inlineStr">
        <is>
          <t>Senior Applied Scientist</t>
        </is>
      </c>
      <c r="C29" t="inlineStr">
        <is>
          <t>Alibaba.com</t>
        </is>
      </c>
      <c r="D29" t="inlineStr">
        <is>
          <t>linkedin</t>
        </is>
      </c>
      <c r="E29" t="inlineStr"/>
      <c r="F29" t="inlineStr"/>
      <c r="G29" t="inlineStr">
        <is>
          <t>Sunnyvale, CA</t>
        </is>
      </c>
      <c r="H29" t="inlineStr"/>
      <c r="I29" t="inlineStr">
        <is>
          <t>**About our team:** 
 Our team is dedicated to revolutionizing B2B e\-commerce through the development of a groundbreaking AI search product. Leveraging cutting\-edge LLM technology, we're creating a brand new AI search engine and streamline the entire purchasing process for B2B customers.
**Responsibilities** 
 ● Deliver full projects by defining the data structure, framework, design, and evaluation metrics for AI solution development and implementation.
 ● Develop and deploy Large Language Models (LLMs) to empower search and agent systems for a variety of applications.
 ● Identify new and upcoming product innovation areas by interacting with potential external and internal collaborators.
 ● Identify undefined problems in existing technology and engage stakeholders and leaders to address them.
**Qualifications** 
 ● PhD, Master's, or Bachelor's degree in Computer Science, Engineering, Mathematics, or related fields.
 ● Ability to implement and verify state\-of\-the\-art NLP or Computer Vision algorithms.
 ● Experience in successfully applying machine learning approaches to real\-world personalization problems.
 ● Experience with building large language models.
 ● Knowledge of statistical methods, with strong mathematical skills.
 ● Excellent problem\-solving and programming skills in Python.
 The pay range for this position at commencement of employment is expected to be between $162,400/year and $266,000/year. However, base pay offered may vary depending on multiple individualized factors, including market location, job\-related knowledge, skills, and experience.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row>
    <row r="30">
      <c r="A30" t="inlineStr">
        <is>
          <t>li-4331925165</t>
        </is>
      </c>
      <c r="B30" t="inlineStr">
        <is>
          <t>Data Scientist</t>
        </is>
      </c>
      <c r="C30" t="inlineStr">
        <is>
          <t>Tata Consultancy Services</t>
        </is>
      </c>
      <c r="D30" t="inlineStr">
        <is>
          <t>linkedin</t>
        </is>
      </c>
      <c r="E30" t="inlineStr"/>
      <c r="F30" t="inlineStr"/>
      <c r="G30" t="inlineStr">
        <is>
          <t>Atlanta, GA</t>
        </is>
      </c>
      <c r="H30" t="inlineStr"/>
      <c r="I30" t="inlineStr">
        <is>
          <t>**Must Have Technical/Functional Skills** 
 •𝐏𝐫𝐨𝐠𝐫𝐚𝐦𝐦𝐢𝐧𝐠 \&amp; 𝐓𝐞𝐜𝐡𝐧𝐨𝐥𝐨𝐠𝐢𝐞𝐬: Proficient in Python, SQL, and R coding languages coupled with expertise in Domo, SAS, and web development languages. Adept in leveraging cloud technologies including AWS, Azure, and Hadoop ecosystems for scalable data solutions.
 •𝐀𝐝𝐯𝐚𝐧𝐜𝐞𝐝 𝐌𝐨𝐝𝐞𝐥𝐢𝐧𝐠: Skilled in utilizing techniques like PCA, Lasso, and Elastic Net for feature selection, and deploying machine learning algorithms such as Linear \&amp; Logistic Regression, SVM, Decision Trees, XGBoost, Hist Gradient Boosting, and LightGBM for high\-impact results.
 •𝐃𝐚𝐭𝐚 𝐕𝐢𝐬𝐮𝐚𝐥𝐢𝐳𝐚𝐭𝐢𝐨𝐧 \&amp; 𝐃𝐚𝐭𝐚 𝐒𝐭𝐨𝐫𝐲𝐭𝐞𝐥𝐥𝐢𝐧𝐠: Adept at designing visually appealing data presentations and utilizing data storytelling techniques to effectively communicate insights. Proficient with Domo, Tableau, PowerBI, D3\.js, and Matplotlib for creating data visualizations and dashboards. Experienced in transforming complex findings into actionable insights and narratives that resonate with diverse audiences.
 Palantir \&amp; Skywise experience is a plus point
**Roles \&amp; Responsibilities** 
* Design and implement predictive models and machine learning algorithms to solve business problems.
* Perform feature selection using techniques such as PCA, Lasso, and Elastic Net.
* Develop and deploy models using algorithms like Linear \&amp; Logistic Regression, SVM, Decision Trees, XGBoost, Hist Gradient Boosting, and LightGBM.
* Utilize cloud technologies (AWS, Azure, Hadoop) for scalable data solutions.
* Create interactive dashboards and visualizations using tools like Domo, Tableau, PowerBI, D3\.js, and Matplotlib.
* Communicate insights through compelling data storytelling for diverse stakeholders.
* Collaborate with cross\-functional teams to integrate data solutions into business processes.</t>
        </is>
      </c>
    </row>
    <row r="31">
      <c r="A31" t="inlineStr">
        <is>
          <t>li-4352189082</t>
        </is>
      </c>
      <c r="B31" t="inlineStr">
        <is>
          <t>(CW) Data Scientist (TEMPORARY)</t>
        </is>
      </c>
      <c r="C31" t="inlineStr">
        <is>
          <t>BioMarin Pharmaceutical Inc.</t>
        </is>
      </c>
      <c r="D31" t="inlineStr">
        <is>
          <t>linkedin</t>
        </is>
      </c>
      <c r="E31" t="inlineStr"/>
      <c r="F31" t="inlineStr"/>
      <c r="G31" t="inlineStr">
        <is>
          <t>San Rafael, CA</t>
        </is>
      </c>
      <c r="H31" t="inlineStr"/>
      <c r="I31" t="inlineStr">
        <is>
          <t>Who We Are
 BioMarin is a global biotechnology company that relentlessly pursues bold science to translate genetic discoveries into new medicines that advance the future of human health.
 Since our founding in 1997, we have applied our scientific expertise in understanding the underlying causes of genetic conditions to create transformative medicines, using a number of treatment modalities.
 Using our unparalleled expertise in genetics and molecular biology, we develop medicines for patients with significant unmet medical need. We enlist the best of the best – people with the right technical expertise and a relentless drive to solve real problems – and create an environment that empowers our teams to pursue bold, innovative science. With this distinctive approach to drug discovery, we’ve produced a diverse pipeline of commercial, clinical and preclinical candidates that have well\-understood biology and provide an opportunity to be first\-to\-market or offer a substantial benefit over existing therapeutic options.
**About Technical Operations**
 BioMarin’s Technical Operations group is responsible for creating our drugs for use in clinical trials and for scaling production of those drugs for the commercial market. These engineers, technicians, scientists and support staff build and maintain BioMarin’s cutting\-edge manufacturing processes and sites, provide quality assurance and quality control to ensure we meet regulatory standards, and procure the needed goods and services to support manufacturing and coordinating the worldwide
 CONTRACT ONLY REMOTE FOR 4 MONTHS
 Global Data Science (GDS), Data Management Science (DMS)
 BioMarin Data Science is responsible for designing, capturing, analyzing, and presenting data that can drive key decisions for Clinical Development, Medical Affairs, and other business areas of BioMarin. With a quality\-by\-design culture, Data Science builds quality data that is fit\-for\-purpose to support statistically sound investigation of critical scientific questions. The Data Science team develops solid analytics that are visually relevant and impactful in supporting key data\-driven decisions across BioMarin.
 The Data Management Science (DMS) group contributes to Data Science by providing complete, correct, and consistent analyzable data at data, data structure and documentation levels following international standards and GCP. The DMS Center of Risk Based Quality Management (RBQM) sub\-function is responsible for the implementation of a comprehensive, cross\-functional strategy to proactively manage quality risks for clinical trials. Starting at protocol development, the team collaborates to define critical\-to\-quality factors, design fit\-for\-purpose quality strategies, and enable ongoing oversight through centralized monitoring and data\-driven risk management.
**Summary Description**
 The RBQM Data Scientist supports central monitoring and risk\-based quality management (RBQM) for clinical trials. This role focuses on implementing and running pre\-defined KRIs, QTLs, and other risk metrics using clinical data, with strong emphasis on SAS programming to deliver robust and scalable analytics across multiple studies.
 KEY RESPONSIBILITIES:
 The RBQM Data Scientist may perform a range of the following responsibilities, depending upon the studies’ complexity and studies’ development stage:
* Implement and maintain pre\-defined KRIs, QTLs, and triggers using robust SAS programs/macros across multiple clinical studies.
* Extract, transform, and integrate data from EDC systems (e.g., RAVE) and other clinical sources into analysis\-ready SAS datasets.
* Run routine and ad\-hoc RBQM/central monitoring outputs (tables, listings, data extracts, dashboard feeds) to support signal detection and study review.
* Perform QC and troubleshooting of SAS code; ensure outputs are accurate and efficient.
* Maintain clear technical documentation (specifications, validation records, change logs) for all RBQM programs and processes.
* Collaborate with Central Monitors, Central Statistical Monitors, Data Management, Biostatistics, and Study Operations to understand requirements and ensure correct implementation of RBQM metrics.
**Qualifications**
 Education \&amp; Experience
* PhD, MS, or BA/BS in statistics, biostatistics, computer science, data science, life science, or a related field.
* Relevant clinical development experience (programming, RBM/RBQM, Data Management), for example:
* PhD: 3\+ years
* MS: 5\+ years
* BA/BS: 8\+ years
 Technical – Required
* Advanced SAS programming skills (hard requirement) in a clinical trials environment (Base SAS, Macro, SAS SQL; experience with large, complex clinical datasets).
* Hands\-on experience working with clinical trial data.
* Proficiency with Microsoft Word, Excel, and PowerPoint.
**Technical – Preferred / Strong Plus**
* Experience with RAVE EDC.
* Awareness or working knowledge of CDISC, CDASH, SDTM standards.
* Exposure to R, Python, or JavaScript and/or clinical data visualization tools/platforms.
 Domain \&amp; Soft Skills
* Knowledge of GCP, ICH, FDA guidance related to clinical trials and risk\-based monitoring.
* Strong analytical and problem\-solving skills; ability to interpret complex data and risk outputs.
* Effective communication and teamwork skills; comfortable collaborating with cross\-functional, global teams.
* Ability to manage multiple programming tasks and deliver high\-quality work in a fast\-paced environment.
 Note: This description is not intended to be all\-inclusive, or a limitation of the duties of the position. It is intended to describe the general nature of the job that may include other duties as assumed or assigned.
 Equal Opportunity Employer/Veterans/Disabled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In the U.S, the salary range for this position is $ 76 to $ 100 per hour. The base pay actually offered will take into account internal equity, and may also vary depending on candidate’s geographic region, job\-related knowledge, skills, and experience amongst other factors. The salary range for this position is: $76 to $100\. BioMarin considers a variety of factors when determining base compensation, including experience, qualifications, and geographic location. These considerations mean actual compensation will vary. This position may also be eligible for a discretionary annual bonus, discretionary stock\-based long\-term incentives (eligibility may vary based on role), paid time off, and a benefits package. Benefits include company\-sponsored medical, dental, vision, and life insurance plans.
 For additional benefits information, visit: https://careers.biomarin.com/benefits.
* Eligible employees may participate in benefit plans, subject to the terms and conditions of the applicable plans.</t>
        </is>
      </c>
    </row>
    <row r="32">
      <c r="A32" t="inlineStr">
        <is>
          <t>li-4332222370</t>
        </is>
      </c>
      <c r="B32" t="inlineStr">
        <is>
          <t>Principal Data Scientist</t>
        </is>
      </c>
      <c r="C32" t="inlineStr">
        <is>
          <t>Pacific Gas and Electric Company</t>
        </is>
      </c>
      <c r="D32" t="inlineStr">
        <is>
          <t>linkedin</t>
        </is>
      </c>
      <c r="E32" t="inlineStr"/>
      <c r="F32" t="inlineStr"/>
      <c r="G32" t="inlineStr">
        <is>
          <t>Oakland, CA</t>
        </is>
      </c>
      <c r="H32" t="inlineStr"/>
      <c r="I32" t="inlineStr">
        <is>
          <t>Requisition ID \# 169267
 Job Category: Accounting / Finance
 Job Level: Manager/Principal
 Business Unit: Gen Counsel, Ethics, Risk \&amp; Compliance
 Work Type: Hybrid
 Job Location: Oakland
**Department Overview**
 The Enterprise Risk and Operational Risk Management (EORM) organization is responsible for enabling the business to effectively manage risk in key areas of the enterprise through consistent assessment and risk\-informed decision making. EORM organization is charged with overseeing all enterprise and operational risk management related to PG\&amp;E’s operations and public safety including evaluating risks and their mitigations associated with wildfires, nuclear, dams, natural gas, cyberattacks and natural disasters.
**Position Summary**
 As a Principal Data Scientist on the Enterprise Risk Analytics team within the EORM organization, you will be responsible for leading the development and implementation of quantitative risk models for identified risks including cybersecurity, physical security, data loss, and IT asset failure—as well as evaluating risk reduction achieved through mitigation and controls. Your work will influence enterprise prioritization, investment decisions, and regulatory filings (such as Risk Assessment and Mitigation Phase (RAMP) and General Rate Case (GRC)).
 You will continuously evaluate and improve quantitative assessments of risk and associated mitigations and controls while refining analytical tools and processes—such as data processing scripts, risk algorithms, Python programs, Excel files, and Palantir Foundry code—to ensure consistent and valuable risk evaluation across the company. Responsibilities include designing, developing, and executing scripts, programs, models, algorithms, and processes using structured and unstructured data from various sources and at various scales, with the goal of producing actionable insights for strategy, planning, process improvement, and product enhancement.
 Additionally, you will support technical development phases for quantitative risk analytics, including data collection, data engineering, modeling, visualization, and user interface design. You will collaborate with both technical and non\-technical coworkers by advising on relevant data collection, resolving analytical and technical challenges, communicating findings and recommendations, and partnering with teams, clients, and senior leadership throughout the development cycle to ensure continuous improvement. Furthermore, you will review and validate existing methods, assumptions, algorithms, and models, working toward the advancement of risk analytics at PG\&amp;E.
 This position is hybrid, working from your remote office and Oakland General Office at least once per week and based on business needs.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between the entry point and the middle of the range, the decision will be made on a case\-by\-case basis related to these factors.  This job is also eligible to participate in PG\&amp;E’s discretionary incentive compensation programs.
 A reasonable starting salary range is:
 Bay Area Minimum: $159,000
 Bay Area Maximum: $236,500
**Job Responsibilities**
* Quantitative Risk Analytics and Mitigation Evaluation: Apply mathematical, probabilistic, and statistical techniques to objectively quantify the likelihood and impact—financial, operational, safety, and reliability—of identified risks, including but not limited to cybersecurity, physical security, data security, and IT asset failure. Transition risk assessments from subjective ratings to monetized, objective, verifiable, and actionable values to support risk\-informed decision\-making, investment planning, and risk reduction tracking.
* Data Management and Model Development: Collect, clean, and transform data from a variety of internal sources to enable high\-impact analytics. Research and implement quantitative methods and machine learning models to develop, validate, and visualize robust risk and mitigation models within the organizational environment. Lead the estimation of mitigation effectiveness, calculation of benefit\-cost ratios, and evaluation of model assumptions, inputs, and methodologies.
* Stakeholder Collaboration: Partner with subject matter experts, risk managers, and risk owners to develop credible risk models and integrate quantitative risk assessment into core business and operational processes.
* Risk Analytics Leadership: Mentor and guide junior staff and risk analysts, standardizing processes and tools across the data science function. Collaborate with analytics platform owners to prioritize and advance scalable risk and mitigation modeling capabilities. Assess and enhance existing risk modeling methodologies to drive continuous improvement.
* Communication: Prepare and deliver clear, concise documentation and presentations on data sources, methodologies, analyses, results, and validations. Produce model documentation, whitepapers, formal reports, and expert testimony as required.
**Qualifications**
 Minimum:
* Bachelor’s Degree in Data Science, Machine Learning, Computer Science, Physics, Econometrics, or Economics, Engineering, Mathematics, Applied Sciences, Statistics, or equivalent field
* 8 years in data science (or 2 years, if possess Doctoral Degree or higher, as described above)
 Desired:
* Doctoral Degree or higher in Data Science, Machine Learning, Computer Science, Physics, Econometrics, or Economics, Engineering, Mathematics, Applied Sciences, Statistics, or equivalent field
* Relevant industry experience (electric or gas utility, cybersecurity, analytical consulting, etc.), 8 years
* Experience in quantifying cybersecurity risk using the FAIR framework (certification preferred)
* Experience in quantitative risk analysis or Probabilistic Risk Assessment
* Strong understanding of the mathematical, probabilistic and statistical foundations that underpin data science and risk modeling
* Proven proficiency in Monte Carlo simulation methods, Bayesian inference, and application of data science and operations research methodologies and tools
* Demonstrated expertise in advanced programming, especially in Python; and proficiency in utilizing Git in a team environment
* Excellent analytical, problem\-solving, research and organizational abilities; attention to detail
* Proficiency in synthesizing complex information into clear insights and translating those insights into decisions and actions
* Proficiency in model lifecycle management
* Strong data management knowledge, including governance, security, and quality best practices
* Expertise in data visualization and communicating risk\-related modeling results
* Proven ability to work independently, proactively improve methods, and adapt to change
* Effective communication and collaboration skills with diverse teams and stakeholders
* Competency in project management and strong ability to manage multiple tasks under tight deadlines
* Current knowledge of industry trends and issues, demonstrated through professional contributions
* Ability to translate complex technical insights for various audiences and mentor others</t>
        </is>
      </c>
    </row>
    <row r="33">
      <c r="A33" t="inlineStr">
        <is>
          <t>li-4331575252</t>
        </is>
      </c>
      <c r="B33" t="inlineStr">
        <is>
          <t>Data Scientist</t>
        </is>
      </c>
      <c r="C33" t="inlineStr">
        <is>
          <t>West Publishing Corporation</t>
        </is>
      </c>
      <c r="D33" t="inlineStr">
        <is>
          <t>linkedin</t>
        </is>
      </c>
      <c r="E33" t="inlineStr"/>
      <c r="F33" t="inlineStr"/>
      <c r="G33" t="inlineStr">
        <is>
          <t>Philadelphia, PA</t>
        </is>
      </c>
      <c r="H33" t="inlineStr"/>
      <c r="I33" t="inlineStr">
        <is>
          <t>Reference \#: JREQ195732
**About The Role**
 The Data Scientist will be responsible for managing, understanding and analyzing in\-house and customer data \- including text mining, developing predictive systems, risk scoring, creating efficient algorithms, data quality improvement and other related activities. This individual will work closely with the TRSS Analysts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**Job Description**
 Define, manipulate, aggregate and use both structured and unstructured "big data" in order to support
 descriptive and predictive analytics across the businesses.
 Collaborate with scientists, product groups and content groups to perform "big data" aggregations,symbology mapping, and manipulations of important data\-sets
 Perform statistical (and machine learned) analyses on data to serve business purposes
 Narrate stories (sometimes to a non\-technical audience) about our content and processes by dataanalysis and visualization
 Define and develop software for the analysis and manipulation of large and very large data\-sets
 Guide the architecture of "big\-data" business processes with an eye towards robustness, parsimonyand reproducibility (at senior levels)
 Additional Information
 Are you passionate about the chance to bring your data quality improvement experience to a world class organization that is leading the way in both content and technology to serve and protect our citizens home and abroad? Do you have the skills necessary to manage, understand, and analyze inhouse
 and customer data including text mining, developing predictive systems, risk scoring, creating efficient algorithms, data quality improvement and other related activities? Then Thomson Reuters Special Services (TRSS) is looking for you!
 What You'll Do: As a Data Scientist, you will be responsible for driving,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As the Data Scientist, you will also contribute to a variety of areas including:
 Working with interdisciplinary engineering and research teams on designing, building and deploying data analysis systems for large data sets.
 Working closely with customers to apply data science to their mission spec fic content.
 Creating algorithms to extract information from large data sets.
 Establishment of scalable, efficient, automated processes for model development, model validation, model implementation, and large\-scale data analysis.
 Development of metrics and prototypes that can be used to drive business decisions.
 Providing thought\-leadership and dependable execution on diverse projects.
 Identification of emergent trends and opportunities for future client growth and development.
 Researching and identifying Artificial Intelligence (AI) methods \- including Machine Learning (ML) and Natural Language Processing (NLP) methods.
 Identification of new applications of AI in the context of Thomson Reuters and TRSS content sets.
 Exploring existing data for insights, and recommends additional sources of data for improvement.
**About You**
 You're a good fit for the role of Data Scientist if you have:
 A bachelor's or master's degree in a quantitative field (e.g., statistics, computer science, mathematics physical/biological sciences, or GIS).
 3\-5 years of experience with data cleaning, analysis, programming, and reporting of results to internal or external stakeholders (education can substitute for some years of experience)
 Programming skills in one or more major programming languages (Python/R/Java).
 Are creative, intellectually curious, and willing to experiment and work in dynamic organizations and situations, sometimes with little oversight or well\-defined requirements.
 The ability to take ownership for defined areas of accountability, most critically the integrity of the technical and data design in terms of meeting customer needs, design delivery and supportability.
 A good understanding of distributed computing concepts.
 Experience facilitating and gathering input from subject matter experts.
 Excellent understanding of ML, NLP, and statistical methodologies.
 The ability to test ideas and adapt methods quickly end to end from data extraction to implementation and validation.
 Strong planning, time management, and organizational skills.
 A team player / self\-starter mentality with the ability to work using own initiative.
 Ability to obtain and maintain a U.S. national security clearance.
**Additional Desired Skills**
 Big Data analytics experience (preferred, but not required).
 Previous experience with data modeling for graphs (preferred, but not required).
 Experience with search engines, classification algorithms, recommendation systems, and relevance evaluation methodologies (preferred, but not required).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t>
        </is>
      </c>
    </row>
    <row r="34">
      <c r="A34" t="inlineStr">
        <is>
          <t>li-4315346392</t>
        </is>
      </c>
      <c r="B34" t="inlineStr">
        <is>
          <t>Senior Data Scientist | Growth</t>
        </is>
      </c>
      <c r="C34" t="inlineStr">
        <is>
          <t>Ramp</t>
        </is>
      </c>
      <c r="D34" t="inlineStr">
        <is>
          <t>linkedin</t>
        </is>
      </c>
      <c r="E34" t="inlineStr"/>
      <c r="F34" t="inlineStr"/>
      <c r="G34" t="inlineStr">
        <is>
          <t>New York, United States</t>
        </is>
      </c>
      <c r="H34" t="inlineStr"/>
      <c r="I34"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We’re looking for someone to help lead the future of growth at Ramp. In this role, you will help define the analytical frameworks and strategic roadmaps for how Ramp’s growth teams optimize and scale our marketing investments across all brand channels. You will partner closely with marketing, finance, and engineering counterparts across experimental design, statistical modeling, implementation, execution, and analysis. Our goal is to efficiently reach the right user with the right message at the right time. Ultimately, we will depend on you to co\-own the allocation of millions of dollars per month in brand marketing spend.
**What You’ll Do**
* Employ statistical, machine learning, and econometric models on large datasets to evaluate channel performance and discern the causal impact of marketing and sales campaigns on a complex and nebulous enterprise sales cycle
* Build attribution models and investment frameworks to inform Ramp’s future brand channel investments, allowing Ramp’s finance and marketing teams to scale efficiently and understand which message resonates with each audience segment at each point in the customer journey
* Partner closely with Martech, Business Systems, and Growth Engineering teams to augment and leverage data across first and third\-party sources, ensuring we’ve added as much context as possible to every decision we make
* Drive experimental design and implementation on new channels and surface areas of Ramp, ensuring we can iterate quickly and cost\-effectively, especially on marketing spend designed to build awareness, consideration, and brand equity
* Contribute to the culture of Ramp’s data team by influencing processes, tools, and systems that will allow us to make better decisions in a scalable way
**What You Need**
* Bachelor’s degree or above in Math, Economics, Bioinformatics, Statistics, Engineering, Computer Science, or other quantitative fields with a minimum of 5 years of industry experience as a Data Scientist
* Strong python experience (numpy, pandas, sklearn, etc.) across exploratory data analysis, predictive modeling, and applications of ML techniques to marketing\-specific problems
* Strong knowledge of SQL (preferably Snowflake, BigQuery, or Redshift)
* Proven leadership and a track record of shipping improvements with growth and product organizations
* Strong perspective on the marketing experimentation lifecycle (hypothesis generation, experimental design, implementation, statistical analysis, A/B testing best practices)
* Deep familiarity with the past, present, and future of marketing attribution, martech, and the modern privacy landscape
* Ability to thrive in a fast\-paced, constantly improving, start\-up environment that focuses on solving problems with iterative technical solutions
**Nice\-to\-Haves**
* Experience at a high\-growth startup
* Familiarity with B2B enterprise sales cycle metrics and processes
* Experience with the modern data stack (Fivetran / Snowflake / dbt / Looker / Hex / Hightouch or equivalents)
* Familiarity with data orchestration platforms (Airflow, Dagster, Prefect)
* Strong perspective on data science engineering development cycle (data modeling, version control, documentation \+ testing, best practices for codebase development)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Centralized home\-office equipment ordering for all employees
* Wellness stipend
* Parental Leave
* Relocation support to NYC or SF (as needed)
* Pet insurance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35">
      <c r="A35" t="inlineStr">
        <is>
          <t>li-4344833675</t>
        </is>
      </c>
      <c r="B35" t="inlineStr">
        <is>
          <t>AI Data Scientist</t>
        </is>
      </c>
      <c r="C35" t="inlineStr">
        <is>
          <t>Clarios</t>
        </is>
      </c>
      <c r="D35" t="inlineStr">
        <is>
          <t>linkedin</t>
        </is>
      </c>
      <c r="E35" t="inlineStr"/>
      <c r="F35" t="inlineStr"/>
      <c r="G35" t="inlineStr">
        <is>
          <t>Milwaukee, WI</t>
        </is>
      </c>
      <c r="H35" t="inlineStr"/>
      <c r="I35" t="inlineStr">
        <is>
          <t>**What You Will Do**
 Clarios is seeking a skilled AI Data Scientist to design, develop, and deploy machine learning and AI solutions that unlock insights, optimize processes, and drive innovation across operations, offices, and products. This role focuses on transforming complex, high\-volume data into actionable intelligence and enabling predictive and prescriptive capabilities that deliver measurable business impact. The AI Data Scientist will collaborate closely with AI Product Owners and business SMEs to ensure solutions are robust, scalable, and aligned with enterprise objectives.
 This role requires an analytical, innovative, and detail\-oriented team member with a strong foundation in AI/ML and a passion for solving complex problems. The individual must be highly collaborative, an effective communicator, and committed to continuous learning and improvement. This will be onsite three days a week in Glendale.
**How You Will Do It**
* Hypothesis Framing \&amp; Metric Measurement: Translate business objectives into well\-defined AI problem statements with clear success metrics and decision criteria. Prioritize opportunities by ROI, feasibility, risk, and data readiness; define experimental plans and acceptance thresholds to progress solutions from concept to scaled adoption.
* Data Analysis \&amp; Feature Engineering: Conduct rigorous exploratory data analysis to uncover patterns, anomalies, and relationships across heterogeneous datasets. Apply advanced statistical methods and visualization to generate actionable insights; engineer high\-value features (transformations, aggregations, embeddings) and perform preprocessing (normalization, encoding, outlier handling, dimensionality reduction). Establish data quality checks, schemas, and data contracts to ensure trustworthy inputs.
* Model Development \&amp; Iteration: Design and build models across classical ML and advanced techniques—deep learning, NLP, computer vision, time\-series forecasting, anomaly detection, and optimization. Run statistically sound experiments (cross\-validation, holdouts, A/B testing), perform hyperparameter tuning and model selection, and balance accuracy, latency, stability, and cost. Extend beyond prediction to prescriptive decision\-making (policy, scheduling, setpoint optimization, reinforcement learning), with domain applications such as OEE improvement, predictive maintenance, production process optimization, and digital twin integration in manufacturing contexts.
* MLOps \&amp; Performance: Develop end\-to\-end pipelines for ingestion, training, validation, packaging, and deployment using CI/CD, reproducibility, and observability best practices. Implement performance and drift monitoring, automated retraining triggers, rollback strategies, and robust versioning to ensure reliability in dynamic environments. Optimize for scale, latency, and cost; support real\-time inference and edge/plant\-floor constraints under defined SLAs/SLOs.
* Collaboration \&amp; Vendor Leadership: Partner with AI Product Owners, business SMEs, IT, and operations teams to translate requirements into pragmatic, integrated solutions aligned with enterprise standards. Engage process owners to validate data sources, constraints, and hypotheses; design human\-in\-the\-loop workflows that drive adoption and continuous feedback. Provide technical oversight of external vendors—evaluating capabilities, directing data scientists/engineers/solution architects, validating architectures and algorithms, and ensuring seamless integration, timely delivery, and measurable value. Mentor peers, set coding/modeling standards, and foster a culture of excellence.
* Responsible AI \&amp; Knowledge Management: Ensure data integrity, model explainability, fairness, privacy, and regulatory compliance throughout the lifecycle. Establish model risk controls; maintain documentation (model cards, data lineage, decision logs), audit trails, and objective acceptance criteria for production release. Curate reusable assets (feature catalogs, templates, code libraries) and best\-practice playbooks to accelerate delivery while enforcing Responsible AI principles and rigorous quality assurance
**What We Look For**
* 5\+ years of experience in data science and machine learning, delivering production\-grade solutions in corporate or manufacturing environments.
* Strong proficiency in Python and common data science libraries (e.g., Pandas, NumPy, scikit\-learn); experience with deep learning frameworks (TensorFlow, PyTorch) and advanced techniques (NLP, computer vision, time\-series forecasting).
* Hands\-on experience with data preprocessing, feature engineering, and EDA for large, complex datasets.
* Expertise in model development, validation, and deployment, including hyperparameter tuning, optimization, and performance monitoring.
* Experience interacting with databases and writing SQL queries.
* Experience using data visualization techniques for analysis and model explanation.
* Familiarity with MLOps best practices—CI/CD pipelines, containerization (Docker), orchestration, model versioning, and drift monitoring.
* Knowledge of cloud platforms (e.g., Microsoft Azure, Snowflake) and distributed computing frameworks (e.g., Spark) for scalable AI solutions.
* Experience with agile methodologies and collaboration tools (e.g., JIRA, Azure DevOps), working in matrixed environments across IT, analytics, and business teams.
* Strong analytical and business acumen, with the ability to quantify ROI and build business cases for AI initiatives.
* Excellent communication and stakeholder engagement skills; able to present insights and recommendations to technical and non\-technical audiences.
* Knowledge of LLMs and VLMs is a strong plus.
* Understanding of manufacturing systems (SCADA, PLCs, MES) and the ability to integrate AI models into operational workflows is a strong plus.
* Willingness to travel up to 10% as needed.
**What you get:**
* Medical, dental and vision care coverage and a 401(k) savings plan with company matching – all starting on date of hire
* Tuition reimbursement, perks, and discounts
* Parental and caregiver leave programs
* All the usual benefits such as paid time off, flexible spending, short\-and long\-term disability, basic life insurance, business travel insurance, Employee Assistance Program, and domestic partner benefits
* Global market strength and worldwide market share leadership
* HQ location earns LEED certification for sustainability plus a full\-service cafeteria and workout facility
* Clarios has been recognized as one of 2025's Most Ethical Companies by Ethisphere. This prestigious recognition marks the third consecutive year Clarios has received this distinction.
**Who we are:**
 Clarios is the force behind the world’s most recognizable car battery brands, powering vehicles from leading automakers like Ford, General Motors, Toyota, Honda, and Nissan. With 18,000 employees worldwide, we develop, manufacture, and distribute energy storage solutions while recovering, recycling, and reusing up to 99% of battery materials—setting the standard for sustainability in our industry. At Clarios, we’re not just making batteries; we’re shaping the future of sustainable transportation. Join our mission to innovate, push boundaries, and make a real impact. Discover your potential at Clarios—where your power meets endless possibilities.
**Veterans/Military Spouses:**
 We value the leadership, adaptability, and technical expertise developed through military service. At Clarios, those capabilities thrive in an environment built on grit, ingenuity, and passion—where you can grow your career while helping to power progress worldwide. All qualified applicants will be considered without regard to protected characteristics.
 We recognize that people come with a wealth of experience and talent beyond just the technical requirements of a job. If your experience is close to what you see listed here, please apply. Diversity of experience and skills combined with passion is key to challenging the status quo. Therefore, we encourage people from all backgrounds to apply to our positions. All qualified applicants will receive consideration for employment without regard to race, color, religion, sex, sexual orientation, gender identity, national origin, disability, age, status as a protected veteran or other protected characteristics protected by law. As a federal contractor, we are committed to not discriminating against any applicant or employee based on these protected statuses. We will also take affirmative action to ensure equal employment opportunities. Please let us know if you require accommodations during the interview process by emailing Special.Accommodations@Clarios.com. We are an Equal Opportunity Employer and value diversity in our teams in terms of work experience, area of expertise, and all characteristics protected by laws in the countries where we operate. For more information on our commitment to sustainability, diversity, and equal opportunity, please read our latest report. We want you to know your rights because EEO is the law.
**A Note to Job Applicants:** 
 please be aware of scams being perpetrated through the Internet and social media platforms. Clarios will never require a job applicant to pay money as part of the application or hiring process.
**To all recruitment agencies** 
 : Clarios does not accept unsolicited agency resumes/CVs. Please do not forward resumes/CVs to our careers email addresses, Clarios employees or any other company location. Clarios is not responsible for any fees related to unsolicited resumes/CVs.</t>
        </is>
      </c>
    </row>
    <row r="36">
      <c r="A36" t="inlineStr">
        <is>
          <t>li-4344924382</t>
        </is>
      </c>
      <c r="B36" t="inlineStr">
        <is>
          <t>Data Scientist II, Real World Evidence (RWE), Pharma R&amp;D</t>
        </is>
      </c>
      <c r="C36" t="inlineStr">
        <is>
          <t>Tempus AI</t>
        </is>
      </c>
      <c r="D36" t="inlineStr">
        <is>
          <t>linkedin</t>
        </is>
      </c>
      <c r="E36" t="inlineStr"/>
      <c r="F36" t="inlineStr"/>
      <c r="G36" t="inlineStr">
        <is>
          <t>Chicago, IL</t>
        </is>
      </c>
      <c r="H36" t="inlineStr"/>
      <c r="I36"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**About The Role**
 The Real World Evidence (RWE) group within the Pharma R\&amp;D team at Tempus works with major pharmaceutical partners to provide best\-in\-class data, analysis, and methodological guidance for Tempus’s real\-world data offering.
 We are seeking a highly motivated and solutions\-oriented RWE Data Scientist II with experience and interest in oncology and epidemiological study design to join our team. This role requires the ability to lead observational studies, derive insights from complex real\-world clinical data, implement advanced statistical methods, and leverage cutting\-edge AI tools to scale tasks and augment insights.
**Key Responsibilities**
* Pharma Collaboration \&amp; Strategy: Partner with pharmaceutical collaborators to independently execute robust RWE research plans that leverage the Tempus multimodal platform to address key questions in trial design and outcomes research.
* Real World Data Expertise: Lead the derivation of complex real\-world endpoints using extensive coding, demonstrating deep comprehension of Tempus clinical and molecular data structures and complexity, while also serving as an expert on the methodological nuances and limitations of real\-world data.
* Methodology \&amp; Platform Contribution: Stay up\-to\-date on methodological advancements in real\-world studies (e.g., causal inference, survival analysis) and oncology guidelines (NCCN and ongoing clinical trials) to contribute to reusable code, internal packages, and best practices that can be applied across multiple collaborations.
* AI \&amp; LLM Innovation: Incorporate LLMs, agentic workflows and other AI tools into day\-to\-day workflows to accelerate code development, discovery, documentation, review, and insight generation.
* Scientific Interpretation \&amp; Communication: Interpret results of RWE analyses to draw appropriate inferences based on study design/statistical methods, while also evaluating study limitations. Communicate complex methods and results clearly to both technical and non\-technical stakeholders. Prepare and present internal reports, external\-facing deliverables, and, where appropriate, manuscripts or conference materials.
* Cross\-Functional Collaboration: Collaborate with internal product, oncology, and clinical abstraction, and real\-world data science teams to continually enhance Tempus data quality, products, and analytical best practices.
**Minimum Qualifications**
* Education: Education in epidemiology, biostatistics, data science, public health, or a related field, to the level of either:
+ PhD
+ Master’s degree and 2\+ years of additional work experience
* Technical and Statistical Proficiency:
+ Proficiency with observational real\-world healthcare data, including analytical experience with time\-to\-event methodologies (survival analysis).
+ Proven expertise in executing RWD analytical studies.
+ Proficient in using R and SQL, especially statistical tools and packages.
+ Proficiency applying machine learning, LLM\-based coding assistants (e.g., Copilot, Cursor) and agentic frameworks to support data analysis, code review, or scientific documentation workflows.
+ Adherence to good software engineering practices (version control, modular code, documentation).
* Communication \&amp; Client Focus: Demonstrated experience interfacing with clients, showcasing adeptness in presenting and tailoring messaging to a variety of stakeholders.
* Soft Skills: Excellent written and verbal communication skills with strong project management skills. Ability to thrive in a fast\-paced, dynamic environment working with multi\-disciplinary scientists on complex problems.
**Preferred Skillsets**
* Experience working with Pharma or drug development.
* Experience in clinical trial design (particularly Phase II\-III) in the clinical development space.
* Analytical proficiency with claims, EHR, or registry data.
* Practical experience configuring or adapting LLMs, or using related tools/frameworks, to support scientific work.
* Knowledge of oncology guidelines (e.g., NCCN).
* Experience with biomarker or molecular data (e.g., genomics).
* Experience with cloud platforms such as AWS and/or BigQuery and/or Google Cloud Platform (GCP).
 CHI: $90,000\-$135,000 USD
 NYC/SF: $100,000\-$150,000 USD
 The expected salary range above is applicable if the role is performed from California and may vary for other locations (Colorado, Illinois, New York). Actual salary may vary based on qualifications and experience. Tempus offers a full range of benefits, which may include incentive compensation, restricted stock units, medical and other benefits depending on the position.
 Additionally,
 ***for remote roles open to individuals in unincorporated Los Angeles** 
 – including remote roles\-* 
 Tempus reasonably believes that criminal history may have a direct, adverse and negative relationship on the following job duties, potentially resulting in the withdrawal of the conditional offer of employment: engaging positively with customers and other employees; accessing confidential information, including intellectual property, trade secrets, and protected health information; and appropriately handling such information in accordance with legal and ethical standards. Qualified applicants with arrest or conviction records will be considered for employment in accordance with applicable law, including the Los Angeles County Fair Chance Ordinance for Employers and the California Fair Chance Act.
 We are an equal opportunity employer. We do not discriminate on the basis of race, religion, color, national origin, gender, sexual orientation, age, marital status, veteran status, or disability status.</t>
        </is>
      </c>
    </row>
    <row r="37">
      <c r="A37" t="inlineStr">
        <is>
          <t>li-4283075389</t>
        </is>
      </c>
      <c r="B37" t="inlineStr">
        <is>
          <t>Senior Data Scientist</t>
        </is>
      </c>
      <c r="C37" t="inlineStr">
        <is>
          <t>Adobe</t>
        </is>
      </c>
      <c r="D37" t="inlineStr">
        <is>
          <t>linkedin</t>
        </is>
      </c>
      <c r="E37" t="inlineStr"/>
      <c r="F37" t="inlineStr"/>
      <c r="G37" t="inlineStr">
        <is>
          <t>San Jose, CA</t>
        </is>
      </c>
      <c r="H37" t="inlineStr"/>
      <c r="I37"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As a Sr Data Scientist on the Monetization Growth organization, you will be a critical part of the team building delightful experiences driving customer success and tangible business growth. We are looking for candidates who are passionate about using statistical, analytical, and machine learning techniques to extract, analyze, and interpret large volumes of data, thereby transforming it into meaningful information to drive decision\-making and optimize outcomes. The ideal candidate will have a combination of strong technical skills along with the ability to work with a diverse, distributed multi\-functional team.
**What You'll Do**
* Conduct sound statistical analysis of user revenue growth programs and A/B experiments to recognize patterns that lead to actionable insights. Identify biases in data collection and observation.
* Interpret the results and then simplify and synthesize them for partners, using a wide range of visualization and storytelling techniques.
* Be a specialist of stitching and calibrating sparse and noisy semi\-structured or unstructured data across various data sources.
* Partner with experts across multiple functions to understand customer behavior and pain\-points and use insights to make recommendations to improve product and customer experience.
**What You Need To Succeed**
* Master's or PhD in Computer Science, Data Science, Statistics, or a related field of study. Alternatively, a Bachelor’s degree with relevant practical experience.
* Minimum 8 years of experience as a Data Scientist or in a similar role.
* Experience with hypothesis or A/B test analyses with in\-depth understanding of the statistical concepts involved.
* Hands\-on experience working with large data sets. Prior experience with a big data platform like Databricks, Apache Spark or Apache Hadoop.
* Expert in at least one programming or data manipulation language, preferably Python and SQL.
* Data storytelling skills.
* Excellent oral and written communication.
 Our compensation reflects the cost of labor across several  U.S. geographic markets, and we pay differently based on those defined markets. The U.S. pay range for this position is $133,100 \-\- $236,400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$163,200 \- $236,400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8">
      <c r="A38" t="inlineStr">
        <is>
          <t>li-4328020144</t>
        </is>
      </c>
      <c r="B38" t="inlineStr">
        <is>
          <t>Lead Data Scientist</t>
        </is>
      </c>
      <c r="C38" t="inlineStr">
        <is>
          <t>HCA Healthcare</t>
        </is>
      </c>
      <c r="D38" t="inlineStr">
        <is>
          <t>linkedin</t>
        </is>
      </c>
      <c r="E38" t="inlineStr"/>
      <c r="F38" t="inlineStr"/>
      <c r="G38" t="inlineStr"/>
      <c r="H38" t="inlineStr"/>
      <c r="I38" t="inlineStr">
        <is>
          <t>**Job Summary** 
 At HCA Healthcare, we are committed to providing our patients and care providers with the highest quality of healthcare services. HCA’s Care Transformation and Innovation (CT\&amp;I) team delivers a step change in that direction through clinically led integration of digital and AI technologies into care.
 Data Scientists within CT\&amp;I will play a critical role in helping us achieve this goal by actively solving for and implementing a broad range of data science solutions to drive transformational change. This includes delivery of data science products from incubation to deployment to monitoring; including solutioning for the business need, data analysis, feature engineering, building and validating models, deploying solutions to enterprise production platforms, and monitoring model performance and reliability.
 This individual will be responsible for actively delivering production grade data science products; including implementing best practices, frameworks, tooling, and documentation.
 They will be expected to bring hands\-on expertise in predictive analytics, classification, image recognition, NLP, anomaly detection, machine learning, EDA, feature engineering, optimization, statistics, and generalized business problem solving by creatively applying AI/ML.
**What you will do:** 
 • DATA INJECTION: Design and implement incoming data for feature engineering and machine learning
 • FEATURE CREATION AND TRANSFORMATION: Create features with usable predictive power by using domain knowledge of healthcare data, statistics, and data science
 • FEATURE EXTRACTION AND SELECTION: Extract features via cluster analysis, text analytics, principal components analysis and related methodologies to identify useful information without distorting original relationships or significant information in order to performance tune and promote scalability of the model
 • EXPLORATORY DATA ANALYSIS: Conduct data exploration and analysis to identify relevant patterns, trends, and relationships; understand the data deeply to appropriately align the data features with the appropriate machine learning methodologies
 • MODEL EXPERIMENTATION: Apply various statistical and machine learning techniques to develop, tune, and optimize predictive modeling to align with the use case requirements
 • DELIVERY: Deploy code using best practices
 • DOCUMENTATION: Document and present data science strategies and insights and solutions
 • MONITORING: Build and maintain pipelines, code, and processes to monitor the proper functioning of enterprise grade data science products
 • DATA AND OUTPUT QUALITY: Ensure high quality and integrity throughout the entire data science process
 • PRODUCT DEVELOPMENT MINDSET: Collaborate with stakeholders, data scientists, data engineers, and product managers to build and deliver high\-quality data products
**What qualifications you will need:** 
 • 6\+ years of overall experience in various aspects of data science and machine learning (for Lead level)
 • Expert experience in SQL and Python
 • Experience with structured and unstructured data (ie. tabular, text, images, video, etc)
 • Experience with SQL relational and non\-relational databases
 • Experience with data processing and ETL tools (e.g Apache Spark)
 • Experience with data visualization and data monitoring tools
 • Experience with modern software engineering practices (e.g. automated testing, continuous integration and continuous development)
 • Experience with Docker
 • Experience with cloud deployments in GCP or another cloud platform
 • Experience with Agile development methods and tools (e.g. Azure Dev Ops)
 • Excellent communication and collaboration skills, with the ability to work effectively across multiple teams and stakeholders
 • Ability to tell a story using data and insights that drives action and change
 • Domain knowledge of healthcare data preferred
 • Expertise in healthcare protocols and formats such as HL7, FHIR, DICOM preferred
 • Expert in the regulatory aspects of the healthcare domain preferred
 • Experience in GCP platform preferred</t>
        </is>
      </c>
    </row>
    <row r="39">
      <c r="A39" t="inlineStr">
        <is>
          <t>li-4344803593</t>
        </is>
      </c>
      <c r="B39" t="inlineStr">
        <is>
          <t>Data Scientist, Tech Lead</t>
        </is>
      </c>
      <c r="C39" t="inlineStr">
        <is>
          <t>Hagerty</t>
        </is>
      </c>
      <c r="D39" t="inlineStr">
        <is>
          <t>linkedin</t>
        </is>
      </c>
      <c r="E39" t="inlineStr"/>
      <c r="F39" t="inlineStr"/>
      <c r="G39" t="inlineStr"/>
      <c r="H39" t="inlineStr"/>
      <c r="I39" t="inlineStr">
        <is>
          <t>As a
 **Data Scientist, Tech Lead** 
 , you will operate as a technical leader on the Data Science team at Hagerty. This team supports machine learning and generative AI initiatives across the entire company—including insurance, online marketplaces, membership, and marketing. You will support this team as it independently designs, builds, and deploys high\-impact models and AI systems. You will need to be equally comfortable developing supervised ML models, anomaly detection systems, agents, and generative AI applications, and you can take projects from conceptualization through production with limited guidance.
 You will serve as a mentor and reviewer for other data scientists, providing deep technical feedback on modeling approaches, code quality, and pull requests. You will influence the technical direction of the team by championing new methods, tools, and engineering practices. You must be comfortable frequently collaborating with engineering, MLOps, DevOps, business leaders, and making presentations to executive stakeholders.
 This role is ideal for someone who wants end\-to\-end ownership, broad impact, and the ability to shape the evolution of Hagerty’s data science capabilities.
**Ready to get in the driver’s seat? Join us!**
**What You’ll Do**
**Modeling \&amp; AI System Development**
* Plan, design, develop, and deploy end\-to\-end predictive, prescriptive, and generative models—including supervised ML, anomaly detection, agentic systems, and graph\-based models.
* Build production\-ready ML and GenAI applications using Python, scikit\-learn, XGBoost, PyTorch, NetworkX, and related tools.
* Develop and evaluate LLM\-driven applications, retrieval systems, embeddings, fine\-tuning strategies, and agent workflows.
**MLOps \&amp; Productionization**
* Own the full lifecycle of model deployment using Metaflow, Airflow, containerization (Podman/Docker), FastAPI, and related tooling.
* Collaborate with MLOps and DevOps teams to design scalable workflows, CI/CD pipelines, monitoring systems, and model governance processes.
* Monitor, evaluate, and remediate model performance in production environments.
**Data Engineering \&amp; Analysis**
* Write high\-quality code to query, transform, and analyze large datasets from Snowflake, SQL Server, and AWS RDS Postgres.
* Prepare modeling datasets, build feature pipelines, and ensure robustness, reproducibility, and data quality.
* Explore emerging technologies and methods to enhance data science capabilities across the organization.
**Leadership, Collaboration \&amp; Influence**
* Lead full\-scope projects independently from concept to delivery—setting timelines, identifying risks, and ensuring high\-quality outcomes.
* Provide technical mentorship and thorough code/model reviews to other data scientists.
* Drive adoption of new libraries, tools, and engineering practices when appropriate.
* Collaborate closely with engineering, product, MLOps, DevOps, Marketing, and Insurance leaders.
* Present complex findings to both technical and non\-technical audiences—including regular briefings to VP\-level and C\-suite stakeholders.
* Influence cross\-functional alignment on new analytics approaches and model\-driven solutions.
**This might describe you**
* Master’s degree or higher degree in Data Science, Computer Science, Statistics, Mathematics, or a related quantitative field (or equivalent practical experience).
* Extensive experience building and deploying ML models and GenAI systems in production environments.
* Strong proficiency with Python and ML frameworks such as scikit\-learn, XGBoost, and PyTorch.
* Deep experience with SQL and data modeling in Snowflake, SQL Server, or similar distributed environments.
* Hands\-on experience building containerized applications and deploying using FastAPI, Docker/Podman, and workflow orchestration tools like Metaflow or Airflow.
* Demonstrated ability to decompose ambiguous business problems into data\-driven solutions.
* Strong communication skills with an ability to simplify complex technical ideas for executives and business stakeholders.
* Proven track record of mentoring other data scientists and delivering high\-quality technical reviews.
**Preferred**
* Experience with generative AI (LLMs, embeddings, agents, RAG, fine\-tuning) in a production or near\-production context.
* Experience with graph modeling, anomaly detection systems, or agent\-based approaches.
* Familiarity with automotive, insurance, or marketplace data.
* Experience in environments where data scientists own both modeling and MLOps responsibilities (\~50/50 split).
**Other Things To Note**
* This role can be worked from any U.S. remote location
* May require travel for quarterly events.
* Familiarity with public company requirements, including Sarbanes Oxley and key regulations, if applicable. For SOX compliant roles, responsible for designing, executing, and documenting internal controls where they have been identified as owners to prevent errors in financial reporting, processes, and business operations. Including attestation to the completeness, accuracy, and compliance of all financial reporting data, where applicable.
**Say hello to Hagerty**
 Hagerty is an automotive enthusiast brand and the world’s largest membership organization. Along with being a best\-in\-class provider of specialty insurance for enthusiasts, Hagerty is also home to the Hagerty Drivers Foundation, Hagerty Drivers Club, Marketplace and so much more. Committed to saving driving for future generations, each and every thing Hagerty does is dedicated to the love of the automobile.
 Hagerty is a rapidly growing company that values a winning culture. We provide meaningful work for and invest in every single team member.
 At Hagerty, we share the road. We are an inclusive automotive community where all are welcomed, valued and belong regardless of race, gender, age, or car preference. We are united by our shared passion for driving, our commitment to preserve car culture for future generations and our desire to make a positive impact in the world.
 If you reside in the following jurisdictions: Illinois, Colorado, California, District of Columbia, Hawaii, Maryland, Minnesota, Nevada, New York, or Jersey City, New Jersey, Cincinnati or Toledo, Ohio, Rhode Island, Washington, British Columbia, Canada please email recruiting@hagerty.com for compensation, comprehensive benefits and the perks that set us apart.
 EEO/AA
**US Benefits Overview**
 Canada Benefits Overview
**UK Benefits Overview**
*If you like wild growth and working with happy, enthusiastic over\-achievers, you'll enjoy your career with us!*</t>
        </is>
      </c>
    </row>
    <row r="40">
      <c r="A40" t="inlineStr">
        <is>
          <t>li-4337940630</t>
        </is>
      </c>
      <c r="B40" t="inlineStr">
        <is>
          <t>Staff Data Scientist, Risk</t>
        </is>
      </c>
      <c r="C40" t="inlineStr">
        <is>
          <t>Credit Genie</t>
        </is>
      </c>
      <c r="D40" t="inlineStr">
        <is>
          <t>linkedin</t>
        </is>
      </c>
      <c r="E40" t="inlineStr"/>
      <c r="F40" t="inlineStr"/>
      <c r="G40" t="inlineStr">
        <is>
          <t>New York, NY</t>
        </is>
      </c>
      <c r="H40" t="inlineStr"/>
      <c r="I40" t="inlineStr">
        <is>
          <t>**Company**
 Credit Genie is a mobile\-first financial wellness platform designed to help individuals take control of their financial future. We leverage artificial intelligence to provide personalized insights and are building a financial ecosystem by offering tools and services that provide instant access to cash, and building credit. Our goal is to empower every customer to achieve long\-term financial stability.
 Founded in 2019 by Ed Harycki, former Swift Capital Founder (acquired by PayPal in 2017\). Backed by Khosla Ventures and led by industry pioneers from companies such as; PayPal, Square, and Cash App, we are well positioned to build the future of inclusive finance through cutting\-edge technology and customer\-centric solutions.
**Overview**
 Come join our AI/ML and Data Science community at Credit Genie! We are seeking a technical Data Science leader with a solid background in analytics and the consumer risk domain who is excited about solving hard Data Science and analytics problems and driving results while maintaining the highest bar for methodological rigor. In this role, you will have an opportunity to design and implement our company’s next generation of risk optimization strategies that will have a vast impact across underwriting, fraud prevention, and collections. These risk optimization strategies are central to our business and have a direct impact on our customers every day. You will design, execute, and evaluate experiments to drive continuous learning and improvement in our risk optimization processes.
**What You'll Do**
* Leverage advanced analytics and machine learning models to optimize Credit Genie’s risk strategies across credit, fraud, and collections
* Own the development and delivery of risk insights, driving data\-informed decisions that minimize losses while enabling sustainable business growth
* Monitor and analyze key risk KPIs, identify emerging loss trends, and propose strategy enhancements to continuously improve approval and portfolio performance
* Collaborate cross\-functionally with Product, Engineering, Data, and Machine Learning teams to align on shared objectives, provide strategic insights, and deliver actionable solutions
* Act as a strategic risk advisor to business stakeholders, translating complex analyses into clear, high\-impact recommendations
* Tackle ambiguous, high\-impact problems with creativity and analytical rigor, developing novel solutions that directly improve customer experience and portfolio outcomes
**Requirements**
* A Bachelor’s degree in in Statistics, Mathematics, Business, Economics, or related fields; an advanced degree is preferred
* 8\+ years of experience analyzing data using SQL or Python. Proficiency in Python for data processing and modeling is preferred
* Hands\-on experience in risk strategy within payments, lending, banking, or financial institutions is a plus
* Proven ability to design, execute, and interpret experiments (e.g. A/B testing or causal analysis) to measure impact and inform risk strategy
* Exceptional problem\-solving abilities, analytical rigor, and the ability to translate complex findings into actionable insights for non\-technical audiences
* Strong organizational skills with the ability to manage multiple projects in a fast\-paced environment and meet tight deadlines
* Experience with SQL and data platforms such as Snowflake, Databricks, and Tableau
**Benefits And Perks**
 Our goal is to provide a comprehensive offering of benefits and perks that promote better financial, mental, and physical wellness.
 We believe working alongside each other in person is the best way to build a great product and foster a strong company culture. Our expectation is that employees are in the office five days a week, allowing for optimal collaboration, inclusivity, and productivity. At the same time, we understand that life happens and recognize the importance of flexibility. We are committed to supporting our employees when circumstances arise that require remote work or adjusted schedules. Our goal is to ensure everyone can effectively balance personal and professional responsibilities while maintaining our collaborative and productive environment.
 Here are some highlights of our benefits and perks offerings, feel free to ask your recruiting partner for more details on our comprehensive offering for employees.
* 100% company\-paid medical, dental, and vision coverage for you and your dependents on your first day of employment.
* Monthly fitness reimbursement up to $100 or a full membership to LifeTime Fitness
* 401(k) with a 3\.5% match and immediate vesting
* Meal program for breakfast, lunch, and dinner
* Life and accidental insurance
* Flexible PTO
*Your actual level and base salary will be determined on a case\-by\-case basis and may vary based on the following considerations: job\-related knowledge and skills, education, and experience. Base salary is just one part of your total compensation and rewards package at Credit Genie. You may also be eligible to participate in the bonus and equity programs. You will also have access to comprehensive medical, vision, and dental coverage, a 401(k) retirement plan with company match, short \&amp; long term disability insurance, life insurance, and flexible PTO along with many other benefits and perks.*
*Credit Genie is a proud Equal Opportunity Employer where we welcome and celebrate differences. We are committed to providing a workspace that is safe and inclusive, where everyone feels supported, connected, and inspired to do their best work. If you require any accommodations to participate in our recruitment process, please inform us of your needs when we contact you to schedule an interview.*</t>
        </is>
      </c>
    </row>
    <row r="41">
      <c r="A41" t="inlineStr">
        <is>
          <t>li-4351744741</t>
        </is>
      </c>
      <c r="B41" t="inlineStr">
        <is>
          <t>Data Scientist</t>
        </is>
      </c>
      <c r="C41" t="inlineStr">
        <is>
          <t>Underdog.io -Apply to top tech jobs in 60 seconds. A place where companies apply to you</t>
        </is>
      </c>
      <c r="D41" t="inlineStr">
        <is>
          <t>linkedin</t>
        </is>
      </c>
      <c r="E41" t="inlineStr"/>
      <c r="F41" t="inlineStr"/>
      <c r="G41" t="inlineStr"/>
      <c r="H41" t="inlineStr"/>
      <c r="I41" t="inlineStr">
        <is>
          <t>Underdog.io is a modern recruiting platform. One of our hiring partners is looking to hire a Data Scientist to expand their retail analytics team.
**Job Title:** 
 Data Scientist
**Locations:** 
 San Francisco, CA, Irvine, CA, New York, NY, Seattle, WA, Austin, TX, and Remote
**About Our Company** 
 We’re the world’s largest live streaming platform, where millions of global communities connect daily around shared passions—from gaming, music, and sports to cooking and creative arts. Our mission is to empower creators and foster belonging through real\-time interaction. Backed by a collaborative, community\-driven culture, we’re solving complex challenges at the intersection of entertainment, technology, and human connection.
**The Opportunity** 
 Join our Monetization Data Science team to directly impact how creators earn revenue on our platform. As a Data Scientist focused on Payouts \&amp; Creator Economics, you’ll ensure fair, transparent, and innovative compensation systems for thousands of global creators. Partner with Product, Engineering, Finance, and Legal teams to refine payout policies, launch new monetization features, and combat fraud—all while growing into a senior technical leader.
 What You’ll Do
* **Analyze Policy Impact:** 
 Measure how payout program changes (e.g., eligibility rules, payment timelines) affect creator behavior and platform economics.
* **Own Creator Insights:** 
 Develop dashboards and reports tracking payout performance, earnings trends, and program health.
* **Drive Causal Inference:** 
 Apply methods like DiD, matching, and IPW to evaluate non\-experimental policy shifts.
* **Build Data Pipelines:** 
 Create and maintain SQL/Python workflows for recurring analytics (owning data ops when needed).
* **Cross\-Functional Leadership:** 
 Guide product decisions by translating data into actionable strategies for stakeholders.
* **Support Innovation:** 
 Shape new monetization initiatives to expand creator opportunities globally.
**Your Expertise** 
* 3\+ years in Data Science, Analytics, or related field.
**Technical Fluency:** 
* Advanced SQL (complex joins, window functions).
* Python (Pandas, SciPy) or R for data analysis.
* Causal inference mastery (experiment design, quasi\-experimental methods).
* **Communication:** 
 Distill technical insights for executives, legal teams, and engineers.
* **Ownership Mentality:** 
 Thrive in ambiguity; proactively solve problems with imperfect data.
* **Growth Mindset:** 
 Eager to evolve from tactical analytics to strategic leadership.
 Bonus Points For
* Airflow, SageMaker, or ML deployment experience (fraud/churn models).
* Econometrics background or A/B test design.
* Dashboarding (Tableau, Looker, Redshift).
 Perks \&amp; Benefits
* 💰
 **Competitive Salary** 
 \+ Annual Bonus
* 🩺
 **Full\-Coverage Health:** 
 Medical, dental, vision, disability (100% premiums)
* 👨 👩 👧
 **Family Support:** 
 16\-week parental leave \+ fertility benefits
* 🌴
 **Flexible PTO:** 
 Unlimited vacation \+ company\-wide breaks
* 💻
 **Workspace Stipend:** 
 $1,000/year home office upgrade
* 📈
 **401(k):** 
 100% match up to 6% of salary
* 🛒
 **Retail Discounts:** 
 10% off at leading e\-commerce brands
 Our Culture
* **Community First:** 
 We build belonging—for creators and each other.
* **Bold Ownership:** 
 Solve hard problems with autonomy and accountability.
* **Learn Together:** 
 Weekly tech talks, mentorship, and $5k/year learning stipend.
* **Global Impact:** 
 Your work directly empowers creators worldwide.
**Apply Now** 
 Ready to revolutionize how creators thrive? Join us to blend analytical rigor with creative problem\-solving—and grow your career in a team that values curiosity, collaboration, and human connection.</t>
        </is>
      </c>
    </row>
    <row r="42">
      <c r="A42" t="inlineStr">
        <is>
          <t>li-4344974833</t>
        </is>
      </c>
      <c r="B42" t="inlineStr">
        <is>
          <t>Senior Data Scientist</t>
        </is>
      </c>
      <c r="C42" t="inlineStr">
        <is>
          <t>Equifax</t>
        </is>
      </c>
      <c r="D42" t="inlineStr">
        <is>
          <t>linkedin</t>
        </is>
      </c>
      <c r="E42" t="inlineStr"/>
      <c r="F42" t="inlineStr"/>
      <c r="G42" t="inlineStr">
        <is>
          <t>Alpharetta, GA</t>
        </is>
      </c>
      <c r="H42" t="inlineStr"/>
      <c r="I42" t="inlineStr">
        <is>
          <t>****Role****
 The Global Data Office is at the center of our enterprise's data\-driven transformation. We are seeking an innovative and experienced Senior Data Scientist to join our Data Innovations \&amp; Solutions team. In this role, you will be a technical leader responsible for researching, building, and deploying cutting\-edge AI, machine learning, and Generative AI solutions. You will tackle some of our most complex challenges, from creating new data\-driven products to inventing novel algorithms that help us govern and understand our vast data ecosystem. If you thrive on solving complex problems at scale, mentoring talented junior colleagues, and turning raw EFX data into tangible business value, this is the role for you.
**What You’ll Do**
* End\-to\-end design, development, and deployment of advanced machine learning, AI, and Generative AI models to power new product initiatives across the enterprise.
* Design and build novel algorithms to enhance our data governance, quality, and metadata management capabilities, creating new ways to automatically know and manage our data assets.
* Proactively collect, analyze, and interpret existing internal data and evaluate new, external data sources to identify and propose new product opportunities for our business units.
* Act as a senior technical consultant and partner to global teams, helping them frame their business problems, identify data\-driven solutions, and overcome their most complex analytical challenges.
* Serve as a technical leader and mentor for junior data scientists and analysts, conducting code reviews, sharing best practices, and fostering a culture of innovation and excellence.
* Translate complex analytical findings and research outputs into clear, compelling presentations and strategic recommendations for diverse stakeholders, including senior leadership.
* Lead the development or projects with multiple deliverables, leveraging business and technical expertise.
**What Experience You Need**
* A Master’s or Ph.D. in Computer Science, Statistics, Mathematics, or a related quantitative field
* 7\-10 years of hands\-on experience building and deploying production\-level data science solutions using advanced machine learning algorithms and statistics: regression, simulation, scenario analysis, modeling, clustering, decision trees, neural networks
* Experience with Agentic AI and writing algorithms
* Proficient skills building models using packages including scikit learn, XGBoost, Tensorflow, PyTorch, Transformers
* 4\+ years of experience in Python and its core data science libraries (e.g., Pandas, NumPy, Scikit\-learn, PyTorch, TensorFlow)
* 4\+ years of experience to work with massive (petabyte\-scale) datasets using strong SQL and big data technologies (e.g., Spark, Dataflow, BigQuery, Snowflake) within a cloud environment (AWS, GCP\-Preferred).
* Deep knowledge of classical machine learning, statistical modeling, and NLP. You should have a strong command of supervised and unsupervised learning, time\-series analysis, and model validation techniques
* Excellent verbal and written communication skills, with a proven ability to collaborate effectively with cross\-functional teams and present complex topics to non\-technical audiences
**What Could Set You Apart**
* Demonstrable, hands\-on experience building and fine\-tuning LLMs, developing Retrieval\-Augmented Generation (RAG) systems, and understanding the MLOps lifecycle for GenAI.
* 1\-3 years of Leadership/Team management experience
* Prior experience working in the financial services industry (e.g., risk modeling, algorithmic trading, fraud detection, or compliance).
* A portfolio or past experience building models specifically for data management (e.g., data quality anomaly detection, PII identification, automated data cataloging).
* 2\+ years’ experience developing and leading the technical vision of an organization and working independently and closely with senior leadership to lead data science to continued success into the future.
* A history of publishing research in relevant AI/ML conferences or contributing to major open\-source data science projects.
* Knowledge in graph mining and graph data model
* Innate talent and passion for trying new technologies and quickly assessing value and implement ability within organizations.</t>
        </is>
      </c>
    </row>
    <row r="43">
      <c r="A43" t="inlineStr">
        <is>
          <t>li-4345022317</t>
        </is>
      </c>
      <c r="B43" t="inlineStr">
        <is>
          <t>RISE Data Scientist</t>
        </is>
      </c>
      <c r="C43" t="inlineStr">
        <is>
          <t>UW School of Medicine and Public Health</t>
        </is>
      </c>
      <c r="D43" t="inlineStr">
        <is>
          <t>linkedin</t>
        </is>
      </c>
      <c r="E43" t="inlineStr"/>
      <c r="F43" t="inlineStr"/>
      <c r="G43" t="inlineStr">
        <is>
          <t>Madison, WI</t>
        </is>
      </c>
      <c r="H43" t="inlineStr"/>
      <c r="I43" t="inlineStr">
        <is>
          <t>***Current Employees: If you are currently employed at any of the Universities of Wisconsin, log in to Workday to apply through the internal application process.***
**Job Category:**
 Academic Staff
**Employment Type:**
 Regular
**Job Profile:**
 Data Scientist III
**Job Summary:**
 Are you passionate about improving patient health outcomes, optimizing healthcare processes, and advancing science? Join our dynamic Informatics and Information Technology team at the University of Wisconsin School of Medicine and Public Health in Madison, Wisconsin. We are committed to revolutionizing healthcare through implementation of advanced data science approaches, conducting cutting\-edge data\-centric research, and generating real\-world evidence to improve patient health outcomes at UW Health and beyond. We are seeking an experienced informatician/Data Scientist to be our Patient Reported Outcomes Data Scientist. On a day\-to\-day basis, the incumbent could expect to engage in the following activities:
* Work with stakeholders to develop and modernize patient reported outcomes collection, storage, and utilization
* Integrate research workflows into the collection of patient reported outcomes for clinical purposes.
* When appropriate, coordinate with the technical teams to ensure data feeds from Epic to REDCap and vice\-versa.
* Assist users in designing, developing, and managing REDCap projects related to patient reported outcomes, including data collection instruments, surveys, and databases.
* Coordinate with technical teams to troubleshoot and resolve technical issues related to patient reported outcomes data usage and functionality.
* Develop and maintain comprehensive documentation, user guides, and training materials the use of patient reported outcomes data.
* Conduct workshops, webinars, and one\-on\-one training sessions to enhance user proficiency with patient reported outcomes data.
* Collaborate with infrastructure and data teams to ensure the patient reported outcomes data storage is up\-to\-date and operating efficiently.
* Monitor and evaluate user feedback to identify areas for improvement and implement enhancements to the patient reported outcomes support services.
* Stay current with the latest developments and best practices in data management.
 It is anticipated that this position will be remote and requires work be performed at an offsite, non\-campus work location.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**Key Job Responsibilities:**
* Composes and assembles reproducible workflows and reports to clearly articulate patterns to researchers and/or administrators
* Contributes to the informatics and IT education and training initiatives
* Identifies and implements or guides others in implementing appropriate data science techniques to find data patterns and answer research questions chosen by the lead researcher including data visualization, statistical analysis, machine learning, and data mining
* Serves as an institutional subject matter expert and liaison to key internal and external stakeholders regarding data science best practices and methodologies and represents the interests of data science
* Prepares data sets for analysis including cleaning/quality assurance, transformations, restructuring, and integration of multiple data sources
* Organizes and automates project steps for data preparation and analysis
* Documents approaches to address research questions and contributes to the establishment of reproducible research methodologies and analysis workflows
* Participates in interdisciplinary and collaborative efforts with other departments, schools and colleges
**Department:**
 School of Medicine and Public Health, Office of Informatics and Information Technology, RISE.
 This position is within the School of Medicine and Public Health’s Office of Informatics and Information Technology (IIT). IIT is a multidisciplinary team of data scientists, engineers, developers, and IT support staff. We offer a variety of Informatics and IT services to departments and research staff within the School of Medicine and Public Health and beyond to support the conduct of high\-quality clinical and translational research.
* Informatics: We provide innovative solutions and training for a broad spectrum of clinical and translational research utilizing real\-world data to facilitate rapid translation of research findings into clinical practice, with an emphasis on precision medicine, healthcare delivery, and population health.
* Technology Solutions: We provide technology solutions to the School of Medicine and Public Health including cybersecurity, educational technology, and IT support.
**Compensation:**
 The starting salary for the position is $95,000; but is negotiable based on experience and qualifications.
 Employees in this position can expect to receive benefits such as generous vacation, holidays, and sick leave; competitive insurances and savings accounts; retirement benefits. For more information, refer to the campus benefits webpage. SMPH Faculty /Academic Staff Benefits Flyer 2026
**Required Qualifications:**
* Proven experience with REDCap, including project design, data management, and user support.
* Strong technical skills and familiarity with database management and data collection tools.
* Excellent communication and interpersonal skills, with the ability to explain complex technical concepts to non\-technical users.
* Strong problem\-solving and analytical abilities.
* Ability to work independently and as part of a collaborative team.
**Preferred Qualifications:**
* Experience in a research or academic environment.
* Knowledge of regulatory requirements and standards related to research data (e.g., HIPAA, GDPR).
* Familiarity with other data management and analysis tools (e.g., SQL, R, Python).
**Education:**
 PhD preferred; focus in Biomedical Sciences, Data Science, Epidemiology, Informatics, Information Technology, or a related field preferred
**How to Apply:**
 For the best experience completing your application, we recommend using
 **Chrome** 
 or
 **Firefox** 
 as your web browser.
 To apply for this position, select either
 **“I am a current employee”** 
 or
 **“I am not a current employee”** 
 under
 **Apply Now** 
 . You will then be prompted to upload your application materials.
**Important:** 
 The application has only
 **one** 
 attachment field. Upload all required documents in that field, either as a single combined file or as multiple files in the same upload area.
 Upload required documents:
* Cover letter
* Resume
 Your cover letter should address how your training and experience align with the required and preferred qualifications listed above. Application reviewers will rely on these written materials to determine which applicants move forward in the process. References will be requested from final candidates. All applicants will be notified once the search concludes and a candidate is selected
 University sponsorship is not available for this position, including transfers of sponsorship and TN visas. The selected applicant will be responsible for ensuring their continuous eligibility to work in the United States (i.e. a citizen or national of the United States, a lawful permanent resident, a foreign national authorized to work in the United States without the need of an employer sponsorship) on or before the effective date of appointment. This position is an ongoing position that will require continuous work eligibility. If you are selected for this position you must provide proof of work authorization and eligibility to work.
**Contact Information:**
 Cody Roekle, croekle@wisc.edu, 608\-263\-7676
 Relay Access (WTRS): 7\-1\-1\. See RELAY\_SERVICE for further information.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**The University of Wisconsin\-Madison is an Equal Opportunity Employer.**
 Qualified applicants will receive consideration for employment without regard to, including but not limited to, race, color, religion, sex, sexual orientation, national origin, age, pregnancy, disability, or status as a protected veteran and other bases as defined by federal regulations and UW System policies. We promote excellence by acknowledging skills and expertise from all backgrounds and encourage all qualified individuals to apply. For more information regarding applicant and employee rights and to view federal and state required postings, visit the Human Resources Workplace Poster website.
 To request a disability or pregnancy\-related accommodation for any step in the hiring process (e.g., application, interview, pre\-employment testing, etc.), please contact the Divisional Disability Representative (DDR) in the division you are applying to. Please make your request as soon as possible to help the university respond most effectively to you.
 Employment may require a criminal background check. It may also require your references to answer questions regarding misconduct, including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row>
    <row r="44">
      <c r="A44" t="inlineStr">
        <is>
          <t>li-4344830678</t>
        </is>
      </c>
      <c r="B44" t="inlineStr">
        <is>
          <t>Staff Data Scientist</t>
        </is>
      </c>
      <c r="C44" t="inlineStr">
        <is>
          <t>Intuit</t>
        </is>
      </c>
      <c r="D44" t="inlineStr">
        <is>
          <t>linkedin</t>
        </is>
      </c>
      <c r="E44" t="inlineStr"/>
      <c r="F44" t="inlineStr"/>
      <c r="G44" t="inlineStr">
        <is>
          <t>Mountain View, CA</t>
        </is>
      </c>
      <c r="H44" t="inlineStr"/>
      <c r="I44" t="inlineStr">
        <is>
          <t>**Overview**
 Intuit is harnessing the power of generative AI to transform how customers interact with financial services. We are seeking a Staff Data Scientist to partner closely with product, engineering, design, and data science teams to drive insights, define success metrics, and enable data\-informed decisions for our AI Agents initiative. This role is critical in ensuring that our AI Agents are intelligent, trustworthy, and impactful for millions of customers worldwide
**Responsibilities**
 Strategic Impact
* Partner with product management, product development, research and design teams to define the data science roadmap for Intuit AI Agents, ensuring alignment with Intuit’s overall AI strategy.
* Translate business problems and requirements into analytical approaches and develop measurement framework to help team assess performance of a 0 to 1 product
* Define, track, and evolve success metrics for AI Agent performance, customer adoption, and engagement.
* Translate complex data into clear, actionable insights that inform product and strategy decisions.
 Analysis \&amp; Experimentation
* Lead deep\-dive analyses of product usage, customer behavior, and AI agent interactions to uncover opportunities for improvement.
* Design, implement, and analyze A/B tests and experiments to measure feature effectiveness.
* Develop dashboards and self\-service tools to democratize data access and empower teams.
 Collaboration \&amp; Influence
* Influence product roadmaps and strategy by presenting data\-driven recommendations to leadership.
* Mentor analysts across the org, fostering best practices in analytics and storytelling.
 Data Infrastructure \&amp; Quality
* Partner with data engineering to ensure reliable pipelines and robust data governance for AI agent data.
* Advocate for data quality, consistency, and accessibility across platforms.
**Qualifications**
* 5\-7 years of experience working in product analytics
* Highly proficient in A/B testing, SQL, Python and Tableau. Working knowledge in Amplitude or Qliksense is a plus.
* Strong analytical and problem\-solving skills: able to develop and use structured approaches to identify root causes and recommend resolutions: can present results in meaningful terms
* Ability to narrate complex stories with data, and be concise in the insights and how they drive outcomes with leadership and stakeholders.
* Ability to manage multiple projects simultaneously to meet objectives and deadlines.
* Proactive and inquisitive learner, seeks out and capitalizes on opportunities for change that enhance the business, rather than reacting to circumstances.
* Strong organizational skills, time management, portfolio prioritization experience, and accountability required.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$ 186,500\- 252,000
 Southern California: $ 179,000\- 242,000</t>
        </is>
      </c>
    </row>
    <row r="45">
      <c r="A45" t="inlineStr">
        <is>
          <t>li-4331544442</t>
        </is>
      </c>
      <c r="B45" t="inlineStr">
        <is>
          <t>Comcast Data Scientist Co-op</t>
        </is>
      </c>
      <c r="C45" t="inlineStr">
        <is>
          <t>Comcast</t>
        </is>
      </c>
      <c r="D45" t="inlineStr">
        <is>
          <t>linkedin</t>
        </is>
      </c>
      <c r="E45" t="inlineStr"/>
      <c r="F45" t="inlineStr"/>
      <c r="G45" t="inlineStr">
        <is>
          <t>Philadelphia, PA</t>
        </is>
      </c>
      <c r="H45" t="inlineStr"/>
      <c r="I45" t="inlineStr">
        <is>
          <t>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Program Overview Comcast’s Drexel Co\-op Program offers an exciting opportunity to gain hands\-on experience, build lasting connections, and grow professionally in a dynamic and inclusive environment. This paid, 6\-month immersive experience places students at the heart of our business, working alongside talented professionals on meaningful projects that contribute to real outcomes. As a trusted member of the team, you’ll gain exposure to the inner workings of a global media and technology company while developing skills that will serve you well in any career path.
**Job Description**
 Your experience will include:
* Hands\-On Learning \&amp; Impactful Work: Tackle real business challenges, collaborate across teams, and contribute ideas that drive results from day one.
* Community, Connection \&amp; Giving Back: Build meaningful relationships through social events, peer engagement, and shared experiences. You’ll also have the opportunity to give back through Team UP, Comcast’s volunteer initiative, deepening your connection to both your community and your fellow students.
* Mentorship \&amp; Support: Receive guidance from experienced professionals through our dedicated mentorship program, helping you navigate your co\-op and beyond.
* Professional Development: Participate in a custom onboarding experience, a curated learning series, and networking events designed to help you build new skills, explore career paths, and gain insights from professionals from across the organization.
 At Comcast, we’re committed to investing in the next generation of innovators and leaders. Our Co\-op Program is a transformative experience designed to help you grow, connect, and take the next step in your professional journey.
**Organization \&amp; Team Overview**
 Enterprise Business Intelligence is a center of excellence comprised of Engineers, Analysts, Scientists, and Machine Learning experts working to translate Comcast’s data into actionable intelligence that drives profitable growth for the company. As a member of this team you’ll be at the forefront of developing data driven strategies to address business problems.
**Role Description**
 Responsible for extracting knowledge and insights from high volume, high dimensional data in order to investigate complex business problems through a range of data preparation, modeling, analysis and/or visualization techniques, which may include the use of advanced statistical analysis, algorithms, predictive modeling, experimentation and pattern recognition to create solutions that enable enhanced business performance. Designs, develops and programs methods, processes, and systems to consolidate and analyze unstructured, diverse “big data” sources to generate actionable insights and solutions for client services and product enhancement. The team is composed of experts in artificial intelligence, deep learning, data\-structures, algorithms, distributed systems, and system performance and analysis. The systems that the team builds get used across the multitude of Company data science\-based services and deployments. Works independently with minimal\-to\-no supervision while also demonstrating the ability to lead projects and initiatives autonomously.
**What are some interesting problems the student will work on?**
 In your role you will develop predictive models that power systems and provide insights to business leaders for critical decisions. You will measure and quantify the impact of business strategies on key business performance indicators.
**Where can this student make an impact?**
 You will be working on exciting new technology that interjects AI and Machine Learning capabilities into core business processes to drive profitable growth for the company.
**Job Responsibilities**
 Responsibilities include but are not limited to:
* Interacts with product and service teams to identify questions and issues for data analysis and experiments.
* Develops and codes software programs, algorithms and automated processes to cleanse, integrate and evaluate large datasets from multiple disparate sources.
* Uses analytical rigor and statistical methods to analyze large amounts of data, extracting actionable insights using advanced statistical techniques such as data analysis, data mining, optimization tools and machine learning techniques and statistics (e.g., predictive models, lifetime value, propensity models).
* Develops and executes statistical and mathematical solutions to business problems to support larger initiatives under the direction of senior team members.
* Creates data mining architectures/models/protocols, statistical reporting, and data analysis methodologies to identify trends in large data sets.
* Works with large, noisy, and complex datasets to produce analysis of historical patterns in customer behaviors and product performance from complex real\-world behavioral data.
* Develops and deploys predictive models based on historical data that provide future predictions about customer behavior.
* Constructs forecasts, recommendations and strategic/tactical plans based on applying data science techniques to business data.
* Researches and applies knowledge of existing and emerging data science principles, theories, and techniques to inform business decisions.
* Creates deliverables and presentations that report methodology and results of analysis.
* Builds customer centric models and optimization tools to support large scale projects that utilize online and offline data, structured and unstructured data, set top box data and media/behavioral/attitudinal data.
* Consistent exercise of independent judgment and discretion in matters of significance.
* Other duties and responsibilities as assigned.
**Preferred Skills**
* Proficiency with Python, PySpark, and ML programming frameworks
* Proficiency retrieving data using SQL
* Understanding of statistical foundations for Experimentation
* Understanding of predictive modeling concepts
* Ability to articulate complex ideas in a simplified form
* Understanding of data visualization concepts and programming frameworks
* Preferred Majors: Data Science, Statistics, Mathematics, Econometrics
**Minimum Qualifications And Eligibility Requirements**
* Currently pursuing a bachelor’s degree from Drexel University, with a cooperative learning track.
* Available to work 40 hours per week for 6 months starting March 30, 2026, through September 18, 2026\.
* Authorized to work in the United States with no current or future sponsorship needs
* Available to report in\-person to the work location on the job posting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Relationship Building; Professional Etiquette; Accountability; Teamwork; Resilience; Communication
**Salary**
 Base Pay: $0\.00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t>
        </is>
      </c>
    </row>
    <row r="46">
      <c r="A46" t="inlineStr">
        <is>
          <t>li-4344875331</t>
        </is>
      </c>
      <c r="B46" t="inlineStr">
        <is>
          <t>Visiting Data Scientist - Gies College of Business</t>
        </is>
      </c>
      <c r="C46" t="inlineStr">
        <is>
          <t>University of Illinois Urbana-Champaign</t>
        </is>
      </c>
      <c r="D46" t="inlineStr">
        <is>
          <t>linkedin</t>
        </is>
      </c>
      <c r="E46" t="inlineStr"/>
      <c r="F46" t="inlineStr"/>
      <c r="G46" t="inlineStr">
        <is>
          <t>Urbana, IL</t>
        </is>
      </c>
      <c r="H46" t="inlineStr"/>
      <c r="I46" t="inlineStr">
        <is>
          <t>**Data Science Research Services**
**Job Summary** 
 The Data Scientist will support the analytical, research, and technical needs of DSRS in helping Faculty and Researchers. This role is responsible for conducting data analysis, building datasets, developing models, supporting research projects, and contributing to internal tools that enhance data\-driven decision\-making within the Gies College of Business.
 **Duties \&amp; Responsibilities**
* Data Analysis \&amp; Research Support
* Clean, prepare, and analyze datasets to support faculty research and DSRS initiatives.
* Conduct exploratory data analysis, statistical testing, and visualizations.
* Translate research questions into clear analytical approaches and deliverable outputs.
* Modeling \&amp; Methodology Development
* Build and evaluate statistical models or machine learning models based on project needs.
* Develop reproducible workflows for model training, testing, and interpretation.
* Document methodologies and maintain organized, transparent code for future reference.
* Data Pipeline \&amp; Workflow Development
* Assist in building and maintaining robust data pipelines used across DSRS projects.
* Ensure data processing steps are consistent, scalable, and aligned with best practices.
* Collaborate with technical staff to integrate data processes into DSRS framework
* Internal Tools \&amp; Reporting
* Contribute to dashboards, internal applications, or automation processes used by DSRS.
* Generate clear summaries, reports, and visual outputs for faculty and internal stakeholders.
* Support development of templates, documentation, and shared resources.
* Support and contribute to infrastructure development to support DSRS services
* Cross\-Functional Collaboration
* Work closely with faculty, staff, project managers, and interns to deliver high\-quality analytical work.
* Participate in project scoping, requirement gathering, and progress discussions.
* Provide technical guidance or support to junior team members when needed.
* Mentor and train students into Data Science Applications
* Miscellaneous
* Provide ad\-hoc assistance as and when required
* Support additional tasks or emerging needs that fall outside the primary responsibilities, as the role evolves with DSRS.
**Additional Physical Demands** 
 Additional Information:
 This position supports both research\-based and operational projects within the college. Work may include collaboration with multiple faculty members, administrative units, and cross\-functional teams. The role requires flexibility, professionalism, and adherence to university data, privacy, and security standards.
 **Minimum Qualifications**
* Bachelor’s or Master’s degree in Data Science, Statistics, Computer Science, Information Systems, or a related field.
* Proficiency in Python and commonly used data science libraries
* Experience with data cleaning, analysis, and visualization.
* Experience applying statistical or machine learning methods to real datasets.
**Preferred Qualifications**
* Experience working with large or research datasets.
* Experience with large computing systems.
* Experience with SQL or relational databases.
* Familiarity with cloud tools or workflow automation
* Experience supporting academic research or collaborative analytic projects.
* Familiarity with emerging AI/ML techniques (e.g., embeddings, LLM\-based workflows).
**Knowledge, Skills And Abilities**
 Strong analytical and problem\-solving skills. Ability to write clean, well\-documented, and reproducible code. Strong communication skills and ability to explain technical concepts clearly.
**Appointment Information**
 This is a 100% full\-time Academic Professional position, appointed on a 12\-month basis. The expected start date is as soon as possible after the 2/16/2026\. Salary is competitive and commensurate with qualifications and experience, while also considering internal equity. The budgeted salary range for the position is $90,000 to $100,000\. Sponsorship for work authorization is not available for this position.
 For more information about Gies Business, visit https://inside.giesbusiness.illinois.edu/work\-at\-gies .
**Application Procedures \&amp; Deadline Information**
 Applications must be received by
 **6:00 pm (Central Time) on January 15, 2026** 
 . Apply for this position using the Apply Now button at the top or bottom of this posting, and upload your cover letter, resume (months and years of employment must be included), and names/contact information for three professional references. Please remember to include specific information on how you meet the qualifications of the position in your resume, including all relevant experience. Applications not submitted through https://jobs.illinois.edu will not be considered. For further information about this specific position, please contact rgoben@illinois.edu. For questions regarding the application process, please contact 217\-333\-2137\.
 This position is intended to be eligible for benefits . This includes Health, Dental, Vision, Life Insurance, a Retirement Plan, Paid time Off, and Tuition waivers for employees and dependents.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 or by contacting the Accessibility \&amp; Accommodations Division of the Office for Access and Equity at 217\-333\-0885, or by emailing accessibility@illinois.edu .
**Requisition ID** 
 : 1034068
**Job Category** 
 : Research
**Apply at:** 
 https://jobs.illinois.edu</t>
        </is>
      </c>
    </row>
    <row r="47">
      <c r="A47" t="inlineStr">
        <is>
          <t>li-4344940061</t>
        </is>
      </c>
      <c r="B47" t="inlineStr">
        <is>
          <t>Staff Data Scientist</t>
        </is>
      </c>
      <c r="C47" t="inlineStr">
        <is>
          <t>Intuit</t>
        </is>
      </c>
      <c r="D47" t="inlineStr">
        <is>
          <t>linkedin</t>
        </is>
      </c>
      <c r="E47" t="inlineStr"/>
      <c r="F47" t="inlineStr"/>
      <c r="G47" t="inlineStr">
        <is>
          <t>San Diego, CA</t>
        </is>
      </c>
      <c r="H47" t="inlineStr"/>
      <c r="I47" t="inlineStr">
        <is>
          <t>**Overview**
 Intuit is harnessing the power of generative AI to transform how customers interact with financial services. We are seeking a Staff Data Scientist to partner closely with product, engineering, design, and data science teams to drive insights, define success metrics, and enable data\-informed decisions for our AI Agents initiative. This role is critical in ensuring that our AI Agents are intelligent, trustworthy, and impactful for millions of customers worldwide
**Responsibilities**
 Strategic Impact
* Partner with product management, product development, research and design teams to define the data science roadmap for Intuit AI Agents, ensuring alignment with Intuit’s overall AI strategy.
* Translate business problems and requirements into analytical approaches and develop measurement framework to help team assess performance of a 0 to 1 product
* Define, track, and evolve success metrics for AI Agent performance, customer adoption, and engagement.
* Translate complex data into clear, actionable insights that inform product and strategy decisions.
 Analysis \&amp; Experimentation
* Lead deep\-dive analyses of product usage, customer behavior, and AI agent interactions to uncover opportunities for improvement.
* Design, implement, and analyze A/B tests and experiments to measure feature effectiveness.
* Develop dashboards and self\-service tools to democratize data access and empower teams.
 Collaboration \&amp; Influence
* Influence product roadmaps and strategy by presenting data\-driven recommendations to leadership.
* Mentor analysts across the org, fostering best practices in analytics and storytelling.
 Data Infrastructure \&amp; Quality
* Partner with data engineering to ensure reliable pipelines and robust data governance for AI agent data.
* Advocate for data quality, consistency, and accessibility across platforms.
**Qualifications**
* 5\-7 years of experience working in product analytics
* Highly proficient in A/B testing, SQL, Python and Tableau. Working knowledge in Amplitude or Qliksense is a plus.
* Strong analytical and problem\-solving skills: able to develop and use structured approaches to identify root causes and recommend resolutions: can present results in meaningful terms
* Ability to narrate complex stories with data, and be concise in the insights and how they drive outcomes with leadership and stakeholders.
* Ability to manage multiple projects simultaneously to meet objectives and deadlines.
* Proactive and inquisitive learner, seeks out and capitalizes on opportunities for change that enhance the business, rather than reacting to circumstances.
* Strong organizational skills, time management, portfolio prioritization experience, and accountability required.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$ 186,500\- 252,000
 Southern California: $ 179,000\- 242,000</t>
        </is>
      </c>
    </row>
    <row r="48">
      <c r="A48" t="inlineStr">
        <is>
          <t>li-4351969565</t>
        </is>
      </c>
      <c r="B48" t="inlineStr">
        <is>
          <t>Applied Scientist, Special Projects</t>
        </is>
      </c>
      <c r="C48" t="inlineStr">
        <is>
          <t>myGwork - LGBTQ+ Business Community</t>
        </is>
      </c>
      <c r="D48" t="inlineStr">
        <is>
          <t>linkedin</t>
        </is>
      </c>
      <c r="E48" t="inlineStr"/>
      <c r="F48" t="inlineStr"/>
      <c r="G48" t="inlineStr">
        <is>
          <t>Seattle, WA</t>
        </is>
      </c>
      <c r="H48" t="inlineStr"/>
      <c r="I48" t="inlineStr">
        <is>
          <t>**This job is with Amazon, an inclusive employer and a member of myGwork – the largest global platform for the LGBTQ\+ business community. Please do not contact the recruiter directly.**
**Description**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PhD in computer science, machine learning, engineering, or related fields
* Experience with programming languages such as Python, Java, C\+\+
* Expert knowledge of machine learning and deep learning; experience in applying ML to protein biology.
**Preferred Qualifications**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site.]]\&gt;</t>
        </is>
      </c>
    </row>
    <row r="49">
      <c r="A49" t="inlineStr">
        <is>
          <t>li-4359408338</t>
        </is>
      </c>
      <c r="B49" t="inlineStr">
        <is>
          <t>Senior Data Scientist</t>
        </is>
      </c>
      <c r="C49" t="inlineStr">
        <is>
          <t>SAIC</t>
        </is>
      </c>
      <c r="D49" t="inlineStr">
        <is>
          <t>linkedin</t>
        </is>
      </c>
      <c r="E49" t="inlineStr"/>
      <c r="F49" t="inlineStr"/>
      <c r="G49" t="inlineStr">
        <is>
          <t>Rock Island, IL</t>
        </is>
      </c>
      <c r="H49" t="inlineStr"/>
      <c r="I49" t="inlineStr">
        <is>
          <t>Job ID 2600203
**Location** 
 ROCK ISLAND, IL, US
**Date Posted** 
 2026\-01\-08
**Category** 
 Information Technology
**Subcategory** 
 Data Scientist
**Schedule** 
 Full\-time
**Shift** 
 Day Job
**Travel** 
 No
**Minimum Clearance Required None**
**Clearance Level Must Be Able to Obtain** 
 Secret
**Potential for Remote Work** 
 No
**Description**
 SAIC is seeking a
 **Senior Data Scientist** 
 located at
 **Rock Island Arsenal, IL** 
 to support our
 **Operational Data Team** 
 utilizing the Army Vantage Data Analytics System to build/implement models, use/create algorithms, and create/run simulations.
**The Data Scientist will be responsible for but not limited to the following**
* Lead and mentor more junior data scientists in support of a larger data science roadmap
* Conduct analysis of mission data applicable in multiple domains
* Formulate and interpret problems in mathematical or computational terms
* Design, develop, use, and evaluate mathematical models, methods, and algorithm application to explore concepts and solve problems for the customer
* Develop, maintain, and enhance complex and diverse software algorithms (e.g. processing\-intensive analytics, novel process development, manipulation of large data sets)
* Research analysis products and tools for possible integration to enhance Analytics and AI offerings
* Create new tools and applications using a variety of software languages, frameworks, and libraries
* Improve, support, and test a MLOps framework to support other team member’s analysis work
* Refine and enhance existing applications to better meet the customer’s mission
* Code, test, and maintain internally developed mathematical software tools
**Qualifications**
**Required Education**
* Senior Level \- Bachelor's degree and Five(5\) years’ experience; additional four (4\) years’ experience can be considered in lieu of degree.
* Principal Level \- Bachelor's degree and Nine(9\) years or more experience; additional four (4\) years’ experience can be considered in lieu of degree.
**Required Clearance**
* Must be able to obtain and maintain an active Secret clearance; US Citizenship required.
**Required Skills**
* Proficiency in Python and TypeScript.
* Demonstrated experience in engineering reliable and efficient data pipelines.
* Hands\-on experience in developing data visualizations and dashboards.
**Desired Skills**
* Familiarity with Palantir platforms and tools.
 Target salary range $120,001 \- $160,000\. The estimate displayed represents the typical salary range for this position based on experience and other factors.</t>
        </is>
      </c>
    </row>
    <row r="50">
      <c r="A50" t="inlineStr">
        <is>
          <t>li-4284577572</t>
        </is>
      </c>
      <c r="B50" t="inlineStr">
        <is>
          <t>Senior Principal Applied Scientist (GenAI)</t>
        </is>
      </c>
      <c r="C50" t="inlineStr">
        <is>
          <t>Oracle</t>
        </is>
      </c>
      <c r="D50" t="inlineStr">
        <is>
          <t>linkedin</t>
        </is>
      </c>
      <c r="E50" t="inlineStr"/>
      <c r="F50" t="inlineStr"/>
      <c r="G50" t="inlineStr"/>
      <c r="H50" t="inlineStr"/>
      <c r="I50" t="inlineStr">
        <is>
          <t>**Job Description**
 We are seeking a visionary leader to spearhead post training model research and development efforts. As the post training science lead, you will be responsible for driving the development and implementation of cutting\-edge methodologies around improving model performance based on human feedback. You will lead a team of world\-class scientists in exploring new frontiers of code generation for the most popular languages simplifying documentation, unit testing, optimizing existing code, explaining code and simplifying way users interact with the database systems enabling natural language interface.
**Responsibilities**
* Research and Development: Conduct in\-depth research on code generation techniques, including code to code (Java, SQL, Python, etc.), doc to code/code to doc, and other emerging approaches.
* Model Development: Design, develop, and train state\-of\-the\-art code generation models that meet the highest quality standards.
* Team Leadership: Build and mentor a high\-performing team of scientists and engineers.
* Collaboration: Work closely with cross\-functional teams to integrate code generation capabilities into various applications and products.
* Innovation: Identify new opportunities for image generation and explore emerging technologies.
* Stay Updated: Maintain a deep understanding of industry trends and advancements in code generation.
**Qualifications and Experience:**
* PhD Computer Science, Mathematics, Statistics, Physics, Linguistics or a related field with a dissertation, thesis or final project centered in Machine Learning and Deep Learning) with 8\+ years relevant experience is preferred but not a must; OR Masters (with 12\+ years) or Bachelor’s (16\+ years ) in related field with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1">
      <c r="A51" t="inlineStr">
        <is>
          <t>li-4332262465</t>
        </is>
      </c>
      <c r="B51" t="inlineStr">
        <is>
          <t>Data Scientist</t>
        </is>
      </c>
      <c r="C51" t="inlineStr">
        <is>
          <t>Jobs via Dice</t>
        </is>
      </c>
      <c r="D51" t="inlineStr">
        <is>
          <t>linkedin</t>
        </is>
      </c>
      <c r="E51" t="inlineStr"/>
      <c r="F51" t="inlineStr"/>
      <c r="G51" t="inlineStr">
        <is>
          <t>Philadelphia, PA</t>
        </is>
      </c>
      <c r="H51" t="inlineStr"/>
      <c r="I51" t="inlineStr">
        <is>
          <t>Dice is the leading career destination for tech experts at every stage of their careers. Our client, Mindsprint Inc., is seeking the following. Apply via Dice today!
 We are looking for a Sr Data Scientist in Philadelphia, PA. please apply your resume with below details
**Current Location:**
**Are you ready to relocate and work from office in Philadelphia, PA:**
**Work authorization:**
 Job: Senior Data Scientist
 Location: Philadelphia, PA
 Duration: 6\+ months
**Job Description**
* Deliver data\-driven insights through advanced algorithms and statistical models aligned with Supply Chain strategy, maximizing profitability and minimizing costs.
* Build relationships with cross\-functional teams to drive progress and adoption of Data Science projects.
* Execute discovery sprints and deep EDA to convert anecdotes into testable hypotheses, KPIs, and use cases across supply chain functions.
* Define and track operational KPIs with model health to tie analytics to service, cost, safety, and cash.
* Translate complex analyses into simple narratives and decision memos leaders can act on, linking findings to economics and operational playbooks.
* Identify and prioritize projects with the most significant returns and develop advanced mathematical and statistical models.
* Design optimization/ML/simulation models and package them to drive day\-to\-day operations and decisions with clear recommendations and what\-if scenarios.
* Create high\-quality features and datasets with lineage and quality checks; stand up lightweight feature stores and reusable EDA fact packs to accelerate future work.
* Develop, maintain, and optimize models in cloud environments, ensuring business teams can leverage insights with actionable recommendations.
* Collect, cleanse, transform, and curate structured and unstructured data into usable formats for research and analysis.
* Utilize tools like SQL and data APIs to manage data in various storage environments, ensuring privacy and confidentiality.
* Lead projects and collaborate with subject matter experts to align analysis outcomes with organizational goals.
* Partner with MLE / DE to deliver resilient pipelines with alerting, and retraining; author runbooks and guardrails so Ops can operate models confidently.
* Design and productionize multi\-agent workflows that read from the data lake or warehouse and trigger actions; implement human\-in\-the\-loop review, role\-based guardrails, and observability.
* Design and deliver scalable, integrated software tools and models that balance predictive power, interpretability, and operational risks.
* Manage strategic projects, ensuring clear communication, timely delivery, and appropriate ROI for recommended initiatives.
* Other Duties as Assigned
**Skills:**
* MS in Computer Science, Operations Research, Applied Mathematics, Machine Learning, or a related field.
* 4\-5 years of experience implementing optimization, ML, or AI models.
* Effective program management experience with proven results required
* Strong data engineering principles, familiar with technologies to store, query, process, and analyze data.
* Strong programming skills in languages like Python, C/C\+\+, Java, or Go.
* Proven record of productionizing models in cloud environments, version control, and MLOps.
**Preferred Qualifications**
* Demonstrate in\-depth technical capabilities, professional knowledge and understanding in functional areas of Supply Chain \&amp; Optimization Inventory, Transportation, Sourcing, Distribution, Fulfillment, and Planning.
* 2\+ years of practical experience with Optimization \+ Simulation (Pyomo/OR\-Tools/Gurobi/CPLEX; Monte Carlo/discrete\-event) and ML.
* Ability to simplify complexity, influence cross\-functionally, and tell the story behind the math.
* Displays a creative mindset with problem solving in sophisticated and complex environments. This includes and is not limited to identifying both new and existing problems and applying the most appropriate technology to successfully solve the given challenge.</t>
        </is>
      </c>
    </row>
    <row r="52">
      <c r="A52" t="inlineStr">
        <is>
          <t>li-4359417036</t>
        </is>
      </c>
      <c r="B52" t="inlineStr">
        <is>
          <t>Data Scientist/Engineer (TS/SCI)</t>
        </is>
      </c>
      <c r="C52" t="inlineStr">
        <is>
          <t>Actalent</t>
        </is>
      </c>
      <c r="D52" t="inlineStr">
        <is>
          <t>linkedin</t>
        </is>
      </c>
      <c r="E52" t="inlineStr"/>
      <c r="F52" t="inlineStr"/>
      <c r="G52" t="inlineStr">
        <is>
          <t>Aurora, CO</t>
        </is>
      </c>
      <c r="H52" t="inlineStr"/>
      <c r="I52" t="inlineStr">
        <is>
          <t>**Job Title: Data Scientist/Engineer (TS/SCI)** 
**Job Description**
 We are seeking a motivated Data Scientist/Engineer who is eager to tackle challenging problems and contribute to the development of advanced AI/ML algorithms. You will work across various disciplines including large language models, natural language processing, and time\-series predictive analytics. Join our team of accomplished researchers and software developers who are ready to mentor and share their expertise.
**Responsibilities**
* Support the development of AI/ML algorithms.
* Engage in large language models and natural language processing projects.
* Work on time\-series predictive analytics.
* Collaborate with a team of researchers and software developers.
**Essential Skills**
* Proficiency in data science techniques and methodologies.
**Additional Skills \&amp; Qualifications**
* A willingness to learn and engage with new challenges.
**Work Environment**
 You will work within a collaborative environment alongside skilled researchers and developers who are passionate about sharing their knowledge and expertise.
**Job Type \&amp; Location**
 This is a Permanent position based out of Aurora, CO.
**Pay And Benefits**
 The pay range for this position is $100000\.00 \- $240000\.00/yr.
 Comprehensive medical/vision/dental insurance packages Company contributions to qualified HSA accounts 401k retirement plan with industry leading company contributions 3 weeks of vacation accrual per year plus time off for sick leave and unscheduled life events 13 paid holidays Upfront tuition assistance for approved degree programs Annual bonus program based on company and employee performance Company paid life insurance, AD\&amp;D, Short\-Term and Long\-Term disability insurance 4 weeks paid Parental Leave Employee assistance program (EAP)
**Workplace Type**
 This is a fully onsite position in Aurora,CO.
**Application Deadline**
 This position is anticipated to close on Jan 22,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due to a disability, please email actalentaccommodation@actalentservices.com for other accommodation options.</t>
        </is>
      </c>
    </row>
    <row r="53">
      <c r="A53" t="inlineStr">
        <is>
          <t>li-4311995978</t>
        </is>
      </c>
      <c r="B53" t="inlineStr">
        <is>
          <t>EY-Parthenon - Strategy and Execution - Growth Platforms - Data Scientist - Director</t>
        </is>
      </c>
      <c r="C53" t="inlineStr">
        <is>
          <t>EY-Parthenon</t>
        </is>
      </c>
      <c r="D53" t="inlineStr">
        <is>
          <t>linkedin</t>
        </is>
      </c>
      <c r="E53" t="inlineStr"/>
      <c r="F53" t="inlineStr"/>
      <c r="G53" t="inlineStr">
        <is>
          <t>New York, NY</t>
        </is>
      </c>
      <c r="H53" t="inlineStr"/>
      <c r="I53"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Data Scientist – Director**
**The opportunity**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EY Growth Platforms Data Scientist Director will collaborate with Business Leaders, AI/ML Engineers, Project Managers, and other team members to design, build, and scale innovative AI solutions that power strategic growth initiatives and create enterprise value for F500 clients.
**Your Key Responsibilities**
 The EY Growth Platforms Data Scientist Director will play a critical role building and scaling our multi\-source data pipelines— sourcing, merging, and transforming data assets that power high\-visibility client engagements. This role will architect, clean, transform, and enrich data to power AI/ML\-driven agents and dashboards, and collaborate with Business leaders and C\-level executives to get hands\-on experience solving some of the most interesting and mission\-critical business questions with data.
**Skills And Attributes For Success**
* Lead ingestion and ETL design for structured and semi\-structured data (CSV, JSON, APIs, Flat Files).
* Understand schema, data quality, and transformation logic for multiple sources on a client\-by\-client like NAIC, NOAA, Google Trends, EBRI, Cannex, LIMRA, and internal client logs.
* Design normalization and joining pipelines across vertical domains (insurance \+ consumer \+ economic data).
* Build data access layers optimized for ML (feature stores, event streams, vector stores).
* Define and enforce standards for data provenance, quality checks, logging, and version control.
* Partner with AI/ML and Platform teams to ensure data is ML\- and privacy\-ready (HIPAA, SOC2, etc.).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Experience in data engineering or hybrid data science roles focused on pipeline scalability and schema management.
* Expertise in cloud\-native data infrastructure (e.g., GCP/AWS, Snowflake, BigQuery, Databricks, Delta Lake).
* Strong SQL/Python/Scala proficiency and experience with orchestration tools (Airflow, dbt).
* Experience with merging and reconciling third\-party data (public APIs, vendor flat files, dashboards).
* Comfort defining semantic layers and mapping unstructured/dirty datasets into usable models for AI/BI use.
* Basic understanding of ML/feature pipelines and downstream modeling needs.
* The ability and willingness to travel and work in excess of standard hours when necessary.
**Ideally, you will have**
* Experience working in a startup and/or management/strategy consulting.
* Knowledge of how to leverage AI tools in a business setting, including Microsoft Copilot.
* Collaborative, problem\-solving, and growth\-oriented mindset.
**What We Look For**
 We’re interested in passionate leaders with strong vision and a desire to stay on top of trends in the Data Science and Big Data industry. If you have a genuine passion for helping businesses achieve the full potential of their data,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4">
      <c r="A54" t="inlineStr">
        <is>
          <t>li-4254364573</t>
        </is>
      </c>
      <c r="B54" t="inlineStr">
        <is>
          <t>Senior Data Scientist, Growth Analytics</t>
        </is>
      </c>
      <c r="C54" t="inlineStr">
        <is>
          <t>Airwallex</t>
        </is>
      </c>
      <c r="D54" t="inlineStr">
        <is>
          <t>linkedin</t>
        </is>
      </c>
      <c r="E54" t="inlineStr"/>
      <c r="F54" t="inlineStr"/>
      <c r="G54" t="inlineStr">
        <is>
          <t>San Francisco, CA</t>
        </is>
      </c>
      <c r="H54" t="inlineStr"/>
      <c r="I54"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We’re seeking a senior Data Scientist to partner closely with the Marketing team to derive actionable data\-driven insights and to directly impact business outcomes. You will develop key Marketing reports, drive deep\-dive analyses, and stay on top of market trends to develop and optimize our Marketing strategies. You’re naturally curious and have a track record of offering recommendations to enhance our brand presence and drive business growth.
 You’ll join the Airwallex team during a critical period, where we are building a team that enables both global consistency in process, tooling and methodology and local flexibility and speed in execution. This is a great opportunity to shape the next phase of Airwallex’s growth.
**Learn more about the data science team in** 
**this blog**
**What You’ll Do**
* Analyze data to assess performance and ROI of Marketing initiatives
* Develop dashboards and reports to provide observability, enabling stakeholders to make data\-driven decisions
* Be the subject matter expert for all Marketing KPIs, consulting on Marketing data related projects
* Partner with Marketing stakeholders to objectively measure campaign performance, and to identify actionable insights
* Develop data\-driven Marketing forecasts and budgets to inform organizational\-level planning
* Collaborate with Marketing, Sales, and Product teams to identify opportunities for improvement in Marketing strategies and campaigns
* Support experiments to measure impact of ad spend, brand campaigns, and other Marketing initiatives
**Qualification**
* 5\+ years industry experience and an advanced degree (PhD or MS) in a quantitative field (e.g. Statistics, Engineering, Sciences, Computer Science, Economics)
* 2\+ years of experience in Marketing Analytics or a similar role
* Experience in digital marketing channels, including email, paid ads, and SEO is highly advantageous
* Experience with communicating the results of analyses to executives and cross\-functional teams to influence strategy
* Expert in data querying languages (e.g. SQL), scripting languages (e.g. Python), and/or statistical/mathematical software (e.g. R), experience in schema design and dimensional data modeling a plus
**Great to have**
* Experience with Google Analytics, Marketo, and Salesforce
* Knowledge of online A/B testing and experimentation frameworks
* Experience with scripting languages (e.g. Python), and/or statistical/mathematical software (e.g. R)
* Ability to perform statistical analysis and develop machine learning models to drive data\-informed decisions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$200K \- $250K</t>
        </is>
      </c>
    </row>
    <row r="55">
      <c r="A55" t="inlineStr">
        <is>
          <t>li-4293975872</t>
        </is>
      </c>
      <c r="B55" t="inlineStr">
        <is>
          <t>Principal Data Scientist</t>
        </is>
      </c>
      <c r="C55" t="inlineStr">
        <is>
          <t>Fidelity Investments</t>
        </is>
      </c>
      <c r="D55" t="inlineStr">
        <is>
          <t>linkedin</t>
        </is>
      </c>
      <c r="E55" t="inlineStr"/>
      <c r="F55" t="inlineStr"/>
      <c r="G55" t="inlineStr">
        <is>
          <t>Merrimack, NH</t>
        </is>
      </c>
      <c r="H55" t="inlineStr"/>
      <c r="I55" t="inlineStr">
        <is>
          <t>**Job Description**
**Job Description:**
 We are seeking a visionary
 **Director of Data Science** 
 to join the Artificial Intelligence and Machine Learning (AIML) team within Fidelity Fund and Investment Operations (FFIO). In this leadership role, you will drive the development and deployment of innovative machine learning solutions that address complex business and technical challenges across FFIO.
**Key Responsibilities**
* Over 5 years of hands\-on experience in developing machine learning and large language models (LLMs) using Python and R.
* Successfully designed, deployed, and optimized multiple AI/ML solutions in production, ensuring scalability and performance.
* Continuously stay abreast of emerging AI/ML technologies, including AI agents, and apply cutting\-edge tools to build effective, innovative solutions.
* Collaborate closely with DevOps teams to establish and maintain robust AI infrastructure and deployment pipelines.
* Proven ability to architect intelligent, adaptive AI systems that support diverse use cases, driving down development costs while maximizing business impact.
* Strong proficiency in SQL, with extensive experience in data preprocessing, wrangling, and transforming unstructured data into enriched, structured formats to support data\-driven decision\-making.
* Partner with business leaders to define project objectives, analyze current workflows, and design future\-state processes powered by AI.
* Work with senior stakeholders across business and technology to prioritize initiatives, maintain a healthy project pipeline, and ensure successful delivery.
* Demonstrated aptitude for understanding complex business processes and data ecosystems, enabling more informed and strategic solution design.
* Skilled in presenting project updates, insights, and solution demos to both technical and non\-technical senior leadership audiences with clarity and confidence.
**The Expertise And Skills You Bring**
* Bachelor of Computer Science, Statistics, Physics, or Finance
* 8\+ years of industry experience in data science or machine learning roles.
* Demonstrated success in leading data science or ML teams within complex, enterprise\-scale environments.
* Deep knowledge of AI/ML methodologies, including model development, data engineering, and deployment pipelines.
* Strong proficiency in Python, SQL, and advanced data analysis techniques.
* Hands\-on experience with Generative AI, Deep Learning, and Large Language Models (LLMs), including techniques such as prompt engineering, chain\-of\-thought prompting, RLHF, and few\-shot/one\-shot learning.
* Expertise with cloud and data platforms such as AWS, Snowflake, and Oracle RDS.
* Experience working in Scaled Agile environments, with the ability to plan, prioritize, and deliver high\-impact solutions.
* Exceptional communication skills with the ability to engage and influence both technical and non\-technical stakeholders. Proven ability to collaborate across cross\-functional teams.
* Comfortable navigating complex and ambiguous problem spaces with a solution\-oriented mindset.
* Passionate about staying at the forefront of AI/ML advancements and driving innovation through continuous learning and experimentation.
**The Team**
 Fidelity Fund \&amp; Investment Operations (FFIO) technology team crafts and maintains technology solutions and products that enable FFIO to provide accounting and investment management support services to Fidelity fund management and shareholders. Advanced Analytics team is responsible for providing thought\-leadership by generating effective insights to improve business excellence using data science techniques.
 Fidelity’s hybrid working model blends the best of both onsite and offsite work experiences. Having the majority of our associates work onsite is important for our business strategy and our culture. We also value the benefits that working offsite offers associates. Most roles listed as Hybrid will require associates to work onsite all business days of every other week in a Fidelity office. This does not apply to roles listed as Remote or Onsite.
**Certifications**
 Category:
 Data Analytics and Insights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56">
      <c r="A56" t="inlineStr">
        <is>
          <t>li-4321198606</t>
        </is>
      </c>
      <c r="B56" t="inlineStr">
        <is>
          <t>Sr Manager Data Scientist (Pricing)</t>
        </is>
      </c>
      <c r="C56" t="inlineStr">
        <is>
          <t>Sysco</t>
        </is>
      </c>
      <c r="D56" t="inlineStr">
        <is>
          <t>linkedin</t>
        </is>
      </c>
      <c r="E56" t="inlineStr"/>
      <c r="F56" t="inlineStr"/>
      <c r="G56" t="inlineStr">
        <is>
          <t>Houston, TX</t>
        </is>
      </c>
      <c r="H56" t="inlineStr"/>
      <c r="I56" t="inlineStr">
        <is>
          <t>**POSITION SUMMARY:**
 Sysco is seeking a Senior Manager, Data Science for Pricing to help drive the development of industry\-leading predictive models. As a Sr Manager, you will be responsible for the technical development of predictive models to support the pricing group.
 There are three primary responsibilities of the Pricing Sr. Manager Data Scientist:
* Develop predictive analytics (“hands\-on\-keyboard”) via statistical, machine learning, and mathematical models on Sysco’s corporate data to get actionable business insights as the technical expert in pricing.
* Oversee pricing experimental design to ensure robust validation and technical rigor.
* Lead and coach data scientists to succeed in their areas of responsibility and in support of the pricing portfolio of models that you are accountable for
**RESPONSIBILITIES:**
* Lead the technical development of an industry\-leading predictive analytics portfolio in support of key functional \&amp; business priorities (e.g., demand generation, assortment optimization, supply chain design \&amp; optimization)
* Work with Sr. Directors and Directors throughout Sysco to frame business opportunities and develop appropriate analytic strategies. Ensure the appropriate analytical techniques are used to solve those business opportunities.
* Implement data science models and visualizations using SQL, Python, Tableau and open source libraries
* Manage, attract, coach, retain, and motivate a world class team of scientists and engineers
* Lead multiple projects simultaneously and help team resource planning.
* Perform regular code reviews and give feedback on approach and coding standards to junior data scientists.
* Design and execute experiments to validate solutions during product rollout and present results to leadership.
* Collaborate with cross\-functional teams to drive business results through various use cases of customer\-level in
* Work with Sysco’s technology teams on data integration to architect, build and continuously improve data assets, which are the foundation of data\-driven and customer\-centric initiatives
* Research industry leading analytics practices and recommend continuous improvement opportunities for Sysco
* Represent Sysco in industry events
**QUALIFICATIONS:**
**Education and / or Experience:**
* Master’s degree \+ 4 years or PhD \+ 2 years of industry experience in management consulting, strategy, analytics, at a specialized analytics company or in an analytics organization in a corporate setting.
* Degree should be in mathematics, statistics or computer science or related field; preferred from a top tier University.
* 4\+ years of experience accessing and manipulating data in SQL or NoSQL database environments
* 3\+ years of experience with scientific scripting languages (e.g., Python) and/or object\-oriented programming (e.g., C\+\+, Java)
* 4\+ years of experience with Bayesian statistics, regression analysis (beyond linear regression), supervised learning, unsupervised learning or timeseries analysis required
**Basic Qualifications:**
* Must be able to think conceptually, strategically, and creatively with little oversight or direction (i.e. display thought leadership vs. simply "do" or execute something that was developed or directed by someone else)
* Must have experience initiating, driving and delivering complex analytical projects
* Able to perform quantitative analysis using appropriate analytical and visualization tools such as Python, Tableau and open source libraries
* Strong software design and OOP fundamentals (must be functional in nearly any language)
* Demonstrated experience using machine learning algorithms in a commercial setting
* High proficiency in the use of statistical packages, understanding advantages and limitations of each
* Proficiency in statistical analysis, quantitative analytics, forecasting/predictive analytics, multivariate testing, and optimization algorithms
* Must be very comfortable with numbers and have a solid understanding of various analytical techniques and where they should be best deployed
* Must have a basic understanding of the latest trends in database systems and technologies that enable advanced analytics including cloud based solutions such as AWS
**Preferred Qualifications:**
* Experience in Pricing Strategy, CPG, Retail and /or Foodservice
* Experience with Agile Software Development
**Attributes:**
* Inquisitive, innovative, and opportunistic
* Highly motivated, inspired overachiever
* Strong communication and interpersonal skills
* Understanding of end to end process for deploying analytics within a business organization to create value</t>
        </is>
      </c>
    </row>
    <row r="57">
      <c r="A57" t="inlineStr">
        <is>
          <t>li-4350255433</t>
        </is>
      </c>
      <c r="B57" t="inlineStr">
        <is>
          <t>Data Scientist (Technical Leadership)</t>
        </is>
      </c>
      <c r="C57" t="inlineStr">
        <is>
          <t>Meta</t>
        </is>
      </c>
      <c r="D57" t="inlineStr">
        <is>
          <t>linkedin</t>
        </is>
      </c>
      <c r="E57" t="inlineStr"/>
      <c r="F57" t="inlineStr"/>
      <c r="G57" t="inlineStr"/>
      <c r="H57" t="inlineStr"/>
      <c r="I57" t="inlineStr">
        <is>
          <t>We are seeking experienced Data Scientists to join our team and drive impact across various product areas. As a Data Scientist, you will collaborate with cross\-functional partners to identify and solve complex problems using data and analysis. Your role will involve shaping product development, quantifying new opportunities, and ensuring products bring value to users and the company. You will guide teams using data\-driven insights, develop hypotheses, and employ rigorous analytical approaches to test them. You will tell data\-driven stories, present clear insights, and build credibility with stakeholders. By joining our team, you will become part of a world\-class analytics community dedicated to skill development and career growth in analytics and beyond.
 Data Scientist (Technical Leadership) Responsibilities:
* Work with complex data sets to solve challenging problems using analytical and statistical approaches
* Apply technical expertise in quantitative analysis, experimentation, and data mining to develop product strategies
* Identify and measure success through goal setting, forecasting, and monitoring key metrics
* Partner with cross\-functional teams to inform and execute product strategy and investment decisions
* Build long\-term vision and strategy for programs and products
* Collaborate with executives to define and develop data platforms and instrumentation
* Effectively communicate insights and recommendations to stakeholders
* Define success metrics, forecast changes, and set team goals
* Support developing roadmaps and coordinate analytics efforts across teams
 Minimum Qualifications:
* Bachelor's degree in Computer Science, Computer Engineering, relevant technical field, or equivalent practical experience
* Mathematics, Statistics, Operations Research) 5\+ years of experience with data querying languages (e.g. SQL), scripting languages (e.g. Python), or statistical/mathematical software (e.g. R, SAS, Matlab)
* 8\+ years of work experience leading analytics work in IC capacity, working collaboratively with Engineering and cross\-functional partners, and guiding data\-influenced product planning, prioritization and strategy development
* Experience working effectively with and leading complex analytics projects across multiple stakeholders and cross\-functional teams, including Engineering, PM/TPM, Analytics and Finance
* Experience with predictive modeling, machine learning, and experimentation/causal inference methods
* Experience communicating complex technical topics in a clear, precise, and actionable manner
 Preferred Qualifications:
* 10\+ years of experience communicating the results of analyses to leadership teams to influence the strategy
* Masters or Ph.D. Degree in a quantitative field
* Bachelor's Degree in an analytical or scientific field (e.g. Computer Science, Engineering, Mathematics, Statistics, Operations Research)
* 10\+ years of experience doing complex quantitative analysis in product analytics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$210,000/year to $281,000/year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8">
      <c r="A58" t="inlineStr">
        <is>
          <t>li-4359723617</t>
        </is>
      </c>
      <c r="B58" t="inlineStr">
        <is>
          <t>Data Scientist</t>
        </is>
      </c>
      <c r="C58" t="inlineStr">
        <is>
          <t>Haystack</t>
        </is>
      </c>
      <c r="D58" t="inlineStr">
        <is>
          <t>linkedin</t>
        </is>
      </c>
      <c r="E58" t="inlineStr"/>
      <c r="F58" t="inlineStr"/>
      <c r="G58" t="inlineStr">
        <is>
          <t>Washington, DC</t>
        </is>
      </c>
      <c r="H58" t="inlineStr"/>
      <c r="I58" t="inlineStr">
        <is>
          <t>**Data Scientist, Senior \| Alexandria, VA \| Hybrid \| $99,000 \- $225,000**
 We're working with BOOZ, ALLEN \&amp; HAMILTON, INC. on this exciting opportunity.
 Leverage data science and AI to provide strategic insights and develop data\-driven solutions for DoD clients. You'll translate complex data into actionable recommendations for senior leadership, driving precision and effectiveness in campaign management.
**Key Responsibilities**
* Design and execute statistical analyses on large, complex datasets.
* Develop data visualizations for technical and executive audiences.
* Lead data science projects from scoping through delivery.
* Collaborate with stakeholders to translate strategic questions into analytical approaches.
**What You'll Need**
* 7\+ years of experience with data science, statistical analysis, or quantitative research
* 7\+ years of experience with algorithm development leveraging R or Python in data analysis libraries (pandas, NumPy, scikit\-learn, tidyverse)
* 7\+ years of experience analyzing structured and unstructured data sources
* Expertise in statistics, including hypothesis testing, regression analysis, and experimental design
**Apply via Haystack today!**</t>
        </is>
      </c>
    </row>
    <row r="59">
      <c r="A59" t="inlineStr">
        <is>
          <t>li-4337831220</t>
        </is>
      </c>
      <c r="B59" t="inlineStr">
        <is>
          <t>Staff Data Scientist, Risk</t>
        </is>
      </c>
      <c r="C59" t="inlineStr">
        <is>
          <t>Credit Genie</t>
        </is>
      </c>
      <c r="D59" t="inlineStr">
        <is>
          <t>linkedin</t>
        </is>
      </c>
      <c r="E59" t="inlineStr"/>
      <c r="F59" t="inlineStr"/>
      <c r="G59" t="inlineStr">
        <is>
          <t>San Francisco, CA</t>
        </is>
      </c>
      <c r="H59" t="inlineStr"/>
      <c r="I59" t="inlineStr">
        <is>
          <t>**Company**
 Credit Genie is a mobile\-first financial wellness platform designed to help individuals take control of their financial future. We leverage artificial intelligence to provide personalized insights and are building a financial ecosystem by offering tools and services that provide instant access to cash, and building credit. Our goal is to empower every customer to achieve long\-term financial stability.
 Founded in 2019 by Ed Harycki, former Swift Capital Founder (acquired by PayPal in 2017\). Backed by Khosla Ventures and led by industry pioneers from companies such as; PayPal, Square, and Cash App, we are well positioned to build the future of inclusive finance through cutting\-edge technology and customer\-centric solutions.
**Overview**
 Come join our AI/ML and Data Science community at Credit Genie! We are seeking a technical Data Science leader with a solid background in analytics and the consumer risk domain who is excited about solving hard Data Science and analytics problems and driving results while maintaining the highest bar for methodological rigor. In this role, you will have an opportunity to design and implement our company’s next generation of risk optimization strategies that will have a vast impact across underwriting, fraud prevention, and collections. These risk optimization strategies are central to our business and have a direct impact on our customers every day. You will design, execute, and evaluate experiments to drive continuous learning and improvement in our risk optimization processes.
**What You'll Do**
* Leverage advanced analytics and machine learning models to optimize Credit Genie’s risk strategies across credit, fraud, and collections
* Own the development and delivery of risk insights, driving data\-informed decisions that minimize losses while enabling sustainable business growth
* Monitor and analyze key risk KPIs, identify emerging loss trends, and propose strategy enhancements to continuously improve approval and portfolio performance
* Collaborate cross\-functionally with Product, Engineering, Data, and Machine Learning teams to align on shared objectives, provide strategic insights, and deliver actionable solutions
* Act as a strategic risk advisor to business stakeholders, translating complex analyses into clear, high\-impact recommendations
* Tackle ambiguous, high\-impact problems with creativity and analytical rigor, developing novel solutions that directly improve customer experience and portfolio outcomes
**Requirements**
* A Bachelor’s degree in in Statistics, Mathematics, Business, Economics, or related fields; an advanced degree is preferred
* 8\+ years of experience analyzing data using SQL or Python. Proficiency in Python for data processing and modeling is preferred
* Hands\-on experience in risk strategy within payments, lending, banking, or financial institutions is a plus
* Proven ability to design, execute, and interpret experiments (e.g. A/B testing or causal analysis) to measure impact and inform risk strategy
* Exceptional problem\-solving abilities, analytical rigor, and the ability to translate complex findings into actionable insights for non\-technical audiences
* Strong organizational skills with the ability to manage multiple projects in a fast\-paced environment and meet tight deadlines
* Experience with SQL and data platforms such as Snowflake, Databricks, and Tableau
**Benefits And Perks**
 Our goal is to provide a comprehensive offering of benefits and perks that promote better financial, mental, and physical wellness.
 We believe working alongside each other in person is the best way to build a great product and foster a strong company culture. Our expectation is that employees are in the office five days a week, allowing for optimal collaboration, inclusivity, and productivity. At the same time, we understand that life happens and recognize the importance of flexibility. We are committed to supporting our employees when circumstances arise that require remote work or adjusted schedules. Our goal is to ensure everyone can effectively balance personal and professional responsibilities while maintaining our collaborative and productive environment.
 Here are some highlights of our benefits and perks offerings, feel free to ask your recruiting partner for more details on our comprehensive offering for employees.
* 100% company\-paid medical, dental, and vision coverage for you and your dependents on your first day of employment.
* Monthly fitness reimbursement up to $100 or a full membership to LifeTime Fitness
* 401(k) with a 3\.5% match and immediate vesting
* Meal program for breakfast, lunch, and dinner
* Life and accidental insurance
* Flexible PTO
*Your actual level and base salary will be determined on a case\-by\-case basis and may vary based on the following considerations: job\-related knowledge and skills, education, and experience. Base salary is just one part of your total compensation and rewards package at Credit Genie. You may also be eligible to participate in the bonus and equity programs. You will also have access to comprehensive medical, vision, and dental coverage, a 401(k) retirement plan with company match, short \&amp; long term disability insurance, life insurance, and flexible PTO along with many other benefits and perks.*
*Credit Genie is a proud Equal Opportunity Employer where we welcome and celebrate differences. We are committed to providing a workspace that is safe and inclusive, where everyone feels supported, connected, and inspired to do their best work. If you require any accommodations to participate in our recruitment process, please inform us of your needs when we contact you to schedule an interview.*</t>
        </is>
      </c>
    </row>
    <row r="60">
      <c r="A60" t="inlineStr">
        <is>
          <t>li-4304813582</t>
        </is>
      </c>
      <c r="B60" t="inlineStr">
        <is>
          <t>Data Scientist 3 - 25605</t>
        </is>
      </c>
      <c r="C60" t="inlineStr">
        <is>
          <t>Mission Technologies, a division of HII</t>
        </is>
      </c>
      <c r="D60" t="inlineStr">
        <is>
          <t>linkedin</t>
        </is>
      </c>
      <c r="E60" t="inlineStr"/>
      <c r="F60" t="inlineStr"/>
      <c r="G60" t="inlineStr">
        <is>
          <t>Dayton, OH</t>
        </is>
      </c>
      <c r="H60" t="inlineStr"/>
      <c r="I60" t="inlineStr">
        <is>
          <t>Requisition Number: 25605
 Required Travel: 0 \- 10%
 Employment Type: Full Time/Salaried/Exempt
 Anticipated Salary Range: $99,336\.00 \- $132,500\.00
 Security Clearance: Secret
 Level of Experience: Mid
 This opportunity resides with
 **Warfare Systems (WS)** 
 , a business group within HII’s Mission Technologies division. Warfare Systems comprises cyber and mission IT; electronic warfare; and C5ISR systems.
 HII works within our nation’s intelligence and cyber operations communities to defend our interests in cyberspace and anticipate emerging threats. Our capabilities in cybersecurity, network architecture, reverse engineering, software and hardware development uniquely enable us to support sensitive missions for the U.S. military and federal agency partners.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HII\-Mission Technologies is currently seeking a skilled Data Scientist/Engineer to design, develop, and implement a data base architecture, tools, and techniques for management and use of extremely large data sets for use by data analyst for our DoD customer's organization. This position will be performed at the DoD customer site at Wright\-Patterson Air Force Base.
**Essential Job Responsibilities**
* Investigate, determine, and implement suitable open\-source tools for storage, managing, and use of extremely large data sets.
* Investigate, determine, and implement tools and methodologies for extracting key data points for analysis by data analyst.
* Conducts data exploration, analysis, and feature extraction techniques to incorporate into DoD customer’s organization data pipelines and workflows.
* Be part of a team responsible for creating, maintaining, and augmenting an on\-premises compute environment
* Translating requirements into capabilities for technical teams
* Present status reports to key internal stakeholders
* Evaluate new tools, technologies, and processes to improve on\-premises environment
* Gain familiarity of customer mission to identify and/or develop data management and workflow solutions.
* Proposes solutions and strategies to unique challenges throughout the DoD customer’s organization.
* Linux system configuration and capacity planning for large scale data analytics on\-premises and cloud.
* Additional duties as assigned or required.
**Minimum Qualifications**
* 5 years relevant experience with Bachelor in related field; 3 years relevant experience with Masters in related field.
* Experience with defining requirements for using and maintaining open\-source data analytics, data workflow, and database tools.
* Develop, implement, and maintain data analytic protocols, standards, and documentation.
* Design data models based on requirements/needs for complex analysis of data analyst
* Define requirements for vendors to implement into their proposed solutions to meet DoD customer’s organization needs and use cases.
* Experience working with multiple types of datasets and database technologies
* Experience building data pipelines from end to end
* Experience with multiple industry standard cloud and on\-premise database technologies
* Experience with data exploration, analysis, and visualization tools such as Python and Matlab
* Experience and familiarity with Linux operating environment
* Experience with open\-source containerization technologies and tools and how to utilize those technologies as appropriately for database technologies and analytics
* Define internal process improvements to automate repetitive tasks to minimize downtime between analysis
* Clearance: Secret clearance to start. Must be able to obtain and maintain a TS/SCI security clearance with enhanced security checks.
**Physical Requirements**
 May require working in an office, industrial, or laboratory environment. Capable of climbing ladders and tolerating confined spaces and extreme temperature variances.
 The listed salary range for this role is intended as a good faith estimate based on the role's location, expectations, and responsibilities. When extending an offer, HII's Mission Technologies division takes a variety of factors into consideration which include, but are not limited to, the role's function and a candidate's education or training, work experience, and key skills.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row r="61">
      <c r="A61" t="inlineStr">
        <is>
          <t>li-4359606283</t>
        </is>
      </c>
      <c r="B61" t="inlineStr">
        <is>
          <t>Senior Data Scientist</t>
        </is>
      </c>
      <c r="C61" t="inlineStr">
        <is>
          <t>BioSpace</t>
        </is>
      </c>
      <c r="D61" t="inlineStr">
        <is>
          <t>linkedin</t>
        </is>
      </c>
      <c r="E61" t="inlineStr"/>
      <c r="F61" t="inlineStr"/>
      <c r="G61" t="inlineStr">
        <is>
          <t>New York, NY</t>
        </is>
      </c>
      <c r="H61" t="inlineStr"/>
      <c r="I61" t="inlineStr">
        <is>
          <t>**About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**About The Position**
 As a Senior Data Scientist at Formation Bio, you will be at the forefront of revolutionizing drug development through AI and advanced analytics. In this role, you'll lead crucial initiatives that directly impact our drug development portfolio, from developing sophisticated models for patient selection to creating AI\-powered solutions for clinical trial optimization. You'll work at the intersection of computational biology, machine learning, and drug development, collaborating with cross\-functional teams to translate complex biological data into actionable insights. This position offers a unique opportunity to shape the future of pharmaceutical development by leveraging cutting\-edge AI technologies while making a meaningful impact on patient lives.
**Responsibilities**
* Lead and execute complex data science projects that directly advance our drug development portfolio
* Develop and implement sophisticated models for therapeutic hypothesis evaluation, including patient stratification and biomarker identification
* Design and create AI models for modernizing clinical trial evaluations, including surrogate endpoints
* Aid in the development and training of AI agents to automate and optimize biomedical workflows
* Collaborate cross\-functionally with clinical, technical, and research teams
* Present complex analytical findings to senior stakeholders, including executive leadership
**About You**
 Required Qualifications
* PhD in computational sciences or life sciences
* 3\+ years of post\-academic experience in life sciences (biotech, pharma, consulting)
* Strong programming skills, particularly in Python
* Extensive experience in multi\-modal bioinformatics analysis
**Preferred Qualifications**
* Proven expertise in cloud computing environments, including proficiency with tabular and/or graph databases
* Strong background in machine learning and deep learning, particularly in biological applications
* Experience with large language models (LLM)
* Demonstrated ability to collaborate effectively with engineering teams on production systems
* Strong communication skills with proven ability to present complex technical findings to senior stakeholders
 Formation Bio is prioritizing hiring in key hubs, primarily the New York City and Boston metro areas, with additional growth in the Research Triangle (NC) and San Francisco Bay Area.
 **Please only apply if you reside in these locations or are willing to relocate.**
**Compensation**
**The target salary range for this role is: $170,000 \- $215,000\.**
 Salary ranges are informed by a number of factors including geographic location. The range provided includes base salary only. In addition to base salary, we offer equity, comprehensive benefits, generous perks, hybrid flexibility, and more.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t>
        </is>
      </c>
    </row>
    <row r="62">
      <c r="A62" t="inlineStr">
        <is>
          <t>li-4359751153</t>
        </is>
      </c>
      <c r="B62" t="inlineStr">
        <is>
          <t>Data Scientist</t>
        </is>
      </c>
      <c r="C62" t="inlineStr">
        <is>
          <t>Roku</t>
        </is>
      </c>
      <c r="D62" t="inlineStr">
        <is>
          <t>linkedin</t>
        </is>
      </c>
      <c r="E62" t="inlineStr"/>
      <c r="F62" t="inlineStr"/>
      <c r="G62" t="inlineStr">
        <is>
          <t>New York, NY</t>
        </is>
      </c>
      <c r="H62" t="inlineStr"/>
      <c r="I62"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Core Analytics Team is a centralized function dedicated to providing data\-driven insights to drive business and product success. We work closely with our Product, Engineering, and Marketing teams to deliver exceptional experiences to our customers while maximizing the value proposition for the business.
 About the role
 Roku is looking for a Data Scientist to join the Core Analytics team to support our Customer Intelligence organization. Together, we answer high\-impact business questions from C\-suite with clear, decision\-ready insights. You’ll work on analytics that directly shape how Roku grows engagement and monetization across the streaming ecosystem, with visibility to cross\-functional leaders and meaningful ownership over high\-impact questions. 
 This role is intentionally “business\-forward”: you’ll be expected to translate ambiguous stakeholder needs into strong analytical narratives and executive\-ready deliverables. Familiarity with causal inference/experimentation is important; deep specialization is a plus but not required. This is a hybrid role with four days per week in the office, Monday through Thursday.  The selected candidate will be based out of NYC.
 For New York Only \- The estimated annual salary for this position is between $152,000\-$184,000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Own end\-to\-end analyses: scope the question, define success metrics, pull data, analyze, synthesize, and deliver data\-driven narratives.
* Drive stakeholder alignment: clarify objectives, assumptions, tradeoffs, and decision points; ensure outputs are usable.
* Build crisp storytelling \&amp; presentations: create executive\-ready readouts (slides, memos) with clear “so what / now what.”
* Develop SQL and Python\-based workflows: write and review SQL/Python code to create datasets, compute KPIs, and validate results; use Airflow to maintain and build new pipelines when needed.
* Create reporting in Tableau/Looker: develop dashboards or recurring scorecards that make performance tracking easier and reduce ad\-hoc churn.
* Measurement \&amp; causal thinking: apply or partner on quasi\-experimental approaches (e.g., diff\-in\-diff, propensity matching, synthetic controls) with appropriate caveats to address incrementality questions.
* Raise analytical quality: ensure statistical rigor, bias awareness, and clear limitations.
 We're excited if you have
 * 3\+ years (or equivalent) in analytics/data science roles driving business decisions (tech, media, marketplaces, consumer products, etc.).
* Strong SQL (joins, window functions, building analysis\-ready tables, QA/validation).
* Proficiency in Excel to work with data, tables and visualization.
* Strong ability to communicate insights: structured thinking, clear writing, confident presenting to non\-technical and executive audiences.
* Solid foundation in statistics (hypothesis testing, confidence intervals, regression basics).
* Experienced with Python for analysis and data pipeline production (via Airflow).
* Hands\-on experience with visualization tools like Tableau or Looker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63">
      <c r="A63" t="inlineStr">
        <is>
          <t>li-4359744363</t>
        </is>
      </c>
      <c r="B63" t="inlineStr">
        <is>
          <t>Data Scientist - Podcast</t>
        </is>
      </c>
      <c r="C63" t="inlineStr">
        <is>
          <t>Spotify</t>
        </is>
      </c>
      <c r="D63" t="inlineStr">
        <is>
          <t>linkedin</t>
        </is>
      </c>
      <c r="E63" t="inlineStr"/>
      <c r="F63" t="inlineStr"/>
      <c r="G63" t="inlineStr">
        <is>
          <t>New York, NY</t>
        </is>
      </c>
      <c r="H63" t="inlineStr"/>
      <c r="I63" t="inlineStr">
        <is>
          <t>The Spotify Podcast R\&amp;D team consists of Data Scientists, Analytics Engineers and User Researchers dedicated to improving the experience of podcasts for both creators and users of the platform. This role will support our Product team in evaluating the performance of exciting features from Spotify for Creators like Podcast Comments, Creator Analytics, and the Spotify Partner Program (to name a few).
 What You'll Do
* Develop research questions and undertake data exploration to understand creator monetization, and where we can develop our products to bring greater value to creators.
* Work closely with cross\-functional teams of data scientists, researchers, product owners, engineers, designers, marketers, and others across the company to develop and improve monetization tools for creators.
* Define, evaluate, dashboard, and monitor metrics, understanding the root causes of changes.
* Communicate insights and recommendations to collaborators across Spotify to build out our product strategy.
* Maintain a culture of rigor and data\-informed decision\-making to drive tangible business impact.
* Contribute to the development of the Insights function and the wider analytics community at Spotify.
 Who You Are
* Demonstrated ability in a similar Data Science role.
* Degree in data science, computer science, statistics, economics, mathematics, or a similar quantitative field.
* Deeply curious; interested in the current and future creator ecosystem.
* You have experience with product analytics, including crafting success metrics, performing exploratory analysis and presenting findings with clear product recommendations or implications.
* You have hands\-on experience synthesizing insights from data using tools such as Python, DBT, BigQuery, SQL, Tableau.
* Strong communication skills and value building strong relationships with colleagues and partners as well as the ability to explain sophisticated topics in straightforward terms.
* You’re a compelling storyteller who can communicate in succinct and inspiring ways to audiences with varied data science experience to influence product or feature decisions.
 Where You'll Be
* This role is based in our New York office.
* We offer you the flexibility to work where you work best! There will be some in person meetings, but still allows for flexibility to work from home.
 The United States base range for this position is $ 94,584 \- $ 135,121, plus equity. The benefits available for this position include health insurance, six month paid parental leave, 401(k) retirement plan, a monthly meal allowance, 23 paid days off, 13 paid flexible holidays. These ranges may be modified in the future.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Today, we are the world’s most popular audio streaming subscription service.</t>
        </is>
      </c>
    </row>
    <row r="64">
      <c r="A64" t="inlineStr">
        <is>
          <t>li-4352382096</t>
        </is>
      </c>
      <c r="B64" t="inlineStr">
        <is>
          <t>Data Scientist/Analyst - Global Data Platform - Hedge Fund</t>
        </is>
      </c>
      <c r="C64" t="inlineStr">
        <is>
          <t>Saragossa</t>
        </is>
      </c>
      <c r="D64" t="inlineStr">
        <is>
          <t>linkedin</t>
        </is>
      </c>
      <c r="E64" t="inlineStr"/>
      <c r="F64" t="inlineStr"/>
      <c r="G64" t="inlineStr"/>
      <c r="H64" t="inlineStr"/>
      <c r="I64" t="inlineStr">
        <is>
          <t>**Data Analyst / Scientist – Global Data Platform** 
 Significant opportunity to join a leading global multi\-strategy hedge fund based in New York, supporting investment teams through high\-quality data across the firm’s Global Data Platform.
 You will be responsible for sourcing, curating, and improving market and alternative datasets, ensuring they are reliable, well\-structured, and ready for use by portfolio managers, quants, and risk teams. You will work closely with data vendors and front\-office stakeholders to maximize the business value of data.
 You will need to have a strong data background across analytics, data engineering, or data science, with hands\-on experience working with financial datasets in fast\-paced environments.
 Any experience in hedge funds, asset management, or front\-office financial services will be advantageous, but strong data practitioners from adjacent or regulated environments are encouraged to apply</t>
        </is>
      </c>
    </row>
    <row r="65">
      <c r="A65" t="inlineStr">
        <is>
          <t>li-4359456346</t>
        </is>
      </c>
      <c r="B65" t="inlineStr">
        <is>
          <t>Data Scientist</t>
        </is>
      </c>
      <c r="C65" t="inlineStr">
        <is>
          <t>Block</t>
        </is>
      </c>
      <c r="D65" t="inlineStr">
        <is>
          <t>linkedin</t>
        </is>
      </c>
      <c r="E65" t="inlineStr"/>
      <c r="F65" t="inlineStr"/>
      <c r="G65" t="inlineStr"/>
      <c r="H65" t="inlineStr"/>
      <c r="I65" t="inlineStr">
        <is>
          <t>**About The Company** 
 Since its inception in 2009, Block has been at the forefront of transforming the world of commerce through innovative financial technology solutions. Originally focused on enabling seamless payment processing for merchants, the company has expanded its offerings to include integrated software solutions that support omnichannel selling, inventory management, buy now pay later services, appointment booking, customer engagement, and workforce management. Embedded within these solutions are financial services tools that allow merchants to access business loans and manage cash flow efficiently. Block’s mission is to provide tools that unlock growth and value for sellers of all sizes, from small startups to large enterprise businesses, helping them compete and thrive in a rapidly evolving digital economy. With a commitment to building a more inclusive economy, Block continues to develop products that empower merchants and consumers worldwide, fostering economic opportunity and innovation across multiple sectors.
**About The Role** 
 We are seeking an experienced Data Scientist to join our AI, Data, and Analytics (AiDA) team at Block. This pivotal role will support the Financial Platform (FinPlat) organization, which acts as the central nervous system managing the movement and ledgering of funds across our core businesses—Square, Cash App, and Afterpay. The Data Scientist will focus on acquiring side A/B testing, reporting, strategic analysis, and automation efforts to optimize financial operations. You will establish expertise in payment rails, including card\-based and bank transfer systems, and influence product roadmaps by guiding the Financial Operations team through complex product opportunities and ambiguities. Your work will involve building end\-to\-end data products from raw event data, developing machine learning models, and partnering with engineering and leadership teams to foster a data\-driven culture that drives financial impact. This role offers a unique opportunity to influence the future of financial transactions and contribute to innovative solutions that enhance transaction efficiency, reduce costs, and improve authorization rates, ultimately supporting the growth and success of our merchants worldwide.
**Qualifications** 
* 12\+ years of relevant experience in data science, preferably within payment analytics, chargebacks, or related fields, with a Bachelor's degree or higher; or 8\+ years with a Master’s degree; or 5\+ years with a PhD in a related technical discipline.
* Bachelor’s degree in Engineering, Physics, Mathematics, Computer Science, or a similar technical field.
* Proven experience working on ambiguous problems with significant business impact, demonstrating innovative and efficient problem\-solving skills.
* Expertise in hypothesis testing, causal inference, and statistical analysis.
* Hands\-on experience in building data pipelines, data architecture, and managing large datasets.
* Strong ability to communicate complex findings clearly to cross\-functional stakeholders and influence product development.
* Advanced proficiency with data analysis and visualization tools such as SQL, Looker, and Python.
**Responsibilities** 
* Develop subject\-matter expertise in payment rails, including card networks (pre\-paid, debit, credit) and bank transfer systems (wire, ACH, direct deposit).
* Influence product roadmaps by providing data\-driven insights and guiding the Financial Operations team to capitalize on product opportunities and resolve ambiguities.
* Design, develop, and deploy comprehensive data products, transforming raw event data into actionable insights and machine learning models.
* Collaborate with engineering and operational teams to establish scalable data pipelines and architectures that support analytical needs.
* Partner with leadership to promote a culture of data\-driven decision\-making that impacts financial performance and operational efficiency.
* Develop and evangelize innovative data solutions within the Block Data Science community to enhance analytics insights and their impact on business strategies.
* Conduct A/B testing, reporting, and strategic analysis to optimize transaction costs, authorization rates, and overall financial performance.
**Benefits** 
* Comprehensive health, dental, and vision insurance coverage.
* Flexible work arrangements including remote work options.
* Generous paid time off and holidays to support work\-life balance.
* Retirement savings plans with company contributions.
* Modern family planning resources and parental leave policies.
* Opportunities for professional development and continuous learning.
* Inclusive and diverse workplace culture committed to fairness and equal opportunity.
 Equal Opportunity
 Block is an equal opportunity employer committed to fostering an inclusive environment for all employees and applicants. We evaluate all candidates without regard to race, color, religion, gender, gender identity or expression, sexual orientation, national origin, age, disability, or any other legally protected status.</t>
        </is>
      </c>
    </row>
    <row r="66">
      <c r="A66" t="inlineStr">
        <is>
          <t>li-4359734432</t>
        </is>
      </c>
      <c r="B66" t="inlineStr">
        <is>
          <t>Data Scientist</t>
        </is>
      </c>
      <c r="C66" t="inlineStr">
        <is>
          <t>Pinterest</t>
        </is>
      </c>
      <c r="D66" t="inlineStr">
        <is>
          <t>linkedin</t>
        </is>
      </c>
      <c r="E66" t="inlineStr"/>
      <c r="F66" t="inlineStr"/>
      <c r="G66" t="inlineStr"/>
      <c r="H66" t="inlineStr"/>
      <c r="I66" t="inlineStr">
        <is>
          <t>**About The Company** 
 Pinterest is a globally recognized social media platform that inspires millions of users to discover, save, and share creative ideas across a wide range of interests including home decor, fashion, recipes, travel, and more. With a mission to bring everyone the inspiration to create a life they love, Pinterest fosters a vibrant community where users can explore their passions and turn ideas into reality. The company values innovation, inclusivity, and a collaborative work environment, making it an ideal place for professionals seeking to make a meaningful impact in the technology and social media space. Pinterest’s commitment to diversity and inclusion ensures that all employees are empowered to bring their authentic selves to work and contribute to the company's growth and success.
**About The Role** 
 We are seeking a highly experienced Senior Data Scientist specialized in forecasting and time\-series analysis to lead our forecasting team. In this strategic role, you will be responsible for developing, implementing, and maintaining advanced forecasting models that predict key company metrics such as monthly active users. You will own the entire model lifecycle—from problem framing and feature engineering to deployment, monitoring, and explainability—ensuring that our forecasts are accurate, interpretable, and scalable. Collaborating closely with engineering, product, and business operations teams, you will translate complex forecast outputs into actionable insights that inform strategic decision\-making at the highest levels of the organization. This role offers the opportunity to shape the technical vision for forecasting at Pinterest, drive impact across multiple domains including anomaly detection and campaign attribution, and mentor a team of talented data scientists to elevate their technical capabilities.
**Qualifications** 
* 8\+ years of experience in building and deploying production\-grade time\-series and forecasting models with large\-scale, web\-based data.
* Proven track record of delivering well\-calibrated, explainable, and adjustable forecasting systems that influence business decisions.
* Strong expertise in time\-series modeling, applied statistics, and econometrics, with an advanced degree (MS or PhD) preferred.
* Proficiency in scripting languages such as Python, with experience in libraries like Pandas, NumPy, and scikit\-learn.
* Robust SQL skills, including Hive, Presto, or Spark SQL, along with experience designing reliable data pipelines using tools like Airflow.
* Business acumen with the ability to connect model outputs to strategic business levers and prioritize impactful projects.
* Excellent communication skills, capable of translating complex analyses into clear narratives for executive audiences.
* Demonstrated leadership in managing and mentoring data science teams, driving critical projects, and influencing organizational outcomes.
**Responsibilities** 
* Lead the technical vision and strategy for the forecasting team, defining model architectures, standards, and best practices.
* Own the end\-to\-end lifecycle of forecasting models, including problem framing, feature engineering, model development, experimentation, deployment, and monitoring.
* Collaborate with engineering teams to shape the forecasting platform, ensuring scalability and efficiency for current and future models.
* Translate forecast outputs into actionable insights and present scenario analyses and recommendations to senior leadership with clarity and brevity.
* Drive innovation by expanding forecasting capabilities beyond point forecasts to include anomaly detection, root\-cause analysis, and early\-warning signals.
* Partner with business operations, finance, and product teams to embed forecasting insights into operational and strategic decision\-making processes.
* Mentor and guide junior data scientists, fostering a culture of technical excellence, continuous learning, and impactful execution.
* Monitor model performance, detect drift, and implement improvements to maintain forecast accuracy and reliability.
**Benefits** 
* Competitive salary range of $163,064 to $335,720 USD, commensurate with experience and location.
* Eligibility for equity participation, enabling employees to share in the company's success.
* Flexible work arrangements with in\-office collaboration 1\-2 times per quarter, supporting work\-life balance.
* Comprehensive health and wellness benefits, including medical, dental, and vision coverage.
* Generous paid time off and holiday policies to support personal and family needs.
* Opportunities for professional development, continuous learning, and career growth within a dynamic organization.
* An inclusive and diverse work environment that fosters innovation and collaboration.
 Equal Opportunity
 Pinterest is an equal opportunity employer committed to creating a diverse and inclusive workplace. We evaluate all qualified applicants without regard to race, color, religion, national origin, gender, gender identity or expression, sexual orientation, age, disability, veteran status, or any other legally protected characteristics.</t>
        </is>
      </c>
    </row>
    <row r="67">
      <c r="A67" t="inlineStr">
        <is>
          <t>li-4331595674</t>
        </is>
      </c>
      <c r="B67" t="inlineStr">
        <is>
          <t>Product Data Scientist (Multiple Levels)</t>
        </is>
      </c>
      <c r="C67" t="inlineStr">
        <is>
          <t>Source</t>
        </is>
      </c>
      <c r="D67" t="inlineStr">
        <is>
          <t>linkedin</t>
        </is>
      </c>
      <c r="E67" t="inlineStr"/>
      <c r="F67" t="inlineStr"/>
      <c r="G67" t="inlineStr"/>
      <c r="H67" t="inlineStr"/>
      <c r="I67" t="inlineStr">
        <is>
          <t>📍
 **Location** 
 : Remote
 🕘
 **Employment Type** 
 : Full\-Time
 📁
 **Department** 
 : Product / Engineering
 📢
 **Reports To** 
 : Head of Data Science
**About Source** 
 Source is redefining how the built world comes together.
 We’re building the operating system for global commercial construction—an AI\-native platform designed to accelerate decision\-making across the entire lifecycle of a project. From vision to execution, we empower owners, designers, and vendors to move faster, collaborate smarter, and unlock better outcomes at scale.
 Our work is grounded in the belief that enduring spaces start with empowered teams—and that intelligent infrastructure can transform how an entire industry operates. This isn’t about digitizing workflows. It’s about reengineering the system with clarity, transparency, and trust at its core.
 If you’re energized by complexity, motivated by purpose, and ready to help shape the future of the built environment—we’d love to build it with you.
**The Role: Build the Analytics Foundation — and Grow Beyond It** 
 We’re looking for a Product Data Scientist who enjoys laying strong analytical foundations and is excited to grow into deeper data science work as the company and data platform mature.
 In the near term, this role focuses on building and owning the core analytics layer for a product area: reliable pipelines, clear metrics, and datasets and dashboards that teams can trust. Over time, the role evolves toward deeper analysis, experimentation, and applied modeling that directly informs product strategy and business outcomes.
 Success in this role is measured by better decisions and real\-world impact, not necessarily by model complexity or algorithmic novelty.
**Your Impact** 
**Build the Analytics Foundation (Near Term)** 
* Design, build, and maintain scalable ETL / ELT pipelines that power product analytics and reporting
* Partner with Product and Engineering to define and implement instrumentation, logging, and telemetry for new features
* Define, document, and maintain core product metrics and dashboards; ensure data quality, reliability, and consistency
**Enable Product Insights \&amp; Decision\-Making (Medium Term)** 
* Conduct exploratory, diagnostic, and descriptive analyses to answer product and business questions
* Contribute to applied modeling efforts (e.g., recommendation, ranking, scoring, or forecasting systems) in collaboration with engineering partners
* Partner with Product and Business stakeholders to frame hypotheses, evaluate trade\-offs, and guide roadmap and investment decisions
**Applied Modeling, Experimentation, \&amp; AI (Long Term)** 
* Support the design, execution, and analysis of experiments as experimentation capabilities develop
* Apply causal inference and predictive techniques to assess impact and inform strategy
* Thoughtfully evaluate where AI or automation can meaningfully improve product insights, internal workflows, or customer\-facing experiences
**Shape the Data Function Over Time** 
* Continuously improve the performance, reliability, and scalability of analytics pipelines and data models
* Contribute to data standards, documentation, and best practices as the data function grows
* Help shape tools and processes that enable the broader organization to use data effectively
**What You’ll Bring to the RoleMinimum Qualifications** 
* Advanced degree or equivalent practical experience in Computer Science, Statistics, Mathematics, Economics, or a related quantitative field
* 3\+ years of experience in product analytics, applied data science, analytics engineering, or related roles
* Strong experience working with large, event\-level datasets and building analytics\-ready data models
* Proficiency in SQL and at least one analytics or programming language (e.g., Python)
* Experience defining product metrics, building dashboards, and supporting self\-serve analytics
* Ability to independently own ambiguous problems end\-to\-end—from data reliability to insight to action
* Strong communication skills and comfort collaborating with Product, Engineering, and Business partners
**Preferred Qualifications** 
* Familiarity with AI\-assisted tools or workflows that augment analysis, exploration, automation, or decision\-making
* Experience contributing to applied modeling efforts such as: recommendation or ranking systems (e.g., discovery, relevance, prioritization), scoring models (e.g., risk, reputation, quality, or trust), and forecasting or propensity models used for planning or strategy
* Experience supporting experimentation, causal inference, or impact measurement in a product environment
* Product analytics experience in consumer, marketplace, SaaS, or platform products
* Experience working in early\-stage or fast\-evolving environments
***Note:***
*This role does not require deep specialization in machine learning. We value strong analytical judgment, practical modelling experience, and the ability to connect data and models to real product decisions over algorithmic depth.* 
**Why You’ll Love Working at Source** 
**Innovative Work** 
 – Be part of a disruptive tech platform transforming the construction industry.
**Career Growth** 
 – Work with an ambitious, high\-performing team that values professional development.
**Remote Flexibility** 
 – Fully remote position with collaborative, tech\-enabled workflows.
**Collaborative Culture** 
 – Join a company that values teamwork, respect, and transparent communication.
**Competitive Compensation \&amp; Benefits** 
 – Market\-leading salary, equity, performance bonuses, and comprehensive benefits including employer\-paid health insurance, professional development support, and flexible PTO.
**Our Core Values** 
**At Source, we believe in…** 
 🛠️
 **Solving hard problems.** 
 We’re not afraid of complexity, in fact, we run towards it. We take pride in solving what others think is impossible. After all, if it were easy, someone would’ve already done it.
 ✨
 **Creating delight.** 
 Every interaction is an opportunity to surprise, exceed expectations, and leave people thinking, “That’s different. That’s better.” We elevate utility into joy.
**⚙️Elevating strategy through execution** 
 . Plan with purpose and act with urgency, the best strategies create impact only when implemented effectively.
 🔄
 **Embracing change.** 
 Change is not a threat, it’s exciting to push boundaries and step outside of our comfort zones. We are flexible and continuously adapt. We improve what works, and replace what doesn’t. Stagnation is the only risk we can’t afford.
 🚀
 **Innovating and thinking big.** 
 We believe great ideas can come from anywhere—and it’s everyone’s responsibility to challenge the status quo. We seek out bold transformations, take measured risks, and are relentless in our pursuit of better.
**What to Expect in the Hiring Process** 
 Step 1: Introductory Call
 Step 2: Coding Screen
 Step 3: Product Sense \&amp; Technical Deep Dive
 Step 4: Cross\-Functional Panel Interview
 Step 5: Final Interview with Leadership
 Step 6: Offer \&amp; Onboarding
**Compensation Statement** 
 Source carefully evaluates multiple factors to determine compensation, including a candidate’s skills, qualifications, experience, education, and training.
 The minimum salary for the Product Data Scientist position is $169,000 annually and the maximum salary is $224,000 annually. The actual compensation offered to a successful candidate will be based on these factors and may vary accordingly.
 In addition to base salary, successful candidates may be eligible for discretionary bonuses and other incentives based on individual and company performance in alignment with Source’s applicable compensation and benefits programs.
**Equal Employment Opportunity** 
 Source is an equal opportunity employer. We believe that diverse perspectives and inclusive environments drive innovation, creativity, and success, and we are dedicated to fostering a workplace where everyone feels valued and empowered to contribute. We are committed to providing equal employment opportunities to all qualified applicants, regardless of race, color, religion, national origin, sex, sexual orientation, gender identity, pregnancy, age, marital status, disability, veteran status, political affiliation, or any other status protected by applicable law.
**Candidate Accommodations** 
 Source values the unique backgrounds, experiences, and perspectives of all current and prospective employees. We recognize that every individual contributes to our success, and we are committed to ensuring an inclusive and accessible hiring process.
 Source provides reasonable accommodations for individuals with disabilities in the job application and recruitment process. If you require assistance due to a disability, please contact us at hr@tothesource.com or (971\)271\-6905 to request accommodations.
**Work Authorization** 
 Applicants must be authorized to work in their country of residence. Source may hire internationally through an Employer of Record (EOR) for certain roles, at its discretion. Employment visas for relocation to the United States are not sponsored at this time.</t>
        </is>
      </c>
    </row>
    <row r="68">
      <c r="A68" t="inlineStr">
        <is>
          <t>li-4359498269</t>
        </is>
      </c>
      <c r="B68" t="inlineStr">
        <is>
          <t>Senior Data Scientist - Fraud Risk</t>
        </is>
      </c>
      <c r="C68" t="inlineStr">
        <is>
          <t>Rain</t>
        </is>
      </c>
      <c r="D68" t="inlineStr">
        <is>
          <t>linkedin</t>
        </is>
      </c>
      <c r="E68" t="inlineStr"/>
      <c r="F68" t="inlineStr"/>
      <c r="G68" t="inlineStr">
        <is>
          <t>New York, NY</t>
        </is>
      </c>
      <c r="H68" t="inlineStr"/>
      <c r="I68" t="inlineStr">
        <is>
          <t>**About The Company**
 Rain makes the next generation of payments possible across the globe. We’re a lean and mighty team of passionate builders and veteran founders. Our infrastructure makes stablecoins usable in the real\-world by powering card transactions, cross\-border payments, B2B purchases, remittances, and more. We partner with fintechs, neobanks, and institutions to help them launch solutions that are global, inclusive, and efficient. You will have the opportunity to deliver massive impact at a hypergrowth company that is funded by some of the top investors in fintech, crypto, and SaaS, including Sapphire Ventures, Norwest, Galaxy Ventures, Lightspeed, Khosla, and several more. If you’re curious, bold, and excited to help shape a borderless financial future, we’d love to talk.
**Our Ethos**
 We believe in an open and flat structure. You will be able to grow into the role that most aligns with your goals. Our team members at all levels have the freedom to explore ideas and impact the roadmap and vision of our company.
**About The Team**
 The fraud risk management team at Rain creates sophisticated, scalable risk mitigation solutions to protect our customers and provide them a low\-friction experience. We achieve this by maintaining transaction and lifecycle event monitoring, building alerts to speed up fraud detection and response, and creating risk rules and strategies empowered with ML models. We are a pillar of the business supporting new products and ensuring their success. Rain’s next generation payment technology brings unique and new fraud vectors requiring holistic, end\-to\-end thinking, strong data fundamentals and fraud management savvy to combat.
**What You’ll Do**
* Own the metrics, dashboards, and reports that inform business strategy and decision\-making.
* Design and implement real\-time monitoring systems for fraud signals and alerting thresholds.
* Design, simulate, and implement real\-time risk controls using real\-time and offline predictive ML models.
* Balance risk controls with customer experience by focusing on loss savings, reduced user friction and margin improvement.
* Partner with go\-to\-market teams to demonstrate the technical and business value of risk controls to customers.
* Effectively summarize complex analytical results to leadership and non\-technical stakeholders.
* Assist partners when they have fraud concerns with their traffic.
**You are likely to succeed if you have:**
* Advanced proficiency in SQL and Python.
* 3\+ years hands\-on experience working on automated fraud risk strategies and experimentation (A/B tests) including implementation of real\-time and offline predictive ML models.
* Skilled in designing, building, and maintaining dashboards and fraud risk metrics.
* The ability to manage ambiguous problems and find solutions.
* High autonomy including the ability to prioritize your workload effectively.
* Relevant quantitative bachelor’s (or higher) degree (Statistics, Mathematics, Engineering, Computer Science, etc.).
**Bonus attributes:**
* Experience at a high\-growth fintech company or financial services company.
* Exposure to customer\-facing or GTM\-facing analytics or fraud issue triaging.
* Background in identity risk, AML, payments fraud, or compliance analytics.
**Things that enable a fulfilling, healthy and happy experience at Rain:**
**Unlimited time off** 
 🌴Unlimited vacation can be daunting, so we require Rainmakers to take 10 days minimum for themselves.
**Flexible working** 
 ☕ We support a flexible workplace, if you feel comfortable at home please work from home. If you’d like to work with others in an office feel free to come in. We want everyone to be able to work in the environment in which they are their most confident and productive selves. New Rainmakers will have a stipend to create a comfortable atmosphere at home.
**Easy to access benefits** 
 🧠For US Rainmakers, we offer comprehensive health, dental and vision plans for you and your dependents, as well as a 100% company subsidized life insurance plan.
**Retirement goals** 
 💡Plan for the future with confidence. We offer a 401(k) with a 4% company match.
**Equity plan** 
 📦 We offer every Rainmakers an equity option plan so we can all can benefit from our success.
**Rain Cards** 
 🌧️ We want Rainmakers to be knowledgeable about our core products and services. To support this mission, we issue a card for our team to utilize the card for testing.
**Health and Wellness** 
 📚 High performance begins from within. Rainmakers are welcome to use their card for eligible health and wellness spending like gym memberships/fitness classes, massages, acupuncture \- whatever recharges you!
**Team summits** 
 ✨ Summits play an important role at Rain! Time spent together helps us get to know each other, strengthen our relationships, and build a common destiny. Expect team and company offsites both domestically and internationally.
 Compensation Range: $180K \- $239K</t>
        </is>
      </c>
    </row>
    <row r="69">
      <c r="A69" t="inlineStr">
        <is>
          <t>li-4359626488</t>
        </is>
      </c>
      <c r="B69" t="inlineStr">
        <is>
          <t>Senior Data Scientist - Demand Planning &amp; Forecasting</t>
        </is>
      </c>
      <c r="C69" t="inlineStr">
        <is>
          <t>Tiger Analytics</t>
        </is>
      </c>
      <c r="D69" t="inlineStr">
        <is>
          <t>linkedin</t>
        </is>
      </c>
      <c r="E69" t="inlineStr"/>
      <c r="F69" t="inlineStr"/>
      <c r="G69" t="inlineStr"/>
      <c r="H69" t="inlineStr"/>
      <c r="I69"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We are seeking a highly experienced
 **Senior Data Scientist** 
 with deep expertise in
 **demand forecasting and time\-series modeling** 
 . The ideal candidate will have strong applied experience building, deploying, and scaling forecasting solutions in production environments, particularly within
 **CPG, FMCG, retail, or similar industries** 
 .
**Key Responsibilities**
* Design, develop, and deploy time\-series forecasting models including ARIMA, SARIMA, and ETS
* Build machine\-learning\-based forecasting models using GBM, Random Forest, XGBoost, and LightGBM
* Develop hierarchical and multi\-level forecasting solutions across products, regions, and channels
* Perform large\-scale data extraction, transformation, and analysis using SQL
* Implement and operationalize models in cloud environments (Azure preferred)
* Collaborate with business stakeholders to translate demand planning requirements into scalable analytics solutions
**Requirements**
* 10\+ years of experience in applied data science or advanced analytics
* 5\+ years of hands\-on experience in demand planning, demand forecasting, or sales forecasting
* Strong domain experience in CPG, FMCG, retail, or similar industries
* Advanced proficiency in Python (pandas, NumPy, scikit\-learn, statsmodels)
* Strong SQL skills for large\-scale data processing
* Proven experience deploying models in cloud environments (Azure preferred)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70">
      <c r="A70" t="inlineStr">
        <is>
          <t>li-4359457942</t>
        </is>
      </c>
      <c r="B70" t="inlineStr">
        <is>
          <t>Senior Data Scientist II</t>
        </is>
      </c>
      <c r="C70" t="inlineStr">
        <is>
          <t>Compass</t>
        </is>
      </c>
      <c r="D70" t="inlineStr">
        <is>
          <t>linkedin</t>
        </is>
      </c>
      <c r="E70" t="inlineStr"/>
      <c r="F70" t="inlineStr"/>
      <c r="G70" t="inlineStr">
        <is>
          <t>New York, NY</t>
        </is>
      </c>
      <c r="H70" t="inlineStr"/>
      <c r="I70"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**About The Role**
 We are seeking an experienced and highly motivated Lead Data Scientist to join our data science team. In this role, you will leverage your deep expertise in machine learning, statistical modeling, and data analysis to solve complex problems and drive strategic decisions across the organization. You will work closely with business stakeholders and engineers to uncover insights and develop cutting\-edge data\-driven solutions that directly influence strategic planning, resource allocation, and product development.
**This role will be in our Union Square, NYC office.**
**Responsibilities**
* Own the development, validation, and deployment of advanced Machine Learning models, managing dependencies and coordinating with other team members to ensure successful delivery.
* Design and execute rigorous data\-driven research to analyze the impact of various factors on business outcomes.
* Collaborate with business stakeholders to translate ambiguous problems into structured analytical solutions and suggest new initiatives that unlock organizational value.
* Communicate complex methodologies and findings clearly to technical and non\-technical audiences, acting as a technical leader within the org.
* Proactively search, identify, and implement improvements to team processes, tooling, and standards.
* Stay abreast of industry best practices and state\-of\-the\-art methodology in data science.
**Qualifications**
* Master's degree or a PhD in Computer Science, Statistics, Economics, or a related quantitative field.
* 5\+ years of experience in data science with a proven track record of leading complex, cross\-functional projects.
* Ability to select and apply appropriate advanced data science methodologies to solve complex business problems.
* Deep expertise in a complex data science domain (e.g. NLP, causal inference) with practical experience applying a range of data science methodologies (e.g., classification, time series analysis, deep learning, etc.).
* Expert\-level proficiency in Python and SQL and experience with large datasets and distributed computing frameworks (e.g., Spark, Hadoop).
* Experience productionizing machine learning models and familiarity with MLOps concepts.
* An advocate for clean code principles and engineering best practices.
* Proven ability to translate complex analytical findings into actionable business insights for diverse audiences.
* Exceptional communication, collaboration and mentoring skills.
* Experience in the Real Estate industry or other market\-driven domains is a plus.
 Compensation: The base pay range for this position is $173,400\-$195,000 annually;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
 Notice for California Applicants
 Los Angeles County Fair Chance Notice</t>
        </is>
      </c>
    </row>
    <row r="71">
      <c r="A71" t="inlineStr">
        <is>
          <t>li-4352272938</t>
        </is>
      </c>
      <c r="B71" t="inlineStr">
        <is>
          <t>Data Scientist, Production Analytics</t>
        </is>
      </c>
      <c r="C71" t="inlineStr">
        <is>
          <t>Carvana</t>
        </is>
      </c>
      <c r="D71" t="inlineStr">
        <is>
          <t>linkedin</t>
        </is>
      </c>
      <c r="E71" t="inlineStr"/>
      <c r="F71" t="inlineStr"/>
      <c r="G71" t="inlineStr">
        <is>
          <t>Tempe, AZ</t>
        </is>
      </c>
      <c r="H71" t="inlineStr"/>
      <c r="I71" t="inlineStr">
        <is>
          <t>**About Carvana**
 At Carvana, we’re changing the way people buy and sell cars. With an ambitious vision and a fundamentally different approach designed to be fun, fast, and fair, Carvana became the fastest\-growing automotive retailer in history. We expanded nationally, went public on the New York Stock Exchange, sold our 1 millionth car, and reached the Fortune 500, all in just eight years.
 Today, with 4 million retail customers and counting, Carvana is both the fastest\-growing and the most profitable public automotive retailer, and we’re just getting started. We continue to raise the bar for our customers as we tackle the enormous opportunity still ahead in the largest consumer vertical.
 Working here means being part of a team that embraces change, celebrates creative problem solving, and always strives to be better. At Carvana, you’ll have the opportunity to take on meaningful challenges, learn quickly, and help shape the future of automotive retail. If you’re driven to grow and make an impact as part of a collaborative team, you’ll fit right in. Learn more about what it’s like to work here from the people that already do.
**About The Team And Position**
 Have you ever wished the analytics projects you worked on could have visible and tangible benefits? The production analytics team owns advanced analytics (data science, optimization, data mining, etc.) in Carvana’s vertically integrated vehicle inspection and reconditioning centers. Our team can walk through these centers and see our work in action.
 We build predictive models that support decision\-making across our reconditioning operations. These models leverage vehicle characteristics and operational data to generate insights that drive business outcomes. The work can be high\-visibility and high\-impact. Our models directly influence operational strategy and performance measurement.
 As a Data Scientist, you'll work closely with our Associate Director to build, maintain, and improve these production models. You'll develop both new models and maintain existing ones, with a focus on neural network architectures that power our production systems. This is a hands\-on role where you'll see your work deployed and making a difference.
**What You’ll Be Doing** 
* Building and maintaining predictive models:
+ Developing neural network models (primarily TensorFlow/Keras) that leverage vehicle characteristics and operational data
+ Building models that support operational decision\-making and performance insights
+ Maintaining and improving existing production models as business needs evolve
+ Using LightGBM and linear/logistic regression for benchmarking and explanatory analysis
+ Implementing hyperparameter optimization and model tuning strategies
+ Monitoring model performance and identify when recalibration is needed
* Performing rigorous exploratory data analysis:
+ Investigating data quality before training models—validating that data matches operational reality
+ Grounding expectations to what's actually happening in the business, not just what the data says
+ Identifying anomalies, edge cases, and data quality issues that could impact model performance
+ Creating visualizations that communicate patterns and insights to stakeholders
+ Documenting data validation findings and decisions
* Deploying and monitoring production models:
+ Working with engineering teams to integrate models into operational systems
+ Tracking prediction accuracy and model drift over time
+ Developing validation frameworks to ensure models perform as expected
+ Iterating on models based on production performance and changing business needs
* Collaborating and communicating:
+ Translating business problems into modeling approaches
+ Explaining model predictions and limitations to non\-technical stakeholders
+ Partnering with operations teams to understand domain context
+ Documenting model architecture, assumptions, and performance characteristics
+ Working under the technical direction of our Associate Director with regular guidance and code reviews
**What You Should Have**
* Bachelor's degree in Computer Science, Statistics, Mathematics, Data Science, or a related quantitative field.
* Strong understanding of neural networks. You should know how they work in practice, not just theory (architecture design, training dynamics, hyperparameter tuning, regularization).
* Proficiency in Python for data science (pandas, numpy, scikit\-learn, TensorFlow/Keras or PyTorch).
* SQL skills for data exploration and validation (Snowflake experience preferred).
* Strong statistical foundations (hypothesis testing, regression, experimental design).
* Experience with Git\-based version control, branching, and pull requests.
* Skeptical mindset about data quality—you don't assume data is correct, you validate it.
* Excellent communication skills to explain technical concepts to non\-technical audiences.
* Eagerness to learn and grow through mentorship and code reviews.
* A relentless drive to push work into production and see tangible impact.
**It would be great if you also had**
* Hands\-on experience with TensorFlow/Keras (preferred) or PyTorch for building production models.
* Experience with LightGBM or XGBoost for gradient boosting models.
* Familiarity with Snowflake or other cloud\-based data warehouses (Google Cloud Platform, AWS, Azure).
* Understanding of model deployment and MLOps practices.
* Experience with hyperparameter optimization frameworks (e.g., Hyperopt, Optuna).
* Knowledge of data validation and testing techniques.
* Exposure to manufacturing, operations, or automotive analytics environments.
* Experience building models for cost prediction or resource optimization.
* Understanding of Agile/iterative development practices.
* Familiarity with containerized code (Docker, Kubernetes).
**Legal stuff**
 Hiring is contingent on passing a complete background check. This role is not eligible for visa sponsorship.
 Carvana is an equal employment opportunity employer. All applicants receive consideration for employment without regard to race, color, religion, gender, sexual orientation, gender identity or expression, marital status, national origin, age, mental or physical disability, protected veteran status, or genetic information, or any other basis protected by applicable law. Carvana also prohibits harassment of applicants or employees based on any of these protected categories.
 Please note this job description is not designed to contain a comprehensive listing of activities, duties, or responsibilities that are required of the employee for this job. Duties, responsibilities, and activities may change at any time with or without notice.</t>
        </is>
      </c>
    </row>
    <row r="72">
      <c r="A72" t="inlineStr">
        <is>
          <t>li-4352282113</t>
        </is>
      </c>
      <c r="B72" t="inlineStr">
        <is>
          <t>Bioinformatics Data Scientist</t>
        </is>
      </c>
      <c r="C72" t="inlineStr">
        <is>
          <t>Ansa Biotechnologies, Inc.</t>
        </is>
      </c>
      <c r="D72" t="inlineStr">
        <is>
          <t>linkedin</t>
        </is>
      </c>
      <c r="E72" t="inlineStr"/>
      <c r="F72" t="inlineStr"/>
      <c r="G72" t="inlineStr">
        <is>
          <t>Emeryville, CA</t>
        </is>
      </c>
      <c r="H72" t="inlineStr"/>
      <c r="I72" t="inlineStr">
        <is>
          <t>*Job Summary:* 
 Ansa is seeking a highly skilled and motivated Bioinformatics Data Scientist to join our team. In this role you will work in collaboration with R\&amp;D scientists to understand experimental, manufacturing, and commercial data in the context of DNA sequence features. You will design and build data analysis pipelines that drive further innovation of Ansa’s enzymatic DNA synthesis products. Embedded on a team of bioinformatics data scientists and software engineers, you will integrate the tools you build into our production software ecosystem. This work will improve manufacturing outcomes, enhance product development efforts, and feed insights back to Ansa’s commercial strategy.
 This role requires a strong background in the analysis and interpretation of DNA data and some experience in implementing data science workflows at scale. The ideal candidate has a Ph.D. and 2\+ years of experience in biotech or a related industry.
*Responsibilities:* 
* Analyze data and present findings to drive decision\-making in R\&amp;D, manufacturing pipeline improvement, and product development.
* Critically evaluate statistical learning, AI, and bioinformatics tools for their appropriate application to experimental and production data.
* Design, develop, and deploy scalable and robust bioinformatics pipelines.
* Collaborate with cross\-functional teams to understand requirements and rapidly implement solutions from prototype/concept to production deployment.
* Ensure data integrity, traceability, accuracy, and security.
* Use software engineering best practices, including distributed version control, participation in team code review, and automation for building, testing, and deploying production code.
*Qualifications:* 
* Ph.D. in Bioinformatics, Computational Biology, Biophysics, Computer Science, or a related quantitative field. Candidates with equivalent industry experience and demonstrated quantitative skill set will be considered.
* Proven track record in analyzing, interpreting, and modeling biological data, including high\-throughput sequencing data, using Python for data manipulation, analysis, and visualization.
* Proficient in using a wide range of bioinformatics tools and resources for DNA sequence analysis, including experience using statistical, machine learning, and AI methods in molecular biology and genomics.
* Demonstrated experience shipping production code in an industry setting using software engineering best practices.
* Experience deploying automated analysis pipelines using cloud computing resources.
* Excellent problem\-solving, communication, and collaboration skills.
* Desire to deliver high\-quality results in a fast\-paced, dynamic environment.
**What We Offer:** 
* Competitive salary and equity.
* Generous benefits package including health, dental, and vision.
* Ongoing professional development and training opportunities.
* A collaborative and innovative work environment.
* The opportunity to be part of a company at the forefront of synthetic biology and innovation.
 San Francisco Bay Area Pay Range
 $131,250 \- $183,750 \- Depending upon experience
**Ansa Biotechnologies is an Equal Opportunity Employer.** 
 All applicants will be considered for employment without attention to race, color, religion, sex, sexual orientation, gender identity, national origin, veteran or disability status.
 At Ansa, we’re building a community of intelligent and passionate humans that will help us change biotechnology research with our enzymatic DNA synthesis technology. We believe that challenging and trusting one another, and continuously learning are essential to our success. We believe that building diverse, inclusive and psychologically safe spaces are essential to a community culture that yields the happiest colleagues and friends, and the highest quality research.
 As we are growing rapidly, this is an ever present goal: hiring the best people while building diversity in thought, experience and background within our team. While the biotechnology space can feel limited in BIPOC, non\-binary and even female representation, we endeavor to make hiring decisions that will continue to grow and support our team in the direction of cultural diversity and sustainability.</t>
        </is>
      </c>
    </row>
    <row r="73">
      <c r="A73" t="inlineStr">
        <is>
          <t>li-4359676017</t>
        </is>
      </c>
      <c r="B73" t="inlineStr">
        <is>
          <t>Senior Data Scientist - Insights</t>
        </is>
      </c>
      <c r="C73" t="inlineStr">
        <is>
          <t>Elevate</t>
        </is>
      </c>
      <c r="D73" t="inlineStr">
        <is>
          <t>linkedin</t>
        </is>
      </c>
      <c r="E73" t="inlineStr"/>
      <c r="F73" t="inlineStr"/>
      <c r="G73" t="inlineStr">
        <is>
          <t>North Carolina, United States</t>
        </is>
      </c>
      <c r="H73" t="inlineStr"/>
      <c r="I73" t="inlineStr">
        <is>
          <t>**About Elevate**
 Elevate is a full\-service consulting firm that inspires high\-performing organizations to find their limits and push past them. With expertise in brand consulting, sales strategy, data\-driven insights, and talent optimization, Elevate gives its clients a competitive edge in the fight for people’s precious time and attention. Established in 2018, Elevate set out to help sports teams and leagues spark innovation and drive performance. In the years since, the world of sports has transformed, today standing at the convergence of media, entertainment, and consumer brands, with Elevate supporting some of the world’s most ambitious businesses across these sectors. Elevate’s proprietary technology, data sources, and software products combined with our thoughtful insights, and people\-centric approach give clients a 360\-degree view of their customers, underpinning intelligent decision\-making on marketing spend, growth strategy, and more.
 Our team of 400\+ employees spans the globe with in 20 locations worldwide. We value recruiting diverse individuals to our team to bring new perspectives to our company and look forward to learning more about you in the recruitment process. To learn more and see what we’ve been up to, follow Elevate on X, LinkedIn, and Instagram.
**Where you come in**
 Elevate is embarking on an exciting transformation journey from a consulting company to a product\-led organization where our technology will become a primary revenue driver. Join our rapidly growing engineering team that's setting the foundation for this transformation.
 You'll collaborate with talented engineers, data scientists, and domain experts to revolutionize how we deliver insights to our clients. You'll work with our massive datasets (CIA and developing TIA) to build predictive models, generate comprehensive analytics, and create data\-driven solutions that transform raw data into actionable intelligence. Your work will enable organizations to understand their audiences at unprecedented detail and make data\-driven decisions across sports, entertainment, and consumer brands.
**What You'll Bring**
* Data Science Expertise: 5\+ years of experience in data science, statistical analysis, or related field
* Statistical \&amp; Analytical Skills: Strong background in statistics, predictive modeling, and advanced analytics
* Python \&amp; Data Tools: Expert\-level Python skills with experience in Pandas, NumPy, scikit\-learn, and statistical libraries
* SQL Proficiency: Deep experience with SQL and database systems for querying and analyzing large datasets
* Machine Learning: Strong knowledge of machine learning algorithms, model development, and evaluation techniques
* Data Visualization: Experience creating compelling data visualizations and communicating insights effectively
* Product Engineering Mindset: Understanding that technology exists to solve customer problems and create business value
* Problem\-Solving Approach: You start with understanding the problem deeply before jumping to solutions
* Experimentation Mindset: You value learning through rapid experimentation and embrace a "progress over perfection" approach
* Outcome Orientation: You measure success by business impact and customer satisfaction, not just by model accuracy
* Communication Skills: Ability to explain complex data science concepts and insights to both technical and non\-technical stakeholders
* Business Intelligence Experience: Background in client deliverables, consulting outputs, or business intelligence platforms is highly valuable
* Big Data Experience: Experience working with large\-scale datasets (millions\+ records) is highly valuable
* Advanced Degree: Advanced degree in Statistics, Mathematics, Computer Science, or related field is a plus
**How You'll Make An Impact**
* Build Predictive Models: Develop and deploy predictive models that enable clients to understand audience behavior and make data\-driven decisions
* Generate Comprehensive Analytics: Create advanced analytics and insights from our massive consumer datasets
* Design Experiments: Design and implement A/B tests and experiments to validate hypotheses and measure impact
* Create Data Visualizations: Build compelling visualizations and reports that communicate insights effectively to clients
* Collaborate with Engineers: Work closely with engineers to integrate models and analytics into production systems
* Enable Data\-Driven Decisions: Provide data\-driven recommendations that influence product strategy and business decisions
* Mentor Team Members: Share knowledge and mentor other data scientists and analysts on the team
* Solve Real Business Problems: Work directly with product managers and stakeholders to understand problems and validate data science solutions
**Your Journey: First 90 Days
 First 30 Days**
* Deep dive into our Consumer Insights Architecture (CIA) and Team Insights Architecture (TIA) datasets
* Understand current analytics capabilities, client deliverables, and business requirements
* Build relationships with your engineering teammates, data scientists, key stakeholders, and agency partners
* Partner with the team to develop your personal roadmap for impact
**Days 31\-60**
* Develop your first predictive model or advanced analytics solution for a core use case
* Design and execute experiments to validate model performance and business impact
* Begin establishing patterns for data science development, model deployment, and insight delivery
**Days 61\-90**
* Deploy models or analytics into production and monitor their performance
* Lead technical planning for scaling data science capabilities across the platform
* Contribute to roadmap for next\-generation analytics and insights features
**Why This Role Matters Now**
* Growing Team: Join a talented and expanding engineering team that's building the foundation for Elevate's product\-led future
* Product\-Led Transformation: Drive the shift to a product\-led organization following the playbook of companies like Spotify, Airbnb, and Stripe
* Massive Scale: Work with datasets containing hundreds of millions of consumer records
* Direct Impact: Your work will directly influence how major sports teams, entertainment venues, and brands understand and engage their customers
* Learning Opportunities: Work with cutting\-edge data technologies and analytics platforms
**The Technology You'll Work With**
* Our data science stack includes:
* Data Science Tools: Python, Pandas, NumPy, scikit\-learn, Jupyter
* Data Infrastructure: AWS (Redshift, Glue, S3, Lambda, SageMaker), Snowflake
* Databases: PostgreSQL, Redshift, Snowflake
* Visualization: Data visualization libraries and BI tools
* Development Practices: Version control, model versioning, experiment tracking
**Our Product Engineering Principles**
* Customer Obsession: We start with the customer and work backward. We don't build features; we solve customer and business problems.
* Ownership: Teams own outcomes, not just outputs. Success means business impact and customer delight, not shipping on schedule.
* Simplicity: We choose architectural and product simplicity over complexity. Complex solutions are harder to maintain, evolve, and explain.
* Data\-Driven Decisions: We measure what matters and use data to guide our product development and business decisions.
* Rapid Learning: We implement quick feedback loops, focus on learning through experimentation, and value progress over perfection.
* Transparency: We invite visibility and are transparent with where we're spending our time.
 We're looking for data scientists who want to do the best work of their careers while transforming how the sports and entertainment industry operates. At Elevate, you'll have the freedom to solve meaningful problems, the support to grow as a leader, and the satisfaction of seeing your work impact millions of fans. If you're ready to help shape our product\-led future, we'd love to connect.
**Position And Benefits Details**
* Full Time, Exempt
* Medical, Dental, Vision, Life, Short\-Term \&amp; Long\-Term Disability Insurance \+ FSA, HSA, and more
* 401k Employer Match after meeting eligibility requirements
* 14 Paid Holidays
* Unlimited PTO
* Paid Parental Leave
**Working Conditions**
***Travel Requirements***
* Occasional travel may be required
***Physical Demands***
* Extensive work in front of a screen
***Work Environment***
* This role is remote, with the potential for a hybrid work arrangement in the following cities: New York, NY; Santa Clara, CA; Charlotte, NC; Salt Lake City, UT; or Nashville, TN.
*This position is open to all qualified candidates. If you need assistance or an accommodation due to a disability in connection with the application process, you may contact us at* 
 HR@oneelevate.com
*We are proud to be an equal opportunity/veterans/disabled/ LGBT employer. We celebrate diversity and are committed to creating an inclusive environment for all employees. All employment is decided based on qualifications, merit, and business need, without regard to race, color, religion, gender, sexual orientation, national origin, disability status, protected veteran status, genetic information, or any other characteristic protected by applicable law.*</t>
        </is>
      </c>
    </row>
    <row r="74">
      <c r="A74" t="inlineStr">
        <is>
          <t>li-4331525874</t>
        </is>
      </c>
      <c r="B74" t="inlineStr">
        <is>
          <t>Principal Data Scientist</t>
        </is>
      </c>
      <c r="C74" t="inlineStr">
        <is>
          <t>DTE Energy</t>
        </is>
      </c>
      <c r="D74" t="inlineStr">
        <is>
          <t>linkedin</t>
        </is>
      </c>
      <c r="E74" t="inlineStr"/>
      <c r="F74" t="inlineStr"/>
      <c r="G74" t="inlineStr">
        <is>
          <t>Detroit, MI</t>
        </is>
      </c>
      <c r="H74" t="inlineStr"/>
      <c r="I74" t="inlineStr">
        <is>
          <t>DTE is one of the nation’s largest diversified energy companies. Our electric and gas companies have fueled our customer’s homes and Michigan’s progress for more than a century. And as Michigan’s largest source of renewable energy, we’re creating a cleaner, healthier environment to power our future. We’re also serving communities beyond Michigan, where our affiliated businesses offer renewable energy, emission control technologies, and energy services to industries in 19 states.
 But we’re more than a leading energy company... and working at DTE is more than just a job. At DTE, we take great care of each other and our customers, and we use our energy to be a force for growth and prosperity in our communities. When you join us, you’ll be part of a team that welcomes, recognizes, and celebrates differences and values everyone’s health, safety, and wellbeing. Are you ready to make that kind of difference? Bring your energy to DTE. Together, we can achieve great things.
**Testing Required:** 
 Not Applicable
**Hybrid Role:** 
 This role is hybrid, with an established schedule of in\-person work required at an assigned work location. Any remote work is expected to be performed from an employee’s primary residence, unless allowed (or prohibited) through the Company’s remote work guidelines.
**Emergency Response:** 
 Yes – Must be available to perform a primary assignment in support of DTE’s emergency response to storms or other events that impact service to our customers.
**Job Summary**
 Leads large business unit or enterprise\-level analytics projects with broad responsibilities for translating business requirements into analytical constructs and providing analytical insights for effective decision making. Mentors less experienced team members to run analytical experiments in a methodical manner, evaluates alternative approaches and develops predictive models to forecast business performance metrics.
 Communicates effectively to technical and non\-technical stakeholders with strong domain expertise and business acumen. Additionally, this role requires researching and recommending new technologies and best practices within the industry to develop the organization's analytics strategies and roadmap.
**Key Accountabilities**
* Leads analytics projects and collaborates with cross\-functional stakeholders to complete end\-to\-end analyses that includes business requirements, data gathering, analysis, scaleable solutions, and presentations
* Conducts advanced statistical analysis to determine trends and significant data relationships, and proactively recommend areas of improvement.
* Develops complex data sets and predictive models to support key decisions to improve safety, employee
 engagement, operation efficiency, product quality, and customer satisfaction
* Prepares and delivers insightful presentations and actionable recommendations. Educates leaders and other employees on complex analytical findings in basic terms with storytelling and data visualization
* Identifies and evaluates technologies and provides strategic inputs to advance the organization's analytics capabilities
* Implements new statistical, mathematical, machine learning, or other methodologies for modeling or analyses
* Responsible for discovering insights from Big Data to help shape or meet specific business needs and goals.
* Utilizes business expertise to translate goals into data\-based deliverables, such as predictive models,
 pattern detection analysis or optimization algorithms
* Champions self\-service reporting capability and use of Business Intelligence and statistical tools; advances the analytical capabilities of the organization
* Develops data and analytical processes based on Continuous Improvement learnings and practices
**Minimum Education \&amp; Experience Requirements**
 This is a dual\-track base requirement job; education and experience requirements can be satisfied through one of the following two options:
* Bachelor's degree with emphasis on coursework of a quantitative nature (e.g., Statistics, Computer Science, Engineering, Mathematics, Physics, Data Science, Industrial/Organizational Psychology and
 Econometrics, etc.) and 8 years of experience working in a data analytical or computer programming function
* Master's degree with emphasis on coursework of a quantitative nature (e.g., Statistics, Computer Science, Engineering, Mathematics, Physics, Data Science, Industrial/Organizational Psychology and Econometrics, etc.) and 6 years of experience working in a data analytical or computer programming function
* Ph.D. with emphasis on coursework of a quantitative nature (e.g., Statistics, Computer Science, Engineering, Mathematics, Physics, Data Science, Industrial/Organizational Psychology and Econometrics, etc.) and 4 years of experience working in a data analytical or computer programming function
**Preferred**
**Other Qualifications**
* PhD degree in Data Science
* Experience in quantitative analytics (e.g., data mining, regression analysis, hypothesis testing, predictive modeling and model optimization)
* Intermediate\- to advanced\-level knowledge and skills in data modeling, data structure, and the application of complex SOL queries with data from multiple sources, including Big Data platforms (e.g., Hadoop, AWS, Azure)
* Experience with SAP Business Intelligence tools and SAP CRM, ISU, and BW data
* Intermediate\-level or higher Continuous Improvement knowledge, skills, and certifications
* Strong writter and verbal communication skills
* Strong business acumen and utility/energy industry experience
**Other Requirements**
* Intermediate\- to advanced\-level skills and experience with data mining and statistical analysis using analytical packages/ tools (e.g., R, SAS, SPSS, Stata, MATLAB, Minitab, etc.)
* Intermediate\- to advanced\-level skills and experience articulating business questions, pulling data from relational databases (e.g., SAP BW, ORACLE, SOL SERVER) and using advanced excel and statistical tools (e.g., Minitab, Alteryx, Advanced Excel with VBA, R, SAS, SPSS, Stata, MATLAB, etc.) and determining the appropriate analytical approach to conduct in\-depth analysis to support decision making
* Intermediate\- to advanced\-level programming skills in SOL, C/C\+\+/C\#, Java, R, Python, PHP, ASP, or SAS
* Intermediate\- to advanced\-level skills in applied research design and machine learning (e.g., multivariate statistical analysis, unsupervised and supervised learning, predictive modeling, etc.)
* Self\-starter and quick learner; advances self and others' knowledge and skill sets in business processes, data science, new analytical frameworks, technologies, and applications
* Strong interpersonal, analytical and problem\-solving skills, including ability to communicate technical information and complex data analytics to a non\-technical audience
**Additional Information**
 Incumbents may engage in all or some combination of the activities and accountabilities and utilize a variety of the competencies cited in this description depending upon the organization and role to which they are assigned. This description is intended to describe the general nature and level of work performed by incumbents in this
 job. It is not intended as an all\-inclusive list of accountabilities or responsibilities, nor is it intended to limit the rights of supervisors or management representatives to assign, direct and control the work of employees under their supervision.
**PRIVACY NOTICE TO CALIFORNIA JOB APPLICANTS**
 At DTE Energy, we are committed to providing an inclusive workplace where everyone feels welcome and a sense of belonging. We seek individuals with a heart for service, a passion to help our communities prosper, and ideas to help shape the future of energy. We are proud to be an equal opportunity, employer that considers all qualified applicants without regard to race, color, sex, sexual orientation, gender identity, age, religion, disability, national origin, citizenship, height, weight, genetic information, marital status, pregnancy, protected veteran status or any other status protected by applicable federal and/or state laws.</t>
        </is>
      </c>
    </row>
    <row r="75">
      <c r="A75" t="inlineStr">
        <is>
          <t>li-4331506648</t>
        </is>
      </c>
      <c r="B75" t="inlineStr">
        <is>
          <t>Data Scientist</t>
        </is>
      </c>
      <c r="C75" t="inlineStr">
        <is>
          <t>The Hartford</t>
        </is>
      </c>
      <c r="D75" t="inlineStr">
        <is>
          <t>linkedin</t>
        </is>
      </c>
      <c r="E75" t="inlineStr"/>
      <c r="F75" t="inlineStr"/>
      <c r="G75" t="inlineStr">
        <is>
          <t>Hartford, CT</t>
        </is>
      </c>
      <c r="H75" t="inlineStr"/>
      <c r="I75" t="inlineStr">
        <is>
          <t>Data Scientist \- GD08AE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seeks a Data Scientist within Data Science \&amp; Analytics Customer Operations department to develop machine learning and artificial intelligence solutions across a range of strategic initiatives.
 The Customer Operations Data Science Team is a recently created data science and analytics team which engineers end\-to\-end analytic and machine learning solutions to optimize operational efficiency \&amp; customer experience, and utilizes all touchpoints generated by our customers on their omnichannel journey through The Hartford’s vast engagement ecosystem.
 As a Data Scientist, you will participate in the entire model lifecycle partnering with cross\-functional business and technical partners to understand business strategies and design, develop, implement, and evolve modeling solutions. We use the latest technologies, machine learning methods, MLOps, and Agile delivery frameworks to build innovative and efficient solutions that maximize business value. This cutting edge and forward focused organization presents the opportunity for collaboration, self\-organization within the team, influencing decision\-making, and visibility as we focus on continuous business data delivery.
**Responsibilities**
* Create statistical models, algorithms, and machine learning techniques to achieve financial objectives and solve business problems
* Participate in reviewing work with business partners and team members on an ongoing basis to calibrate deliverables against expectations
* Assist in identifying and assessing the value of new data sources and analytical techniques to ensure ongoing competitive advantage
* Participate in the creation and deployment of long\-term tools to continually evolve the business
* Contribute to the successful implementation of strategies to achieve targeted business objectives
* Develop knowledge of The Hartford's formal and informal structures, business processes, and data sources in your area of expertise
* Remain current on research techniques and become familiar with state\-of\-the\-art tools applicable to your function
* Provide economic, qualitative, and statistical support to ensure accuracy of characteristics and metrics being applied to business decisions
 This role will have a Hybrid work schedule, with the expectation of working in an office (Columbus, OH, Chicago, IL, Hartford, CT or Charlotte, NC) 3 days a week (Tuesday through Thursday).
**Qualifications**
* 2\+ years of relevant experience recommended
* Preference for Master’s or Ph.D. in Statistics, Applied Mathematics, Quantitative Economics, Actuarial Science, Data Science, Computer Science, or a similar analytical field, or progress towards a relevant professional designation
* Experience in statistical modeling, inference, and building machine learning algorithms in Python
* Experience in SQL and navigating databases to extract relevant attributes
* Experience in Unix and Git
* Experience in the end\-to\-end modeling lifecycle, from requirements gathering to monitoring and validation
* Exposure to building modeling solutions in cloud\-native environments, such as Sagemaker or Vertex AI, a plus
* Understanding of prompt engineering, retrieval\-augmented generation (RAG), agent workflow, and LLM evaluation is a plus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$90,160 \- $135,240
 Equal Opportunity Employer/Sex/Race/Color/Veterans/Disability/Sexual Orientation/Gender Identity or Expression/Religion/Age
 About Us \| Our Culture \| What It’s Like to Work Here \| Perks \&amp; Benefits</t>
        </is>
      </c>
    </row>
    <row r="76">
      <c r="A76" t="inlineStr">
        <is>
          <t>li-4344228334</t>
        </is>
      </c>
      <c r="B76" t="inlineStr">
        <is>
          <t>Staff Data Scientist, Growth</t>
        </is>
      </c>
      <c r="C76" t="inlineStr">
        <is>
          <t>Pomelo Care</t>
        </is>
      </c>
      <c r="D76" t="inlineStr">
        <is>
          <t>linkedin</t>
        </is>
      </c>
      <c r="E76" t="inlineStr"/>
      <c r="F76" t="inlineStr"/>
      <c r="G76" t="inlineStr"/>
      <c r="H76" t="inlineStr"/>
      <c r="I76" t="inlineStr">
        <is>
          <t>**About Us**
 Pomelo Care is the national leader in evidence\-based healthcare for women and children. We deliver personalized, high\-quality clinical interventions from reproductive care and pregnancy, infant care and pediatrics, to hormonal health through perimenopause and menopause, with long\-term preventive care and condition management. Our model delivers 24/7 multispecialty care to address the medical, behavioral, and social factors that most significantly impact outcomes for women and children. We partner with payers, employers, and providers to expand access to quality healthcare across the system.
**Role Description**
**Your North Star:** 
 Build innovative, data\-driven products that enhance patient engagement and retention to improve the lives of moms and babies.
 We're looking to bring on an experienced
 **Staff Data Scientist** 
 to own the data strategy for our Growth and Patient Experience team. In this role, you will hold a dual focus: optimizing the top\-of\-funnel strategy to grow patient enrollment, and driving the development of next\-generation products that keep those patients engaged throughout their care journey. Specifically, you will:
* Become an expert in patient behavior, engagement patterns, and retention drivers, owning the team’s data science roadmap and playing a foundational role in shaping Pomelo's patient experience strategy
* Collaborate deeply with the Marketing team to build and optimize a multi\-channel enrollment strategy. You will build attribution models, analyze funnel conversion rates, and identify the best ways to allocate resources towards patient enrollment.
* Define and iterate on key metrics that define the health of the business, such as enrollment and retention rates, and present insights to Pomelo’s leadership team
* Complete exploratory analyses to inform development of enrollment and engagement\-focused features, such as conversation topic categorization and patient journey segmentations
* Build robust data pipelines and analytics infrastructure that connect external, marketing and product usage data, creating a unified view of the patient journey.
* Lead the team’s approach to A/B testing across marketing and product initiatives to accurately measure impact
* Collaborate closely with Product, Clinical, and Engineering teams to translate patient insights into actionable product improvements and new feature development
**Who You Are**
 You are a product\-minded data scientist and innovative problem solver who thrives on building solutions that directly impact patient lives, and excited to work at a startup. Specifically,
* You have 6\+ years professional experience in data science, product analytics, or data engineering
* You have 2\+ years professional experience working in healthcare, consumer health, or high\-touch consumer products
* Expert proficiency in both SQL and Python, with demonstrated ability to work across the full data stack
* Strong product sense with experience in product prototyping, A/B testing, and user behavior analysis
* Passionate about improving maternal health outcomes and creating exceptional patient experiences
* Proven track record of scoping and implementing data\-driven product solutions to complex, ambiguous problems
* Comfortable leading cross\-functional initiatives with Product, Engineering, and Clinical teams as a strategic partner and technical expert
* A strong communicator and a keen nose for value \- someone who can easily and quickly understand the needs of different audiences
* Experience with data visualization and dashboarding tools (e.g., Looker, Tableau, Metabase)
* Experience working with modern data stack tools (e.g., dbt, Airflow, Snowflake)
**Bonus points if you have any of the following**
* Experience with AI model development including fine\-tuning, prompt engineering, model evaluation and building production AI applications
* Background in healthcare AI, clinical decision support, or medical NLP
 Why you should join our team
 By joining Pomelo, you will get in on the ground floor of a fast\-moving, well\-funded, and mission\-driven startup that always puts the patient first. You will learn, grow and be challenged \-\- and have fun with your team while doing it.
 We strive to create an environment where employees from all backgrounds are respected. We also offer:
* Competitive healthcare benefits
* Generous equity compensation
* Unlimited vacation
 At Pomelo, we are committed to hiring the best team to improve outcomes for all mothers and babies, regardless of their background. We need diverse perspectives to reflect the diversity of problems we face and the population we serve. We look to hire people from a variety of backgrounds, including but not limited to race, age, sexual orientation, gender identity and expression, national origin, religion, disability, and veteran status.
*Our salary ranges are based on paying competitively for our company’s size and industry, and are one part of the total compensation package that also includes equity, benefits, and other opportunities at Pomelo Care. In accordance with New York City, Colorado, California, and other applicable laws, Pomelo Care is required to provide a reasonable estimate of the compensation range for this role. Individual pay decisions are ultimately based on a number of factors, including qualifications for the role, experience level, skillset, geography, and balancing internal equity. Given that this role is open to candidates of different skill levels, determining a salary range is challenging. A reasonable estimate of the current salary range is $220,000 to $260,000\. We expect most candidates to fall in the middle of the range. We also believe that your personal needs and preferences should be taken into consideration, so we allow some choice between equity and cash.*
**Potential Fraud Warning**
*Please be cautious of potential recruitment fraud. With the increase of remote work and digital hiring, phishing and job scams are on the rise with malicious actors impersonating real employees and sending fake job offers in an effort to collect personal or financial information.*
*Pomelo Care will never ask you to pay a fee or download software as part of the interview process with our company. Pomelo Care will also never ask for your personal banking or other financial information until after you have signed an offer of employment and completed onboarding paperwork that is provided by our People Operations team. All official communication with Pomelo Care People Operations team will come from domain email addresses ending in @pomelocare.com.*
*If you receive a message that seems suspicious, we encourage you to pause communication and contact us directly at careers@pomelocare.com to confirm its legitimacy. For your safety, we also recommend applying only through our official Careers page. If you believe you have been the victim of a scam or identity theft, please contact your local law enforcement agency or another trusted authority for guidance.*</t>
        </is>
      </c>
    </row>
    <row r="77">
      <c r="A77" t="inlineStr">
        <is>
          <t>li-4359426986</t>
        </is>
      </c>
      <c r="B77" t="inlineStr">
        <is>
          <t>CLD Senior Data Scientist</t>
        </is>
      </c>
      <c r="C77" t="inlineStr">
        <is>
          <t>Sanofi</t>
        </is>
      </c>
      <c r="D77" t="inlineStr">
        <is>
          <t>linkedin</t>
        </is>
      </c>
      <c r="E77" t="inlineStr"/>
      <c r="F77" t="inlineStr"/>
      <c r="G77" t="inlineStr">
        <is>
          <t>Framingham, MA</t>
        </is>
      </c>
      <c r="H77" t="inlineStr"/>
      <c r="I77" t="inlineStr">
        <is>
          <t>**Job Title:** 
 CLD Senior Data Scientist
**Location:** 
 Framingham, MA
**About The Job**
 We seek a highly motivated Senior Scientist to join Cell Line Development, as part of a team focused on innovation and implementation of automated clone selection processes, high throughput data analytics and data management solutions. The individual in this role will work in a high\-performing, fast\-paced collaborative environment supporting end\-to\-end development, management, and optimization of data pipelines relevant to Cell Line Development workflows and in line with Sanofi’s “Play to Win” Digital Data Strategy.
 The senior scientist will be the key interface in operationalizing CLD data, and this work will directly support development projects in Sanofi’s pipeline. Specifically, responsibilities will be applying code\-based analytics and data flow expertise to streamline the connection between the laboratory and the information systems.
 We deliver 4\.3 billion healthcare solutions to people every year, thanks to the flawless planning and meticulous eye for detail of our Manufacturing \&amp; Supply teams. With your talent and ambition, we can do even more to protect people from infectious diseases and bring hope to patients and their families.
**Main Responsibilites**
* Build and maintain integrated CLD data infrastructure
* Establish and maintain connectivity of laboratory equipment with existing data management solutions.
* Develop and implement data management solutions for clone screens and automation systems to support cell line development activities.
* Gather and organize large and complex CLD data assets, perform relevant analysis.
* Develop and implement data management solutions for clone screens and automation systems to support cell line development activities.
* Work with CLD team to understand data requirements and translate them into technical needs.
* Propose and implement relevant data models and workflows
* Actively contribute to Data governance community and Sanofi’s “Play to Win” Digital Data Strategy.
**About You**
**Basic Qualifications:**
* Master’s degree in science, engineering, or information management with Minimum 4\+ years working with data models and database architectures,
* OR Bachelor in science, engineering, or information management and 8 years of relevant experience.
* OR, Phd \+minimum 2 years of Relevant experience.
* Experience working with database models and query tuning
* Working knowledge of SQL and Python (familiarity with other scripting languages a plus).
* Self\-motivated with attention to detail, excellent organization, time\-management, \&amp; communication skills.
**Preferred Qualifications**
* Experience in biopharmaceutical industry is a plus.
* Experience supporting laboratory\-based workflows.
* Experience with high throughput laboratory automation equipment (eg Hamilton, Beacon, or Ambr).
* Experience with a data pipelining application (eg Biovia Pipeline Pilot).
* Experience working with biological registration systems (eg Genedata Biologics) or LIMS in general.
* Experience with a variety of scientific analysis and BI software packages (eg Tableau or PowerBI).
* Develop and implement data management solutions for clone screens and automation systems to support cell line development activities.
* Good understanding of cloud database technologies.
**Why Choose Us?**
* Bring the miracles of science to life alongside a supportive, future\-focused team.
* Discover endless opportunities to grow your talent and drive your career, whether it’s through a promotion or lateral move, at home or internationally.
* Enjoy a thoughtful, well\-crafted rewards package that recognizes your contribution and amplifies your impact.
* Take good care of yourself and your family, with a wide range of health and wellbeing benefits including high\-quality healthcare, prevention and wellness programs and at least 14 weeks’ gender\-neutral parental leave.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All compensation will be determined commensurate with demonstrated experience. Employees may be eligible to participate in Company employee benefit programs, and additional benefits information can be found here.</t>
        </is>
      </c>
    </row>
    <row r="78">
      <c r="A78" t="inlineStr">
        <is>
          <t>li-4359751843</t>
        </is>
      </c>
      <c r="B78" t="inlineStr">
        <is>
          <t>Senior Data Scientist</t>
        </is>
      </c>
      <c r="C78" t="inlineStr">
        <is>
          <t>University of Pennsylvania</t>
        </is>
      </c>
      <c r="D78" t="inlineStr">
        <is>
          <t>linkedin</t>
        </is>
      </c>
      <c r="E78" t="inlineStr"/>
      <c r="F78" t="inlineStr"/>
      <c r="G78" t="inlineStr">
        <is>
          <t>Philadelphia, PA</t>
        </is>
      </c>
      <c r="H78" t="inlineStr"/>
      <c r="I78" t="inlineStr">
        <is>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Senior Data Scientist
**Job Profile Title**
**Job Description Summary**
 The Senior Data Scientist advances research and clinical innovation in limb optimization, osseointegration, and bone health. This role applies expertise in data science, biomechanics, and medical imaging to analyze complex datasets that support improved implant integration, limb alignment strategies, and long\-term skeletal health. The individual collaborates closely with surgeons, biomechanical engineers, rehabilitation specialists, and clinical research teams to develop data\-driven insights that enhance functional outcomes for patients undergoing advanced limb reconstruction.
**Job Description**
**Essential Duties \&amp; Responsibilities:**
 Develop and implement statistical, predictive, and machine learning models to support osseointegration outcomes, limb optimization procedures, and bone\-quality assessments. Analyze multimodal datasets including radiographs, CT imaging, gait analysis, prosthetic sensor data, and bone\-density measurements. Build robust data pipelines for longitudinal monitoring of bone remodeling, implant stability, soft‑tissue adaptation, and functional recovery over time conduct quantitative assessments of bone health indicators, osseointegration progression, and biomechanical stress patterns around implanted components. Create interactive dashboards, visualizations, and reports to support clinical decision‑making and research planning. Partner with surgeons and clinical teams to translate analytical findings into surgical planning tools, patient‑specific models, and optimized post‑operative rehabilitation protocols. Contribute to scientific manuscripts, research presentations, grant submissions, and regulatory documentation. Maintain high standards of data integrity, security, and compliance with institutional and federal research requirements. Provide mentorship and technical expertise to junior analysts, research staff, and trainees.
**Qualifications**
 Master of Science and 1 to 2 years of experience, or an equivalent combination of education and experience required. Ph.D. preferred.
 This position is contingent upon grant funding.
**Job Location \- City, State**
 Philadelphia, Pennsylvania
**Department / School**
 Perelman School of Medicine
**Pay Range**
 $100,000\.00 \- $138,000\.00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 Tuition: Take advantage of Penn's exceptional tuition benefits. You, your spouse, and your dependent children can get tuition assistance here at Penn. Your dependent children are also eligible for tuition assistance at other institutions.
* Retirement: Penn offers generous retirement plans to help you save for your future. Penn’s Basic, Matching, and Supplemental retirement plans allow you to save for retirement on a pre\-tax or Roth basis. Choose from a wide variety of investment options through TIAA and Vanguard.
* Time Away from Work: Penn provides you with a substantial amount of time away from work during the course of the year. This allows you to relax, take vacations, attend to personal affairs, recover from illness or injury, spend time with family—whatever your personal needs may be.
*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 Professional and Personal Development: Penn provides an array of resources to help you advance yourself personally and professionally.
*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 Flexible Work Hours: Flexible work options offer creative approaches for completing work while promoting balance between work and personal commitments. These approaches involve use of non\-traditional work hours, locations, and/or job structures.
* Penn Home Ownership Services: Penn offers a forgivable loan for eligible employees interested in buying a home or currently residing in West Philadelphia, which can be used for closing costs or home improvements.
* Adoption Assistance: Penn will reimburse eligible employees on qualified expenses in connection with the legal adoption of an eligible child, such as travel or court fees, for up to two adoptions in your household.
*To learn more, please visit: https://www.hr.upenn.edu/PennHR/benefits\-pay*</t>
        </is>
      </c>
    </row>
    <row r="79">
      <c r="A79" t="inlineStr">
        <is>
          <t>li-4359486849</t>
        </is>
      </c>
      <c r="B79" t="inlineStr">
        <is>
          <t>Data Scientist - Stats Focus</t>
        </is>
      </c>
      <c r="C79" t="inlineStr">
        <is>
          <t>Harnham</t>
        </is>
      </c>
      <c r="D79" t="inlineStr">
        <is>
          <t>linkedin</t>
        </is>
      </c>
      <c r="E79" t="inlineStr"/>
      <c r="F79" t="inlineStr"/>
      <c r="G79" t="inlineStr">
        <is>
          <t>Austin, Texas Metropolitan Area</t>
        </is>
      </c>
      <c r="H79" t="inlineStr"/>
      <c r="I79" t="inlineStr">
        <is>
          <t>**Title:** 
 Data Scientist \- Statistical Modeling (open to senior\-level)
**About the Role** 
 We're looking for a Data Scientist with strong statistical expertise to drive data\-informed decisions across our autonomous vehicle platform. You'll design experiments, analyze real\-world vehicle data, and apply rigorous statistical methods to evaluate system performance, safety, and reliability.
**What You'll Do** 
* Design and analyze A/B tests and experiments to evaluate AV system performance and algorithm changes
* Build statistical models (regression, time series, ANOVA) to analyze vehicle behavior and fleet performance across millions of miles
* Develop metrics and KPIs to measure safety and reliability using hypothesis testing and confidence intervals
* Perform segmentation analysis across driving scenarios to identify performance patterns and improvement areas
* Conduct failure analysis and anomaly detection using statistical methods
* Build data pipelines and automated reporting for continuous fleet monitoring
* Partner with engineering teams to translate insights into actionable recommendations
**What You'll Need** 
* Strong foundation in statistics and experimental design (hypothesis testing, regression, time series, A/B testing)
* Expert Python proficiency with statistical libraries (statsmodels, SciPy, NumPy, scikit\-learn, Pandas)
* Solid SQL skills and experience with distributed computing (Spark, Hadoop)
* Data visualization experience (Matplotlib, Plotly, Tableau)
* Strong communication skills to explain complex statistical concepts to technical teams
**Nice to Have** 
* Experience with autonomous vehicles, robotics, or sensor data
* Bayesian methods and causal inference knowledge
* Background in safety analysis or reliability engineering
* Experience with R or SAS</t>
        </is>
      </c>
    </row>
    <row r="80">
      <c r="A80" t="inlineStr">
        <is>
          <t>li-4359606779</t>
        </is>
      </c>
      <c r="B80" t="inlineStr">
        <is>
          <t>Oliver Wyman - Sr. Lead Data Scientist or Principal Data Scientist</t>
        </is>
      </c>
      <c r="C80" t="inlineStr">
        <is>
          <t>Marsh</t>
        </is>
      </c>
      <c r="D80" t="inlineStr">
        <is>
          <t>linkedin</t>
        </is>
      </c>
      <c r="E80" t="inlineStr"/>
      <c r="F80" t="inlineStr"/>
      <c r="G80" t="inlineStr">
        <is>
          <t>New York, NY</t>
        </is>
      </c>
      <c r="H80" t="inlineStr"/>
      <c r="I80" t="inlineStr">
        <is>
          <t>**Boston, Chicago, New York, Dallas, Toronto, Montreal**
**Lead Data Scientist**
**\_\_\_\_**
**Who We Are**
***Oliver Wyman***
 is a global leader in management consulting. With offices in 50\+ cities across 30 countries, Oliver Wyman combines deep industry knowledge with specialized expertise in strategy, finance, operations, technology, risk management, and organizational transformation. Our 4000\+ professionals help clients optimize their business, improve their IT, operations, and risk profile, and accelerate their organizational performance to seize the most attractive opportunities. Our professionals see what others don't, challenge conventional thinking, and consistently deliver innovative, customized solutions. As a result, we have a tangible impact on clients’ top and bottom lines. Our clients are the CEOs and executive teams of the top Global 1000 companies.
**\_\_\_\_**
**Practice Overview**
 At
 ***Oliver Wyman Digital***
 we partner with clients to deliver breakthrough outcomes for their toughest digital challenges.
 We blend the power of digital technology with deep industry expertise to tackle disruption and create impact. By building strong capabilities and culture, we accelerate and embed digital transformation. Our people co\-create and grow customer\-focused solutions that win. We modernize technology and harness value from data and analytics. We build resilience so our clients are ready for tomorrow’s risks and can optimize operations for the future. Above all, we work collaboratively with our clients’ leaders, employees, stakeholders, and customers to jointly define, design, and achieve lasting results.
**\_\_\_\_**
**The Role And Responsibilities**
 Our clients drive our projects – and no two OW Digital projects are the same. You’ll be working with varied and diverse teams to deliver unique and unprecedented products across industries. As a
 **Lead Data Scientist** 
 , you are primarily responsible for managing technical projects, including data engineering, model selection and design, and infrastructure deployment in both internal and client environments. We want and expect our people to develop deep expertise in a particular industry (financial services, health and life sciences, etc.), but you should be comfortable developing methods and selecting approaches based on a combination of first principles thinking, curiosity, and your pre\-built foundations of software engineering and development. As a Data Scientist, you will work alongside Oliver Wyman partners in the Digital and other practice groups, engage directly with clients to understand their business challenges, and craft appropriate solutions to be delivered through collaboration with other OW Digital specialists and consultants.
 Your responsibilities will include:
* Exploring data, building models, and evaluating solution performance to resolve core business problems
* Explaining, refining, and collaborating with stakeholders through the journey of model building
* Keeping up with your domain’s state of the art \&amp; developing familiarity with emerging modelling and data engineering methodologies
* Advocating application of best practices in modelling, code hygiene and data engineering
* Leading the development of proprietary statistical techniques, algorithms or analytical tools on projects and asset development
* Working with Partners and Principals to shape proposals that leverage our data science and engineering capabilities
 \_\_\_\_
**Your Experience \&amp; Qualifications**
 You are a well\-rounded technologist who brings a wealth of real\-world experience and:
* Technical background in computer science, data science, machine learning, artificial intelligence, statistics, or other quantitative and computational science
* Compelling track record of designing and deploying large\-scale technical solutions, which deliver tangible, ongoing value including:
+ Building and deploying robust, complex production systems that implement modern data science methods at scale, including supervised learning (regression and classification with linear and non\-linear methods) and unsupervised learning (clustering, matrix factorization methods, outlier detection, etc.)
+ Leveraging cloud\-based infrastructure\-as\-code (CloudFormation, Bicep, Terraform, etc.) to minimize deployment toil and enabling solutions to be deployed across environments quickly and repeatably
+ Demonstrating comfort and poise in environments where large projects are time\-boxed, and therefore consequential design decisions may need to be made and acted upon rapidly
* Demonstrated fluency in modern programming languages for data science (i.e. at least Python, other expertise welcome), covering the full ML lifecycle (e.g. data storage, feature engineering, model persistence, model inference, and observability) using open\-source libraries, including:
+ Knowledge of one or more machine learning frameworks, including but not limited to: Scikit\-Learn, TensorFlow, PyTorch, MxNet, ONNX, etc.
+ Familiarity with the architecture, performance characteristics and limitations of modern storage and computational frameworks, with cloud\-first considerations for Azure and AWS particularly welcome
+ A history of compelling side projects or contributions to the Open\-Source community is valued but not required
* Solid theoretical grounding in the mathematical core of the major ideas in data science:
+ Deep understanding of a class of modelling or analytical techniques (e.g. Bayesian modeling, time\-series forecasting, etc.)
+ Fluency in the mathematical principles and generalizations of data science – e.g., Statistics, Linear Algebra and Vector Calculus
* Experience presenting at high\-impact data science conferences and solid connections to the data science community (e.g., via meetups, continuing relationships with academics, etc.) is highly valued
* Interest/background in Financial Services, and capital markets in particular, Healthcare and Life Sciences, Consumer, Retail, Energy, or Transportation industries
**\_\_\_\_**
**YOUR ATTRIBUTES**
 Our team comprises all sorts of people from all sorts of backgrounds. We don’t care whether you’re loud or quiet, funny, or serious, introverted or extroverted. We do, however, ask that you have:
* An undergraduate or advanced degree from a top academic program
* A genuine passion for technology and solving problems
* A pragmatic approach to solutioning and delivery
* Excellent communication skills, both verbal and written
* A clear commitment to creating impactful solutions that solve our clients’ problems
* The ability to work fluidly and respectfully with our incredibly talented team
* Willingness to travel for targeted client and/or internal stakeholder meetings
**\_\_\_\_**
**OUR VALUES \&amp; CULTURE**
 We’re serious about making OW Digital a rewarding, enjoyable, and balanced place to work.
* Rewarding work We’ve worked hard to earn our reputation for high quality work. That reputation allows us to work with major brands at all levels on incredibly exciting projects. Combine that with Oliver Wyman’s status as one of the Fortune 100 “Best Companies to Work For”, and you get a rewarding combination of challenge, support, and recognition.
* Progressive employment Flat organizational structures, resolute I\&amp;D values, and a commitment to rewarding good work make for a progression path truly based on merit. A menu of healthcare options, 401k matching, and a culture of continuous improvement means your work gets more rewarding over time.
* Enjoyable days We want our team members to build a career here—and to be happy. That makes us serious about caring for, mentoring, developing, and sponsoring each other. This commitment also leads to opportunities for social impact and community work on company time.
* Balanced lives Our work is demanding, and we want you to have the best work\-life balance you can.
 We’ll work with you to accommodate your personal life with flexible hours and the ability to work from home.
**\_\_\_\_**
**How To Apply**
 If you like what you’ve read, we’d love to hear from you! You can find this and other roles and submit your CV at https://careers.marshmclennan.com/global/en/oliver\-wyman\-search. And please include a short note introducing yourself and what you’re looking for.
 The application process will include both technical testing and team fit interviews.
**Oliver Wyman is an equal opportunity employer.**
*Our commitment to diversity is genuine, deep, and growing. We’re not perfect, but we’re working hard right now to make our teams balanced, representative and diverse.*
***\_\_\_\_***
***\_***
**About Oliver Wyman**
 Oliver Wyman is a global leader in management consulting. With offices in more than 70 cities across 30 countries, Oliver Wyman combines deep industry knowledge with specialized expertise in strategy, operations, risk management, and organization transformation. The firm has more than 6,000 professionals around the world who work with clients to optimize their business, improve their operations and risk profile, and accelerate their organizational performance to seize the most attractive opportunities. Oliver Wyman is a business of Marsh McLennan \[NYSE: MMC]. For more information, visit www.oliverwyman.com. Follow Oliver Wyman on Twitter @OliverWyman.
 Marsh McLennan and its Affiliates are EOE Minority/Female/Disability/Vet/Sexual Orientation/Gender Identity employers.
 The applicable base salary range for this role is $150,00 to $195,000\.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Oliver Wyman, a business of Marsh McLennan (NYSE: MMC), is a management consulting firm combining deep industry knowledge with specialized expertise to help clients optimize their business, improve operations and accelerate performance.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oliverwyman.com, or follow on LinkedIn and X.
 Marsh McLennan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veteran status (including protected veterans), or any other characteristic protected by applicable law. If you have a need that requires accommodation, please let us know by contacting reasonableaccommodations@mmc.com.
 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
**R\_269011**</t>
        </is>
      </c>
    </row>
    <row r="81">
      <c r="A81" t="inlineStr">
        <is>
          <t>li-4359497814</t>
        </is>
      </c>
      <c r="B81" t="inlineStr">
        <is>
          <t>Data Scientist, Mid</t>
        </is>
      </c>
      <c r="C81" t="inlineStr">
        <is>
          <t>Booz Allen Hamilton</t>
        </is>
      </c>
      <c r="D81" t="inlineStr">
        <is>
          <t>linkedin</t>
        </is>
      </c>
      <c r="E81" t="inlineStr"/>
      <c r="F81" t="inlineStr"/>
      <c r="G81" t="inlineStr">
        <is>
          <t>Alexandria, VA</t>
        </is>
      </c>
      <c r="H81" t="inlineStr"/>
      <c r="I81" t="inlineStr">
        <is>
          <t>**Job Number: R0227428**
 Data Scientist, Mid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4\+ years of experience with data exploration, data cleaning, data analysis, data visualization, or data mining
* 4\+ years of experience with statistical and general\-purpose programming languages for data analysis
* Experience analyzing structured and unstructured data sources
* TS/SCI clearance
* Bachelor’s degree
**Nice If You Have:** 
* Experience with SQL and relational database concepts
* Experience building dashboards and data visualizations in Grafana or a similar tool, such as Tableau, Power BI, or Kibana
* Experience developing data pipelines or programming in Java
* TS/SCI clearance with a polygraph
* Master’s degree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82">
      <c r="A82" t="inlineStr">
        <is>
          <t>li-4336122621</t>
        </is>
      </c>
      <c r="B82" t="inlineStr">
        <is>
          <t>Staff Data Scientist</t>
        </is>
      </c>
      <c r="C82" t="inlineStr">
        <is>
          <t>NexHealth</t>
        </is>
      </c>
      <c r="D82" t="inlineStr">
        <is>
          <t>linkedin</t>
        </is>
      </c>
      <c r="E82" t="inlineStr"/>
      <c r="F82" t="inlineStr"/>
      <c r="G82" t="inlineStr">
        <is>
          <t>San Francisco, CA</t>
        </is>
      </c>
      <c r="H82" t="inlineStr"/>
      <c r="I82" t="inlineStr">
        <is>
          <t>**About NexHealth**
 Our healthcare system remains frustratingly analog. When you live in a world of one\-tap car rides, instant meal delivery, and unlimited streaming, why do you still have to call to schedule a doctor’s appointment and fill out a clipboard in the waiting room?
 NexHealth’s mission is to
 **accelerate innovation in healthcare** 
 by connecting patients, providers, and developers. We’re building the
 **infrastructure layer for modern healthcare,** 
 connecting thousands of fragmented, on\-premise, and closed EHR systems into a single, modern platform that powers software, APIs, payments, and patient experiences across the ecosystem.
* Founded: 2017
* Headquarters: San Francisco, CA
* Funding: $177M Series C
* Employees: 200\+
* Trusted by tens of thousands of providers and hundreds of health\-tech developers — forging the infrastructure layer that modern healthcare needs
**About The Role**
 We’re looking for a Staff Data Scientist who wants to build. You will design NexHealth’s financial data foundation from the ground up: the pipelines, models, and dashboards that power revenue reporting, forecasting, and decision\-making across the company. This is a zero\-to\-one role where you will move fast, ship scalable systems, and apply first\-principles thinking to every modeling decision. If you love combining engineering with analytical depth, this is your canvas.
**What You’ll Do**
* 7\+ years of experience in data science, analytics engineering, or equivalent quantitative roles within SaaS or technology companies.
* 3\+ years building or maintaining financial data systems using Snowflake, dbt, and a BI tool such as Sigma, Looker, or Tableau.
* Demonstrated experience modeling SaaS metrics (ARR, churn, CAC payback, retention, LTV) using SQL and a programming language such as Python or R.
* Experience designing and automating data pipelines using APIs from Stripe, Chargebee, Salesforce, or similar platforms.
* Hands\-on experience implementing data quality testing, CI/CD, and version control practices for analytics.
* Proven ability to translate quantitative insights into actionable recommendations for executive or product leadership.
* Bachelor’s degree (or higher) in Computer Science, Data Science, Statistics, Mathematics, or a related technical field.
* A builder mindset: excited by blank slates, scaling impact through automation, and simplifying complexity through systems.
**What You’ll Bring**
* At least seven years of experience in data science or analytics engineering at a high\-growth SaaS company, ideally where you built foundational systems
* Strong skills with modern data stacks such as Snowflake, DBT, and Sigma (or similar BI tools)
* Deep understanding of SaaS financial metrics such as ARR, churn, retention, lifetime value, and CAC payback, and how to model them in SQL and code
* Experience designing automated data pipelines and forecasting systems using APIs from tools like Chargebee, Stripe, or Salesforce
* Solid engineering instincts, including version control, testing, and CI/CD for analytics
* Strong communication and storytelling skills that connect insights to decisions
* A builder mindset: excited by blank slates, scaling impact through automation, and simplifying complexity through systems
**Benefits**
* Full Medical, Dental, and Vision (up to 100% covered)
* 401K and commuter benefits
* Flexible PTO
* High\-impact work that directly improves the healthcare experience for millions
**Our Values**
* Solve the customer’s problems, not yours When making decisions, think from the perspective of the customer. It’s easy to make decisions that make our lives simpler, but not the customers.
* Do the things others are not willing to do As a Nexer, always go after the hardest problems. Pursue things at the highest quality. Move at the fastest pace.
* Take ownership Act like a founder. Own your roles, destinies, mistakes, behavior, and our mission. The buck stops with each of us \- no blaming or excuses.
* Say what’s on your mind, with positive intent Be direct, proactive, transparent, and frequent in your communication.
* Default trust As a Nexer, you do not have to earn trust, trust is given to you by default. If we by default trust each other, our speed of communication, feedback, information sharing, and overall improvements will be a lot faster.
* Think in first principles We first identify the problem and then break it down to its fundamentals before diving into solutions. We constantly ask “why” to validate our assumptions.
 We are an equal opportunity employer and value diversity at our company. We do not discriminate on the basis of race, religion, color, national origin, sex, gender expression, sexual orientation, age, marital status, veteran status, or disability status. We provide reasonable accommodation for individuals with disabilities to participate in the application or interview process. Contact
 **talent@nexhealth.com** 
 to request assistance.</t>
        </is>
      </c>
    </row>
    <row r="83">
      <c r="A83" t="inlineStr">
        <is>
          <t>li-4331955701</t>
        </is>
      </c>
      <c r="B83" t="inlineStr">
        <is>
          <t>AI &amp; GenAI Data Scientist-Senior Associate</t>
        </is>
      </c>
      <c r="C83" t="inlineStr">
        <is>
          <t>PwC</t>
        </is>
      </c>
      <c r="D83" t="inlineStr">
        <is>
          <t>linkedin</t>
        </is>
      </c>
      <c r="E83" t="inlineStr"/>
      <c r="F83" t="inlineStr"/>
      <c r="G83" t="inlineStr">
        <is>
          <t>New York, NY</t>
        </is>
      </c>
      <c r="H83" t="inlineStr"/>
      <c r="I83"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4">
      <c r="A84" t="inlineStr">
        <is>
          <t>li-4352410525</t>
        </is>
      </c>
      <c r="B84" t="inlineStr">
        <is>
          <t>Applied Scientist II, RBKS AI</t>
        </is>
      </c>
      <c r="C84" t="inlineStr">
        <is>
          <t>myGwork - LGBTQ+ Business Community</t>
        </is>
      </c>
      <c r="D84" t="inlineStr">
        <is>
          <t>linkedin</t>
        </is>
      </c>
      <c r="E84" t="inlineStr"/>
      <c r="F84" t="inlineStr"/>
      <c r="G84" t="inlineStr">
        <is>
          <t>Sunnyvale, CA</t>
        </is>
      </c>
      <c r="H84" t="inlineStr"/>
      <c r="I84" t="inlineStr">
        <is>
          <t>**This job is with Amazon, an inclusive employer and a member of myGwork – the largest global platform for the LGBTQ\+ business community. Please do not contact the recruiter directly.**
**Description**
 The Ring and Blink AI team (RBKS AI) is solving unique computer vision challenges at the intersection of edge computing, multi\-modal sensor fusion, and visual language models. We process hundreds of millions of video events monthly across tens of millions of devices. We're looking for an Applied Scientist to tackle problems without off\-the\-shelf solutions.
 Key job responsibilities
* Drive applied research in on\-device computer vision and multi\-modal ML, including object detection, tracking, event classification, and visual language understanding
* Balance innovation with pragmatism by shipping models that meet strict production requirements \- latency, memory, power, and accuracy
* Own the complete ML lifecycle, from problem formulation and dataset curation to model development, edge optimization, and production validation at scale
* Advance the field by publishing novel techniques, filing patents, and contributing to the research community while delivering production\-ready models
**Basic Qualifications**
* PhD, or Master's degree and 4\+ years of CS, CE, ML or related field experience
* 3\+ years of deep learning, computer vision, human robotic interaction, algorithms implementation experience
* Experience programming in Java, C\+\+, Python or related language
**Preferred Qualifications**
* Experience in professional software development
* Experience applying theoretical models in an applied environment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site.]]\&gt;</t>
        </is>
      </c>
    </row>
    <row r="85">
      <c r="A85" t="inlineStr">
        <is>
          <t>li-4352273014</t>
        </is>
      </c>
      <c r="B85" t="inlineStr">
        <is>
          <t>Senior Data Scientist II</t>
        </is>
      </c>
      <c r="C85" t="inlineStr">
        <is>
          <t>myGwork - LGBTQ+ Business Community</t>
        </is>
      </c>
      <c r="D85" t="inlineStr">
        <is>
          <t>linkedin</t>
        </is>
      </c>
      <c r="E85" t="inlineStr"/>
      <c r="F85" t="inlineStr"/>
      <c r="G85" t="inlineStr">
        <is>
          <t>Raleigh, NC</t>
        </is>
      </c>
      <c r="H85" t="inlineStr"/>
      <c r="I85" t="inlineStr">
        <is>
          <t>**This job is with LexisNexis Legal \&amp; Professional®, an inclusive employer and a member of myGwork – the largest global platform for the LGBTQ\+ business community. Please do not contact the recruiter directly.**
**About The Team**
 LexisNexis Legal \&amp; Professional, which serves customers in more than 150 countries with 11,800 employees worldwide, is part of RELX (www.relx.com), a global provider of information\-based analytics and decision tools for professional and business customers. Our company has been a long\-time leader in deploying AI and advanced technologies to the legal market to improve productivity and transform the overall business and practice of law, deploying ethical and powerful generative AI solutions with a flexible, multi\-model approach that prioritizes using the best model from today's top model creators for each individual legal use case.
 The company employs over 2,000 technologists, data scientists, and experts to develop, test, and validate solutions in line with RELX Responsible AI Principles (https://stories.relx.com/responsible\-ai\-principles/index.html).
**About The Role**
***Are you looking to develop your Data Scientist career?***
***Would you enjoy training more junior team members?***
 As a Senior Data Scientist II, you will need to independently design and deliver effective AI solutions for data scientist projects. Your work will involve collaborative problem solving, technical leadership, and mentoring of junior team members.
**Responsibilities**
* Develop and implement advanced models for tasks such as information extraction, classification, and entity linking.
* Work with long\-context modeling, coreference resolution, retrieval/re\-ranking systems, and LLM structured output.
* Lead in designing baselines, comparators, ablation studies, and rigorous evaluation strategies.
* Oversee data collection and annotation processes to build high\-quality datasets.
* Define and measure key performance metrics (e.g., Precision, Recall, F1, ranking metrics) to evaluate model performance.
* Conduct comprehensive error analysis and perform iterative model enhancement.
* Implement and deploy models in both batch and real\-time environments.
* Collaborate with engineering teams to build end\-to\-end data pipelines and scalable production systems.
* Write detailed design documents and ensure reproducibility of the entire modeling pipeline.
****Requirements:****
* Strong experience with several areas such as information extraction, long\-context modeling, entity linking, and retrieval systems.
* Proficiency in Python and experience with ML frameworks and libraries, including PyTorch/Transformers, spaCy, and vector search libraries.
* Advanced skills in evaluation design, error analysis, and a capability to defend trade\-offs using clear metrics.
* Experienced with deploying production\-grade machine learning models and managing end\-to\-end pipelines.
* Must have experience leading and building Content AI Automation Solutions.
* Prior work experience in regulated domains or industries with complex data challenges preferred.
* Knowledge of agentic frameworks and capabilities in building agentic solutions is a valuable plus.
* Excellent written and verbal communication skills for effective collaboration with technical and non\-technical stakeholders.
 U.S. National Base Pay Range: $104,900 \- $174,700\.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**USA Job Seekers**
 EEO Know Your Rights.
 ]]\&gt;</t>
        </is>
      </c>
    </row>
    <row r="86">
      <c r="A86" t="inlineStr">
        <is>
          <t>li-4359646944</t>
        </is>
      </c>
      <c r="B86" t="inlineStr">
        <is>
          <t>Oliver Wyman - Sr. Lead Data Scientist or Principal Data Scientist</t>
        </is>
      </c>
      <c r="C86" t="inlineStr">
        <is>
          <t>Marsh</t>
        </is>
      </c>
      <c r="D86" t="inlineStr">
        <is>
          <t>linkedin</t>
        </is>
      </c>
      <c r="E86" t="inlineStr"/>
      <c r="F86" t="inlineStr"/>
      <c r="G86" t="inlineStr">
        <is>
          <t>Chicago, IL</t>
        </is>
      </c>
      <c r="H86" t="inlineStr"/>
      <c r="I86" t="inlineStr">
        <is>
          <t>**Boston, Chicago, New York, Dallas, Toronto, Montreal**
**Lead Data Scientist**
**\_\_\_\_**
**Who We Are**
***Oliver Wyman***
 is a global leader in management consulting. With offices in 50\+ cities across 30 countries, Oliver Wyman combines deep industry knowledge with specialized expertise in strategy, finance, operations, technology, risk management, and organizational transformation. Our 4000\+ professionals help clients optimize their business, improve their IT, operations, and risk profile, and accelerate their organizational performance to seize the most attractive opportunities. Our professionals see what others don't, challenge conventional thinking, and consistently deliver innovative, customized solutions. As a result, we have a tangible impact on clients’ top and bottom lines. Our clients are the CEOs and executive teams of the top Global 1000 companies.
**\_\_\_\_**
**Practice Overview**
 At
 ***Oliver Wyman Digital***
 we partner with clients to deliver breakthrough outcomes for their toughest digital challenges.
 We blend the power of digital technology with deep industry expertise to tackle disruption and create impact. By building strong capabilities and culture, we accelerate and embed digital transformation. Our people co\-create and grow customer\-focused solutions that win. We modernize technology and harness value from data and analytics. We build resilience so our clients are ready for tomorrow’s risks and can optimize operations for the future. Above all, we work collaboratively with our clients’ leaders, employees, stakeholders, and customers to jointly define, design, and achieve lasting results.
**\_\_\_\_**
**The Role And Responsibilities**
 Our clients drive our projects – and no two OW Digital projects are the same. You’ll be working with varied and diverse teams to deliver unique and unprecedented products across industries. As a
 **Lead Data Scientist** 
 , you are primarily responsible for managing technical projects, including data engineering, model selection and design, and infrastructure deployment in both internal and client environments. We want and expect our people to develop deep expertise in a particular industry (financial services, health and life sciences, etc.), but you should be comfortable developing methods and selecting approaches based on a combination of first principles thinking, curiosity, and your pre\-built foundations of software engineering and development. As a Data Scientist, you will work alongside Oliver Wyman partners in the Digital and other practice groups, engage directly with clients to understand their business challenges, and craft appropriate solutions to be delivered through collaboration with other OW Digital specialists and consultants.
 Your responsibilities will include:
* Exploring data, building models, and evaluating solution performance to resolve core business problems
* Explaining, refining, and collaborating with stakeholders through the journey of model building
* Keeping up with your domain’s state of the art \&amp; developing familiarity with emerging modelling and data engineering methodologies
* Advocating application of best practices in modelling, code hygiene and data engineering
* Leading the development of proprietary statistical techniques, algorithms or analytical tools on projects and asset development
* Working with Partners and Principals to shape proposals that leverage our data science and engineering capabilities
 \_\_\_\_
**Your Experience \&amp; Qualifications**
 You are a well\-rounded technologist who brings a wealth of real\-world experience and:
* Technical background in computer science, data science, machine learning, artificial intelligence, statistics, or other quantitative and computational science
* Compelling track record of designing and deploying large\-scale technical solutions, which deliver tangible, ongoing value including:
+ Building and deploying robust, complex production systems that implement modern data science methods at scale, including supervised learning (regression and classification with linear and non\-linear methods) and unsupervised learning (clustering, matrix factorization methods, outlier detection, etc.)
+ Leveraging cloud\-based infrastructure\-as\-code (CloudFormation, Bicep, Terraform, etc.) to minimize deployment toil and enabling solutions to be deployed across environments quickly and repeatably
+ Demonstrating comfort and poise in environments where large projects are time\-boxed, and therefore consequential design decisions may need to be made and acted upon rapidly
* Demonstrated fluency in modern programming languages for data science (i.e. at least Python, other expertise welcome), covering the full ML lifecycle (e.g. data storage, feature engineering, model persistence, model inference, and observability) using open\-source libraries, including:
+ Knowledge of one or more machine learning frameworks, including but not limited to: Scikit\-Learn, TensorFlow, PyTorch, MxNet, ONNX, etc.
+ Familiarity with the architecture, performance characteristics and limitations of modern storage and computational frameworks, with cloud\-first considerations for Azure and AWS particularly welcome
+ A history of compelling side projects or contributions to the Open\-Source community is valued but not required
* Solid theoretical grounding in the mathematical core of the major ideas in data science:
+ Deep understanding of a class of modelling or analytical techniques (e.g. Bayesian modeling, time\-series forecasting, etc.)
+ Fluency in the mathematical principles and generalizations of data science – e.g., Statistics, Linear Algebra and Vector Calculus
* Experience presenting at high\-impact data science conferences and solid connections to the data science community (e.g., via meetups, continuing relationships with academics, etc.) is highly valued
* Interest/background in Financial Services, and capital markets in particular, Healthcare and Life Sciences, Consumer, Retail, Energy, or Transportation industries
**\_\_\_\_**
**YOUR ATTRIBUTES**
 Our team comprises all sorts of people from all sorts of backgrounds. We don’t care whether you’re loud or quiet, funny, or serious, introverted or extroverted. We do, however, ask that you have:
* An undergraduate or advanced degree from a top academic program
* A genuine passion for technology and solving problems
* A pragmatic approach to solutioning and delivery
* Excellent communication skills, both verbal and written
* A clear commitment to creating impactful solutions that solve our clients’ problems
* The ability to work fluidly and respectfully with our incredibly talented team
* Willingness to travel for targeted client and/or internal stakeholder meetings
**\_\_\_\_**
**OUR VALUES \&amp; CULTURE**
 We’re serious about making OW Digital a rewarding, enjoyable, and balanced place to work.
* Rewarding work We’ve worked hard to earn our reputation for high quality work. That reputation allows us to work with major brands at all levels on incredibly exciting projects. Combine that with Oliver Wyman’s status as one of the Fortune 100 “Best Companies to Work For”, and you get a rewarding combination of challenge, support, and recognition.
* Progressive employment Flat organizational structures, resolute I\&amp;D values, and a commitment to rewarding good work make for a progression path truly based on merit. A menu of healthcare options, 401k matching, and a culture of continuous improvement means your work gets more rewarding over time.
* Enjoyable days We want our team members to build a career here—and to be happy. That makes us serious about caring for, mentoring, developing, and sponsoring each other. This commitment also leads to opportunities for social impact and community work on company time.
* Balanced lives Our work is demanding, and we want you to have the best work\-life balance you can.
 We’ll work with you to accommodate your personal life with flexible hours and the ability to work from home.
**\_\_\_\_**
**How To Apply**
 If you like what you’ve read, we’d love to hear from you! You can find this and other roles and submit your CV at https://careers.marshmclennan.com/global/en/oliver\-wyman\-search. And please include a short note introducing yourself and what you’re looking for.
 The application process will include both technical testing and team fit interviews.
**Oliver Wyman is an equal opportunity employer.**
*Our commitment to diversity is genuine, deep, and growing. We’re not perfect, but we’re working hard right now to make our teams balanced, representative and diverse.*
***\_\_\_\_***
***\_***
**About Oliver Wyman**
 Oliver Wyman is a global leader in management consulting. With offices in more than 70 cities across 30 countries, Oliver Wyman combines deep industry knowledge with specialized expertise in strategy, operations, risk management, and organization transformation. The firm has more than 6,000 professionals around the world who work with clients to optimize their business, improve their operations and risk profile, and accelerate their organizational performance to seize the most attractive opportunities. Oliver Wyman is a business of Marsh McLennan \[NYSE: MMC]. For more information, visit www.oliverwyman.com. Follow Oliver Wyman on Twitter @OliverWyman.
 Marsh McLennan and its Affiliates are EOE Minority/Female/Disability/Vet/Sexual Orientation/Gender Identity employers.
 The applicable base salary range for this role is $150,00 to $195,000\.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Oliver Wyman, a business of Marsh McLennan (NYSE: MMC), is a management consulting firm combining deep industry knowledge with specialized expertise to help clients optimize their business, improve operations and accelerate performance.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oliverwyman.com, or follow on LinkedIn and X.
 Marsh McLennan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veteran status (including protected veterans), or any other characteristic protected by applicable law. If you have a need that requires accommodation, please let us know by contacting reasonableaccommodations@mmc.com.
 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
**R\_269011**</t>
        </is>
      </c>
    </row>
    <row r="87">
      <c r="A87" t="inlineStr">
        <is>
          <t>li-4331975529</t>
        </is>
      </c>
      <c r="B87" t="inlineStr">
        <is>
          <t>AI &amp; GenAI Data Scientist-Senior Associate</t>
        </is>
      </c>
      <c r="C87" t="inlineStr">
        <is>
          <t>PwC</t>
        </is>
      </c>
      <c r="D87" t="inlineStr">
        <is>
          <t>linkedin</t>
        </is>
      </c>
      <c r="E87" t="inlineStr"/>
      <c r="F87" t="inlineStr"/>
      <c r="G87" t="inlineStr">
        <is>
          <t>Charlotte, NC</t>
        </is>
      </c>
      <c r="H87" t="inlineStr"/>
      <c r="I87"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8">
      <c r="A88" t="inlineStr">
        <is>
          <t>li-4331985341</t>
        </is>
      </c>
      <c r="B88" t="inlineStr">
        <is>
          <t>AI &amp; GenAI Data Scientist-Senior Associate</t>
        </is>
      </c>
      <c r="C88" t="inlineStr">
        <is>
          <t>PwC</t>
        </is>
      </c>
      <c r="D88" t="inlineStr">
        <is>
          <t>linkedin</t>
        </is>
      </c>
      <c r="E88" t="inlineStr"/>
      <c r="F88" t="inlineStr"/>
      <c r="G88" t="inlineStr">
        <is>
          <t>Buffalo, NY</t>
        </is>
      </c>
      <c r="H88" t="inlineStr"/>
      <c r="I88"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9">
      <c r="A89" t="inlineStr">
        <is>
          <t>li-4331286018</t>
        </is>
      </c>
      <c r="B89" t="inlineStr">
        <is>
          <t>AI &amp; GenAI Data Scientist-Senior Associate</t>
        </is>
      </c>
      <c r="C89" t="inlineStr">
        <is>
          <t>PwC</t>
        </is>
      </c>
      <c r="D89" t="inlineStr">
        <is>
          <t>linkedin</t>
        </is>
      </c>
      <c r="E89" t="inlineStr"/>
      <c r="F89" t="inlineStr"/>
      <c r="G89" t="inlineStr">
        <is>
          <t>Portland, OR</t>
        </is>
      </c>
      <c r="H89" t="inlineStr"/>
      <c r="I89"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0">
      <c r="A90" t="inlineStr">
        <is>
          <t>li-4331985342</t>
        </is>
      </c>
      <c r="B90" t="inlineStr">
        <is>
          <t>AI &amp; GenAI Data Scientist-Senior Associate</t>
        </is>
      </c>
      <c r="C90" t="inlineStr">
        <is>
          <t>PwC</t>
        </is>
      </c>
      <c r="D90" t="inlineStr">
        <is>
          <t>linkedin</t>
        </is>
      </c>
      <c r="E90" t="inlineStr"/>
      <c r="F90" t="inlineStr"/>
      <c r="G90" t="inlineStr">
        <is>
          <t>Richmond, VA</t>
        </is>
      </c>
      <c r="H90" t="inlineStr"/>
      <c r="I90"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1">
      <c r="A91" t="inlineStr">
        <is>
          <t>li-4332263765</t>
        </is>
      </c>
      <c r="B91" t="inlineStr">
        <is>
          <t>AI &amp; GenAI Data Scientist-Senior Associate</t>
        </is>
      </c>
      <c r="C91" t="inlineStr">
        <is>
          <t>PwC</t>
        </is>
      </c>
      <c r="D91" t="inlineStr">
        <is>
          <t>linkedin</t>
        </is>
      </c>
      <c r="E91" t="inlineStr"/>
      <c r="F91" t="inlineStr"/>
      <c r="G91" t="inlineStr">
        <is>
          <t>Philadelphia, PA</t>
        </is>
      </c>
      <c r="H91" t="inlineStr"/>
      <c r="I91"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2">
      <c r="A92" t="inlineStr">
        <is>
          <t>li-4359714669</t>
        </is>
      </c>
      <c r="B92" t="inlineStr">
        <is>
          <t>Senior Data Scientist II  Therapeutic Modality Insights &amp; Competitor Intelligence</t>
        </is>
      </c>
      <c r="C92" t="inlineStr">
        <is>
          <t>BioSpace</t>
        </is>
      </c>
      <c r="D92" t="inlineStr">
        <is>
          <t>linkedin</t>
        </is>
      </c>
      <c r="E92" t="inlineStr"/>
      <c r="F92" t="inlineStr"/>
      <c r="G92" t="inlineStr">
        <is>
          <t>North Chicago, IL</t>
        </is>
      </c>
      <c r="H92" t="inlineStr"/>
      <c r="I92"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immunology, oncology, neuroscience, and eye care and products and services in our Allergan Aesthetics portfolio. For more information about AbbVie, please visit us atwww.abbvie.com. Follow @abbvie onX,Facebook,Instagram,YouTube,LinkedInandTik Tok.
**Job Description**
 AbbViesglobalInformation Research (IR) group has a mission to unlock information that makes cures possible. Within IR, the Enterprise Knowledge Accelerator (EKA) team is the trusted knowledge partner for clients in R\&amp;D and the Corporate Business \&amp; Strategy Office (CBSO). EKA drives innovation and enhances knowledge\-sharing across the value chain, for better and faster decisions thatimpactadvancement in our pipeline. The team is a global organization, with presences at the Lake County, Illinois headquarters and Boston, Massachusetts areas (US), as well as the Ludwigshafen site (Germany). Leveragingcutting\-edgetechnologies and scientificexpertise, we deliver industry\-leading capabilities to harness insights from published content for high\-impact decision\-making.Our teampossessesthe scientific and technicalexpertisetoutilizeand provide guidance on a wide range of knowledge sources, ensuring high\-quality answers for our clients.
 TheSeniorData Scientist will join the Solutions for Published Insights and Client Enablement (SPICE) team, supporting AbbVies R\&amp;D, CBSO and other business functions enterprise wide. SPICE provides business partnership, resource consultancy, ad\-hoc research support for business\-critical questions, knowledge and insights mining and analysis, as well as designing and building innovative self\-service solutions for insights generation from published resources and internal knowledge. This includes literature,patent,conference, news, clinicaltrial, and competitive intelligence data such as competitor pipelines.
 As a Senior Data Scientist on the Solutions for Published Insights \&amp; Client Enablement (SPICE) team, you will serve as the lead data scientist focused on advancing AbbVies competitiveness by driving Therapeutic Modality Knowledge \&amp; Intelligence Solutions.You will lead the creation of new methods and algorithms for extracting, harmonizing and proactive monitoring of knowledge on emerging therapeutic approaches, critically evaluatenew technologiesand scientific advances, and integrate them into impactful business solutions, to set AbbVie up for future success in a competitive landscape.You will play a critical role inidentifyingandfilling strategicknowledge gapsaroundemerging therapeutic modalitiesincluding genetic medicines, innovative biotherapeutics, and RNA therapiesthrough the design and implementation ofinnovativeGenAI\-based and agenticknowledgesolutions.Your leadership will enable AbbVie toleveragehigh\-value insights extracted, harmonized, and integrated fromliterature, patents,news, and competitor intelligence.In this role, you willcollaborate cross\-functionally with otherEKA/IR and businessteams to develop and deploy AI\-powered and data science solutions that support AbbVies pipeline strategy, corporate strategy, and R\&amp;D initiatives.The position requires a strong background in both science and technology, and the ability to rapidly learn and adapt to new scientific advances in therapeutic modalities and information technology (such as generative AI solutions and AI agents), given the dynamic and expanding landscape.
**Responsibilities**
* Conceive, design, and implement advanced AI\-powered published insights solutions(incl. agentic workflows)that address significant scientific and strategictrends andknowledgegapsin therapeutic modalities.
* Develop and deliver innovative, high\-qualityintelligence solutions thatsystematicallyextract,analyze,summarize,integrateand proactivelymonitorkey knowledge about novel therapeutic modalities (such as gene/cell therapies andinnovativeRNAor antibody\-based drugs) to address urgent scientific and business needs.
* Apply broadexpertiseinknowledge \&amp;information science, GenerativeAI/NLP, data warehousing, andsoftware developmentto build robust data pipelines and analytical workflows for large and complexpublished(often unstructured)data,includingliteraturepublications, patents,news/press releases, and competitor pipelines.
* Demonstrate deep knowledge of pharmaceutical R\&amp;D, drug development, and therapeutic modality trends
* Operate with high autonomy and productivity, proactively tackling complex problems and driving multiple projects with minimal supervision.
* Pursue and evaluate relevant external and internal leads in novel modalities,new technologies, and data sourcesrapidly incorporating new findings into project strategies and generate novel, actionable insights for R\&amp;D and business strategy.
* Collaborate cross\-functionally with scientific, corporate strategy, andother R\&amp;Dteams to ensure solutions meet real\-world needs, fill knowledge gaps, and democratize access to key intelligence.
* Mentor or supervise juniordata \&amp; information scientists
* Stay at the forefront of emerging trends, methodologies, and technologies that can advance therapeutic modality\&amp; competitorintelligenceatAbbvie.
* Author high\-impact presentations and publications, communicating findings to diverse audiences.
* Ensure adherence to AbbVies standards of compliance, data security,GxP, and code of conduct.
* Achievegreat results, while overwhelminglydemonstratingkey AbbVie values andbehaviors.
**Qualifications**
**Required:**
* PhD (with 4\+ years relevant experience) in life sciences (biology, pharmacology, chemistry, biotechnology, bioinformatics, pharmacy, medicine, biomedical data science, or related). Equivalent experience considered at Master's (10\+ years) or Bachelor's (12\+ years) level.
* Deep knowledge of emerging therapeutic modalities, such as biotherapeutics (ADCs, mAbs, multispecific antibodies, cell therapies, etc.), different types of degraders, gene therapies (AAV, lentiviral, CAR\-T, CRISPR, etc.), RNA therapies (mRNA, siRNA, ASO), as shown in recent industry advances
* Demonstrated leadership in designing and delivering creative technology solutions that advance business and scientific objectives; proven ability to translate complex scientific/business questions into actionable, large\-scale information solutions.
* Solid background in programming, informatics, and data science. Proficiency in Python required.
* Hands\-on expertise with extraction and integration of knowledge from literature, patents, competitive intelligence databases (e.g., Citeline, Cortellis), and news/press release sources.
* Competence in using GenAI models for knowledge extraction (including prompting, pitfalls, etc.).
* Ability to rapidly learn and adapt to new advances in therapeutic modalities and information technologies and balancing multiple projects with shifting priorities.
* Strong analytical, organizational, and problem\-solving skills, with superior attention to detail and high degree of reliability and integrity.
* Excellent written and oral English communication skills; proven ability to present complex concepts clearly to scientists, non\-scientific audiences and different leadership levels
* Demonstrates scientific curiosity, technical creativity, and a proactive drive for innovation to break new ground in the field of information analysis and insights generation.
**Beneficial**
* Pharmaceutical industry experience.
* Experience working in fast\-paced, dynamic, multidisciplinary, and collaborative settings and global teams.
* Familiarity with data engineering, software development principles, relational databases and SQL (e.g., Oracle, Hadoop) as well as common formats/APIs (REST, XML, JSON, Python libraries like Pydantic).
* Experience with embedding Gen AI models in larger Python\-based workflows to automate knowledge extraction tasks.
* Basic understanding of agents and agentic workflows (MCP, A2A).
 Additional Information
 Applicable only to applicants applying to a position in any location with pay disclosure requirements under state orlocal law:
* The compensation range described below is the range of possible base pay compensation that the Companybelieves ingood faith it will pay for this role at the timeof this posting based on the job grade for this position.Individualcompensation paid within this range will depend on many factors including geographic location, andwemayultimatelypaymore or less than the posted range. This range may bemodifiedin thefuture.
* We offer a comprehensive package of benefits including paid time off (vacation, holidays, sick),medical/dental/visioninsurance and 401(k) to eligibleemployees.
* This job is eligible toparticipatein our short\-term incentiveprograms.
 Note: No amount of payis considered to bewages or compensation until such amount is earned, vested, anddeterminable.The amount and availability of any bonus,commission, incentive, benefits, or any other form ofcompensation and benefitsthat are allocable to a particular employeeremainsin the Company's sole andabsolutediscretion unless and until paid andmay bemodifiedat the Companys sole and absolute discretion, consistent withapplicable law.
 AbbVie is an equal opportunity employer and is committed to operating with integrity, driving innovation, transforming lives and serving our community. Equal Opportunity Employer/Veterans/Disabled.
 US \&amp; Puerto Rico only \- to learn more, visithttps://www.abbvie.com/join\-us/equal\-employment\-opportunity\-employer.html
 US \&amp; Puerto Rico applicants seeking a reasonable accommodation, click here to learn more:
 https://www.abbvie.com/join\-us/reasonable\-accommodations.html</t>
        </is>
      </c>
    </row>
    <row r="93">
      <c r="A93" t="inlineStr">
        <is>
          <t>li-4331996104</t>
        </is>
      </c>
      <c r="B93" t="inlineStr">
        <is>
          <t>Chief Data Scientist</t>
        </is>
      </c>
      <c r="C93" t="inlineStr">
        <is>
          <t>Jobs via Dice</t>
        </is>
      </c>
      <c r="D93" t="inlineStr">
        <is>
          <t>linkedin</t>
        </is>
      </c>
      <c r="E93" t="inlineStr"/>
      <c r="F93" t="inlineStr"/>
      <c r="G93" t="inlineStr">
        <is>
          <t>Rock Island, IL</t>
        </is>
      </c>
      <c r="H93" t="inlineStr"/>
      <c r="I93" t="inlineStr">
        <is>
          <t>Job ID: 2600204
**Location:** 
 ROCK ISLAND, IL, US
**Date Posted:** 
 2026\-01\-08
**Category:** 
 Information Technology
**Subcategory:** 
 Data Scientist
**Schedule:** 
 Full\-time
**Shift:** 
 Day Job
**Travel:** 
 No
**Minimum Clearance Required:** 
 None
**Clearance Level Must Be Able to Obtain:** 
 Secret
**Potential for Remote Work:** 
 No
**Description**
 SAIC is seeking a
 **Chief** 
**Data Scientist** 
 located at
 **Rock Island Arsenal, IL** 
 to help lead our
 **Operational Data Team** 
 utilizing the Army Vantage Data Analytics System to build/implement models, use/create algorithms, and create/run simulations. The Chief Data Scientist will provide strategic leadership and technical direction for data science initiatives supporting the Operational Data Team and Army Vantage Data Analytics System. This role involves spearheading the design, development, and deployment of advanced data science solutions, mentoring cross\-functional teams, and driving innovation to solve complex, mission\-critical challenges.
**The Chief** 
**Data Scientist would be responsible for but not limited to the following:**
* Set the vision, roadmap, and goals for the data science team while aligning initiatives with mission needs and organizational objectives.
* Serve as the subject matter expert on advanced analytics, machine learning, and artificial intelligence methodologies to guide decision\-making and ensure program success.
* Identify cutting\-edge advancements in data science, analytics, and MLOps technologies; lead the integration of these innovations into Army Vantage operations.
* Lead, mentor, and build a high\-performing team of data scientists, providing technical guidance and fostering professional growth.
* Collaborate with key stakeholders, including government clients and leadership, to define requirements, communicate progress, and deliver impactful solutions.
* Oversee multiple projects, ensuring deliverables meet technical, fiscal, and schedule constraints while adhering to quality standards.
* Advocate for responsible practices in the use of data analytics, including adherence to standards for security, privacy, and ethical AI usage.
* Oversee the creation, evaluation, and deployment of complex models and algorithms to address mission challenges, such as predictive modeling, simulations, and optimization problems.
* Build and maintain scalable, production\-grade data science platforms, emphasizing MLOps frameworks, reproducibility, and collaboration across teams.
* Stay abreast of advancements in data science technologies and forecast their impact on the organization's strategic objectives.
**Qualifications**
**Required Education:**
* Bachelor's degree and eighteen (18\) years' experience; additional four (4\) years' experience can be considered in lieu of degree.
**Required Clearance:**
* Must be able to obtain and maintain an active Secret security clearance; ship required.
**Required Skills:**
* Extensive experience designing, developing, and deploying complex models, algorithms, and analytics solutions within federal or defense environments.
* Proven expertise in data analysis pipelines and supporting MLOps frameworks for machine learning deployment in production environments.
* Demonstrated track record of leading advanced analytics teams in technically demanding and highly collaborative environments.
* Expertise in coding languages such as Python, R, SQL, or similar, and machine learning/AI toolkits like TensorFlow, PyTorch, or scikit\-learn.
* Strong interpersonal skills to communicate technical details to non\-technical stakeholders and build relationships with government partners.
* Experience working within or alongside government agencies, preferably the Dept. of Defense or Army.
**Desired Skills:**
* A robust understanding of military operations, data workflows, and relevant systems like Army Vantage.
* Proficiency in cloud\-based solutions, containerization, and deployment tools such as Kubernetes or Docker.
* Familiarity with certifications and concepts like DoD Data Strategies, AI/ML Principles, or ethical AI frameworks.
 Target salary range: $160,001 \- $200,000\. The estimate displayed represents the typical salary range for this position based on experience and other factors.
 SAIC is a premier technology integrator providing full life cycle services and solutions in the technical, engineering, intelligence, and enterprise information technology markets. SAIC is Redefining Ingenuity through its deep customer and domain knowledge to enable the delivery of systems engineering and integration offerings for large, complex projects. SAIC's approximately 15,000 employees are driven by integrity and mission focus to serve customers in the U.S. federal government. Headquartered in Reston, Virginia, SAIC has annual revenues of approximately $4\.5 billion. For more information, visit saic.com. For information on the benefits SAIC offers, see .</t>
        </is>
      </c>
    </row>
    <row r="94">
      <c r="A94" t="inlineStr">
        <is>
          <t>li-4359616322</t>
        </is>
      </c>
      <c r="B94" t="inlineStr">
        <is>
          <t>Senior Data Scientist II  Therapeutic Modality Insights &amp; Competitor Intelligence (Cambridge, MA)</t>
        </is>
      </c>
      <c r="C94" t="inlineStr">
        <is>
          <t>BioSpace</t>
        </is>
      </c>
      <c r="D94" t="inlineStr">
        <is>
          <t>linkedin</t>
        </is>
      </c>
      <c r="E94" t="inlineStr"/>
      <c r="F94" t="inlineStr"/>
      <c r="G94" t="inlineStr">
        <is>
          <t>Cambridge, MA</t>
        </is>
      </c>
      <c r="H94" t="inlineStr"/>
      <c r="I94"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immunology, oncology, neuroscience, and eye care and products and services in our Allergan Aesthetics portfolio. For more information about AbbVie, please visit us atwww.abbvie.com. Follow @abbvie onX,Facebook,Instagram,YouTube,LinkedInandTik Tok.
**Job Description**
 AbbViesglobalInformation Research (IR) group has a mission to unlock information that makes cures possible. Within IR, the Enterprise Knowledge Accelerator (EKA) team is the trusted knowledge partner for clients in R\&amp;D and the Corporate Business \&amp; Strategy Office (CBSO). EKA drives innovation and enhances knowledge\-sharing across the value chain, for better and faster decisions thatimpactadvancement in our pipeline. The team is a global organization, with presences at the Lake County, Illinois headquarters and Boston, Massachusetts areas (US), as well as the Ludwigshafen site (Germany). Leveragingcutting\-edgetechnologies and scientificexpertise, we deliver industry\-leading capabilities to harness insights from published content for high\-impact decision\-making.Our teampossessesthe scientific and technicalexpertisetoutilizeand provide guidance on a wide range of knowledge sources, ensuring high\-quality answers for our clients.
 TheSeniorData Scientist will join the Solutions for Published Insights and Client Enablement (SPICE) team, supporting AbbVies R\&amp;D, CBSO and other business functions enterprise wide. SPICE provides business partnership, resource consultancy, ad\-hoc research support for business\-critical questions, knowledge and insights mining and analysis, as well as designing and building innovative self\-service solutions for insights generation from published resources and internal knowledge. This includes literature,patent,conference, news, clinicaltrial, and competitive intelligence data such as competitor pipelines.
 As a Senior Data Scientist on the Solutions for Published Insights \&amp; Client Enablement (SPICE) team, you will serve as the lead data scientist focused on advancing AbbVies competitiveness by driving Therapeutic Modality Knowledge \&amp; Intelligence Solutions.You will lead the creation of new methods and algorithms for extracting, harmonizing and proactive monitoring of knowledge on emerging therapeutic approaches, critically evaluatenew technologiesand scientific advances, and integrate them into impactful business solutions, to set AbbVie up for future success in a competitive landscape.You will play a critical role inidentifyingandfilling strategicknowledge gapsaroundemerging therapeutic modalitiesincluding genetic medicines, innovative biotherapeutics, and RNA therapiesthrough the design and implementation ofinnovativeGenAI\-based and agenticknowledgesolutions.Your leadership will enable AbbVie toleveragehigh\-value insights extracted, harmonized, and integrated fromliterature, patents,news, and competitor intelligence.In this role, you willcollaborate cross\-functionally with otherEKA/IR and businessteams to develop and deploy AI\-powered and data science solutions that support AbbVies pipeline strategy, corporate strategy, and R\&amp;D initiatives.The position requires a strong background in both science and technology, and the ability to rapidly learn and adapt to new scientific advances in therapeutic modalities and information technology (such as generative AI solutions and AI agents), given the dynamic and expanding landscape.
**Responsibilities**
* Conceive, design, and implement advanced AI\-powered published insights solutions(incl. agentic workflows)that address significant scientific and strategictrends andknowledgegapsin therapeutic modalities.
* Develop and deliver innovative, high\-qualityintelligence solutions thatsystematicallyextract,analyze,summarize,integrateand proactivelymonitorkey knowledge about novel therapeutic modalities (such as gene/cell therapies andinnovativeRNAor antibody\-based drugs) to address urgent scientific and business needs.
* Apply broadexpertiseinknowledge \&amp;information science, GenerativeAI/NLP, data warehousing, andsoftware developmentto build robust data pipelines and analytical workflows for large and complexpublished(often unstructured)data,includingliteraturepublications, patents,news/press releases, and competitor pipelines.
* Demonstrate deep knowledge of pharmaceutical R\&amp;D, drug development, and therapeutic modality trends
* Operate with high autonomy and productivity, proactively tackling complex problems and driving multiple projects with minimal supervision.
* Pursue and evaluate relevant external and internal leads in novel modalities,new technologies, and data sourcesrapidly incorporating new findings into project strategies and generate novel, actionable insights for R\&amp;D and business strategy.
* Collaborate cross\-functionally with scientific, corporate strategy, andother R\&amp;Dteams to ensure solutions meet real\-world needs, fill knowledge gaps, and democratize access to key intelligence.
* Mentor or supervise juniordata \&amp; information scientists
* Stay at the forefront of emerging trends, methodologies, and technologies that can advance therapeutic modality\&amp; competitorintelligenceatAbbvie.
* Author high\-impact presentations and publications, communicating findings to diverse audiences.
* Ensure adherence to AbbVies standards of compliance, data security,GxP, and code of conduct.
* Achievegreat results, while overwhelminglydemonstratingkey AbbVie values andbehaviors.
**Qualifications**
**Required:**
* PhD (with 4\+ years relevant experience) in life sciences (biology, pharmacology, chemistry, biotechnology, bioinformatics, pharmacy, medicine, biomedical data science, or related). Equivalent experience considered at Master's (10\+ years) or Bachelor's (12\+ years) level.
* Deep knowledge of emerging therapeutic modalities, such as biotherapeutics (ADCs, mAbs, multispecific antibodies, cell therapies, etc.), different types of degraders, gene therapies (AAV, lentiviral, CAR\-T, CRISPR, etc.), RNA therapies (mRNA, siRNA, ASO), as shown in recent industry advances
* Demonstrated leadership in designing and delivering creative technology solutions that advance business and scientific objectives; proven ability to translate complex scientific/business questions into actionable, large\-scale information solutions.
* Solid background in programming, informatics, and data science. Proficiency in Python required.
* Hands\-on expertise with extraction and integration of knowledge from literature, patents, competitive intelligence databases (e.g., Citeline, Cortellis), and news/press release sources.
* Competence in using GenAI models for knowledge extraction (including prompting, pitfalls, etc.).
* Ability to rapidly learn and adapt to new advances in therapeutic modalities and information technologies and balancing multiple projects with shifting priorities.
* Strong analytical, organizational, and problem\-solving skills, with superior attention to detail and high degree of reliability and integrity.
* Excellent written and oral English communication skills; proven ability to present complex concepts clearly to scientists, non\-scientific audiences and different leadership levels
* Demonstrates scientific curiosity, technical creativity, and a proactive drive for innovation to break new ground in the field of information analysis and insights generation.
**Beneficial**
* Pharmaceutical industry experience.
* Experience working in fast\-paced, dynamic, multidisciplinary, and collaborative settings and global teams.
* Familiarity with data engineering, software development principles, relational databases and SQL (e.g., Oracle, Hadoop) as well as common formats/APIs (REST, XML, JSON, Python libraries like Pydantic).
* Experience with embedding Gen AI models in larger Python\-based workflows to automate knowledge extraction tasks.
* Basic understanding of agents and agentic workflows (MCP, A2A).
 Additional Information
 Applicable only to applicants applying to a position in any location with pay disclosure requirements under state orlocal law:
* The compensation range described below is the range of possible base pay compensation that the Companybelieves ingood faith it will pay for this role at the timeof this posting based on the job grade for this position.Individualcompensation paid within this range will depend on many factors including geographic location, andwemayultimatelypaymore or less than the posted range. This range may bemodifiedin thefuture.
* We offer a comprehensive package of benefits including paid time off (vacation, holidays, sick),medical/dental/visioninsurance and 401(k) to eligibleemployees.
* This job is eligible toparticipatein our short\-term incentiveprograms.
 Note: No amount of payis considered to bewages or compensation until such amount is earned, vested, anddeterminable.The amount and availability of any bonus,commission, incentive, benefits, or any other form ofcompensation and benefitsthat are allocable to a particular employeeremainsin the Company's sole andabsolutediscretion unless and until paid andmay bemodifiedat the Companys sole and absolute discretion, consistent withapplicable law.
 AbbVie is an equal opportunity employer and is committed to operating with integrity, driving innovation, transforming lives and serving our community. Equal Opportunity Employer/Veterans/Disabled.
 US \&amp; Puerto Rico only \- to learn more, visithttps://www.abbvie.com/join\-us/equal\-employment\-opportunity\-employer.html
 US \&amp; Puerto Rico applicants seeking a reasonable accommodation, click here to learn more:
 https://www.abbvie.com/join\-us/reasonable\-accommodations.html</t>
        </is>
      </c>
    </row>
    <row r="95">
      <c r="A95" t="inlineStr">
        <is>
          <t>li-4332233814</t>
        </is>
      </c>
      <c r="B95" t="inlineStr">
        <is>
          <t>AI &amp; GenAI Data Scientist-Senior Associate</t>
        </is>
      </c>
      <c r="C95" t="inlineStr">
        <is>
          <t>PwC</t>
        </is>
      </c>
      <c r="D95" t="inlineStr">
        <is>
          <t>linkedin</t>
        </is>
      </c>
      <c r="E95" t="inlineStr"/>
      <c r="F95" t="inlineStr"/>
      <c r="G95" t="inlineStr">
        <is>
          <t>Baltimore, MD</t>
        </is>
      </c>
      <c r="H95" t="inlineStr"/>
      <c r="I95"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6">
      <c r="A96" t="inlineStr">
        <is>
          <t>li-4331555678</t>
        </is>
      </c>
      <c r="B96" t="inlineStr">
        <is>
          <t>AI &amp; GenAI Data Scientist-Senior Associate</t>
        </is>
      </c>
      <c r="C96" t="inlineStr">
        <is>
          <t>PwC</t>
        </is>
      </c>
      <c r="D96" t="inlineStr">
        <is>
          <t>linkedin</t>
        </is>
      </c>
      <c r="E96" t="inlineStr"/>
      <c r="F96" t="inlineStr"/>
      <c r="G96" t="inlineStr">
        <is>
          <t>Florham Park, NJ</t>
        </is>
      </c>
      <c r="H96" t="inlineStr"/>
      <c r="I96"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7">
      <c r="A97" t="inlineStr">
        <is>
          <t>li-4332264234</t>
        </is>
      </c>
      <c r="B97" t="inlineStr">
        <is>
          <t>AI Data Scientist</t>
        </is>
      </c>
      <c r="C97" t="inlineStr">
        <is>
          <t>Jobs via Dice</t>
        </is>
      </c>
      <c r="D97" t="inlineStr">
        <is>
          <t>linkedin</t>
        </is>
      </c>
      <c r="E97" t="inlineStr"/>
      <c r="F97" t="inlineStr"/>
      <c r="G97" t="inlineStr">
        <is>
          <t>Washington, DC</t>
        </is>
      </c>
      <c r="H97" t="inlineStr"/>
      <c r="I97" t="inlineStr">
        <is>
          <t>Job Code :\- 6977\-2\-1/9/2026
**Job Title: AI Data Scientist**
**Location: Washington D.C. 20433 – Hybrid Role**
**Duration: 12 Months Contract**
**Job Description:**
**Developer Premium II / AI Engineer**
* Minimum 5 years of experience in AI/ML model development and deployment.
* Experience with MLOps tools (e.g., MLflow), Docker, and cloud platforms (AWS, Azure, Google Cloud Platform).
* Proven track record in implementing LLMs, RAG, NLP model development, and GenAI solutions.
* Skilled in – Azure AI/Google Vertex Search, Vector Databases, fine\-tuning the RAG, NLP model development, API Management (facilitates access to different sources of data).
* Proficiency in Python, TensorFlow, PyTorch, and NLP frameworks.
* Expertise deep learning, computer vision, and large language models.
* Familiarity with REST APIs, NoSQL, and RDBMS. 4 days onsite at Washington DC.
**AI Engineer**
* Background and Context
* The AI Engineer will play a pivotal role in designing, developing, and deploying artificial intelligence solutions that enhance operational efficiency, automate decision\-making, and support strategic initiatives for the environmental and social specialists in the client.
* This role is central to the VPU’s digital transformation efforts and will contribute to the development of scalable, ethical, and innovative AI systems.
* Qualifications and Experience
**Education**
* Bachelor’s or master’s degree in computer science, Data Science, Engineering, or related field.
**Experience**
* Minimum 3 years of experience in AI/ML model development and deployment.
* Experience with MLOps tools (e.g., MLflow), Docker, and cloud platforms (AWS, Azure, Google Cloud Platform).
* Proven track record in implementing LLMs, RAG, NLP model development and GenAI solutions.
**Technical Skills**
* Skilled in – Azure AI/Google Vertex Search, Vector Databases, fine\-tuning the RAG, NLP model development, API Management (facilitates access to different sources of data)
* Proficiency in Python, TensorFlow, PyTorch, and NLP frameworks.
* Expertise deep learning, computer vision, and large language models.
* Familiarity with REST APIs, NoSQL, and RDBMS.
**Soft Skills**
* Strong analytical and problem\-solving abilities.
* Excellent communication and teamwork skills.
* Strategic thinking and innovation mindset.
* Certifications (Preferred)
* Microsoft Certified: Azure AI Engineer Associate
* Google Machine Learning Engineer
* SAFe Agile Software Engineer (ASE)
* Certification in AI Ethics
* Objectives of the Assignment
* Develop and implement AI models and algorithms tailored to business needs.
* Integrate AI solutions into existing systems and workflows.
* Ensure ethical compliance and data privacy in all AI initiatives.
* Support user adoption through training and documentation.
* Support existing AI solutions by refinement, troubleshooting, and reconfiguration
* Scope of Work and Responsibilities
**AI Solution Development**
* \- Collaborate with cross\-functional teams to identify AI opportunities.
* \- Train, validate, and optimize machine learning models.
* \- Translate business requirements to technical specifications.
**AI Solution Implementation**
* \- Develop code, deploy AI models and into production environments, and conduct ongoing model training
* \- Monitor performance and troubleshoot issues and engage in fine\-tuning the solutions to improve accuracy
* \- Ensure compliance with ethical standards and data governance policies.
**User Training and Adoption**
* \- Conduct training sessions for stakeholders on AI tools.
* \- Develop user guides and technical documentation.
**Data Analysis and Research**
* Collect, preprocess, and engineer large datasets for machine learning and AI applications.
* Recommend and Implement Data Cleaning and Preparation
* Analyze and use structured and unstructured data (including geospatial data) to extract features and actionable insights.
* Monitor data quality, detect bias, and manage model/data drift in production environments.
* Research emerging AI technologies and recommend improvements.
**Official Use Only**
**Governance, Strategy, Support, and Maintenance**
* Advise WBG Staff on AI strategy and policy implications
* Contribute to the team’s AI roadmap and innovation agenda.
* Provide continuous support and contribute towards maintenance and future enhancements.
* Deliverables
* Work on Proof of Concepts to study the technical feasibility of AI Use Cases
* Functional AI applications integrated into business systems.
* Documentation of model/application architecture, training data, and performance metrics.
* Training materials and user guides.
* Develop, train, and deploy AI models tailored to business needs.</t>
        </is>
      </c>
    </row>
    <row r="98">
      <c r="A98" t="inlineStr">
        <is>
          <t>li-4359748928</t>
        </is>
      </c>
      <c r="B98" t="inlineStr">
        <is>
          <t>Data Scientist</t>
        </is>
      </c>
      <c r="C98" t="inlineStr">
        <is>
          <t>Uber</t>
        </is>
      </c>
      <c r="D98" t="inlineStr">
        <is>
          <t>linkedin</t>
        </is>
      </c>
      <c r="E98">
        <f>HYPERLINK("https://www.linkedin.com/jobs/view/4359748928", "https://www.linkedin.com/jobs/view/4359748928")</f>
        <v/>
      </c>
      <c r="F98" t="inlineStr"/>
      <c r="G98" t="inlineStr">
        <is>
          <t>Sunnyvale, CA</t>
        </is>
      </c>
      <c r="H98" t="inlineStr"/>
      <c r="I98" t="inlineStr">
        <is>
          <t>**About The Role**
 We are looking for an exceptional Data Scientist with 3\+ years of experience to help Uber's internal and external applications, products and services to grow adoption, improve CSAT and reduce cost. You will leverage analytics, engineering, and machine learning, and data science to empower data\-driven decision making in the full lifecycle of product development. You will be responsible for building this program from the ground up: partner with stakeholders, understand all aspects of the products, interact with cross\-functional business and technical teams, predict risks, improve strategic decisions, and lead experimentation/growth projects.
**What The Candidate Will Need / Bonus Points**
 \-\-\-\- What the Candidate Will Do \-\-\-\-
* Apply your expertise in quantitative analysis, data mining, and statistical modeling to deliver impactful, objective, and actionable data insights that enable informed business and product decisions
* Define, measure, and analyze business metrics and product KPIs
* Create tableau dashboards and the underlying data aggregations in GCP.
* Conduct exploratory analysis to inform product strategy and evaluate recently released or existing products or features
* Partner with multiple team members to make data\-driven decisions across the organization by leveraging descriptive and predictive analytics
* Work from the inception of a specified business problem identified by data to delivery of a solution, identify opportunities to fix or improve processes that make Uber better in the long term
* Put together seemingly disparate pieces of data, build out the data pipeline and create interactive dashboards, provide comprehensive analytics support to partner teams, primarily through development of self\-serve tools (such as Tableau and Looker)
* Write queries, contribute to larger\-scale products/projects and perform ad hoc analyses as needed, apply a diverse set of techniques including statistics, quantitative reasoning to help grow the business
* Comfortable with working in fast\-paced environments to find answers to critical questions with data and be decisive in an ambiguous situation
* Determine and monitor essential metrics for product projects
* Own, drive, and solve complex, cross\-functional problems that extend beyond the traditional boundaries of product domains, analytics, and data science
* Communicate analysis and decisions to high\-level stakeholders and executives in verbal, visual, and written format
**Basic Qualifications**
* 3\+ years in quantitative/analytic role, preferably within tech
* Experience in applying both data\-backed heuristics and machine\-learning techniques to solve practical product problems such as customer lifetime value models, funnel optimization.
* 1\+ years experience with BI Tools such as Tableau, MicroStrategy, Power BI or Looker
* Expertise using data modeling skills to identify key product trends and new product opportunities
* Ability to design implement, and track core metrics to analyze the performance of our products
* SQL expert and a good understanding of databases, data relationships and data integrity
* Demonstrated ability to think strategically about business, product, and technical challenges
* Strong communication skills and customer empathy, capable of pushing for the best solution with tact
* Strong problem solving skills and ability to translate ambiguous, unstructured problems into actionable data\-driven analyses
* Bachelor's degree in Computer Science, Mathematics, Statistics, or a related technical field
* Excellent planning and project management skills
**Preferred Qualifications**
* Advanced degree in applied mathematics, statistics, actuarial science, economics or related field
* Experience in a product\-focused role at a social media and/or mobile technology company
* Experience handling structured and unstructured data from internal and third\-party sources
* Experience with Python, Javascript, and R are plus
* Strong communication and interpersonal skills
* Exposure to Web Analytics such as Google Analytics, Adobe Analytics/Omniture, Heap Analytics
* Experience with causal inference techniques, experimental design and/or A/B testing
* Leveraging and integrating large language models (LLMs) to enhance analytics, automate workflows, and improve user interaction and decision support."
 For San Francisco, CA\-based roles: The base salary range for this role is USD$140,000 per year \- USD$156,000 per year. For Sunnyvale, CA\-based roles: The base salary range for this role is USD$140,000 per year \- USD$156,000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USD$140,000 per year \- USD$156,000 per year. For Sunnyvale, CA\-based roles: The base salary range for this role is USD$140,000 per year \- USD$156,000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99">
      <c r="A99" t="inlineStr">
        <is>
          <t>li-4360610924</t>
        </is>
      </c>
      <c r="B99" t="inlineStr">
        <is>
          <t>Data Scientist</t>
        </is>
      </c>
      <c r="C99" t="inlineStr">
        <is>
          <t>Uber</t>
        </is>
      </c>
      <c r="D99" t="inlineStr">
        <is>
          <t>linkedin</t>
        </is>
      </c>
      <c r="E99">
        <f>HYPERLINK("https://www.linkedin.com/jobs/view/4360610924", "https://www.linkedin.com/jobs/view/4360610924")</f>
        <v/>
      </c>
      <c r="F99">
        <f>HYPERLINK("https://tnl2.jometer.com/v2/job?jz=5wqzs892b72b922fbbc8eb8ba2bbbaf053bddKIAGUCAAAABQ&amp;iis=Job%20Board%20-%20Recruitment%20Marketing&amp;iisn=LinkedIn&amp;urlHash=5szo", "https://tnl2.jometer.com/v2/job?jz=5wqzs892b72b922fbbc8eb8ba2bbbaf053bddKIAGUCAAAABQ&amp;iis=Job%20Board%20-%20Recruitment%20Marketing&amp;iisn=LinkedIn&amp;urlHash=5szo")</f>
        <v/>
      </c>
      <c r="G99" t="inlineStr">
        <is>
          <t>San Francisco, CA</t>
        </is>
      </c>
      <c r="H99" t="inlineStr"/>
      <c r="I99" t="inlineStr">
        <is>
          <t>**About The Role**
 We are looking for an exceptional Data Scientist with 3\+ years of experience to help Uber's internal and external applications, products and services to grow adoption, improve CSAT and reduce cost. You will leverage analytics, engineering, and machine learning, and data science to empower data\-driven decision making in the full lifecycle of product development. You will be responsible for building this program from the ground up: partner with stakeholders, understand all aspects of the products, interact with cross\-functional business and technical teams, predict risks, improve strategic decisions, and lead experimentation/growth projects.
**What The Candidate Will Need / Bonus Points**
 \-\-\-\- What the Candidate Will Do \-\-\-\-
* Apply your expertise in quantitative analysis, data mining, and statistical modeling to deliver impactful, objective, and actionable data insights that enable informed business and product decisions
* Define, measure, and analyze business metrics and product KPIs
* Create tableau dashboards and the underlying data aggregations in GCP.
* Conduct exploratory analysis to inform product strategy and evaluate recently released or existing products or features
* Partner with multiple team members to make data\-driven decisions across the organization by leveraging descriptive and predictive analytics
* Work from the inception of a specified business problem identified by data to delivery of a solution, identify opportunities to fix or improve processes that make Uber better in the long term
* Put together seemingly disparate pieces of data, build out the data pipeline and create interactive dashboards, provide comprehensive analytics support to partner teams, primarily through development of self\-serve tools (such as Tableau and Looker)
* Write queries, contribute to larger\-scale products/projects and perform ad hoc analyses as needed, apply a diverse set of techniques including statistics, quantitative reasoning to help grow the business
* Comfortable with working in fast\-paced environments to find answers to critical questions with data and be decisive in an ambiguous situation
* Determine and monitor essential metrics for product projects
* Own, drive, and solve complex, cross\-functional problems that extend beyond the traditional boundaries of product domains, analytics, and data science
* Communicate analysis and decisions to high\-level stakeholders and executives in verbal, visual, and written format
**Basic Qualifications**
* 3\+ years in quantitative/analytic role, preferably within tech
* Experience in applying both data\-backed heuristics and machine\-learning techniques to solve practical product problems such as customer lifetime value models, funnel optimization.
* 1\+ years experience with BI Tools such as Tableau, MicroStrategy, Power BI or Looker
* Expertise using data modeling skills to identify key product trends and new product opportunities
* Ability to design implement, and track core metrics to analyze the performance of our products
* SQL expert and a good understanding of databases, data relationships and data integrity
* Demonstrated ability to think strategically about business, product, and technical challenges
* Strong communication skills and customer empathy, capable of pushing for the best solution with tact
* Strong problem solving skills and ability to translate ambiguous, unstructured problems into actionable data\-driven analyses
* Bachelor's degree in Computer Science, Mathematics, Statistics, or a related technical field
* Excellent planning and project management skills
**Preferred Qualifications**
* Advanced degree in applied mathematics, statistics, actuarial science, economics or related field
* Experience in a product\-focused role at a social media and/or mobile technology company
* Experience handling structured and unstructured data from internal and third\-party sources
* Experience with Python, Javascript, and R are plus
* Strong communication and interpersonal skills
* Exposure to Web Analytics such as Google Analytics, Adobe Analytics/Omniture, Heap Analytics
* Experience with causal inference techniques, experimental design and/or A/B testing
* Leveraging and integrating large language models (LLMs) to enhance analytics, automate workflows, and improve user interaction and decision support."
 For San Francisco, CA\-based roles: The base salary range for this role is USD$140,000 per year \- USD$156,000 per year. For Sunnyvale, CA\-based roles: The base salary range for this role is USD$140,000 per year \- USD$156,000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USD$140,000 per year \- USD$156,000 per year. For Sunnyvale, CA\-based roles: The base salary range for this role is USD$140,000 per year \- USD$156,000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00">
      <c r="A100" t="inlineStr">
        <is>
          <t>li-4332236565</t>
        </is>
      </c>
      <c r="B100" t="inlineStr">
        <is>
          <t>Data Scientist</t>
        </is>
      </c>
      <c r="C100" t="inlineStr">
        <is>
          <t>PatientFi</t>
        </is>
      </c>
      <c r="D100" t="inlineStr">
        <is>
          <t>linkedin</t>
        </is>
      </c>
      <c r="E100">
        <f>HYPERLINK("https://www.linkedin.com/jobs/view/4332236565", "https://www.linkedin.com/jobs/view/4332236565")</f>
        <v/>
      </c>
      <c r="F100" t="inlineStr"/>
      <c r="G100" t="inlineStr"/>
      <c r="H100" t="inlineStr"/>
      <c r="I100" t="inlineStr">
        <is>
          <t>**Company Description** 
 PatientFi® is a technology\-based, point\-of\-sale financing company in Irvine, CA that partners with healthcare providers to offer patients a friendly payment solution for out\-of\-pocket medical and dental procedures. The company serves various healthcare specialties, including plastic surgery, dermatology, ophthalmology, dentistry, fertility, and medical spas. PatientFi's mission is to expand patient access to elective healthcare treatments by removing the cost barrier and providing patients with a convenient payment option.
**Job Description / Responsibilities** 
 As a Data Scientist at PatientFi, you will play a key role in developing industry\-leading machine learning models for managing credit and fraud risks. You will work with multiple complex data sources, such as credit bureau reports and customer\-supplied information, to optimize underwriting decisions, approve/decline strategies, credit line assignments, and fraud detection methodologies.
**Key responsibilities include:** 
* Develop and implement machine learning models for credit risk assessment and fraud detection, ensuring compliance with lending best practices and regulatory requirements
* Build and improve quantitative and qualitative models (including CECL, Prepayment, Weighted Average Remaining Maturity (WARM), Probability of Default and Loss Given Default (PD/LGD) methodologies)
* Leverage advanced data analytics to dynamically segment applicants and loans based on behavior and performance
* Optimize risk\-based pricing strategies, underwriting criteria, and collections strategies using data\-driven insights
* Collaborate with engineers to deploy machine learning models into production environments
* Monitor, analyze, and report on model performance, ensuring continual refinement and adaptation to changing market conditions
* Develop LookML and SQL queries to build dashboards in Looker for tracking model and business performance
* Extract the most value from data to drive key business metrics and enhance risk management strategies
* Conduct ad\-hoc analysis to support risk management, investor services, operations, and corporate development
* Support analysis and reporting in stress testing models
**Desired Skills / Experience** 
* 1\+ years of experience in Data Science, Credit Risk, Fraud Risk, Quantitative Analytics, or related fields
* Advanced degree (M.S./PhD preferred) in Statistics, Computer Science, Engineering, Economics, or a related quantitative field
* 1\+ years of relevant experience within consumer credit risk management, ideally at a FinTech startup, banking or lending company; bonus points for healthcare experience
* Expertise in Python and SQL, with a strong understanding of coding best practices and model documentation
* Experience implementing data pipelines using Google Cloud products (BigQuery, GCS, Cloud DataFlow, Cloud Pub/Sub, Cloud BigTable)
* Understanding of data warehousing concepts, data engineering, and data modeling
* Strong experience in risk modeling, fraud detection, and machine learning techniques applied to financial services.
* Strong communication and interpersonal skills, with the ability to clearly translate technical insights to business stakeholders
* Self\-motivated, results\-oriented, and capable of managing multiple projects in a fast\-paced environment
* Experience working with Looker (or similar BI tools like Tableau, Power BI) to design reports/dashboards
* Familiarity with bureau data and alternative data sources for credit and fraud risk analysis
* Knowledge of cash flow modeling and loss forecasting is a plus</t>
        </is>
      </c>
    </row>
    <row r="101">
      <c r="A101" t="inlineStr">
        <is>
          <t>li-4327629877</t>
        </is>
      </c>
      <c r="B101" t="inlineStr">
        <is>
          <t>Data Scientist, Data Insights</t>
        </is>
      </c>
      <c r="C101" t="inlineStr">
        <is>
          <t>Docker, Inc</t>
        </is>
      </c>
      <c r="D101" t="inlineStr">
        <is>
          <t>linkedin</t>
        </is>
      </c>
      <c r="E101">
        <f>HYPERLINK("https://www.linkedin.com/jobs/view/4327629877", "https://www.linkedin.com/jobs/view/4327629877")</f>
        <v/>
      </c>
      <c r="F101">
        <f>HYPERLINK("https://jobs.ashbyhq.com/docker/bec8d1a0-1764-44e2-98ec-e914ee3b2f86/application?utm_source=Linkedin+Posting&amp;urlHash=6M4S", "https://jobs.ashbyhq.com/docker/bec8d1a0-1764-44e2-98ec-e914ee3b2f86/application?utm_source=Linkedin+Posting&amp;urlHash=6M4S")</f>
        <v/>
      </c>
      <c r="G101" t="inlineStr">
        <is>
          <t>Seattle, WA</t>
        </is>
      </c>
      <c r="H101" t="inlineStr"/>
      <c r="I101" t="inlineStr">
        <is>
          <t>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Docker is seeking a
 **Data Scientist** 
 to join our
 **Data Insights** 
 team. You will be a key individual contributor, applying statistical rigor and advanced analytical techniques to extract value from our product and business data. This role requires a strong understanding of product usage to provide actionable insights that drive business strategy and feature development.
 This is a hands\-on analytical role focused on independent execution, deep\-dive analysis, and translating complex data into clear business recommendations. You'll work closely with Product Managers, Executive Leaders, and Engineering teams to define key metrics, measure product health, and inform data\-driven decisions.
 Success in this role requires a strong foundation in statistics, advanced SQL skills, and proven experience in product experimentation and reporting for a technical audience.
**Responsibilities**
**Product Analytics \&amp; Experimentation**
* Understand detailed usage of Docker products by analyzing user behavior data, translating complex questions into analytical plans, and building robust product metrics.
* Run and measure product experiments (A/B tests) from design through interpretation, clearly articulating results and recommendations to stakeholders.
* Develop and maintain key performance indicators (KPIs) and operational metrics for product features and overall business health.
**Strategic Insights \&amp; Reporting**
* Provide actionable insights for Product Managers on user engagement, feature adoption, and growth opportunities to directly inform the product roadmap.
* Build deep dive reports for Executive Leaders on critical business trends and the performance of strategic initiatives, presenting findings in a clear, compelling narrative.
* Collaborate with engineering teams on data logging, instrumentation, and ensuring the accuracy of product data pipelines.
**Technical Execution \&amp; Modeling**
* Apply statistical modeling and machine learning techniques to solve business problems (e.g., churn prediction, segmentation, propensity modeling).
* Design and implement data visualizations and self\-service dashboards to democratize data access across the organization.
* Ensure data quality and integrity for all analytical outputs and reports.
**Collaboration \&amp; Communication**
* Partner with cross\-functional teams (Product, Engineering, Marketing, Sales) to define data requirements and analytical objectives.
* Mentor junior analysts on best practices for data visualization, statistical analysis, and clear communication of results.
**Qualifications**
**Required:**
**Technical Expertise**
* 3\+ years of experience in a Data Scientist or Product Analyst role, preferably within a technology or SaaS company.
* Expert proficiency in SQL for complex data extraction and manipulation.
* Strong proficiency in a statistical programming language (Python or R), including libraries for data manipulation, analysis, and statistical modeling.
* Proven experience designing, launching, and analyzing A/B tests or other product experiments.
* Experience with cloud data warehouses (e.g., Snowflake, Redshift, BigQuery) and data visualization tools (e.g., Sigma, Tableau, Looker).
**Analytical \&amp; Statistical Foundations**
* Advanced knowledge of statistical methods (regression, hypothesis testing, time series analysis) and their application to business problems.
* Demonstrated ability to translate open\-ended business questions into structured analytical projects and deliverables.
**Communication \&amp; Leadership**
* Excellent verbal and written communication skills, with the ability to present complex analytical findings to both technical and executive audiences.
* Demonstrated ability to work independently and drive projects from conception to completion with minimal supervision.
**Preferred**
* Experience analyzing data related to developer tools or B2B SaaS products.
* Advanced degree (M.S. or Ph.D.) in a quantitative field such as Statistics, Computer Science, Economics, or Mathematics.
* Knowledge of container technologies (Docker, Kubernetes).
**Key Success Metrics**
* Impact of actionable insights on product feature adoption and business revenue.
* Quality and clarity of executive\-level deep\-dive reports.
* Successful design and interpretation of product experiments.
* Demonstrated independence in driving analytical projects.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April 13, 2024\.
 Please see the independent bias audit report covering our use of Covey here.
**Perks**
* Freedom \&amp; flexibility; fit your work around your life
* Designated quarterly Whaleness Days plus end of year Whaleness break
* Home office setup; we want you comfortable while you work
* 16 weeks of paid Parental leave
* Technology stipend equivalent to $100 net/month
* PTO plan that encourages you to take time to do the things you enjoy
* Training stipend for conferences, courses and classes
* Equity; we are a growing start\-up and want all employees to have a share in the success of the company
* Docker Swag
* Medical benefits, retirement and holidays vary by country
* Remote\-first culture, with offices in Seattle and Paris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
 Compensation Range: $162K \- $222\.8K</t>
        </is>
      </c>
    </row>
    <row r="102">
      <c r="A102" t="inlineStr">
        <is>
          <t>li-4359790574</t>
        </is>
      </c>
      <c r="B102" t="inlineStr">
        <is>
          <t>Senior Data Scientist - Credit Risk &amp; Consumer Insights</t>
        </is>
      </c>
      <c r="C102" t="inlineStr">
        <is>
          <t>Experian</t>
        </is>
      </c>
      <c r="D102" t="inlineStr">
        <is>
          <t>linkedin</t>
        </is>
      </c>
      <c r="E102">
        <f>HYPERLINK("https://www.linkedin.com/jobs/view/4359790574", "https://www.linkedin.com/jobs/view/4359790574")</f>
        <v/>
      </c>
      <c r="F102" t="inlineStr"/>
      <c r="G102" t="inlineStr"/>
      <c r="H102" t="inlineStr"/>
      <c r="I102" t="inlineStr">
        <is>
          <t>Job Posting \- Salary Range: $133,109 \- $239,596
**Company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We're looking for a Senior Data Scientist with credit analytics experience to develop automated reports, dashboards, and insights across the full credit lifecycle. You'll support underwriting, risk management, portfolio monitoring, and credit performance, while partnering directly with clients to ensure analytics align with their needs. You will report to the VP of Analytics Product Build, Innovation, and Scores.
**You'll Have Opportunity To**
* Build credit risk dashboards, reports, and analytics using Python and Tableau.
* Analyze the credit lifecycle (underwriting, performance, delinquency, and collections) to identify important insights.
* Develop and automate reporting pipelines and monitoring frameworks.
* Translate analytics into strategies for risk, business, and client teams.
* Perform deep‑dive analyses on credit behavior, defaults, and scoring models.
* Present insights to clients in clear, applicable formats.
* Guide clients in using dashboards and analytics for decision‑making.
* Ensure data quality, accuracy, and compliance with reporting standards.
* Improve existing reporting and build new analytics for better forecasting and risk assessment.
* Mentor junior team members on visualization, reporting, and credit analytics.
* Be a trusted advisor in client meetings, presentations, and workshops.
**Qualifications**
* 5\+ years in credit risk analytics, data science, or BI with credit lifecycle focus.
* Python skills (Pandas, NumPy, SQLAlchemy, and Matplotlib).
* Proficient in Tableau dashboarding and data visualization.
* Experience with credit risk metrics, loan performance, and lifecycle modeling.
* Experience with large datasets and data warehouse environments.
* SQL for ETL and automated reporting.
* Clear communicator, able to simplify complex insights.
* Client‑facing experience translating analytics into strategies.
* Background in financial services, FinTech, or lending.
* Experience with ML models for credit risk.
* Familiarity with regulatory reporting in credit/lending.
* Bonus: Knowledge of Power BI or Looker.
**Additional Information**
 At Experian, our people and culture set us apart. We're deeply committed to creating an environment where everyone feels they belong and can excel. From inclusion and authenticity to work/life balance, development, wellness, collaboration, and recognition, we focus on what truly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Employer for all groups protected under applicable federal, state and local law, including protected veterans and individuals with disabilities. If you have a disability or special need that requires accommodation, please let us know at the earliest opportunity.</t>
        </is>
      </c>
    </row>
    <row r="103">
      <c r="A103" t="inlineStr">
        <is>
          <t>li-4352354140</t>
        </is>
      </c>
      <c r="B103" t="inlineStr">
        <is>
          <t>Data Scientist</t>
        </is>
      </c>
      <c r="C103" t="inlineStr">
        <is>
          <t>UL Solutions</t>
        </is>
      </c>
      <c r="D103" t="inlineStr">
        <is>
          <t>linkedin</t>
        </is>
      </c>
      <c r="E103">
        <f>HYPERLINK("https://www.linkedin.com/jobs/view/4352354140", "https://www.linkedin.com/jobs/view/4352354140")</f>
        <v/>
      </c>
      <c r="F103" t="inlineStr"/>
      <c r="G103" t="inlineStr"/>
      <c r="H103" t="inlineStr"/>
      <c r="I103" t="inlineStr">
        <is>
          <t>**Job Description**
* Process, cleanse, and verify the integrity, quality, and reliability of data used for analysis, reporting, and predictive modeling.
* Perform ad\-hoc and recurring analyses, presenting results and insights in a clear, concise manner to support business decision\-making.
* Analyze large, complex datasets to extract meaningful insights, selecting appropriate statistical, analytical, and machine learning techniques based on the problem context.
* Select relevant features and build, evaluate, and optimize classification and predictive models using machine learning techniques.
* Apply data mining and advanced analytical methods to identify trends, patterns, and relationships within structured and unstructured data.
* Extend and enrich customer and business datasets using third\-party data sources when required to improve analytical outcomes.
* Enhance data collection and preparation procedures to ensure relevant, high\-quality inputs for analytic and machine learning systems.
* Use data modeling and evaluation strategies to identify patterns and accurately predict unseen or future instances.
* Collaborate with business and technical stakeholders to align analytical solutions with business objectives.
* Adhere to the Underwriters Laboratories Code of Conduct and follow all physical and digital security, data governance, and compliance practices.
* Perform other related duties as directed in support of analytics and data science initiatives.
**Responsibilities**
* Collaborate with business stakeholders to gather, analyze, and document requirements, translating needs into BRDs, user stories, and functional specifications.
* Analyze large, complex datasets using statistical and analytical techniques to identify trends, patterns, and actionable insights.
* Build and maintain dashboards, reports, and data visualizations using Power BI, Tableau, or similar tools.
* Apply statistical methods and basic machine learning models to support forecasting, prediction, and business decision\-making.
* Perform ad\-hoc and recurring analyses to support both operational reporting and strategic initiatives.
* Process, cleanse, validate, and maintain data accuracy and integrity across analytical datasets.
* Enhance data collection processes and integrate third\-party data sources to improve analytical coverage and model performance.
* Communicate analytical findings and recommendations clearly to both technical and non\-technical audiences.
* Partner with development teams using Azure DevOps to manage work items, track progress, and ensure timely delivery.
* Support data science and analytics initiatives using SQL, Python, R, and Excel.
 Collaborate with data engineering teams to support analytics pipelines and data lake initiatives.
**Qualifications**
**Required:**
* Master’s degree in Data Science, Data Analytics, Computer Science, or related field
* 3–5 years of experience in data analytics or data science roles
* Strong proficiency in SQL, Python, and R
* Experience with Power BI, Tableau, or similar visualization tools, including data modeling and DAX
* Strong analytical and problem\-solving skills with attention to detail
* Experience gathering and documenting business requirements
* Familiarity with Agile methodologies and Azure DevOps
* Excellent communication, interpersonal, and stakeholder management skills
* Understanding of statistical methods and probability theory
**Preferred:**
* Experience with machine learning frameworks such as scikit\-learn, TensorFlow, or Keras
* Experience with Salesforce data and reporting
* Experience in business services or manufacturing industries
* Familiarity with NLP or deep learning techniques
**What You’ll Experience Working For ULS**
 UL Solutions has been pioneering change since 1894 and we’re still leading the way. From day one, we’ve blazed a trail protecting the planet and everyone on it. Our teams have influenced billions of products, plus services, software offerings and more. We break things, burn things and blow things up. All in the name of safety science.
 That’s where you come in — because none of it could happen without you. It takes passion to protect people, problem\-solving to safeguard personal data and conviction to make the world a more sustainable place. It takes bold ideas and brilliant minds to build a better world for future generations across the globe.
 This is more than a job. It’s a calling. A passion to use our expertise and play our part in creating a more secure, sustainable world today — and tomorrow. As a member of our safety science community, you’ll use your ideas, your energy and your ambition to innovate, challenge and ultimately, help create a safer world.
 Everyone here is unique. But we’re also a global community, working together to help create a safer world. Join UL Solutions and you can connect with the brightest minds in the business, all bringing their distinct perspectives and diverse backgrounds together to deliver real change.
 Empowering our customers to keep the world safe means thinking ahead. It means investing in training and empowering our people to learn and innovate. At UL Solutions, we help build a better future — one where everyone benefits.
 Join UL Solutions to be at the center of safety. To learn more about us and the work we do, visit UL.com
 Total Rewards: We understand compensation is an important factor as you consider the next step in your career. The estimated salary range for this position is $80,000 to $100,000 and is based on multiple factors, including job\-related knowledge/skills, experience, geographical location, as well as other factors. This position is eligible for annual bonus compensation with a target payout of 10% of the base salary. This position also provides health benefits such as medical, dental and vision; wellness benefits such as mental and financial health; and retirement savings (401K) commensurate with the standard rewards offered in each individual location or country. We also provide full\-time employees with paid time off including vacation (15 days), holiday including floating holidays (12 days) and sick time off (72 hours).
 Accepting applications until 1/15/2026</t>
        </is>
      </c>
    </row>
    <row r="104">
      <c r="A104" t="inlineStr">
        <is>
          <t>li-4331937108</t>
        </is>
      </c>
      <c r="B104" t="inlineStr">
        <is>
          <t>Junior Data Scientist</t>
        </is>
      </c>
      <c r="C104" t="inlineStr">
        <is>
          <t>Medpace</t>
        </is>
      </c>
      <c r="D104" t="inlineStr">
        <is>
          <t>linkedin</t>
        </is>
      </c>
      <c r="E104">
        <f>HYPERLINK("https://www.linkedin.com/jobs/view/4331937108", "https://www.linkedin.com/jobs/view/4331937108")</f>
        <v/>
      </c>
      <c r="F104">
        <f>HYPERLINK("https://careers.medpace.com/jobs/12240?lang=en-us&amp;iis=Job%20Board&amp;iisn=LinkedIn&amp;urlHash=U4ua", "https://careers.medpace.com/jobs/12240?lang=en-us&amp;iis=Job%20Board&amp;iisn=LinkedIn&amp;urlHash=U4ua")</f>
        <v/>
      </c>
      <c r="G104" t="inlineStr">
        <is>
          <t>Cincinnati, OH</t>
        </is>
      </c>
      <c r="H104" t="inlineStr"/>
      <c r="I104" t="inlineStr">
        <is>
          <t>The Medpace Analytics and Business Intelligence team is growing rapidly and is focused on building a data driven culture across the enterprise. The BI team uses data and insights to drive increased strategic and operational efficiencies across the organization. As a Junior Data Scientist, you will hold a highly visible analytical role that requires interaction and partnership with leadership across the Medpace organization.
 What’s in this for you?
* Work in a collaborative, fast paced, entrepreneurial, and innovative workplace;
* Gain experience and exposure to advanced BI concepts from visualization to data warehousing;
* Grow business knowledge by working with leadership across all aspects of Medpace’s business.
**Responsibilities**
* Data Collection \&amp; Cleaning: Gather, clean, and preprocess large, raw datasets;
* Analysis \&amp; Modeling: Perform statistical analysis, build \&amp; validate machine learning models, and test hypotheses (e.g., A/B testing);
* Algorithm Development: Create algorithms to manage and interpret information, often automating processes;
* Insight Generation: Discover trends, patterns, and insights to inform business strategy;
* Visualization \&amp; Communication: Present complex findings visually (dashboards, charts) and verbally to technical and non\-technical teams;
* Collaboration: Work with engineering, product, and business teams to implement solutions;
* Model Monitoring: Deploy and maintain models, iterating for continuous improvement.
**Qualifications**
* Bachelor's Degree in Business, Life Science, Computer Science, or Related Degree;
* 0\-3 years of experience in business intelligence or analytics \- Python, R, SQL heavily preferred
* Strong analytical and communication skills;
* Excellent organization skills and the ability to multitask while efficiently completing high quality work.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105">
      <c r="A105" t="inlineStr">
        <is>
          <t>li-4330608242</t>
        </is>
      </c>
      <c r="B105" t="inlineStr">
        <is>
          <t>Data Scientist (Backened)</t>
        </is>
      </c>
      <c r="C105" t="inlineStr">
        <is>
          <t>Leap Theory, LLC</t>
        </is>
      </c>
      <c r="D105" t="inlineStr">
        <is>
          <t>linkedin</t>
        </is>
      </c>
      <c r="E105">
        <f>HYPERLINK("https://www.linkedin.com/jobs/view/4330608242", "https://www.linkedin.com/jobs/view/4330608242")</f>
        <v/>
      </c>
      <c r="F105" t="inlineStr"/>
      <c r="G105" t="inlineStr">
        <is>
          <t>Los Angeles, CA</t>
        </is>
      </c>
      <c r="H105" t="inlineStr"/>
      <c r="I105" t="inlineStr">
        <is>
          <t>**Salary: $100 \- $150k**
***The above pay range reflects what Leap Theory reasonably expects to pay for this position at time of posting. Actual compensation may vary based on relevant factors such as work experience, market conditions, education/training, and skill level.***
**Leap Theory, LLC is an already profitable, fast growing, 7 year old advertising technology firm that serves as a robust resource for companies in the financial services industry. It was founded by people looking to build a better workplace. Four things drive us: ethics, continuous improvement, gratitude, and teamwork. Yes, we aim for top performance in our industry, but HOW we get there matters more. We understand your time is important. Who you spend it with is important. What you apply your talents to is important. Thanks for considering applying your time and talents to our company and learning what makes us \- we believe \- very different from other high performance tech companies.** 
**We are expanding our services and looking for a highly skilled and motivated Data Scientist with backend experience to join our team. As a Data Scientist, you will have the opportunity to play a pivotal role in the development of our intelligent, data\-driven backbone infrastructure.** 
**Responsibilities:** 
**A successful Data Scientist will:** 
**\- Develop end\-to\-end models using automated data pipelines from our cloud data warehouses.** 
**\- Evaluate business opportunities through analysis of internal dashboards and collaborate with executives to design and implement A/B tests for portfolio optimization.** 
**\- Effectively communicate business objectives and solutions to executives and collaborate closely with technical peers.** 
**\- Work in conjunction with the tech team to enhance data infrastructure and streamline workflows.** 
**\- Evaluate situations proactively and identify opportunities to enhance processes and outcomes. You are self\-motivated, take initiative, and work effectively without constant direction.** 
**Requirements:** 
**\- Previous experience in end\-to\-end model development and deployment with automated data pipelines.** 
**\- Proven expertise in designing and implementing A/B tests, including multi\-target metric analysis.** 
**\-** 
**\- Strong programming skills with hands\-on production experience in Python. Experience with PHP or similar languages is a plus.** 
**\- Exceptional communication skills, both technical and non\-technical.** 
**\- Proficiency in SQL.** 
**Join our talented team and be a driving force behind the growth and success of Leap Theory. Apply today!**</t>
        </is>
      </c>
    </row>
    <row r="106">
      <c r="A106" t="inlineStr">
        <is>
          <t>li-4352411952</t>
        </is>
      </c>
      <c r="B106" t="inlineStr">
        <is>
          <t>Senior Data Scientist - Energy Services</t>
        </is>
      </c>
      <c r="C106" t="inlineStr">
        <is>
          <t>Electrify America</t>
        </is>
      </c>
      <c r="D106" t="inlineStr">
        <is>
          <t>linkedin</t>
        </is>
      </c>
      <c r="E106">
        <f>HYPERLINK("https://www.linkedin.com/jobs/view/4352411952", "https://www.linkedin.com/jobs/view/4352411952")</f>
        <v/>
      </c>
      <c r="F106" t="inlineStr"/>
      <c r="G106" t="inlineStr"/>
      <c r="H106" t="inlineStr"/>
      <c r="I106" t="inlineStr">
        <is>
          <t>Electrify America is committed to revolutionizing the way people charge. As the country's largest open DC fast charging network, Electrify America is actively contributing to electrifying mobility today and building a more sustainable future.
 At Electrify America, we value innovation, collaboration, and a commitment to sustainability. We strive to establish a diverse and inclusive workplace where employees can develop personally and professionally. As a team member at this rapidly growing company, you can work on state\-of\-the\-art technology and join a team making a significant impact in the world. If you're interested in joining a dynamic, innovative company, Electrify America is a place where you can learn, grow, and make a difference!
**Brief Role Description**
 The Senior Data Scientist – Energy shall be responsible for supporting the development of analytical capabilities to quantify marginal costs and associated predictive analytics for Electrify America’s network, as well as for Electrify Canada and Electrify Commercial customers as applicable. The Senior Energy Data Scientist will work closely with the Director of Energy Services to ensure that all relevant KPIs are properly tracked, measured, reported, and achieved.
**Possible Tasks within this Role**
**Role Responsibilities:** 
 List essential functions in order of importance; include percentage of time spent performing each function.
**Main responsibility** 
 – 40%
* Support the development of analytical capability to quantify the marginal cost of every session incurred on Electrify America’s network via extensive analysis of utility tariffs for over 250 utilities and over 1000 associated charging locations.
* Support framework development to account for related wholesale energy market parameters, including hourly rates, critical event pricing, and nodal pricing.
**Additional responsibilities** 
 – 30%
* Support the implementation of predictive analytics for marginal utility cost.
**Additional responsibilities – 30%**
* Quantity financial savings on an ongoing basis for Electrify America, Electrify Canada, and Commercial Customers
**Qualification Requirements**
**Years of Relevant Experience:** 
 7\+ Years of Experience
**Education Required**
 Bachelor of Science in Data Science / Analytics / Computer Science
**Education Desired**
 Masters in Data Science / Analytics / Computer Science
**Skills**
* Experience with vendor and stakeholder negotiation
* Excellent written and oral communication skills
* Demonstrated record of precision and integrity in past work assignments
* Ability to own projects and drive execution
* Analytical and conceptual thinking – using logic, creative, and strategic
* Exceptional Communication skills – interpersonal, presentation, and written
* Computer savvy – skilled in the use of software
 Electrify America, LLC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
 This role description is a guideline and does not create contractual rights between the Company and any of its applicants. The Company does not enter into any type of employment contract, implied or written, with its applicants regarding job security.
 This Organization participates in E\-Verify. We maintain a drug free workplace and perform pre\-employment substance abuse testing.
 Electrify America endeavors to make www.electrifyamerica.com/careers accessible to all users. If you would like to contact us regarding the accessibility of our website or need assistance completing the application process, please contact us at careers@electrifyamerica.com. This contact information is for accommodation requests only and cannot be used to inquire about the status of applications.</t>
        </is>
      </c>
    </row>
    <row r="107">
      <c r="A107" t="inlineStr">
        <is>
          <t>li-4360610979</t>
        </is>
      </c>
      <c r="B107" t="inlineStr">
        <is>
          <t>Data Scientist</t>
        </is>
      </c>
      <c r="C107" t="inlineStr">
        <is>
          <t>CVS Health</t>
        </is>
      </c>
      <c r="D107" t="inlineStr">
        <is>
          <t>linkedin</t>
        </is>
      </c>
      <c r="E107">
        <f>HYPERLINK("https://www.linkedin.com/jobs/view/4360610979", "https://www.linkedin.com/jobs/view/4360610979")</f>
        <v/>
      </c>
      <c r="F107" t="inlineStr"/>
      <c r="G107" t="inlineStr">
        <is>
          <t>Austin, TX</t>
        </is>
      </c>
      <c r="H107" t="inlineStr"/>
      <c r="I107"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**Overview**
 CVS Caremark is seeking a Data Scientist to play a pivotal role in enhancing the accuracy of our underwriting processes through advanced analytics. In this key position, you will leverage your analytical expertise to conduct error attribution and advanced root cause analysis, providing actionable insights that drive strategic decision\-making.
**Key Responsibilities**
* Identify business opportunities through data\-driven insights and develop high\-impact analytical solutions.
* Independently explore data and create a structured analytical work plan to derive meaningful insights.
* Execute and analyze hypotheses to pinpoint factors contributing to forecasting errors.
* Communicate analytical solutions and results through compelling narratives and visualizations to drive informed business decisions.
* Understand coding, GIT, documentation, and quality assurance best practices.
**Qualifications**
**Required:**
 1\+ years of experience in prescriptive and descriptive analytics, statistics, or a related field, with a proven ability to effectively conduct root cause analysis and provide actionable insights to support strategic decision\-making.
* Proficiency in SQL and Python (Pandas) with 2\+ years of professional experience.
* Strong statistical and analytical background with hands\-on experience in experimental design and ROI analysis.
* Skilled in exploring various data sources and systems to diagnose the root causes and be able to provide effective solution which may include machine learning or statistical methods.
* Proficient in Microsoft Office Suite, including MS Excel and PowerPoint.
**Preferred**
* Strong problem\-solving and analytical abilities which leverages statical and machine learning methods.
* Solid SQL, Pyspark and Python coding skills are essential.
* Experience in the PBM industry and/or management consulting is a plus.
* Proficiency in Tableau is advantageous.
**Education**
* Bachelor’s degree in Finance, Mathematics, Actuarial Science, Data Science, Computer Science or a related field is required.
* A Master’s degree in a quantitative field or an MBA is strongly preferred.
**Why Join Us?**
 This is a unique opportunity to make a significant impact on Caremark’s Underwriting business. If you are a strategic thinker with a passion for analytics and a desire to drive meaningful change, we invite you to apply and be part of our dynamic team!
**Anticipated Weekly Hours**
 40
**Time Type**
 Full time
**Pay Range**
**The Typical Pay Range For This Role Is**
 $72,100\.00 \- $144,200\.00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01/13/2026
 Qualified applicants with arrest or conviction records will be considered for employment in accordance with all federal, state and local laws.</t>
        </is>
      </c>
    </row>
    <row r="108">
      <c r="A108" t="inlineStr">
        <is>
          <t>li-4359479369</t>
        </is>
      </c>
      <c r="B108" t="inlineStr">
        <is>
          <t>Senior Data Scientist, Marketing</t>
        </is>
      </c>
      <c r="C108" t="inlineStr">
        <is>
          <t>Hone Health</t>
        </is>
      </c>
      <c r="D108" t="inlineStr">
        <is>
          <t>linkedin</t>
        </is>
      </c>
      <c r="E108">
        <f>HYPERLINK("https://www.linkedin.com/jobs/view/4359479369", "https://www.linkedin.com/jobs/view/4359479369")</f>
        <v/>
      </c>
      <c r="F108">
        <f>HYPERLINK("https://grnh.se/i1rhv2zv8us&amp;urlHash=wPS4", "https://grnh.se/i1rhv2zv8us&amp;urlHash=wPS4")</f>
        <v/>
      </c>
      <c r="G108" t="inlineStr">
        <is>
          <t>New York, NY</t>
        </is>
      </c>
      <c r="H108" t="inlineStr"/>
      <c r="I108" t="inlineStr">
        <is>
          <t>**About Hone**
 Hone is an online medical clinic at the forefront of transforming healthcare and enhancing longevity. We use cutting\-edge scientific advancements to empower men and women to take control of their health and unlock their full potential. Our people are the heart of everything we do and drive our success. We approach every project through our brand values:
* Champion Patient Needs
* Execute Relentlessly
* Communicate Constructively
* Collaborate Generously
* Turn Obstacles Into Opportunity
* Give With Gratitude
 Hone has been fully virtual from day one and will continue to be a remote\-first employer.
**Our Ideal Candidate**
 Our ideal candidate is a mission\-driven, motivated multi\-tasker who is invested in work that is fulfilling and impactful. They embrace change and tackle challenges with enthusiasm. They have an "all\-in" disposition towards work, understanding that we are a fast\-paced, high\-growth organization with evolving priorities. They can excel at both independent tasks and collaborative work, leading with clear and candid communication. They exhibit humble leadership—the ability to drive initiatives forward while remaining excited about continuous learning and development opportunities. They feel strongly about being part of a team that advocates for people to live longer and better lives.
**The Role**
 Hone is looking for a Senior Data Scientist, Marketing to join our growing data team. In this role, you will report to the Sr. Director, Data, Analytics, and Machine Learning and partner closely with Marketing, Growth, and Product stakeholders to improve customer acquisition, conversion, and retention through data\-driven insights and modeling.
 You will focus on building and applying statistical models, experiments, and analyses that inform marketing strategy, optimize funnel performance, and improve customer lifetime value. This is a senior individual contributor role with significant ownership over execution and delivery. This role is ideal for someone who enjoys translating business questions into machine learning solutions, shipping high\-quality work independently, and collaborating cross\-functionally to drive tangible results.
**Primary Responsibilities**
 Key responsibilities for this role include (but are not limited to) the following:
* Partner with Marketing teams to analyze and optimize the full customer funnel, including acquisition, conversion, retention, and churn.
* Build and maintain statistical models and analyses related to key marketing use cases such as attribution, LTV, CAC, churn prediction, cohort analysis, and conversion optimization.
* Design, analyze, and interpret experiments (A/B and multivariate tests) across marketing channels and on\-site experiences, ensuring statistical rigor and clear recommendations.
* Translate ambiguous business questions into well\-scoped analytical projects with clear success metrics and timelines.
* Collaborate with data engineering and analytics engineering partners to define data requirements and ensure reliable, well\-modeled datasets for marketing analytics.
* Clearly communicate findings and recommendations to non\-technical stakeholders through presentations, dashboards, and written documentation.
* Contribute to shared analytics and modeling best practices within the data science team, including code quality, validation, and documentation.
* Support junior team members through informal mentorship, code review, and knowledge sharing where appropriate.
* Stay current on industry trends and techniques in marketing analytics, experimentation, and applied data science, and apply them pragmatically to Hone's context.
**Qualifications**
 In order to qualify for this role, candidates must meet the following criteria:
* 5\+ years of professional experience in Data Science, Analytics, or a related quantitative role.
* Master's degree in Statistics, Mathematics, Economics, Computer Science, or a related field.
* Strong proficiency in Python for data analysis, statistics, and modeling.
* Strong proficiency in SQL and experience working with production analytics datasets.
* Experience applying data science to marketing or growth problems, including funnel analysis, experimentation, attribution, or retention modeling.
* Solid understanding of statistical methods, experimentation design, and model evaluation.
* Experience working in cross\-functional, agile environments with marketing, product, or business stakeholders.
* Familiarity with version control (Git) and collaborative development workflows.
* Experience working in cloud\-based data environments (e.g., AWS, GCP, or Azure).
* Strong written and verbal communication skills, with the ability to explain complex analyses to non\-technical audiences.
* Ability to manage multiple priorities, work independently, and deliver high\-quality work in a fast\-paced environment.
**Benefits\***
 Hone wants our team to be in the best condition of their lives, so we offer a range of benefits including:
* A remote\-first work environment
* Competitive compensation and equity options
* Health, dental, and vision insurance coverage
* Short\-term disability and basic life coverage
* Flexible Spending Accounts (FSAs)
* Lifestyle Spending Accounts (LSAs)
* We follow federal holidays and have uncapped time off
* Budget for the technology tools you need (laptop, monitor, and/or special software)
* A focus on company\-sponsored activities to foster engagement (both virtual and in\-person)
* Waived membership fees for any Hone team members utilizing Hone products
* These benefits are available to full\-time, regular employees, and not to independent contractors, hourly or temporary employees, or interns.
 We are proud to be an equal\-opportunity workplace committed to building a team culture that celebrates diversity and inclusion. We will ensure that individuals with disabilities are provided reasonable accommodation to participate in the job application or interview process, to perform essential job functions. Please contact us to request accommodation.</t>
        </is>
      </c>
    </row>
    <row r="109">
      <c r="A109" t="inlineStr">
        <is>
          <t>li-4359619314</t>
        </is>
      </c>
      <c r="B109" t="inlineStr">
        <is>
          <t>Senior Data Scientist, Healthcare Operations</t>
        </is>
      </c>
      <c r="C109" t="inlineStr">
        <is>
          <t>Hone Health</t>
        </is>
      </c>
      <c r="D109" t="inlineStr">
        <is>
          <t>linkedin</t>
        </is>
      </c>
      <c r="E109">
        <f>HYPERLINK("https://www.linkedin.com/jobs/view/4359619314", "https://www.linkedin.com/jobs/view/4359619314")</f>
        <v/>
      </c>
      <c r="F109" t="inlineStr"/>
      <c r="G109" t="inlineStr">
        <is>
          <t>New York, NY</t>
        </is>
      </c>
      <c r="H109" t="inlineStr"/>
      <c r="I109" t="inlineStr">
        <is>
          <t>**About Hone**
 Hone is an online medical clinic at the forefront of transforming healthcare and enhancing longevity. We use cutting\-edge scientific advancements to empower men and women to take control of their health and unlock their full potential. Our people are the heart of everything we do and drive our success. We approach every project through our brand values:
* Champion Patient Needs
* Execute Relentlessly
* Communicate Constructively
* Collaborate Generously
* Turn Obstacles Into Opportunity
* Give With Gratitude
 Hone has been fully virtual from day one and will continue to be a remote\-first employer.
**Our Ideal Candidate**
 Our ideal candidate is a mission\-driven, motivated multi\-tasker who is invested in work that is fulfilling and impactful. They embrace change and tackle challenges with enthusiasm. They have an "all\-in" disposition towards work, understanding that we are a fast\-paced, high\-growth organization with evolving priorities. They can excel at both independent tasks and collaborative work, leading with clear and candid communication. They exhibit humble leadership—the ability to drive initiatives forward while remaining excited about continuous learning and development opportunities. They feel strongly about being part of a team that advocates for people to live longer and better lives.
**The Role**
 Hone is looking for a Senior Data Scientist, Healthcare Operations to join our data science team. In this role, you will report to the Sr. Director, Data, Analytics, and Machine Learning and focus on applying data science and AI to improve clinical outcomes and physician productivity across Hone's virtual care platform.
 You will work closely with clinical leadership, product, and engineering to design, build, and evaluate models and AI\-powered workflows that support care delivery, reduce operational friction, and enable clinicians to practice at the top of their license. This is a senior individual contributor role focused on execution and delivery, with ownership over well\-scoped, high\-impact projects. This role is ideal for someone who thrives at the intersection of healthcare, data science, and applied AI—and who wants their work to have direct, measurable impact on patient care.
**Primary Responsibilities**
 Key responsibilities for this role include (but are not limited to) the following:
* Partner with Clinical, Medical, and Operations teams to apply data science and AI to longevity\-focused care delivery, including hormone optimization, metabolic health, cardiovascular risk, and preventative care pathways.
* Develop and evaluate models and AI\-driven workflows that support clinicians in delivering personalized, evidence\-based longevity care at scale.
* Design and implement agentic AI workflows to assist with tasks such as longitudinal chart review, lab trend interpretation, clinical summarization, follow\-up planning, and patient outreach.
* Analyze longitudinal patient data; including labs, vitals, prescriptions, and engagement signals; to identify opportunities to improve outcomes, adherence, and care consistency over time.
* Build analytical frameworks to measure clinical effectiveness, physician productivity, and patient safety in a virtual care environment.
* Collaborate with product and engineering teams to integrate AI\-powered tools directly into telehealth clinical workflows, ensuring high usability and clinician trust.
* Define and track key performance indicators related to longevity outcomes (e.g., biomarker improvement, therapy adherence, patient engagement) and operational efficiency (e.g., time per visit, panel capacity).
* Evaluate and monitor AI\-assisted clinical tools with a focus on reliability, bias, and real\-world performance, incorporating clinician feedback and human\-in\-the\-loop controls.
* Communicate insights, tradeoffs, and recommendations clearly to clinical leaders and cross\-functional stakeholders.
* Contribute to shared standards and best practices for responsible, compliant AI use in longevity telehealth.
**Qualifications**
 In order to qualify for this role, candidates must meet the following criteria:
* 5\+ years of professional experience in Data Science, Machine Learning, Analytics, or a related quantitative role.
* Master's degree in a quantitative field (Statistics, Computer Science, Biomedical Informatics, etc.); advanced clinical training (e.g., MD, DO, RN, PA, NP) or equivalent healthcare experience is strongly preferred–we have multiple MDs in Data Science at Hone.
* Demonstrated experience working with healthcare data, clinical workflows, or care delivery systems.
* Demonstrated experience analyzing video with computer vision techniques
* Strong proficiency in Python for data analysis, modeling, and applied machine learning.
* Strong proficiency in SQL and experience working with complex, production healthcare datasets.
* Hands\-on experience building and evaluating applied ML or AI systems in real\-world settings.
* Familiarity with modern AI techniques, including LLM\-based systems and agentic or workflow\-driven AI approaches.
* Understanding of responsible AI considerations in healthcare, including safety, bias, and human oversight.
* Experience collaborating with cross\-functional partners in product, engineering, and clinical teams.
* Strong communication skills, with the ability to translate complex technical concepts into clear, actionable guidance for clinical stakeholders.
* Ability to manage multiple projects independently and deliver high\-quality work in a fast\-paced environment.
**Benefits\***
 Hone wants our team to be in the best condition of their lives, so we offer a range of benefits including:
* A remote\-first work environment
* Competitive compensation and equity options
* Health, dental, and vision insurance coverage
* Short\-term disability and basic life coverage
* Flexible Spending Accounts (FSAs)
* Lifestyle Spending Accounts (LSAs)
* We follow federal holidays and have uncapped time off
* Budget for the technology tools you need (laptop, monitor, and/or special software)
* A focus on company\-sponsored activities to foster engagement (both virtual and in\-person)
* Waived membership fees for any Hone team members utilizing Hone products
* These benefits are available to full\-time, regular employees, and not to independent contractors, hourly or temporary employees, or interns.
 We are proud to be an equal\-opportunity workplace committed to building a team culture that celebrates diversity and inclusion. We will ensure that individuals with disabilities are provided reasonable accommodation to participate in the job application or interview process, to perform essential job functions. Please contact us to request accommodation.</t>
        </is>
      </c>
    </row>
    <row r="110">
      <c r="A110" t="inlineStr">
        <is>
          <t>li-4352412438</t>
        </is>
      </c>
      <c r="B110" t="inlineStr">
        <is>
          <t>Data Scientist I: Network and Contracts</t>
        </is>
      </c>
      <c r="C110" t="inlineStr">
        <is>
          <t>Oscar Health</t>
        </is>
      </c>
      <c r="D110" t="inlineStr">
        <is>
          <t>linkedin</t>
        </is>
      </c>
      <c r="E110">
        <f>HYPERLINK("https://www.linkedin.com/jobs/view/4352412438", "https://www.linkedin.com/jobs/view/4352412438")</f>
        <v/>
      </c>
      <c r="F110">
        <f>HYPERLINK("https://app.greenhouse.io/embed/job_app?token=7527160&amp;gh_src=df2216f21&amp;urlHash=RbPR", "https://app.greenhouse.io/embed/job_app?token=7527160&amp;gh_src=df2216f21&amp;urlHash=RbPR")</f>
        <v/>
      </c>
      <c r="G110" t="inlineStr">
        <is>
          <t>New York, NY</t>
        </is>
      </c>
      <c r="H110" t="inlineStr"/>
      <c r="I110" t="inlineStr">
        <is>
          <t>Hi, we're Oscar. We're hiring a Data Scientist to join our Data team.
 Oscar is the first health insurance company built around a full stack technology platform and a relentless focus on serving our members. We started Oscar in 2012 to create the kind of health insurance company we would want for ourselves—one that behaves like a doctor in the family.
**About The Role**
 As a Data Scientist I, you will partner closely with our Market P\&amp;L, Tech and Legal teams to develop models and tooling to better understand Oscar's medical costs across its networks. You will develop a deep understanding of healthcare reimbursement and use various data sources to inform negotiations, establish reimbursement for out\-of\-network providers, and help manage medical costs for Oscar members.
 You will report into the Senior Data Scientist.
**Work Location:** 
 This position is based in our New York City office, requiring a hybrid work schedule with 3 days of in\-office work per week. Thursdays are a required in\-office day for team meetings and events, while your other two office days are flexible to suit your schedule.
**Pay Transparency:** 
 The base pay for this role is: $119,200\- $156,450 per year. You are also eligible for employee benefits, participation in Oscar's unlimited vacation program, company equity grants, and annual performance bonuses.
**Responsibilities**
* Responsible for the creation, implementation, and maintenance of data pipelines. This includes ensuring the accuracy, reliability, and timeliness of data flow with the support of a manager.
* Support upkeep and enhancement of our models. This involves regular model testing, validation, and refinement to ensure the models remain effective and up\-to\-date with the latest industry standards and practices.
* Develop advanced analytics and validation checks on data and statistical model outputs under the review of a manager at critical points. This includes identifying potential issues, anomalies, or inconsistencies in the data, and implementing corrective measures to ensure the integrity of our models and analyses.
* Collaborate closely with data leaders and business teams to enhance overall data processes. This involves understanding their needs and requirements, providing them with the necessary data support, and working together to develop strategies and solutions that improve our risk adjustment processes and outcomes.
* Compliance with all applicable laws and regulations
* Other duties as assigned
**Requirements**
* A bachelor's degree in a technical field OR 1\+ years of relevant work experience
* 1\+ years experience working with SQL or intermediate Python \[For example, working with multiple data sources]
* 1\+ years experience building data models and using more advanced analytics methods, including conducting in depth analysis, rather than simple descriptive analysis
**Bonus Points**
* Master's degree in a technical field
* Knowledge of or previous work experience in health care or health insurance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111">
      <c r="A111" t="inlineStr">
        <is>
          <t>li-4352354223</t>
        </is>
      </c>
      <c r="B111" t="inlineStr">
        <is>
          <t>Data Scientist II: Networks and Contracts</t>
        </is>
      </c>
      <c r="C111" t="inlineStr">
        <is>
          <t>Oscar Health</t>
        </is>
      </c>
      <c r="D111" t="inlineStr">
        <is>
          <t>linkedin</t>
        </is>
      </c>
      <c r="E111">
        <f>HYPERLINK("https://www.linkedin.com/jobs/view/4352354223", "https://www.linkedin.com/jobs/view/4352354223")</f>
        <v/>
      </c>
      <c r="F111" t="inlineStr"/>
      <c r="G111" t="inlineStr">
        <is>
          <t>New York, NY</t>
        </is>
      </c>
      <c r="H111" t="inlineStr"/>
      <c r="I111" t="inlineStr">
        <is>
          <t>Hi, we're Oscar. We're hiring a Data Scientist II to join our Data team.
 Oscar is the first health insurance company built around a full stack technology platform and a relentless focus on serving our members. We started Oscar in 2012 to create the kind of health insurance company we would want for ourselves—one that behaves like a doctor in the family.
**About The Role**
 Oscar's data team is focused on pushing our understanding of this complex landscape of health insurance. Insurance companies sit on a trove of data that is both broad and deep, spanning financial claims, clinical medical records, and rich product interaction data from our members. Connecting the dots across these datasets gives us unique insight into how the healthcare system functions and allows us to improve care coordination, better manage risk, build higher\-performing provider networks, and create a standout consumer experience in our product.
 As a Data Scientist II, you will partner closely with our Market P\&amp;L, Tech and Legal teams to develop models and tooling to better understand Oscar's medical costs across its networks. You will develop a deep understanding of healthcare reimbursement and use various data sources to inform negotiations, establish reimbursement for out\-of\-network providers, and help manage medical costs for Oscar members.
 You will report into the Senior Data Scientist.
**Work Location:** 
 This position is based in our New York City office, requiring a hybrid work schedule with 3 days of in\-office work per week. Thursdays are a required in\-office day for team meetings and events, while your other two office days are flexible to suit your schedule.
**Pay Transparency:** 
 The base pay for this role is: $131,200 \- $172,200 per year. You are also eligible for employee benefits, participation in Oscar's unlimited vacation program, company equity grants, and annual performance bonuses.
**Responsibilities**
* Responsible for the creation, implementation, and maintenance of data pipelines. This includes ensuring the accuracy, reliability, and timeliness of data flow with the support of a manager.
* Support upkeep and enhancement of our models. This involves regular model testing, validation, and refinement to ensure the models remain effective and up\-to\-date with the latest industry standards and practices.
* Develop advanced analytics and validation checks on data and statistical model outputs under the review of a manager at critical points. This includes identifying potential issues, anomalies, or inconsistencies in the data, and implementing corrective measures to ensure the integrity of our models and analyses.
* Collaborate closely with data leaders and business teams to enhance overall data processes. This involves understanding their needs and requirements, providing them with the necessary data support, and working together to develop strategies and solutions that improve our risk adjustment processes and outcomes.
* Ensures processes and policies are aligned with departmental strategies and roadmaps
* May mentor junior data scientists and/or analysts
* Compliance with all applicable laws and regulations
* Other duties as assigned
**Requirements**
* 3\+ years of industry or other quantitative technical fields (which may include academia).
* 2\+ years of work experience working with SQL, R, and/or Python to query, manipulate and analyze data
* 2\+ years experience building data models, using more advanced analytics methods, statistical modeling, and/or data processing
**Bonus Points**
* Masters degree in a quantitative or technical field
* Knowledge of or previous work experience in health care or health insurance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112">
      <c r="A112" t="inlineStr">
        <is>
          <t>li-4331598119</t>
        </is>
      </c>
      <c r="B112" t="inlineStr">
        <is>
          <t>Data Scientist (DMS Project)</t>
        </is>
      </c>
      <c r="C112" t="inlineStr">
        <is>
          <t>Foxconn Industrial Internet - FII</t>
        </is>
      </c>
      <c r="D112" t="inlineStr">
        <is>
          <t>linkedin</t>
        </is>
      </c>
      <c r="E112">
        <f>HYPERLINK("https://www.linkedin.com/jobs/view/4331598119", "https://www.linkedin.com/jobs/view/4331598119")</f>
        <v/>
      </c>
      <c r="F112" t="inlineStr"/>
      <c r="G112" t="inlineStr">
        <is>
          <t>Houston, TX</t>
        </is>
      </c>
      <c r="H112" t="inlineStr"/>
      <c r="I112" t="inlineStr">
        <is>
          <t>**Job Summary**
 This role is a software\- and data engineering–focused position responsible for turning real\-world user needs into production\-ready data pipelines, backend services, and data\-driven applications.
 The primary focus is on data processing, system integration, performance, and reliability, working closely with business and operational users to continuously improve systems and dashboards so that data can be accurately and effectively used in real operational scenarios.
 This role emphasizes building and operating reliable data systems rather than research\-oriented modeling or algorithm development.
**Key Responsibilities**
* Work closely with internal users (e.g., operations, manufacturing, or business teams) to understand real usage scenarios and translate requirements into system designs, data pipelines, and reporting specifications
* Design, build, and maintain reliable data pipelines (ETL) using SQL and Python
* Develop and maintain backend services and APIs to support data access, system integration, and application functionality
* Build and enhance BI dashboards and visualizations (e.g., Tableau) with a strong focus on data accuracy, usability, and real\-world adoption
* Collaborate with engineers, IT teams, and cross\-functional partners on system integration and workflow optimization
* Optimize system performance and architecture as data volume and usage patterns evolve
* Proactively monitor data quality and system reliability, identifying and resolving issues that impact user experience
* Collaborate with global engineering and data teams, including partners in Asia, to align on system design, data workflows, and implementation details.
 This role values production\-ready systems that are stable, accurate, and actually used, rather than model\-centric or research\-driven solutions.
**Qualifications**
**Must Have**
* Hands\-on experience with data processing, cleaning, and transformation, turning raw data into structured and usable datasets
* Proficiency in Python, SQL, and Git, with experience applying them in real projects
* Strong SQL skills; experience participating in or being familiar with database schema design, with an understanding of how data models support usage scenarios
* Backend development experience; experience participating in or being familiar with building APIs in Python to support system integration and data access
* Experience working with cross\-functional teams and the ability to clearly explain technical solutions and trade\-offs
* Experience collaborating with users to translate real\-world requirements into deployable systems, data workflows, or dashboards
**Nice to Have**
* Experience with Linux and Docker, including system deployment or operations
* Familiarity with CI/CD pipelines
* Experience with database performance tuning or large\-scale data processing
* Ability to communicate in Spanish or Chinese for work\-related discussions
* Comfortable working in a global, cross\-time\-zone collaboration environment</t>
        </is>
      </c>
    </row>
    <row r="113">
      <c r="A113" t="inlineStr">
        <is>
          <t>li-4331586554</t>
        </is>
      </c>
      <c r="B113" t="inlineStr">
        <is>
          <t>Data Scientist II for Published Clinical Evidence &amp; Competitive Intelligence Insights</t>
        </is>
      </c>
      <c r="C113" t="inlineStr">
        <is>
          <t>AbbVie</t>
        </is>
      </c>
      <c r="D113" t="inlineStr">
        <is>
          <t>linkedin</t>
        </is>
      </c>
      <c r="E113">
        <f>HYPERLINK("https://www.linkedin.com/jobs/view/4331586554", "https://www.linkedin.com/jobs/view/4331586554")</f>
        <v/>
      </c>
      <c r="F113">
        <f>HYPERLINK("https://careers.abbvie.com/en/job/data-scientist-ii-for-published-clinical-evidence-and-competitive-intelligence-insights-in-south-san-francisco-ca-jid-23251?_atxsrc=LinkedIn&amp;utm_source=LinkedIn&amp;src=LinkedIn&amp;urlHash=NvWT", "https://careers.abbvie.com/en/job/data-scientist-ii-for-published-clinical-evidence-and-competitive-intelligence-insights-in-south-san-francisco-ca-jid-23251?_atxsrc=LinkedIn&amp;utm_source=LinkedIn&amp;src=LinkedIn&amp;urlHash=NvWT")</f>
        <v/>
      </c>
      <c r="G113" t="inlineStr">
        <is>
          <t>South San Francisco, CA</t>
        </is>
      </c>
      <c r="H113" t="inlineStr"/>
      <c r="I113"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AbbVie’s global Information Research (IR) group has a mission to unlock information that makes cures possible. Within IR, the Enterprise Knowledge Accelerator (EKA) team is the trusted knowledge partner for clients in R\&amp;D and the Corporate Business \&amp; Strategy Office (CBSO). EKA drives innovation and enhances knowledge\-sharing across the value chain, for better and faster decisions that impact advancement in our pipeline. The team is a global organization, with presences at the Lake County, Illinois headquarters and Boston, Massachusetts areas (US), as well as the Ludwigshafen site (Germany). Leveraging cutting\-edge technologies and scientific expertise, we deliver industry\-leading capabilities to harness insights from published content for high\-impact decision\-making. Our team possesses the scientific and technical expertise to utilize and provide guidance on a wide range of knowledge sources, ensuring high\-quality answers for our clients.
 The Data Scientist will join the Solutions for Published Insights and Client Enablement (SPICE) team, supporting AbbVie’s R\&amp;D, CBSO and other business functions enterprise wide. SPICE provides business partnership, resource consultancy, ad\-hoc research support for business\-critical questions, knowledge and insights mining and analysis, as well as designing and building innovative self\-service solutions for insights generation from published resources and internal knowledge. This includes literature, patent, conference, news, clinical trial, and competitive intelligence data such as competitor pipelines.
 The Data Scientist should have sufficiently strong background in both science and technology to fulfil this role and demonstrate high motivation to expand their knowledge in a pharma context and as SME for key client groups. The role is expected to collaborate effectively within SPICE, EKA, and the larger IR organization, driving impactful results for all of AbbVie. Responsibilities include developing novel AI\-based capabilities for extracting, harmonizing, and monitoring published clinical trial data, real\-world evidence, and other competitive insights. They will closely collaborate with internal expert teams to define requirements and integrate manually curated data and insights, thereby supporting pipeline strategy, corporate strategy, and commercial teams with essential intelligence for advancing AbbVie’s pipeline.
**Responsibilities**
* Leverage scientific domain and technical knowledge to support clients across AbbVie with the most relevant information and published insights for decision\-making. Key focus: Competitive Intelligence, Corporate and Pipeline Strategy groups and data.
* Build and design new methods and automated workflows to systematically identify, extract, normalize and database key insights and evidence from publications as well as other published sources using GenAI and other state\-of\-the\-art technology and data science solutions
* Work with key stakeholders and expert teams to identify novel sources for manually curated competitive intelligence and clinical trial data and integrate in existing workflows to democratize access across AbbVie
* Support efforts for streamlining AbbVie’s systematic literature review process and knowledge extraction from (full\-text) publication resources
* Provide unique scientific insights and expertise by designing and developing solutions for finding, extracting, curating, and visualizing knowledge from published and internal data
* Monitor and be attuned to new technology trends relevant for knowledge analysis and insights discovery
* Achieve great results, while overwhelmingly demonstrating key AbbVie values and behaviors.
**Qualifications**
 Required:
* Bachelor’s degree (with 5 years of experience), Master’s (4 years), or Ph.D. (0\-2 years) in life sciences, medicine, pharmacy, bioinformatics, biomedical/clinical data science, or related field
* Solid scientific domain knowledge in late\-stage pharmaceutical development—Medical Affairs, Clinical Development, Pharmacovigilance, HEOR, Epidemiology—proven by education or work experience
* Solid programming and informatics/data science/computer science background. Proficiency in Python.
* Experience analyzing publications, especially scientific literature
* Proven ability to translate complex scientific or clinical questions into actionable solutions and insights
* Initial experience with data consolidation, standardization, optimization, or exploratory data analysis
* Experience with relational databases and SQL (e.g., Oracle, Apache Hadoop)
* Strong analytical skills to process, analyze, visualize, and present results
* Systematic problem\-solving mindset, reliability, superior attention to detail
* Good communication skills for interdisciplinary teams and various audiences
* Good organizational skills: balance taking direction (from sponsors, partners, clients) with initiative for multiple projects
* Comfortable working in a dynamic, collaborative, fast\-paced environment with constantly shifting priorities
* Innate scientific curiosity, technical creativity, and innovative thinking. Motivated to break new ground in the field of information analysis and insights generation.
* Fluency in English
 Beneficial:
* Pharmaceutical industry experience.
* Experience with front\-end technologies (HTML, JavaScript, CSS, React)
* Basic working experience with Linux/Unix\-based OS and Docker
* Experience with GenAI models for knowledge extraction, their pitfalls, prompting and embedding them within Python workflows
* Basic understanding of agents/agentic workflows (MCP, A2A)
* Experience with drug pipeline or trial competitive intelligence databases (e.g., Clarivate’s Cortellis, Citeline’s Trialtrove, Pharmaprojects)
* Experience with data pipeline frameworks, text mining, NLP, semantic enrichment, ontologies, or data mining
* Knowledge of technologies for retrieval, analysis, and visualization (e.g., REST APIs, XML, JSON, Python libraries like Pydantic)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114">
      <c r="A114" t="inlineStr">
        <is>
          <t>li-4352385096</t>
        </is>
      </c>
      <c r="B114" t="inlineStr">
        <is>
          <t>Data Scientist   Identity Focus</t>
        </is>
      </c>
      <c r="C114" t="inlineStr">
        <is>
          <t>PlanIT Group, LLC</t>
        </is>
      </c>
      <c r="D114" t="inlineStr">
        <is>
          <t>linkedin</t>
        </is>
      </c>
      <c r="E114">
        <f>HYPERLINK("https://www.linkedin.com/jobs/view/4352385096", "https://www.linkedin.com/jobs/view/4352385096")</f>
        <v/>
      </c>
      <c r="F114" t="inlineStr"/>
      <c r="G114" t="inlineStr">
        <is>
          <t>Falls Church, VA</t>
        </is>
      </c>
      <c r="H114" t="inlineStr"/>
      <c r="I114" t="inlineStr">
        <is>
          <t>Data Scientist – Identity Focus
**Requirements**
 Data Scientist with Identity focus dedicated to analyzing data related to fraud as a result of identity verification and validation challenges. This individual will support our existing team with the following requirements:
* 3\+ years of experience as a data engineer / data analyst
* 3\+ years architecting and engineering Machine Learning/AI based solutions to large scale enterprise problems solving anomaly detection, entity behavior evaluation and prediction, and data quality improvement
* Experience with data platforms and analytics tools (specifically Databricks and Zingg)
* Experience with NoSQL, R, or Python and Spark
* Experience with advanced data modeling and how to make that data usable for meeting mission requirements (including entity resolution)
* Experience implementing of Extract, Transform, Load (ETL) technologies
* Experience in working with highly structured data
* Experience with data visualization packages
* Ability to communicate and collaborate with multiple functional groups
 Seeking an individual whose qualifications and/or expertise are exceptional and/or highly specialized or unique; and are typically identified as recognized industry leaders: and typically initiates, supervises, and/or develops requirements from a project’s inception to conclusion for complex to extremely complex programs; and provides strategic and expert advice and technical guidance, to program and project staff.
 This individual also provides detailed analysis, evaluation and recommendations for improvements, optimization development, and/or maintenance efforts for client\-specific or mission critical challenges/issues; and consults with client to define needs or challenges; while also supervising studies: leading surveys and performing data collection for analyses used to advise and recommend/suggest solutions.
* A minimum of eight (8\) to twelve (12\) years’ relevant experience.
* A degree from an accredited College/University in the applicable field of services is required. If the individual's degree is not in the applicable field then four additional years of related experience is required.
* Typically performs all functional duties independently.
* Note: Special credentials (licenses and/or certifications) may be required at the Task Order level on a case\-specific basis.</t>
        </is>
      </c>
    </row>
    <row r="115">
      <c r="A115" t="inlineStr">
        <is>
          <t>li-4331527306</t>
        </is>
      </c>
      <c r="B115" t="inlineStr">
        <is>
          <t>Data Scientist-Statistics OR Operations Research</t>
        </is>
      </c>
      <c r="C115" t="inlineStr">
        <is>
          <t>FM</t>
        </is>
      </c>
      <c r="D115" t="inlineStr">
        <is>
          <t>linkedin</t>
        </is>
      </c>
      <c r="E115">
        <f>HYPERLINK("https://www.linkedin.com/jobs/view/4331527306", "https://www.linkedin.com/jobs/view/4331527306")</f>
        <v/>
      </c>
      <c r="F115">
        <f>HYPERLINK("https://jobs.fmglobalcareers.com/job/-/-/474/87271138000&amp;urlHash=OUbl", "https://jobs.fmglobalcareers.com/job/-/-/474/87271138000&amp;urlHash=OUbl")</f>
        <v/>
      </c>
      <c r="G115" t="inlineStr">
        <is>
          <t>Johnston, RI</t>
        </is>
      </c>
      <c r="H115" t="inlineStr"/>
      <c r="I115" t="inlineStr">
        <is>
          <t>Established nearly two centuries ago, FM is a leading mutual insurance company whose capital, scientific research capability and engineering expertise are solely dedicated to property risk management and the resilience of its policyholder\-owners. These owners, who share the belief that the majority of property loss is preventable, represent many of the world’s largest organizations, including one of every four Fortune 500 companies. They work with FM to better understand the hazards that can impact their business continuity to make cost\-effective risk management decisions, combining property loss prevention with insurance protection.
 As a Data Scientist, you will focus on translating business needs into analytics, interpretation of analytics into business applications, sophisticated technologies, and artificial intelligence solutions. This role will allow you to innovate, explore, and build solutions for FM using new technologies. You will develop and apply statistics, artificial intelligence, machine learning, and deep learning to various business problems in loss prevention.
 You’ll be part of our innovative and diverse team of sophisticated data and analytics professionals. You’ll work alongside multiple departments, including operations, innovation, business technology transformation, underwriting, and engineering. Through constant learning, innovation, discovery, and collaboration you’ll not only help FM deliver on the promise of loss prevention, but you’ll also grow your career and the scope of your impact across our company.
 Using your creativity and applying a vast array of techniques and tools, you will plan, conduct, and advise the development and evaluation of real\-world, large\-scale problems using artificial intelligence/machine learning with minimal or limited supervision.
 Your projects will be interesting, exciting and ambitious! You will use statistics to advance the mission and goals of FM.
 Ph.D. in Statistics, Biostatistics or Operational Research with 2\+ years of industry experience or a Master’s degree with 5\+ years of industry working experience in data science modelling
 5\+ years of experience of data processing, statistical analysis and modelling using tools such as Python,R, or SQL
 2\+ years of experience of working with cloud data analytics platform, such as Databricks
**Advanced Knowledge And Working Experience In**
 Generalized Linear Models (Logistic Regression, Zero\-Inflated Model, etc.)
 Model Regularization
 Probability Distributions
 Hypothesis testing
 Statistical Inference
 Machine Learning (Random Forest, Clustering, Gradient Descent, Gradient Boosting, etc.)
 Simulation
 Experiment Design
 Non\-Parametric Statistics
 Experience as the lead role of full\-cycle data science projects
 Working experience in risk management and/or property insurance is strongly preferred
 Compensation, Grade, and Job Title will be determined based on qualifications, experience, and technical skillset.
 The position is eligible to participate in FM's comprehensive Total Rewards program that includes an incentive plan, generous health and well\-being programs, a 401(k) and pension plan, career development opportunities, tuition reimbursement, flexible work, paid time off allowances and much more.
 FM is an Equal Opportunity Employer and is committed to attracting, developing, and retaining a diverse workforce.</t>
        </is>
      </c>
    </row>
    <row r="116">
      <c r="A116" t="inlineStr">
        <is>
          <t>li-4359940694</t>
        </is>
      </c>
      <c r="B116" t="inlineStr">
        <is>
          <t>Staff Data Scientist - Product</t>
        </is>
      </c>
      <c r="C116" t="inlineStr">
        <is>
          <t>Gusto</t>
        </is>
      </c>
      <c r="D116" t="inlineStr">
        <is>
          <t>linkedin</t>
        </is>
      </c>
      <c r="E116">
        <f>HYPERLINK("https://www.linkedin.com/jobs/view/4359940694", "https://www.linkedin.com/jobs/view/4359940694")</f>
        <v/>
      </c>
      <c r="F116" t="inlineStr"/>
      <c r="G116" t="inlineStr"/>
      <c r="H116" t="inlineStr"/>
      <c r="I116"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Gusto is looking for highly skilled and motivated Data Scientists with extensive experience (7\+ years) applying their expertise in a business environment. As a Staff Data Scientist, you will play a crucial role in leveraging experimentation, statistical inference, and causal analysis to drive strategic decision making that contributes to the overall success of our organization. The ideal candidate is a trusted data storyteller with strong statistical and coding skills, and a passion for applying these skills to help small businesses thrive.
**About The Team**
 In this role you will work closely with our Product, Engineering, Design, Finance, and other Data teams to become an expert in the data for your domain, define and track metrics that help us understand our business performance, and dive deep into our Payroll, Benefits, and HR data to deliver insights and answer questions. You’ll also integrate AI\-assisted practices to accelerate analysis, enhance rigor, and expand the reach of insights across Gusto. We have multiple senior roles open, each focused on a different area of our business.
**Here’s What You’ll Do Day\-to\-day**
* Lead: Own ambiguous problems, design analysis frameworks, and introduce structure that scales across multiple product domains.
* Strategic Partnership: Collaborate with product managers, engineering leads, designers, and operations teams to proactively identify opportunities, align on strategy, and guide data\-informed decision\-making.
* Analytical Rigor: Apply advanced statistical methods, causal inference, experimentation, and AI\-assisted analytics to surface drivers of product performance, separating signal from noise.
* Experimentation \&amp; Measurement: Design, analyze, and interpret experiments; ensure insights highlight trade\-offs and limitations based on sample size and data quality.
* Execution: Deliver multiple high\-impact projects, balancing trade\-offs to maximize business value, and maintain clear expectations of deliverables and timelines.
* Communication: Present complex findings in a structured, compelling way to technical and non\-technical stakeholders, fostering a data\-informed mindset across the company.
* Independence: Work with minimal guidance to prioritize, create, and deliver data science roadmaps, proactively resolving conflicts or misalignment across stakeholders.
* Scaling the Craft: Mentor other data practitioners, up\-level team best practices in experimentation, statistical modeling, and metric interpretation. Drive improvements in data quality, rigor, and adoption of better data capabilities leveraging AI\-native tools and workflows across the org.
**Here’s What We're Looking For**
* 7–10 years of experience in Data Science at a product\-focused software company.
* Strong SQL skills and comfort with Python
* Proven ability to apply statistical methods, causal inference, AI tools, and experimental design to real business problems.
* Excellent communication skills, with a track record of influencing cross\-functional stakeholders and leadership.
* Demonstrated experience leading large, technically complex projects with clear business impact.
* A proactive, resilient problem\-solver who independently structures ambiguous problems into actionable insights.
* Passion for mentoring others and raising the bar for data science craft across the team.
* BS/MS/PhD in a quantitative field (Statistics, Economics, Computer Science, Applied Math, etc.) or equivalent industry experience.
 Our cash compensation amount for this role is targeted at $154,000/yr \- $181,000/yr in Denver, $168,000/yr \- $198,000/yr in Los Angeles, $186,000/yr \- $225,000 for San Francisco, Seattle and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17">
      <c r="A117" t="inlineStr">
        <is>
          <t>li-4359781208</t>
        </is>
      </c>
      <c r="B117" t="inlineStr">
        <is>
          <t>Staff Data Scientist - Product</t>
        </is>
      </c>
      <c r="C117" t="inlineStr">
        <is>
          <t>Gusto</t>
        </is>
      </c>
      <c r="D117" t="inlineStr">
        <is>
          <t>linkedin</t>
        </is>
      </c>
      <c r="E117">
        <f>HYPERLINK("https://www.linkedin.com/jobs/view/4359781208", "https://www.linkedin.com/jobs/view/4359781208")</f>
        <v/>
      </c>
      <c r="F117">
        <f>HYPERLINK("https://job-boards.greenhouse.io/gusto/jobs/7524662?gh_src=80fddc691us&amp;urlHash=bw8c", "https://job-boards.greenhouse.io/gusto/jobs/7524662?gh_src=80fddc691us&amp;urlHash=bw8c")</f>
        <v/>
      </c>
      <c r="G117" t="inlineStr"/>
      <c r="H117" t="inlineStr"/>
      <c r="I117"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Gusto is looking for highly skilled and motivated Data Scientists with extensive experience (7\+ years) applying their expertise in a business environment. As a Staff Data Scientist, you will play a crucial role in leveraging experimentation, statistical inference, and causal analysis to drive strategic decision making that contributes to the overall success of our organization. The ideal candidate is a trusted data storyteller with strong statistical and coding skills, and a passion for applying these skills to help small businesses thrive.
**About The Team**
 In this role you will work closely with our Product, Engineering, Design, Finance, and other Data teams to become an expert in the data for your domain, define and track metrics that help us understand our business performance, and dive deep into our Payroll, Benefits, and HR data to deliver insights and answer questions. You’ll also integrate AI\-assisted practices to accelerate analysis, enhance rigor, and expand the reach of insights across Gusto. We have multiple senior roles open, each focused on a different area of our business.
**Here’s What You’ll Do Day\-to\-day**
* Lead: Own ambiguous problems, design analysis frameworks, and introduce structure that scales across multiple product domains.
* Strategic Partnership: Collaborate with product managers, engineering leads, designers, and operations teams to proactively identify opportunities, align on strategy, and guide data\-informed decision\-making.
* Analytical Rigor: Apply advanced statistical methods, causal inference, experimentation, and AI\-assisted analytics to surface drivers of product performance, separating signal from noise.
* Experimentation \&amp; Measurement: Design, analyze, and interpret experiments; ensure insights highlight trade\-offs and limitations based on sample size and data quality.
* Execution: Deliver multiple high\-impact projects, balancing trade\-offs to maximize business value, and maintain clear expectations of deliverables and timelines.
* Communication: Present complex findings in a structured, compelling way to technical and non\-technical stakeholders, fostering a data\-informed mindset across the company.
* Independence: Work with minimal guidance to prioritize, create, and deliver data science roadmaps, proactively resolving conflicts or misalignment across stakeholders.
* Scaling the Craft: Mentor other data practitioners, up\-level team best practices in experimentation, statistical modeling, and metric interpretation. Drive improvements in data quality, rigor, and adoption of better data capabilities leveraging AI\-native tools and workflows across the org.
**Here’s What We're Looking For**
* 7–10 years of experience in Data Science at a product\-focused software company.
* Strong SQL skills and comfort with Python
* Proven ability to apply statistical methods, causal inference, AI tools, and experimental design to real business problems.
* Excellent communication skills, with a track record of influencing cross\-functional stakeholders and leadership.
* Demonstrated experience leading large, technically complex projects with clear business impact.
* A proactive, resilient problem\-solver who independently structures ambiguous problems into actionable insights.
* Passion for mentoring others and raising the bar for data science craft across the team.
* BS/MS/PhD in a quantitative field (Statistics, Economics, Computer Science, Applied Math, etc.) or equivalent industry experience.
 Our cash compensation amount for this role is targeted at $154,000/yr \- $181,000/yr in Denver, $168,000/yr \- $198,000/yr in Los Angeles, $186,000/yr \- $225,000 for San Francisco, Seattle and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18">
      <c r="A118" t="inlineStr">
        <is>
          <t>li-4359960654</t>
        </is>
      </c>
      <c r="B118" t="inlineStr">
        <is>
          <t>Staff Data Scientist - Product</t>
        </is>
      </c>
      <c r="C118" t="inlineStr">
        <is>
          <t>Gusto</t>
        </is>
      </c>
      <c r="D118" t="inlineStr">
        <is>
          <t>linkedin</t>
        </is>
      </c>
      <c r="E118">
        <f>HYPERLINK("https://www.linkedin.com/jobs/view/4359960654", "https://www.linkedin.com/jobs/view/4359960654")</f>
        <v/>
      </c>
      <c r="F118">
        <f>HYPERLINK("https://job-boards.greenhouse.io/gusto/jobs/7524662?gh_src=80fddc691us&amp;urlHash=bw8c", "https://job-boards.greenhouse.io/gusto/jobs/7524662?gh_src=80fddc691us&amp;urlHash=bw8c")</f>
        <v/>
      </c>
      <c r="G118" t="inlineStr"/>
      <c r="H118" t="inlineStr"/>
      <c r="I118"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Gusto is looking for highly skilled and motivated Data Scientists with extensive experience (7\+ years) applying their expertise in a business environment. As a Staff Data Scientist, you will play a crucial role in leveraging experimentation, statistical inference, and causal analysis to drive strategic decision making that contributes to the overall success of our organization. The ideal candidate is a trusted data storyteller with strong statistical and coding skills, and a passion for applying these skills to help small businesses thrive.
**About The Team**
 In this role you will work closely with our Product, Engineering, Design, Finance, and other Data teams to become an expert in the data for your domain, define and track metrics that help us understand our business performance, and dive deep into our Payroll, Benefits, and HR data to deliver insights and answer questions. You’ll also integrate AI\-assisted practices to accelerate analysis, enhance rigor, and expand the reach of insights across Gusto. We have multiple senior roles open, each focused on a different area of our business.
**Here’s What You’ll Do Day\-to\-day**
* Lead: Own ambiguous problems, design analysis frameworks, and introduce structure that scales across multiple product domains.
* Strategic Partnership: Collaborate with product managers, engineering leads, designers, and operations teams to proactively identify opportunities, align on strategy, and guide data\-informed decision\-making.
* Analytical Rigor: Apply advanced statistical methods, causal inference, experimentation, and AI\-assisted analytics to surface drivers of product performance, separating signal from noise.
* Experimentation \&amp; Measurement: Design, analyze, and interpret experiments; ensure insights highlight trade\-offs and limitations based on sample size and data quality.
* Execution: Deliver multiple high\-impact projects, balancing trade\-offs to maximize business value, and maintain clear expectations of deliverables and timelines.
* Communication: Present complex findings in a structured, compelling way to technical and non\-technical stakeholders, fostering a data\-informed mindset across the company.
* Independence: Work with minimal guidance to prioritize, create, and deliver data science roadmaps, proactively resolving conflicts or misalignment across stakeholders.
* Scaling the Craft: Mentor other data practitioners, up\-level team best practices in experimentation, statistical modeling, and metric interpretation. Drive improvements in data quality, rigor, and adoption of better data capabilities leveraging AI\-native tools and workflows across the org.
**Here’s What We're Looking For**
* 7–10 years of experience in Data Science at a product\-focused software company.
* Strong SQL skills and comfort with Python
* Proven ability to apply statistical methods, causal inference, AI tools, and experimental design to real business problems.
* Excellent communication skills, with a track record of influencing cross\-functional stakeholders and leadership.
* Demonstrated experience leading large, technically complex projects with clear business impact.
* A proactive, resilient problem\-solver who independently structures ambiguous problems into actionable insights.
* Passion for mentoring others and raising the bar for data science craft across the team.
* BS/MS/PhD in a quantitative field (Statistics, Economics, Computer Science, Applied Math, etc.) or equivalent industry experience.
 Our cash compensation amount for this role is targeted at $154,000/yr \- $181,000/yr in Denver, $168,000/yr \- $198,000/yr in Los Angeles, $186,000/yr \- $225,000 for San Francisco, Seattle and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19">
      <c r="A119" t="inlineStr">
        <is>
          <t>li-4332274734</t>
        </is>
      </c>
      <c r="B119" t="inlineStr">
        <is>
          <t>Senior Data Scientist - Marketing</t>
        </is>
      </c>
      <c r="C119" t="inlineStr">
        <is>
          <t>Intelletec</t>
        </is>
      </c>
      <c r="D119" t="inlineStr">
        <is>
          <t>linkedin</t>
        </is>
      </c>
      <c r="E119">
        <f>HYPERLINK("https://www.linkedin.com/jobs/view/4332274734", "https://www.linkedin.com/jobs/view/4332274734")</f>
        <v/>
      </c>
      <c r="F119" t="inlineStr"/>
      <c r="G119" t="inlineStr"/>
      <c r="H119" t="inlineStr"/>
      <c r="I119" t="inlineStr">
        <is>
          <t>Intelletec has been engaged to identify a world\-class Senior Data Scientist for a mission\-driven technology organization shaping the future of the internet. This company’s products are used by hundreds of millions of people worldwide, and its work sits at the intersection of data science, growth, experimentation, and ethical technology.
 This is a rare opportunity to apply your technical depth and analytical leadership to challenges that truly matter, helping to build technology that prioritizes people and privacy while driving meaningful business impact.
 The Role
 As a Senior Data Scientist on the Marketing team, you’ll play a central role in answering complex business questions, designing world\-class measurement systems, and driving smarter marketing investment decisions.
 You’ll partner closely with marketing, product, and data leaders to transform ambiguous problems into actionable insights, building end\-to\-end solutions that span data instrumentation, experimentation, modeling, and storytelling.
 This is a hands\-on, high\-ownership role in a fast\-moving environment where your work will directly influence growth, revenue, and how marketing is done at scale.
 What You’ll Do
* Own marketing experiments end\-to\-end, from design through execution and impact measurement
* Build and improve Python\-based measurement and experimentation pipelines
* Partner with senior engineers and data scientists to evolve the data infrastructure and analytical tooling
* Create clear, high\-impact dashboards and monitoring tools that surface what matters most
* Lead deep\-dive analyses across performance, audience behavior, monetization, attribution, and data quality
* Translate complex findings into concise recommendations that influence strategy and budget decisions
 What You Bring
* 2–3\+ years of experience in data science, analytics, or quantitative research (marketing or growth experience strongly preferred)
* Advanced SQL and hands\-on experience working with large relational datasets
* Strong proficiency with Python and modern analytics / visualization tools (e.g., Looker, Redash)
* Deep understanding of statistical inference, experimentation, and hypothesis testing
* Bonus points for experience with geo experiments, causal inference, or synthetic control methods
* Familiarity with digital marketing platforms such as Google Analytics, Google Ads, Meta Business Suite
* Exceptional problem\-solving skills and the ability to tell clear stories with data</t>
        </is>
      </c>
    </row>
    <row r="120">
      <c r="A120" t="inlineStr">
        <is>
          <t>li-4332246979</t>
        </is>
      </c>
      <c r="B120" t="inlineStr">
        <is>
          <t>Data Scientist - environmental engineering (remote allowed)</t>
        </is>
      </c>
      <c r="C120" t="inlineStr">
        <is>
          <t>Brown and Caldwell</t>
        </is>
      </c>
      <c r="D120" t="inlineStr">
        <is>
          <t>linkedin</t>
        </is>
      </c>
      <c r="E120">
        <f>HYPERLINK("https://www.linkedin.com/jobs/view/4332246979", "https://www.linkedin.com/jobs/view/4332246979")</f>
        <v/>
      </c>
      <c r="F120" t="inlineStr"/>
      <c r="G120" t="inlineStr"/>
      <c r="H120" t="inlineStr"/>
      <c r="I120" t="inlineStr">
        <is>
          <t>As a
 **Data Scientist / Machine Learning Engineer** 
 at Brown and Caldwell (BC), a leading environmental engineering firm, you will play a pivotal role in designing, building, and deploying advanced analytics and machine learning models that solve complex water and environmental challenges. We are using modern technology to transform the way that water is managed across the country. Your work will directly impact our ability to build digital solutions that ensure a future of clean water, thriving communities, and environmental protection.
 The Data Scientist role is strategically important because it sits at the intersection of BC’s engineering expertise and the rapidly expanding digital future of the water industry. It brings advanced analytics, AI, machine learning, and real\-time decision support into a field where these capabilities are becoming essential for our clients.
**This Position**
* Modernizes BC’s service offerings.
* Supports our engineers across all practices.
* Improves quality and speed of deliverables.
* Helps build a forward\-looking technical culture.
* Enhances our ability to generate and deliver digital value to clients.
**The Ideal Candidate Will Have**
* Data science \+ ML depth.
* Background in water, civil, or environmental engineering (or interest /willingness to learn the industry).
* Fresh ideas on how to refine/rethink methods on how BC delivers analytics.
* Aptitude to “sell” digital/AI solutions and communicate value to clients.
 Remote work is allowed within the U.S.
**Responsibilities**
* Collaborate with interdisciplinary teams of environmental engineers, data engineers, and software developers to translate complex environmental problems into scalable data science and machine learning solutions.
* Design, train, and validate machine learning models (supervised, unsupervised, and deep learning) using data from various sources, including high\-frequency IoT sensor data, historical records, and geospatial information.
* Lead the end\-to\-end ML lifecycle, from exploratory data analysis (EDA) and feature engineering to model training, hyperparameter tuning, and deployment.
* Develop and implement MLOps practices to ensure models are scalable, reproducible, and monitored for performance drift in production environments.
* Apply advanced statistical methods and time\-series analysis to support demand forecasting, anomaly detection in infrastructure, and predictive maintenance.
* Collaborate with Data Engineers to guide the design of data infrastructure, ensuring that datasets are optimized for analytical modeling and machine learning workloads.
* Stay up to date with emerging technologies, tools, and best practices in AI, Large Language Models (LLMs), and environmental engineering to drive continuous improvement.
**Required Qualifications** 
* Bachelor's in Computer Science, Data Science, Statistics, Applied Mathematics, Engineering, or a related field.
* Minimum of 5 years of experience in data science, machine learning engineering, or advanced analytics in a professional setting.
* Core Programming: High proficiency in Python (pandas, numpy, scikit\-learn) and SQL.
* Big Data \&amp; Distributed Computing: Hands\-on experience with PySpark and distributed training frameworks.
* Experience with Azure platform, DevSecOps, and MLOps, specifically:
+ Azure Machine Learning Studio (managing experiments, model registry, endpoints).
+ Azure Databricks and Azure Synapse Analytics.
+ Azure Cognitive Services / OpenAI API integration.
* Experience developing functional data processing workflows to transform raw data into reliable input for ML algorithms.
* Strong problem\-solving skills and the ability to work in a collaborative, cross\-functional environment.
* Excellent communication skills to interact with technical and non\-technical stakeholders, with the ability to explain complex model outputs to engineering leaders.
* A passion for staying updated with the latest trends, tools, and technologies in data science and environmental engineering.
**Preferred Qualifications**
* Master's degree in Computer Science, Data Science, Statistics, Applied Mathematics, Engineering, or a related field.
* 8\+ years of experience in data science, machine learning engineering, or advanced analytics in a professional setting.
* Machine Learning \&amp; Statistics: Solid understanding of ML algorithms (Regression, Clustering, Random Forests, Gradient Boosting, Neural Networks) and statistical concepts. Experience with Deep Learning frameworks (TensorFlow, PyTorch).
* MLOps \&amp; Engineering: Demonstrated knowledge of software engineering principles, version control (Git), and best practices for writing clean, production\-ready code. Experience with CI/CD for ML (e.g., GitHub Actions, Azure DevOps).
* IoT \&amp; Time\-Series: Experience with streaming data processing and time\-series forecasting, particularly for IoT and edge compute applications.
* Geospatial: Knowledge of geospatial data processing and analysis (GIS, GeoPandas).
* Demonstrated ability to engage with clients to identify needs and effectively sell or position data–driven consulting solutions, including translating technical capabilities into clear business value.
**Salary Range:** 
 The anticipated starting pay range for this position is based on the employee’s primary work location and may be more or less depending upon skills, experience, and education. These ranges may be modified in the future.
 Location A: $118,000 \- $161,000
 Location B: $130,000 \- $177,000
 Location C: $142,000 \- $194,000
 You can view which BC location applies to you here. If you have any questions, please speak with your Recruiter.
**Benefits and Other Compensation** 
 : We provide a comprehensive benefits package that promotes employee health, performance, and success which includes medical, dental, vision, short and long\-term disability, life insurance, an employee assistance program, paid time off and parental leave, paid holidays, 401(k) retirement savings plan with employer match, performance\-based bonus eligibility, employee referral bonuses, tuition reimbursement, pet insurance and long\-term care insurance. Click here to see our full list of benefits.
**About Brown And Caldwell**
 Headquartered in Walnut Creek, California, Brown and Caldwell is a full\-service environmental engineering and construction services firm with 50 offices and over 2,100 professionals across North America and the Pacific. For more than 75 years, we have created leading\-edge environmental solutions for municipalities, private industry, and government agencies. We strive to be the company of choice—to our clients, who benefit from our passion for delivering exceptional quality, and to our employees, present and future, who share our commitment to client service, collaboration, and innovation. Join us, and you will find a home where you can do your best work, reach new levels of expertise, and enjoy exceptional development opportunities. For more information, visit www.brownandcaldwell.com
 This position is subject to a pre\-employment background check and a pre\-employment drug test.
 Notice to Third Party Agencies: Brown and Caldwell does not accept unsolicited resumes from recruiters or employment agencies. In the event a recruiter or agency submits a resume or candidate without a previously signed agreement and approved engagement request with Brown and Caldwell, Brown and Caldwell reserves the right to pursue and hire those candidate(s) without any financial obligation to the recruiter or agency.
 Brown and Caldwell is proud to be an EEO/AAP Employer. Brown and Caldwell encourages protected veterans, individuals with disabilities, and applicants from all backgrounds to apply. Brown and Caldwell ensures nondiscrimination in all programs and activities in accordance with Title VI of the Civil Rights Act.</t>
        </is>
      </c>
    </row>
    <row r="121">
      <c r="A121" t="inlineStr">
        <is>
          <t>li-4352393634</t>
        </is>
      </c>
      <c r="B121" t="inlineStr">
        <is>
          <t>Principal Data Scientist</t>
        </is>
      </c>
      <c r="C121" t="inlineStr">
        <is>
          <t>Edwards Lifesciences</t>
        </is>
      </c>
      <c r="D121" t="inlineStr">
        <is>
          <t>linkedin</t>
        </is>
      </c>
      <c r="E121">
        <f>HYPERLINK("https://www.linkedin.com/jobs/view/4352393634", "https://www.linkedin.com/jobs/view/4352393634")</f>
        <v/>
      </c>
      <c r="F121">
        <f>HYPERLINK("https://edwards.wd5.myworkdayjobs.com/en-US/EdwardsCareers/job/USA\u002d\u002d-California\u002d\u002d-Irvine\u002d\u002d-Hybrid/Principal-Data-Scientist_Req-43188?source=LinkedIn&amp;urlHash=gKMY", "https://edwards.wd5.myworkdayjobs.com/en-US/EdwardsCareers/job/USA\u002d\u002d-California\u002d\u002d-Irvine\u002d\u002d-Hybrid/Principal-Data-Scientist_Req-43188?source=LinkedIn&amp;urlHash=gKMY")</f>
        <v/>
      </c>
      <c r="G121" t="inlineStr">
        <is>
          <t>Irvine, CA</t>
        </is>
      </c>
      <c r="H121" t="inlineStr"/>
      <c r="I121" t="inlineStr">
        <is>
          <t>Innovation starts from the heart. Edwards Lifesciences is the leading global structural heart innovation company, driven by a passion to improve patient lives. With millions of patients served in over 100 countries, each team makes a meaningful contribution by improving patient outcomes and discovering lasting solutions for unmet patient needs. Our Principal Data Scientist position is a unique career opportunity that could be your next step towards an exciting future.
**How you’ll make an impact:**
* Collaborate with internal and external stakeholders to plan and execute analytical model training, testing, and deployment, ensuring alignment with business goals and Edwards Lifesciences (EW) standards.
* Conduct ad hoc and strategic analyses (e.g., market model metrics, algorithm updates) and present actionable insights to leadership to inform decision\-making.
* Apply predictive modeling, machine learning, and algorithmic techniques to structured and unstructured data to optimize commercial insights and outcomes.
* Lead or support the implementation of advanced analytics processes and tools, including setting standards and policies for algorithm development, model validation, and risk documentation.
* Champion data science best practices, guiding model development and adoption of analytical tools across teams.
* Support data governance activities, working with data stewards to ensure high\-quality data processing and management.
* Assist in identifying and integrating new data sources and technologies to enhance analytical capabilities and foster innovation.
 This role will be hybrid with 3 onsite days/week.
**What you’ll need (Required):**
* Bachelor's Degree in Computer Science, Engineering, Biostatistics or other scientific field with 6 years of experience, or Master's Degree with 5 years of experience, or Ph.D with 3 years of experience
**What else we look for (Preferred):**
* Proven experience in developing and deploying machine learning models, including NLP and predictive analytics, in a healthcare setting.
* Strong proficiency in real world data (e.g., Optum, IQVIA Claims, CMS, AcuityMD, Definitive Healthcare) and ability to communicate complex insights effectively.
* Strong problem\-solving, analytical, and critical thinking skills with a track record of resolving complex technical challenges.
* Extensive knowledge and understanding of principles, theories, and concepts relevant to Artificial Intelligence (AI) and/or Machine Learning model development, and/or Control Systems
* Excellent communication and interpersonal skills, with the ability to engage stakeholders at all levels.
* High attention to detail and ability to manage competing priorities in a fast\-paced, regulated environment.
* Experience with cloud\-based data platforms and services (e.g., AWS Redshift, S3\).
* Advanced skills in statistical programming languages (e.g., Python with Pandas, R, SQL) and data engineering workflows.
* Demonstrated ability to lead cross\-functional teams across organizational boundaries.
* Knowledge of AI/ML principles, control systems, and model lifecycle management.
* Commitment to compliance, and eco\-system stewardship in all aspects of work.
* Excellent documentation skills
* Proven expertise on MS Office Suite (e.g., Microsoft Office Excel, PowerPoint, Word)
* Experience with machine learning techniques (e.g., clustering, decision tree learning, artificial neural networks, etc.)
* Experience using computer languages (e.g, R, Python, SQL, etc.) to manipulate large data sets
* Proven successful project management skills
* Extensive understanding of processes and equipment used in assigned work
 Aligning our overall business objectives with performance, we offer competitive salaries, performance\-based incentives, and a wide variety of benefits programs to address the diverse individual needs of our employees and their families.
 For California, the base pay range for this position is $123,000 to $174,000 (highly experienced). The pay for the successful candidate will depend on various factors (e.g., qualifications, education, prior experience). Applications will be accepted while this position is posted on our Careers website.
 Edwards is an Equal Opportunity/Affirmative Action employer including protected Veterans and individuals with disabilities.
**COVID Vaccination Requirement**
 Edwards is committed to protecting our vulnerable patients and the healthcare providers who are treating them. As such, all patient\-facing and in\-hospital positions require COVID\-19 vaccination. If hired into a covered role, as a condition of employment, you will be required to submit proof that you have been vaccinated for COVID\-19, unless you request and are granted a medical or religious accommodation for exemption from the vaccination requirement. This vaccination requirement does not apply in locations where it is prohibited by law to impose vaccination.</t>
        </is>
      </c>
    </row>
    <row r="122">
      <c r="A122" t="inlineStr">
        <is>
          <t>li-4352294205</t>
        </is>
      </c>
      <c r="B122" t="inlineStr">
        <is>
          <t>Senior Lead Data Scientist - Molecular AI</t>
        </is>
      </c>
      <c r="C122" t="inlineStr">
        <is>
          <t>Novo Nordisk</t>
        </is>
      </c>
      <c r="D122" t="inlineStr">
        <is>
          <t>linkedin</t>
        </is>
      </c>
      <c r="E122">
        <f>HYPERLINK("https://www.linkedin.com/jobs/view/4352294205", "https://www.linkedin.com/jobs/view/4352294205")</f>
        <v/>
      </c>
      <c r="F122">
        <f>HYPERLINK("https://careers.novonordisk.com/job/Lexington-Senior-Lead-Data-Scientist-Molecular-AI-MA-02420/1282101201/?feedId=300201&amp;utm_source=LinkedInJobPostings&amp;tcsource=Apply&amp;utm_campaign=Novo_Nordisk_LinkedIn&amp;urlHash=2Giw", "https://careers.novonordisk.com/job/Lexington-Senior-Lead-Data-Scientist-Molecular-AI-MA-02420/1282101201/?feedId=300201&amp;utm_source=LinkedInJobPostings&amp;tcsource=Apply&amp;utm_campaign=Novo_Nordisk_LinkedIn&amp;urlHash=2Giw")</f>
        <v/>
      </c>
      <c r="G122" t="inlineStr">
        <is>
          <t>Lexington, MA</t>
        </is>
      </c>
      <c r="H122" t="inlineStr"/>
      <c r="I122" t="inlineStr">
        <is>
          <t>**About**
**About the Site**
 Our Research \&amp; Development organization brings together the best minds in life science innovation. The teams located in facilities in Lexington, Watertown, and Cambridge reflect the full R\&amp;D continuum, from early research through late\-stage clinical development. Here, we are building for the future, creating a distinct R\&amp;D community based on collaboration, partnerships, and cutting\-edge research across multiple modalities and therapeutic areas. We recognize that improving human health starts here and that patients rely on us. Our R\&amp;D hub merges biotech speed and agility with large pharmaceutical company quality, resources, and stability, uniting the best of both worlds to develop new medicines for patients.
**About The Department**
 The Molecular AI (MolAI) team is part of Novo Nordisk’s AI and Digital Innovation (ADI) area where we apply and develop state of the art capabilities in predictive science, AI/ML and structure\-based drug design. Scientists within MolAI collaborate seamlessly with teams across the globe to invent better molecules faster. With an unbiased approach to drug modalities, in\-house access to the newest screening techniques, and world\-class experimentation, we have a wealth of opportunities to impact our pipeline and ultimately save and improve patient lives. We work in multidisciplinary, highly collaborative discovery teams both locally and across Novo Nordisk’s global network to invent novel medicines by applying advanced computational techniques and developing innovative computational methods. We engage in external collaborations to ensure access to cutting edge research and technology.
 We believe in the value of a diverse and inclusive culture. Together, we build and grow talent to ensure the development of new solutions. The team is comprised of collaborative, diverse and passionate people who have a true sense of pride in their work.  We are committed to helping each other grow, and we are driven by the opportunity to make a difference in the lives of people living with chronic disease. Everything we do starts and ends with the patient. And, while changing the future of chronic disease treatment, such as diabetes and obesity, is no easy task, we also recognize the importance of an enjoyable workplace, which is why we’ve cultivated a culture of fun, ingenuity, and innovation. Our competitive compensation package and support of a healthy work\-life balance all add to a best\-in\-class employee experience.
**The Position \- open to hiring at the Principal level commensurate with experience**
 The Sr. Lead/Principal ML Scientist – Molecular AI will be a critical senior member of MolAI team. This is a senior, high\-impact role within MolAI. You will work closely with the team to set scientific and technical direction for the team and to develop new AI\-driven projects that influence R\&amp;D priorities across Novo Nordisk. You will be a visible technical champion for generative AI in molecular design, shaping strategy, mentoring colleagues, and driving cross\-functional initiatives.
 You will join a team and organization that is investing heavily in AI\-enabled discovery: significant experimental and data\-generation resources are being directed toward producing the high\-quality datasets that make advanced generative models and other AI methods most effective. In this environment you will have the opportunity to develop and deploy state\-of\-the\-art models that directly inform experimental design and accelerate therapeutic discovery.
**Relationships**
 The Sr. Lead/Principal ML Scientist – Molecular AI reports to the Head of Molecular AI and interacts closely with colleagues in the department and in the other departments within AI and Digital Innovation (ADI), in particular the area of Digital Chemistry and Design, to drive the applications of generative AI within R\&amp;D’s computational drug discovery portfolio. Additional internal partners include experimental and data scientists, specialists, engineers, software developers, technology scouts \&amp; partnership developers and others across US and Denmark. External relationships include commercial and academic collaboration partners.
**Essential Functions**
* Provide senior scientific leadership: identify capability gaps, set goals, and lead initiatives that deliver business impact.
* Lead research and development of generative AI methodologies for computational drug design; advance, optimize, and deploy models that balance multiple design criteria.
* Translate computational insights into experimental strategies and leverage the organization’s substantial data\-generation capabilities to train and validate models.
* Develop and implement new deep learning approaches (e.g., diffusion models, reinforcement/active learning, LLMs for molecular design) and maintain a well\-documented, reusable codebase with traceable model history.
* Represent MolAI externally and internally: publish in top venues, present at conferences, and build collaborations with academic and commercial partners.
* Mentor and grow talent: lead, guide, and develop junior ML scientists and engineers; promote best practices in version control, CI/testing, and model reproducibility.
* Participate in cross\-functional teams and program readouts, partnering closely with Digital Chemistry and Design, experimental scientists, research engineers, and IT.
* Publish research in developing AI methods (example in ICLR, NeurIPS, ICML, Nature, Science, Cell etc.)
* Advise leadership in the formation of global teams of experts to address specialized tasks
* Drive the implementation of data science best practices across Novo Nordisk
* Demonstrates ability to drive frequent collaborations with external commercial and academic partners.
**Physical Requirements**
 Up to 10% overnight travel required, including internationally
**Qualifications**
* Master’s degree or PhD highly preferred. Minimum of Bachelor’s degree required. Degree within within machine learning, computer science, computational chemistry or a related quantitative discipline preferred.
* Master’s Degree with 8\+ years’ relevant experience, or PhD with 6\+ years’ relevant experience or a Bachelor’s degree with 10\+ years’ relevant experience, can be considered
* Relevant experience includes:
+ Strong track record with modern molecular design AI technologies and a demonstrated history of leadership and cross\-disciplinary impact.
+ Deep proficiency in Python and PyTorch; experience training, fine\-tuning and deploying large models on GPUs and HPC environments.
+ Experience with modern version control, CI/testing systems, and well\-documented code practices.
+ Knowledge in at least two of: deep learning, diffusion models, reinforcement/active learning, LLMs in molecular design.
+ Demonstrated ability to translate computational work into experimental strategies and influence program decision\-making.
+ Strong publication record or clear thought leadership in AI for biology/molecular design
+ Excellent communication, collaboration, and mentorship skills.
+ Detail oriented with strong documentation skills as demonstrated through examples from your GitHub repository or publications
* Excellent written and oral communication skills; experience presenting technical results to diverse scientific audiences.
* Demonstrated ability to generate valuable and relevant ideas, create concepts based on ideas, and develop new products based on concepts
* Ability to set AI project metrics and drive activities to meet those metrics
 We commit to an inclusive recruitment process and equality of opportunity for all our job applicants.
 We’re not your typical healthcare company. In a modern world of quick fixes, we focus on solutions to defeat serious chronic diseases and promote long\-term health. Our unordinary mindset is at the heart of everything we do. We seek out new ideas and put people first as we push the boundaries of science, make healthcare more accessible, and treat, prevent, and even cure diseases that affect millions of lives. Because it takes an unordinary approach to drive real, lasting change in health.
 Novo Nordisk is an equal opportunity employer. Qualified applicants will receive consideration for employment without regard to race, ethnicity, color, religion, sex, gender identity, sexual orientation, national origin, disability, protected veteran status or any other characteristic protected by local, state or federal laws, rules or regulations.
 If you are interested in applying to Novo Nordisk and need special assistance or an accommodation to apply, please call us at 1\-855\-411\-5290\. This contact is for accommodation requests only and cannot be used to inquire about the status of applications.</t>
        </is>
      </c>
    </row>
    <row r="123">
      <c r="A123" t="inlineStr">
        <is>
          <t>li-4359781209</t>
        </is>
      </c>
      <c r="B123" t="inlineStr">
        <is>
          <t>Staff Data Scientist - Product</t>
        </is>
      </c>
      <c r="C123" t="inlineStr">
        <is>
          <t>Gusto</t>
        </is>
      </c>
      <c r="D123" t="inlineStr">
        <is>
          <t>linkedin</t>
        </is>
      </c>
      <c r="E123">
        <f>HYPERLINK("https://www.linkedin.com/jobs/view/4359781209", "https://www.linkedin.com/jobs/view/4359781209")</f>
        <v/>
      </c>
      <c r="F123" t="inlineStr"/>
      <c r="G123" t="inlineStr"/>
      <c r="H123" t="inlineStr"/>
      <c r="I123"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Gusto is looking for highly skilled and motivated Data Scientists with extensive experience (7\+ years) applying their expertise in a business environment. As a Staff Data Scientist, you will play a crucial role in leveraging experimentation, statistical inference, and causal analysis to drive strategic decision making that contributes to the overall success of our organization. The ideal candidate is a trusted data storyteller with strong statistical and coding skills, and a passion for applying these skills to help small businesses thrive.
**About The Team**
 In this role you will work closely with our Product, Engineering, Design, Finance, and other Data teams to become an expert in the data for your domain, define and track metrics that help us understand our business performance, and dive deep into our Payroll, Benefits, and HR data to deliver insights and answer questions. You’ll also integrate AI\-assisted practices to accelerate analysis, enhance rigor, and expand the reach of insights across Gusto. We have multiple senior roles open, each focused on a different area of our business.
**Here’s What You’ll Do Day\-to\-day**
* Lead: Own ambiguous problems, design analysis frameworks, and introduce structure that scales across multiple product domains.
* Strategic Partnership: Collaborate with product managers, engineering leads, designers, and operations teams to proactively identify opportunities, align on strategy, and guide data\-informed decision\-making.
* Analytical Rigor: Apply advanced statistical methods, causal inference, experimentation, and AI\-assisted analytics to surface drivers of product performance, separating signal from noise.
* Experimentation \&amp; Measurement: Design, analyze, and interpret experiments; ensure insights highlight trade\-offs and limitations based on sample size and data quality.
* Execution: Deliver multiple high\-impact projects, balancing trade\-offs to maximize business value, and maintain clear expectations of deliverables and timelines.
* Communication: Present complex findings in a structured, compelling way to technical and non\-technical stakeholders, fostering a data\-informed mindset across the company.
* Independence: Work with minimal guidance to prioritize, create, and deliver data science roadmaps, proactively resolving conflicts or misalignment across stakeholders.
* Scaling the Craft: Mentor other data practitioners, up\-level team best practices in experimentation, statistical modeling, and metric interpretation. Drive improvements in data quality, rigor, and adoption of better data capabilities leveraging AI\-native tools and workflows across the org.
**Here’s What We're Looking For**
* 7–10 years of experience in Data Science at a product\-focused software company.
* Strong SQL skills and comfort with Python
* Proven ability to apply statistical methods, causal inference, AI tools, and experimental design to real business problems.
* Excellent communication skills, with a track record of influencing cross\-functional stakeholders and leadership.
* Demonstrated experience leading large, technically complex projects with clear business impact.
* A proactive, resilient problem\-solver who independently structures ambiguous problems into actionable insights.
* Passion for mentoring others and raising the bar for data science craft across the team.
* BS/MS/PhD in a quantitative field (Statistics, Economics, Computer Science, Applied Math, etc.) or equivalent industry experience.
 Our cash compensation amount for this role is targeted at $154,000/yr \- $181,000/yr in Denver, $168,000/yr \- $198,000/yr in Los Angeles, $186,000/yr \- $225,000 for San Francisco, Seattle and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24">
      <c r="A124" t="inlineStr">
        <is>
          <t>li-4360620390</t>
        </is>
      </c>
      <c r="B124" t="inlineStr">
        <is>
          <t>Data Scientist III - AMZ26367.1</t>
        </is>
      </c>
      <c r="C124" t="inlineStr">
        <is>
          <t>Amazon</t>
        </is>
      </c>
      <c r="D124" t="inlineStr">
        <is>
          <t>linkedin</t>
        </is>
      </c>
      <c r="E124">
        <f>HYPERLINK("https://www.linkedin.com/jobs/view/4360620390", "https://www.linkedin.com/jobs/view/4360620390")</f>
        <v/>
      </c>
      <c r="F124" t="inlineStr"/>
      <c r="G124" t="inlineStr">
        <is>
          <t>New York, NY</t>
        </is>
      </c>
      <c r="H124" t="inlineStr"/>
      <c r="I124" t="inlineStr">
        <is>
          <t>**Description**
 The Site Program Manager (PM) is resp
**Basic Qualifications**
* 3\+ years of program or project management experience
* Bachelor's degree or equivalent
* Proven record of delivering cross\-functional programs.
**Preferred Qualifications**
 All applicants must meet all the above listed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ADCI HYD 13 SEZ
 Job ID: A3108476</t>
        </is>
      </c>
    </row>
    <row r="125">
      <c r="A125" t="inlineStr">
        <is>
          <t>li-4331578485</t>
        </is>
      </c>
      <c r="B125" t="inlineStr">
        <is>
          <t>Sr. Data Scientist (Loss Forecasting)</t>
        </is>
      </c>
      <c r="C125" t="inlineStr">
        <is>
          <t>Achieve</t>
        </is>
      </c>
      <c r="D125" t="inlineStr">
        <is>
          <t>linkedin</t>
        </is>
      </c>
      <c r="E125">
        <f>HYPERLINK("https://www.linkedin.com/jobs/view/4331578485", "https://www.linkedin.com/jobs/view/4331578485")</f>
        <v/>
      </c>
      <c r="F125" t="inlineStr"/>
      <c r="G125" t="inlineStr">
        <is>
          <t>San Mateo, CA</t>
        </is>
      </c>
      <c r="H125" t="inlineStr"/>
      <c r="I125" t="inlineStr">
        <is>
          <t>**Job Description**
 We are looking for an experienced, hands\-on Sr. Data Scientist / Loss Forecasting Analyst (minimum of 3 years’ relevant experience) who is comfortable working with large data sets, coding in SQL and Python and translating forecasting results into actionable insights for business stakeholders while working closely with the capital markets team and investors. In this role you will maintain and enhance our loss forecasting methodologies/models/processes for unsecured personal loans, perform vintage \&amp; segment forecasting, scenario and stress testing, and collaborate cross\-functionally with marketing, capital markets, BI, finance, and product teams. The candidate should have an eye for automating/streamlining processes and creating workflows that are easily repeatable/replicable. You will be a key contributor to our risk management processes.
**Key Responsibilities**
* Maintain and enhance loss forecasting methodologies/models/processes (e.g., for loan charge\-offs, delinquencies, roll rates, recoveries) for unsecured personal loan portfolios.
* Extract, clean and manipulate large data sets using SQL and Python; build pipelines and analytics to support forecasting and reporting.
* Perform exploratory data analysis (EDA) to identify portfolio trends, drivers of loss performance (vintage, credit bands, borrower attributes, macro factors) and provide insight into model deviations.
* Maintain forecast deliverables: monthly/quarterly loss forecasts by vintage and segment, stress and scenario analyses, sensitivity testing.
* Provide commentary and insight to business stakeholders on forecast outcomes, assumptions, model health, and emerging portfolio risks.
* Automate reporting, dashboards and pipelines to streamline loss forecasting workflows and improve efficiency and accuracy.
* Document model methodologies, assumptions, data sources and results in clear, audit\-ready format consistent with risk governance requirements.
* Participate in governance and review of forecasting methodology, model validation support and liaise with external auditors or regulators where needed.
* Continuously identify opportunities to improve forecasting accuracy, data infrastructure, modeling techniques, and integrate advanced statistical or machine\-learning techniques as appropriate.
**Qualifications**
**Required:**
* Minimum of 3 years’ hands\-on experience in loss forecasting (credit risk, loan portfolios, unsecured consumer loans or similar). For example, roles in forecasting charge\-offs, delinquencies, vintage analysis, roll\-rates, etc.
* Strong programming skills in Python and SQL for data analysis, modeling and automation.
* Strong skills with data visualization tools like Tableau and AI tools that materially improve productivity
* Solid background in Probability \&amp; Statistics
* Experience with forecasting methodologies: time\-series analysis, vintage modeling, roll\-rate curves, survival analysis or logistic regression in consumer credit risk context.
* Strong analytical and critical thinking skills; ability to interpret results, identify trends, draw actionable insights and communicate clearly to non\-technical stakeholders.
* Excellent documentation skills and experience in preparing audit\-ready deliverables (methodologies, assumptions, model validation support).
* Master’s degree in Economics, Statistics, Mathematics, Data Science or a related quantitative discipline (PhD preferred but not required).
**Preferred:**
* Experience in unsecured consumer lending (personal loans or credit cards) or fintech lending environment.
* Experience with forecasting for allowance/reserve processes (e.g., CECL, IFRS9\) or stress\-testing.
* Experience working in the GCP environment.
* Passion for fintech, agile environment, ability to work both independently and in a collaborative, fast\-paced team.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and San Francisco, CA metro market. We are offering 100% remote work in other approved locations.
**Salary Range** 
 : $150,000 to $185,000 salary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
**Company Description**
 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t>
        </is>
      </c>
    </row>
    <row r="126">
      <c r="A126" t="inlineStr">
        <is>
          <t>li-4332208101</t>
        </is>
      </c>
      <c r="B126" t="inlineStr">
        <is>
          <t>Senior Data Scientist</t>
        </is>
      </c>
      <c r="C126" t="inlineStr">
        <is>
          <t>Jobs via Dice</t>
        </is>
      </c>
      <c r="D126" t="inlineStr">
        <is>
          <t>linkedin</t>
        </is>
      </c>
      <c r="E126">
        <f>HYPERLINK("https://www.linkedin.com/jobs/view/4332208101", "https://www.linkedin.com/jobs/view/4332208101")</f>
        <v/>
      </c>
      <c r="F126" t="inlineStr"/>
      <c r="G126" t="inlineStr"/>
      <c r="H126" t="inlineStr"/>
      <c r="I126" t="inlineStr">
        <is>
          <t>The Leidos Chief Data \&amp; Analytics Office (CDAO) is a new, high\-growth organization at the center of the company's technology strategy. Our Operational AI (Ops.AI) division is seeking a motivated and talented Senior Data Scientist to play a key role in delivering high\-impact data science solutions. This position is essential for translating complex business challenges into data\-driven insights that improve mission\-critical outcomes for our clients. This is an exciting opportunity to apply your analytical expertise to solve complex problems and help optimize decision\-making in dynamic environments.
 As a Senior Data Scientist, you will work with a team of experts to develop and deploy advanced analytical models and AI solutions. You will be a key contributor, collaborating closely with domain experts and stakeholders to ensure our projects are technically sound, strategically aligned, and deliver measurable value.
**Primary Responsibilities**
* Model Development: Lead the development of predictive models and data\-driven insights for a variety of mission\-critical applications.
* Problem Solving: Collaborate with domain experts to understand complex operational challenges and apply advanced data science and machine learning techniques to solve them.
* Data Integrity: Ensure the quality, integrity, and ethical use of data in all AI and analytics projects, adhering to trusted and responsible AI principles.
* Insight Communication: Communicate complex analytical findings, outcomes, and recommendations clearly to both technical and non\-technical stakeholders to drive decision\-making.
* Innovation: Stay current with industry trends and advancements in data science and machine learning, and advocate for their integration into our solutions.
**Basic Qualifications**
* Bachelor's degree in a quantitative field such as Data Science, Statistics, Computer Science, or a related discipline with 8\+ years of professional experience as a data scientist, OR a Master's degree with 6\+ years of professional experience.
* Strong proficiency in a programming language such as Python or R and deep experience with common data science libraries (e.g., pandas, scikit\-learn, TensorFlow, PyTorch).
* Solid foundation in statistics, AI \&amp; ML, and experimental design.
* This position offers flexibility for remote or hybrid work arrangements.
**Preferred Qualifications**
* Experience in the defense, intelligence, or federal civilian sectors.
* Demonstrated ability to work with large or unstructured datasets (e.g., text, imagery).
* Familiarity with cloud\-based data science and machine learning platforms (e.g., AWS SageMaker, Azure ML).
* Experience with data visualization tools such as Tableau or Power BI.
* Knowledge of Generative AI technologies and their applications, including Large Language Models (LLMs).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January 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127">
      <c r="A127" t="inlineStr">
        <is>
          <t>li-4359980613</t>
        </is>
      </c>
      <c r="B127" t="inlineStr">
        <is>
          <t>Sr. Applied Scientist, Workforce Solutions</t>
        </is>
      </c>
      <c r="C127" t="inlineStr">
        <is>
          <t>Amazon</t>
        </is>
      </c>
      <c r="D127" t="inlineStr">
        <is>
          <t>linkedin</t>
        </is>
      </c>
      <c r="E127">
        <f>HYPERLINK("https://www.linkedin.com/jobs/view/4359980613", "https://www.linkedin.com/jobs/view/4359980613")</f>
        <v/>
      </c>
      <c r="F127" t="inlineStr"/>
      <c r="G127" t="inlineStr">
        <is>
          <t>Seattle, WA</t>
        </is>
      </c>
      <c r="H127" t="inlineStr"/>
      <c r="I127" t="inlineStr">
        <is>
          <t>**Description**
 Success in any organization begins with its people and having a comprehensive understanding of our workforce and how we best utilize their unique skills and experience is paramount to our future success. WISE (Workforce Intelligence powered by Scientific Engineering) delivers the scientific and engineering foundation that powers Amazon's enterprise\-wide workforce planning ecosystem. Addressing the critical need for precise workforce planning, WISE enables a closed\-loop mechanism essential for ensuring Amazon has the right workforce composition, organizational structure, and geographical footprint to support long\-term business needs with a sustainable cost structure.
 We are looking for a Sr. Applied Scientist to join our ML/AI team to work on Advanced Optimization and LLM solutions. You will partner with Software Engineers, Machine Learning Engineers, Data Engineers and other Scientists, TPMs, Product Managers and Senior Management to help create world\-class solutions. We're looking for people who are passionate about innovating on behalf of customers, demonstrate a high degree of product ownership, and want to have fun while they make history. You will leverage your knowledge in machine learning, advanced analytics, metrics, reporting, and analytic tooling/languages to analyze and translate the data into meaningful insights. You will have end\-to\-end ownership of operational and technical aspects of the insights you are building for the business, and will play an integral role in strategic decision\-making. Further, you will build solutions leveraging advanced analytics that enable stakeholders to manage the business and make effective decisions, partner with internal teams to identify process and system improvement opportunities. As a tech expert, you will be an advocate for compelling user experiences and will demonstrate the value of automation and data\-driven planning tools in the People Experience and Technology space.
 Key job responsibilities
* Engineering execution \- drive crisp and timely execution of milestones, consider and advise on key design and technology trade\-offs with engineering teams
* Priority management \- manage diverse requests and dependencies from teams
* Process improvements – define, implement and continuously improve delivery and operational efficiency
* Stakeholder management – interface with and influence your stakeholders, balancing business needs vs. technical constraints and driving clarity in ambiguous situations
* Operational Excellence – monitor metrics and program health, anticipate and clear blockers, manage escalations
 To be successful on this journey, you love having high standards for yourself and everyone you work with, and always look for opportunities to make our services better.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A3144233</t>
        </is>
      </c>
    </row>
    <row r="128">
      <c r="A128" t="inlineStr">
        <is>
          <t>li-4352315755</t>
        </is>
      </c>
      <c r="B128" t="inlineStr">
        <is>
          <t>Senior Associate, Marketing Data Scientist, B2B</t>
        </is>
      </c>
      <c r="C128" t="inlineStr">
        <is>
          <t>Humana</t>
        </is>
      </c>
      <c r="D128" t="inlineStr">
        <is>
          <t>linkedin</t>
        </is>
      </c>
      <c r="E128">
        <f>HYPERLINK("https://www.linkedin.com/jobs/view/4352315755", "https://www.linkedin.com/jobs/view/4352315755")</f>
        <v/>
      </c>
      <c r="F128" t="inlineStr"/>
      <c r="G128" t="inlineStr">
        <is>
          <t>Louisville, KY</t>
        </is>
      </c>
      <c r="H128" t="inlineStr"/>
      <c r="I128" t="inlineStr">
        <is>
          <t>**Become a part of our caring community and help us put health first**
 Become a part of our caring community
 Humana’s Insurance Marketing Analytics team is focused on delivering insights that drive growth in the B2B space. As a Senior Associate, B2B Analytics, you’ll lead efforts to analyze and optimize marketing strategies targeting brokers, employers, and other business partners.
**Use Your Skills To Make An Impact**
* Analyze B2B marketing data to identify trends, opportunities, and performance drivers.
* Collaborate with marketing, sales, and analytics teams to inform strategy and targeting.
* Develop visualizations, preferably in Power BI or PowerPoint, to communicate insights to stakeholders.
* Document methodologies and contribute to governance efforts.
* Support continuous improvement initiatives using data\-driven insights.
 Sponsorship is not available for this position (e.g. H\-1B, E\-3, TN, 0\-1, STEM OPT, or any immigration work authorization requiring a written submission from the company to a government agency).
 Only candidates with Citizenship or Lawful Permanent Residency in the U.S. will be considered.
**Required Qualifications**
**Use your skills to make an impact**
* Bachelor’s degree in Marketing, Business Analytics, or a related field.
* 2\+ years of experience in B2B marketing analytics or performance reporting.
* 3\+ years of experience with data visualization and reporting tools.
* 3\+ years experience in programming in Python, Spark, and SQL
* 1\+ years experience in test set up and measurement, including A/B, multivariate, incrementality, and inference
**Preferred Qualifications**
* Strong analytical and communication skills.
* Familiarity with B2B segmentation and sales enablement strategies.
* Exposure to healthcare or insurance marketing environments.
* Familiarity with Databricks
* Predictive modeling: logistic regression, Decision Trees, Random Forest, XGBoost
* Familiarity with Adobe Analytics
**Work at Home Information**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**Virtual Pre\-Screen**
*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 If you are selected to move forward in the process, you will receive a text message inviting you to participate in a HireVue prescreen. In this prescreen, you will receive a set of questions via text and given the opportunity to respond to each question. You should anticipate this prescreen taking about 15 minutes. Your responses will be reviewed and if selected to move forward, you will be contacted with additional details involving the next step in the process.
*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29">
      <c r="A129" t="inlineStr">
        <is>
          <t>li-4331998328</t>
        </is>
      </c>
      <c r="B129" t="inlineStr">
        <is>
          <t>Customer Data Artificial Intelligence Solutions (CDAIS) ? Data Scientist</t>
        </is>
      </c>
      <c r="C129" t="inlineStr">
        <is>
          <t>Jobs via Dice</t>
        </is>
      </c>
      <c r="D129" t="inlineStr">
        <is>
          <t>linkedin</t>
        </is>
      </c>
      <c r="E129">
        <f>HYPERLINK("https://www.linkedin.com/jobs/view/4331998328", "https://www.linkedin.com/jobs/view/4331998328")</f>
        <v/>
      </c>
      <c r="F129">
        <f>HYPERLINK("https://click.appcast.io/t/GealZC19sTqgYajumpCiHnrF-M5rQbLobpXUHrBqGwo=&amp;urlHash=bsao", "https://click.appcast.io/t/GealZC19sTqgYajumpCiHnrF-M5rQbLobpXUHrBqGwo=&amp;urlHash=bsao")</f>
        <v/>
      </c>
      <c r="G129" t="inlineStr">
        <is>
          <t>Charlotte, NC</t>
        </is>
      </c>
      <c r="H129" t="inlineStr"/>
      <c r="I129" t="inlineStr">
        <is>
          <t>Dice is the leading career destination for tech experts at every stage of their careers. Our client, Primary Talent Partners, is seeking the following. Apply via Dice today!
 Primary Talent Partners has a new contract opening for a
 **Customer Data Artificial Intelligence Solutions (CDAIS) \- Data Scientist** 
 with our large power and utilities client in Charlotte, NC. This is a 12\-month contract with a potential for extension.
**Pay:** 
**$60\.00 \- $70\.00/hr** 
 ; W2 contract, no PTO, no Benefits. ACA\-compliant supplemental package available for enrollment.
**Description:**
 Customer Data Artificial Intelligence Solutions (CDAIS) combines customer, meter and customer service data to identify opportunities that reduce costs, increase revenue, and resolve process breakages ultimately improving customer experience for millions of customers across the eastern United States. We are seeking talented data and analytics professionals to join a dynamic, innovative team that plays a critical role in the success of the Customer organization.
**What You ll Do:**
 You will leverage both technical and professional skills to deliver actionable insights and solutions that enhance customer experience and operational efficiency. Key responsibilities include:
**Technical Responsibilities**
 Engagement Planning \&amp; Communication (15%)
* Plan epics, stories, and tasks for product development. Present complex ideas and collaborate with leadership and cross\-functional teams.
* Tools: Microsoft Teams, Jira, PowerPoint, Outlook
 Data Wrangling \&amp; Transformation (45%)
* Extract, transform, and analyze data from multiple sources and APIs (SQL Server, Oracle, AWS). Identify trends, anomalies, and insights to support advanced analytics and continuous improvement.
* Tools: SQL, Python, AWS EMR, AWS SageMaker, Jupyter Notebook, Spark
 Data Science Modeling (30%)
* Develop diagnostic and predictive models to inform strategic decisions. Techniques may include NLP, regression, machine learning, semantic analysis, simulation, and optimization.
* Tools: Python, AWS EMR, AWS SageMaker, Jupyter Notebook, Spark
 Visualization \&amp; Reporting (10%)
* Create impactful dashboards and visualizations to communicate trends and findings to leadership and teams.
* Tools: Power BI Premium, Jupyter Notebook
**Required Qualifications:**
* Bachelor s degree in Statistics, Mathematics, Engineering, Computer Science, or related field.
* 1\-3 years of relevant experience.
**Preferred Qualifications:**
* Experience with cloud\-based analytics platforms (primarily AWS).
* Familiarity with customer service or utility operations.
* Advanced ML techniques and big data processing experience.
*Primary Talent Partners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If you are a person with a disability needing assistance with the application or at any point in the hiring process, please contact us at*
 \#PTPJobs</t>
        </is>
      </c>
    </row>
    <row r="130">
      <c r="A130" t="inlineStr">
        <is>
          <t>li-4331588279</t>
        </is>
      </c>
      <c r="B130" t="inlineStr">
        <is>
          <t>RBQM/Clinical Data Scientist</t>
        </is>
      </c>
      <c r="C130" t="inlineStr">
        <is>
          <t>Jobs via Dice</t>
        </is>
      </c>
      <c r="D130" t="inlineStr">
        <is>
          <t>linkedin</t>
        </is>
      </c>
      <c r="E130">
        <f>HYPERLINK("https://www.linkedin.com/jobs/view/4331588279", "https://www.linkedin.com/jobs/view/4331588279")</f>
        <v/>
      </c>
      <c r="F130" t="inlineStr"/>
      <c r="G130" t="inlineStr"/>
      <c r="H130" t="inlineStr"/>
      <c r="I130" t="inlineStr">
        <is>
          <t>Dice is the leading career destination for tech experts at every stage of their careers. Our client, Voto Consulting LLC, is seeking the following. Apply via Dice today!
**Job Title:** 
**RBQM/Clinical Data Scientist**
**Location:** 
**Remote**
**Duration:** 
**4\-6 months contract**
**Visas:** 
**andGC**
**Job Description:**
 The RBQM Data Scientist supports central monitoring and risk\-based quality management (RBQM) for clinical trials. This role focuses on implementing and running pre\-defined KRIs, QTLs, and other risk metrics using clinical data, with strong emphasis on SAS programming to deliver robust and scalable analytics across multiple studies.
**Technical – Required**
* Advanced SAS programming skills (hard requirement) in a clinical trials environment (Base SAS, Macro, SAS SQL; experience with large, complex clinical datasets).
* Hands\-on experience working with clinical trial data.
* Proficiency with Microsoft Word, Excel, and PowerPoint.
**Technical – Preferred / Strong Plus**
* Experience with RAVE EDC.
* Awareness or working knowledge of CDISC, CDASH, SDTM standards.
* Exposure to R, Python, or JavaScript and/or clinical data visualization tools/platforms.
**Thanks \&amp; Regards.**
**Kirti Singh**
**Voto Consulting LLC**
 Email:</t>
        </is>
      </c>
    </row>
    <row r="131">
      <c r="A131" t="inlineStr">
        <is>
          <t>li-4359659634</t>
        </is>
      </c>
      <c r="B131" t="inlineStr">
        <is>
          <t>Sr. Data Scientist</t>
        </is>
      </c>
      <c r="C131" t="inlineStr">
        <is>
          <t>Western Governors University</t>
        </is>
      </c>
      <c r="D131" t="inlineStr">
        <is>
          <t>linkedin</t>
        </is>
      </c>
      <c r="E131">
        <f>HYPERLINK("https://www.linkedin.com/jobs/view/4359659634", "https://www.linkedin.com/jobs/view/4359659634")</f>
        <v/>
      </c>
      <c r="F131" t="inlineStr"/>
      <c r="G131" t="inlineStr"/>
      <c r="H131" t="inlineStr"/>
      <c r="I131" t="inlineStr">
        <is>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Grade: Technical 410
 Pay Range: $140,200\.00 \- $217,200\.00
**Job Description**
**Job Duties**
* Documents data, analytics, and research needs in projects of high complexity with a student and equity\-centered lens, collaborating with peers, cross\-functional partners, faculty staff, and leaders. Leads the translation of user stories into technical requirements.
* Sets and manages expectations about complex analytics tasks and activities through clear, timely, and effective communication with partners and stakeholders.
* Answers complex business questions requiring extensive knowledge of the university’s data assets across several domains and departments.
* Identifies adequate data sources and data sets to evaluate hypotheses and produce forecasts.
* Analyzes very large data sets from both structured and unstructured sources and develops statistical and predictive models.
* Collaborates with Data Engineering in the development of complex ETL/ELT processes and data pipelines.
* Identifies, investigates, and solves complex data issues, contributing to the accuracy, completeness, consistency, timeliness, and validity of the university’s data.
* Collaborates with Data Engineering and other data \&amp; analytics partners to define standards and best practices that increase data quality across the university.
* Utilizes software, scripts, and algorithms to perform complex data\-related tasks (e.g., importing, cleaning, transforming, analyzing, displaying) without human intervention.
* Combines data analysis, visualization, and narrative structures to convey information in compelling ways that instigate deliberate action.
* Conveys information effectively to peers, partners, and senior leaders, using a variety of resources and formats (synchronous and asynchronous, verbal and written) such as e\-mails, presentations, meetings, and workshops.
* Creates and organizes information about processes, projects, operations, data assets, and insights from analyses and research, making it accessible in ways that increase the university’s knowledge and efficiency.
* Writes and interprets technical documentation (e.g., Entity\-Relationship, Conceptual, Logical, and Physical data models).
* Contributes actively to the development of the university’s data management platforms (e.g., data dictionaries, catalogs, etc.).
* Plays a prominent role in other team members’ development through constructive feedback and sharing of technical and institutional knowledge.
* Tracks and reports own progress, dependencies, and challenges diligently. Breaks down complex goals into concrete tasks and activities, and actively supports leaders in project planning.
* Drives tasks, activities, and medium\-scale projects with high levels of autonomy, confidence, and collaboration with peers and partners.
* Designs medium\-scale solutions and collaborates effectively with other technical specialists (e.g., data engineers) in the construction of data products, systems, and applications.
* Supports leadership in strategic planning and contributes to operational excellence across the department.
* Understands and abides by the relevant policies and methods to access, use, transform, store, and delete data in responsible, secure, and compliant ways. Identifies data security risks when dealing with concrete data sets and takes adequate mitigation actions.
* Works actively to improve skills and knowledge through internal and external, formal and informal, structured and unstructured learning. Is a lifelong learner and embodies a growth mindset. Stays abreast of innovative developments in their area of work and plays an active role in deploying them at the university.
* Performs other job\-related duties as assigned.
**KSAs**
* Advanced knowledge in accessing, retrieving, manipulating, inserting, and deleting data from structured and unstructured databases.
* Advanced SQL proficiency, with experience writing queries and subqueries, modifying data (INSERT, UPDATE, DELETE), creating views, and knowledge of the different join types, filtering, sorting, aggregation, window functions, common table expressions (CTE), and performance tuning.
* Ability to interpret and design models that describe how data relate to one another and to the properties of the real\-world entities they represent. Understands conceptual and logical data modeling, and has experience with dimensional models, star schema, and snowflake schema.
* Familiarized with versioning tools in the context of CI/CD (e.g., Github) and deploys models using the university’s machine learning operations (MLOps) self\-service capabilities.
* Highly proficient and experienced in using tools like Tableau and Power BI to present data and information utilizing charts, graphs, and maps, in ways that make it easy to understand trends, patterns, and outliers.
* Subject matter expert in the selection and deployment of a variety of mathematical models, forecasting methods (e.g., time series, inferential, regression), descriptive statistics, and classification algorithms to make predictions and identify relationships based on limited sets of data.
* Considerable experience using Python, R, and/or Natural Language Processing in an ML environment, requiring little to no supervision.
* Highly skilled at selecting and deploying methods and techniques like A/B Testing.
* Comfortable with common project management methodologies and frameworks (e.g., Waterfall, Agile, SDLC).
* Proficient in the MS Office suite, including advanced Excel knowledge.
* Proficient in flowchart and diagramming tools like Miro, Visio, Lucidchart, and similar applications.
* Ability to apply sound judgment, systems\-thinking, and analytical skills to assess risks, perform root\-cause analyses, make recommendations, and drive cross\-functional decisions that contribute to the achievement of the university’s objectives.
* Ability to perform with very high levels of autonomy, reliability, self\-direction, and with a bias for action. Manages conflicting and concurrent activities with minimal need of supervision.
* Knowledge of the university’s most relevant KPIs, the drivers that affect them, and plays an active role in their definition and tracking.
**Minimum Qualifications**
* Bachelor's Degree in a related discipline
* 7 years of related experience in Data Analysis, Business Intelligence, Data Science, Statistics, Decision Intelligence, Research, Learning Science, or Behavioral/Cognitive Psychology.
* Equivalent relevant experience performing the essential functions of this job may substitute for education degree requirements. Generally, equivalent relevant experience is defined as 1 year of experience for 1 year of education and is the discretion of the hiring manager.
 Job Description Disclaimer: This position description provides the major duties/responsibilities, requirements and working conditions for the position. It is intended to be an accurate reflection of the current position, however management reserves the right to revise or change as necessary to meet organizational needs. Other responsibilities may be assigned when circumstances require.
**Position \&amp; Application Details**
 Full\-Time Regular Positions (classified as regular and working 40 standard weekly hours): This is a full\-time, regular position (classified for 40 standard weekly hours)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How to Apply: If interested, an application will need to be submitted online. Internal WGU employees will need to apply through the internal job board in Workday.
**Additional Information**
 Disclaimer: The job posting highlights the most critical responsibilities and requirements of the job. It’s not all\-inclusive.
 Accommodations: Applicants with disabilities who require assistance or accommodation during the application or interview process should contact our Talent Acquisition team at recruiting@wgu.edu.
 Equal Employment Opportunity: All qualified applicants will receive consideration for employment without regard to any protected characteristic as required by law.</t>
        </is>
      </c>
    </row>
    <row r="132">
      <c r="A132" t="inlineStr">
        <is>
          <t>li-4332208081</t>
        </is>
      </c>
      <c r="B132" t="inlineStr">
        <is>
          <t>Transportation Data Scientist</t>
        </is>
      </c>
      <c r="C132" t="inlineStr">
        <is>
          <t>Jobs via Dice</t>
        </is>
      </c>
      <c r="D132" t="inlineStr">
        <is>
          <t>linkedin</t>
        </is>
      </c>
      <c r="E132">
        <f>HYPERLINK("https://www.linkedin.com/jobs/view/4332208081", "https://www.linkedin.com/jobs/view/4332208081")</f>
        <v/>
      </c>
      <c r="F132">
        <f>HYPERLINK("https://click.appcast.io/t/kHmVFayHKKtMersDwl_ZZax4qGIcK4mAPHfiY_QGH7U=&amp;urlHash=dHox", "https://click.appcast.io/t/kHmVFayHKKtMersDwl_ZZax4qGIcK4mAPHfiY_QGH7U=&amp;urlHash=dHox")</f>
        <v/>
      </c>
      <c r="G132" t="inlineStr">
        <is>
          <t>McLean, VA</t>
        </is>
      </c>
      <c r="H132" t="inlineStr"/>
      <c r="I132" t="inlineStr">
        <is>
          <t>Are you interested in shaping the future of transportation? Consider joining the Leidos team operating
 **FHWA's Saxton Transportation Operations Laboratory (STOL)** 
 , a USDOT research lab focused on the improvement of transportation operations, safety, mobility, and environmental impacts. STOL provides a variety of services to support the advancement and adoption of emerging technologies, including automation and communication in vehicles and on the roadside.
**Location:** 
 This role requires full\-time
 **on\-site** 
 work at the customer site in
 **McLean, VA.**
 Learn about STOL here
 **:** 
 ;/b\&gt;
**Candidates MUST:**
 All applicants
 **must be legally authorized to work in the United States with proof of legal status and be eligible for a Public Trust Clearance which includes three consecutive years in the United States within the last five years.**
 Leidos is seeking a highly skilled
 **Transportation Data Scientist** 
 to support FHWA\-funded projects at the intersection of AI, data science, and transportation. This role will focus on developing and deploying AI/ML models for applications such as vehicle load classification using weigh\-in\-motion (WIM) data and imagery, crash prediction in traffic management centers (TMCs), and creating data ecosystems for trustworthy AI. The ideal candidate will have hands\-on experience in AI model development, data integration, and stakeholder engagement, with a passion for identifying new opportunities to apply AI in state\-level transportation initiatives. This position offers the chance to drive innovation in a dynamic, federally supported research environment.
**Primary Responsibilities**
 Conduct data and literature reviews, including targeted searches for AI methods, datasets, and technologies relevant to freight analytics, traffic safety, and operations (e.g., sensor fusion, computer vision, and multimodal AI).
 Prepare and integrate datasets for AI use cases, including cleaning, normalizing, enriching, and fusing multi\-source data (e.g., traffic logs, imagery, weather, and permitting records) while addressing quality issues like inconsistency, sparsity, and bias.
 Lead the design, development, and deployment of AI/ML models for transportation applications, including classifying oversized/overweight (OS/OW) vehicles using WIM data and imagery, crash prediction in TMCs, and generating synthetic data for model training.
 Evaluate AI model performance under diverse conditions, such as varying data quality levels, and provide recommendations for improving model robustness, scalability, and trustworthiness in real\-world transportation environments.
 Support stakeholder outreach and engagement, including organizing peer exchanges, workshops, and technical briefings with state DOTs, MPOs, enforcement agencies, and vendors to gather insights on AI applications in WIM systems, permitting integration, and crash prediction.
 Identify and pursue new opportunities with state DOTs for AI initiatives, including contributions to developing roadmaps, proposals, and implementation strategies for AI in ITS, such as anomaly detection, traffic optimization, and safety analytics.
 Collaborate with cross\-functional teams to ensure project alignment with FHWA goals, including risk management, quality assurance, and compliance with federal standards.
 Provide technical leadership in monthly progress reporting, risk mitigation, and iterative model refinement based on federal feedback.
**Required Qualifications**
 Bachelor's degree in computer science, Data Science, Artificial Intelligence, Electrical Engineering, Transportation Engineering, or a related field; Master's or Ph.D. preferred.
* 5\+ years of professional experience in data science and AI/ML, with demonstrated expertise in machine learning frameworks (e.g., TensorFlow, PyTorch, Scikit\-learn), data processing tools (e.g., Pandas, NumPy), and AI techniques (e.g., deep learning, generative AI like GANs, computer vision).
* Must have experience collaborating with state and local DOTs \- developing new customers / Business Development experience
* Must have a minimum of at least 2\+ years of relevant non\-academic experience.
 Proven experience in data preparation and integration, including ETL processes, handling multimodal data (e.g., imagery, sensor data, time\-series), and addressing data quality challenges in real\-world applications.
 Strong analytical skills with experience in model evaluation metrics (e.g., AUC, accuracy, scalability) and testing AI systems under varied conditions.
 Excellent communication and collaboration skills, with experience in stakeholder engagement, technical reporting, and presenting complex AI concepts to non\-technical audiences.
 Ability to work in a fast\-paced, research\-oriented environment with travel up to 20% for stakeholder meetings and site visits.
 Ability to obtain and maintain a Public Trust clearance (which includes three years of immediate residency in the US).
 All applicants must be legally authorized to work in the United States without company sponsorship.
**Preferred Qualifications**
 Prior experience working with state DOTs or federal transportation agencies (e.g., FHWA, USDOT) on AI initiatives, including developing AI roadmaps, implementations, or evaluations in ITS.
 Demonstrated hands\-on experience proposing, designing, developing, and deploying AI systems within ITS, such as for freight classification, traffic crash prediction, or WIM data analysis.
 Familiarity with transportation\-specific data sources (e.g., HSIS, SHRP2, NGSIM) and standards (e.g., SAE J2735 for V2X).
 Experience in synthetic data generation, generative AI (e.g., LLMs), or physics\-informed ML for transportation applications.
 Knowledge of federal AI governance, risk management, and equity considerations in transportation.
 Project management experience, including leading AI tasks in multi\-agency initiatives or contributing to communities of practice (CoPs).
 Publications or presentations in AI/transportation conferences (e.g., TRB, ITS America).
**Anticipated salary range for this role is $95,000\-$130,000**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October 3,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133">
      <c r="A133" t="inlineStr">
        <is>
          <t>li-4331928297</t>
        </is>
      </c>
      <c r="B133" t="inlineStr">
        <is>
          <t>Senior Data Scientist</t>
        </is>
      </c>
      <c r="C133" t="inlineStr">
        <is>
          <t>Jobs via Dice</t>
        </is>
      </c>
      <c r="D133" t="inlineStr">
        <is>
          <t>linkedin</t>
        </is>
      </c>
      <c r="E133">
        <f>HYPERLINK("https://www.linkedin.com/jobs/view/4331928297", "https://www.linkedin.com/jobs/view/4331928297")</f>
        <v/>
      </c>
      <c r="F133" t="inlineStr"/>
      <c r="G133" t="inlineStr">
        <is>
          <t>Spring, TX</t>
        </is>
      </c>
      <c r="H133" t="inlineStr"/>
      <c r="I133" t="inlineStr">
        <is>
          <t>Dice is the leading career destination for tech experts at every stage of their careers. Our client, Nava Software Solutions, is seeking the following. Apply via Dice today!
**NAVA Software solutions is looking for a Sr Data Scientist.**
**Details:**
**Senior Data Scientist**
**Location: Spring TX \- Hybrid**
**Duration: 6\-12 months**
**Job Duties/Roles**
* Apply advanced data science concepts to deliver data\-driven digital offerings and insights using Databricks Lakehouse architecture.
* Utilize modern machine learning methods and domain understanding to support the creation of new products and services, leveraging MLflow for experiment tracking and model lifecycle management.
* Collaborate with data and analytics teams and cross\-functional departments such as digital, services, class, and engineering to build scalable ML solutions and deliver actionable insights.
* Write independent source code in Python, PySpark, and SQL, validate and test models, and use Databricks Feature Store for consistent feature reuse and governance.
* Design and implement robust data architectures using Delta Lake and manage data assets securely via Unity Catalog and Azure Data Lake.
* Combine Agile methodologies with data science practices to build advanced analytics and AI products using Databricks Workflows and Azure ML Pipelines.
* Develop, test, deploy, and maintain machine learning and AI models using Databricks Runtime for ML, ensuring scalability, performance, and governance.
* Lead the data\-driven decision\-making process, from data collection and analysis to implementation and monitoring of solutions using Databricks Jobs, CI/CD pipelines, and Azure DevOps.
* Support organizational decision\-making based on the results of analytics efforts, ensuring traceability and governance via Unity Catalog and Azure Purview.
* Work independently on data engineering, preprocessing, and preparation tasks using Databricks Notebooks, SQL Warehouses, and Azure Synapse Analytics.
* Mentor data scientists, ASPIRES, and interns, providing guidance and support in their professional development and technical growth.
* Evaluate and partner with external customers, vendors, university relations, and other teams to drive innovation and collaboration.
* Stay current in the field of AI and advanced analytics, with a focus on innovations within the Databricks, Azure, and OpenAI ecosystems, including LLMs, GenAI, and MLOps.
* Develop and deploy scalable and interpretable data products per business\-defined requirements using Databricks Repos, Model Serving, and Azure Machine Learning.
**Knowledge, Skills And Abilities Required (KSAR)**
* Strong written and verbal communication skills, with the ability to translate complex data into actionable insights.
* Experienced in working with cross\-functional teams to understand business challenges and deliver data\-driven solutions.
* Proficient in machine learning, data mining, statistical analysis, and applied AI methods using Databricks, Azure ML, and Dataiku.
* Skilled in developing scalable ML solutions and translating analytics into business impact.
* Advanced proficiency in Python, PySpark, SQL, and tools such as Jupyter, VS Code, and MLflow.
* Experience with database technologies and architectures including Delta Lake, Azure Data Lake, SQL Warehouses, and Synapse Analytics.
* Hands\-on experience with AutoML platforms such as Dataiku, and familiarity with Azure AutoML.
* Deep understanding of Azure Cloud resources, including Azure Machine Learning, Azure DevOps, Azure Cognitive Search, and Azure OpenAI.
* Familiarity with Generative AI solutions, Large Language Models, and NLP frameworks like Hugging Face Transformers.
* Ability to quickly adapt and learn new domains, technologies, and platforms.
* Proven ability to lead data\-driven projects and guide strategic decisions through analytics.
* Strong mentoring skills to support junior team members and interns.
* Demonstrated ability to solve complex problems with innovative and practical solutions.
* Entrepreneurial mindset with a focus on experimentation, scalability, and business value.
**Minimum Years Of Experience**
 2 to 3 years' work experience as a Senior Data Scientist and over 7 years' experience in Data Science, Information Systems, Computer Science, Engineering or other relevant field with relevant experience.
**Required/Preferred Education Requirements**
 Preferred \- master's degree in data science, Data Analytics, Information Systems, Computer Science, Engineering or other relevant field. Required bachelor's degree in data science, Information Systems, Computer Science, Engineering or other relevant field with relevant experience.
**Required/Preferred Professional Requirements**
* Prefer to have Career Essentials in Generative AI by Microsoft and LinkedIn
* Prefer to have Build Your Generative AI Productivity Skills with Microsoft and LinkedIn
* Prefer to have Azure AI Fundamentals
* Prefer to have Azure Data Scientist Associate
* Prefer to have Azure AI Engineer Associate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2026-01-10T04:55:32Z</dcterms:created>
  <dcterms:modified xsi:type="dcterms:W3CDTF">2026-01-10T04:55:32Z</dcterms:modified>
</cp:coreProperties>
</file>