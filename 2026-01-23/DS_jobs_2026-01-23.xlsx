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in-130e5a0e7032a718</t>
        </is>
      </c>
      <c r="B2" t="inlineStr">
        <is>
          <t>Associate Data Scientist- Gen AI -ML</t>
        </is>
      </c>
      <c r="C2" t="inlineStr">
        <is>
          <t>Capgemini</t>
        </is>
      </c>
      <c r="D2" t="inlineStr">
        <is>
          <t>indeed</t>
        </is>
      </c>
      <c r="E2">
        <f>HYPERLINK("https://www.indeed.com/viewjob?jk=130e5a0e7032a718", "https://www.indeed.com/viewjob?jk=130e5a0e7032a718")</f>
        <v/>
      </c>
      <c r="F2">
        <f>HYPERLINK("https://www.capgemini.com/jobs/396136-en_GB+sap_btp/", "https://www.capgemini.com/jobs/396136-en_GB+sap_btp/")</f>
        <v/>
      </c>
      <c r="G2" t="inlineStr">
        <is>
          <t>Seattle, WA, US</t>
        </is>
      </c>
      <c r="H2" s="2" t="n">
        <v>46044</v>
      </c>
      <c r="I2" t="inlineStr">
        <is>
          <t>Seattle, WA
Associate Data Scientist\- Gen AI \-ML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is:$90\.000 to 120,000\.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396136\-en\_GB
Posted on
23 Jan 2026
Experience level
Experienced Professionals
Contract type
Permanent
Location
Seattle, WA
Business unit
I and D Global Business Line
Brand
Capgemini
Professional communities
Data \&amp; AI</t>
        </is>
      </c>
    </row>
    <row r="3">
      <c r="A3" t="inlineStr">
        <is>
          <t>in-c86266df15486568</t>
        </is>
      </c>
      <c r="B3" t="inlineStr">
        <is>
          <t>Data Scientist- Senior</t>
        </is>
      </c>
      <c r="C3" t="inlineStr">
        <is>
          <t>State of Indiana</t>
        </is>
      </c>
      <c r="D3" t="inlineStr">
        <is>
          <t>indeed</t>
        </is>
      </c>
      <c r="E3">
        <f>HYPERLINK("https://www.indeed.com/viewjob?jk=c86266df15486568", "https://www.indeed.com/viewjob?jk=c86266df15486568")</f>
        <v/>
      </c>
      <c r="F3">
        <f>HYPERLINK("https://workforindiana.in.gov/job/Indianapolis-Data-Scientist-Senior-IN-46204/1358950900/?feedId=281600&amp;utm_source=Indeed&amp;utm_campaign=Indiana_Indeed", "https://workforindiana.in.gov/job/Indianapolis-Data-Scientist-Senior-IN-46204/1358950900/?feedId=281600&amp;utm_source=Indeed&amp;utm_campaign=Indiana_Indeed")</f>
        <v/>
      </c>
      <c r="G3" t="inlineStr">
        <is>
          <t>Indianapolis, IN, US</t>
        </is>
      </c>
      <c r="H3" s="2" t="n">
        <v>46044</v>
      </c>
      <c r="I3" t="inlineStr">
        <is>
          <t>**Work for Indiana**
====================
Begin a fulfilling career with the State of Indiana by joining one of the largest employers in the state, offering a range of opportunities across 60\+ agencies. At the state, you'll find competitive compensation, a robust benefits package and a commitment to work\-life balance. Most importantly, you'll have the chance to make a real and measurable impact on the lives of Hoosiers across Indiana.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In this role you will ensure INDOT executives, INDOT employees, INDOT vendors, federal representatives, and other State of Indiana employees utilize INDOT data as well as possible. You will be responsible to execute highly effective customer engagement and the delivery of data products for agency customers. This position is a key part of customer engagement and data product delivery. This position also plays a key role in educating the customers and end\-users on best practices for data interpretation and data product utilization.
 **Salary Statement**:
The salary for this position traditionally starts at $79,118\.00 but may be commensurate with education or work experience.
**A Day in the Life:**
----------------------
The essential functions of this role are as follows:
* Provides supervision, leadership, mentoring, and guidance to other Data Scientists and staff.
* Engages with key business stakeholders on strategic projects and initiatives to understand their analytical and operational challenges and translate these needs into data solutions.
* Assesses the structure, content, and quality of the data through examination of source systems and data samples.
* Collaborates with other DS professionals, data engineers, and BI professionals around data/table structures to optimize architecture, ETL procedures, dashboards, and other self\-service needs.
* Prioritizes requirements and creates rapid prototypes and minimally viable products for end users.
* Identifies opportunities to improve current processes or find efficiencies by applying industry best practices as a DS professional.
* Mines and analyzes data from state databases to drive insights into problems and efficiency in processes while maintaining the standards of organizational excellence.
* Interprets data and from multiple sources using a variety of analytical techniques, ranging from simple data aggregation to data mining, to more complex statistical methodologies.
* Monitors the input for code repositories for code version control.
* Provides end user education for interpretation of business data.
* Tests and evaluates data solutions as it relates to upgrades to existing software.
* Provides oversight of the maintenance and support for existing data solutions for the agency.
* Records and communicates technical specifications to ensure that proper techniques and standards are incorporated into deliverables and understood by the end users.
The job description is not designed to cover or contain a comprehensive listing of activities, duties or responsibilities that are required of the employee. Other duties, responsibilities and activities may change or be assigned at any time.
This position is exempt from overtime compensation for additional work hours which may be required to complete essential functions or other assigned work. Exempt employees may work more than 75 hours in a pay period without additional compensation and must report a minimum of 75 hours per pay period of work hours and/or paid leave taken to receive their base biweekly salary.
**What You'll Need for Success:**
---------------------------------
The ideal candidate in this role should minimally have either
* a Master’s and 1\-2\+ years of experience, or
* a Bachelor’s Degree and 3\-4\+ years of experience, or
* 7\-8\+ years of experience applying the below, outlined knowledge, skills, and abilities in a similar role.
Related certifications and coursework may be considered for education or experience.
* The ideal candidate should also have at least 1\-2 years in a team lead, project lead, or supervisory capacity.
* Strong leadership skills including strategic thinking, communication, and presentation skills.
* Considerable knowledge using computer languages (R, Python, SQL, etc.) to manipulate and draw insights from large data sets as well develop software for automation.
* Broad knowledge of advanced statistical techniques and concepts (regression, properties of distributions, statistical tests and proper usage, etc.) and experience with applications.
* Broad knowledge of a variety of machine learning techniques (clustering, decision tree learning, artificial neural networks, etc.) and their real\-world advantages and drawbacks.
* Strong understanding of relational and dimensional databases, theories, principles, and practices.
* Exceptional analytical, conceptual, and problem\-solving abilities.
* Strong written/oral communication and presentation skills.
* Resourceful self\-starter and highly motivated team player;
* Able to perform well in a fast\-paced environment.
* Experience with data manipulation to include cleansing, standardizing, and transforming.
* Experience in leading workshops or training sessions with a user community.
* Experience generating and distributing visualizations to a broad range of audiences.
* Effective communicator and someone who enjoys getting to understand nuances of a problem.
* Ability to delegate work, set clear direction, and manage workflow.
* Ability to effectively give feedback, provide guidance or corrective action, coach, and develop employee skillsets.
* Ability to lead, encourage and influence others to perform.
* Able to perform essential functions with or without reasonable accommodation.
**Supervisory Responsibilities/Direct Reports:**
------------------------------------------------
This role may provide direct supervision for one or more staff members. **Benefits of Employment with the State of Indiana:**
The State of Indiana offers a comprehensive benefit package for full\-time employees which includes:
* Three (3\) medical plan options (including RX coverage) as well as vision and dental plans
* Wellness Rewards Program: Complete wellness activities to earn gift card rewards
* Health savings account, which includes bi\-weekly state contribution
* Deferred compensation 457(b) account (similar to 401(k) plan) with employer match
* Two (2\) fully\-funded pension plan options
* A robust, comprehensive program of leave policies covering a variety of employee needs, including but not limited to:
	+ 150 hours of paid New Parent Leave and up to eight weeks of paid Childbirth Recovery Leave for eligible mothers
	+ Up to 15 hours of paid community service leave
* Combined 180 hours of paid vacation, personal, and sick leave time off
* 12 paid holidays, 14 on election years
* Education Reimbursement Program
* Group life insurance
* Referral Bonus program
* Employee assistance program that allows for covered behavioral health visits
* Qualified employer for the Public Service Loan Forgiveness Program
* Free Parking for most positions
* Free LinkedIn Learning access
 **Equal Employment Opportunity:**
The State of Indiana is an Equal Opportunity Employer and is committed to recruiting, selecting, developing, and promoting employees based on individual ability and job performance. Reasonable accommodations may be available to enable individuals with disabilities to complete the application and interview process as well as perform the essential functions of a role. If you require reasonable accommodations to complete this application, you can request assistance by contacting the Indiana State Personnel Department at jobs@spd.IN.gov.</t>
        </is>
      </c>
    </row>
    <row r="4">
      <c r="A4" t="inlineStr">
        <is>
          <t>in-594a6fe9e90e3d82</t>
        </is>
      </c>
      <c r="B4" t="inlineStr">
        <is>
          <t>Senior Applied Scientist - Brand Marketing</t>
        </is>
      </c>
      <c r="C4" t="inlineStr">
        <is>
          <t>Uber</t>
        </is>
      </c>
      <c r="D4" t="inlineStr">
        <is>
          <t>indeed</t>
        </is>
      </c>
      <c r="E4">
        <f>HYPERLINK("https://www.indeed.com/viewjob?jk=594a6fe9e90e3d82", "https://www.indeed.com/viewjob?jk=594a6fe9e90e3d82")</f>
        <v/>
      </c>
      <c r="F4">
        <f>HYPERLINK("https://tnl2.jometer.com/v2/job?jz=5wqzs1f8c63581e5676762073dcc8a2ce4caeKIAAKAAAAABQ&amp;iis=Job%20Board%20-%20Recruitment%20Marketing&amp;iisn=Indeed%20Organic", "https://tnl2.jometer.com/v2/job?jz=5wqzs1f8c63581e5676762073dcc8a2ce4caeKIAAKAAAAABQ&amp;iis=Job%20Board%20-%20Recruitment%20Marketing&amp;iisn=Indeed%20Organic")</f>
        <v/>
      </c>
      <c r="G4" t="inlineStr">
        <is>
          <t>San Francisco, CA, US</t>
        </is>
      </c>
      <c r="H4" s="2" t="n">
        <v>46045</v>
      </c>
      <c r="I4"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As a member of the Brand Science team, you will not only be able to perform complex analyses exploring our rich dataset, but also shape marketing and measurement strategy. You'll play a big part in finding opportunities to help the marketing function scale as we develop the global Uber brand.
**What the Candidate Will Do***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5\+ years of experience (or equivalent) with statistical modeling, causal inference, and econometric techniques.
* Proficiency in SQL and a data analysis programming language \- Python (preferred) or R
* Excellent communication skills to understand stakeholder needs, set expectations around feasibility, translate business challenges into research questions, and present findings to technical and non\-technical audiences
* Be self\-driven and show the ability to deliver on ambiguous projects with messy and incomplete data
**Preferred Qualifications**
* Experience with solving quantitative problems in the marketing/AdTech space
* PhD in a quantitative field such as statistics, economics, or operations research
Intellectual curiosity and a knack for applying/extending technical solutions in innovative ways  
*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
      <c r="A5" t="inlineStr">
        <is>
          <t>in-f2214729fbc15879</t>
        </is>
      </c>
      <c r="B5" t="inlineStr">
        <is>
          <t>Senior Applied Scientist - Brand Marketing</t>
        </is>
      </c>
      <c r="C5" t="inlineStr">
        <is>
          <t>Uber</t>
        </is>
      </c>
      <c r="D5" t="inlineStr">
        <is>
          <t>indeed</t>
        </is>
      </c>
      <c r="E5">
        <f>HYPERLINK("https://www.indeed.com/viewjob?jk=f2214729fbc15879", "https://www.indeed.com/viewjob?jk=f2214729fbc15879")</f>
        <v/>
      </c>
      <c r="F5">
        <f>HYPERLINK("https://tnl2.jometer.com/v2/job?jz=5wqzs40283f6139c83649d8f976db2baa2bd6KIAAKAAAAABQ&amp;iis=Job%20Board%20-%20Recruitment%20Marketing&amp;iisn=Indeed%20Organic", "https://tnl2.jometer.com/v2/job?jz=5wqzs40283f6139c83649d8f976db2baa2bd6KIAAKAAAAABQ&amp;iis=Job%20Board%20-%20Recruitment%20Marketing&amp;iisn=Indeed%20Organic")</f>
        <v/>
      </c>
      <c r="G5" t="inlineStr">
        <is>
          <t>New York, NY, US</t>
        </is>
      </c>
      <c r="H5" s="2" t="n">
        <v>46045</v>
      </c>
      <c r="I5"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As a member of the Brand Science team, you will not only be able to perform complex analyses exploring our rich dataset, but also shape marketing and measurement strategy. You'll play a big part in finding opportunities to help the marketing function scale as we develop the global Uber brand.
**What the Candidate Will Do***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5\+ years of experience (or equivalent) with statistical modeling, causal inference, and econometric techniques.
* Proficiency in SQL and a data analysis programming language \- Python (preferred) or R
* Excellent communication skills to understand stakeholder needs, set expectations around feasibility, translate business challenges into research questions, and present findings to technical and non\-technical audiences
* Be self\-driven and show the ability to deliver on ambiguous projects with messy and incomplete data
**Preferred Qualifications**
* Experience with solving quantitative problems in the marketing/AdTech space
* PhD in a quantitative field such as statistics, economics, or operations research
Intellectual curiosity and a knack for applying/extending technical solutions in innovative ways  
*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
      <c r="A6" t="inlineStr">
        <is>
          <t>in-942bbcbc8ebc9fb4</t>
        </is>
      </c>
      <c r="B6" t="inlineStr">
        <is>
          <t>Data Scientist I - McWilliams School of Biomedical Informatics</t>
        </is>
      </c>
      <c r="C6" t="inlineStr">
        <is>
          <t>UTHealth Houston</t>
        </is>
      </c>
      <c r="D6" t="inlineStr">
        <is>
          <t>indeed</t>
        </is>
      </c>
      <c r="E6">
        <f>HYPERLINK("https://www.indeed.com/viewjob?jk=942bbcbc8ebc9fb4", "https://www.indeed.com/viewjob?jk=942bbcbc8ebc9fb4")</f>
        <v/>
      </c>
      <c r="F6">
        <f>HYPERLINK("https://careers.uth.tmc.edu/us/en/job/UHHUHHUS250001Z4EXTERNALENUS/Data-Scientist-I-McWilliams-School-of-Biomedical-Informatics?utm_source=indeed&amp;utm_medium=phenom-feeds", "https://careers.uth.tmc.edu/us/en/job/UHHUHHUS250001Z4EXTERNALENUS/Data-Scientist-I-McWilliams-School-of-Biomedical-Informatics?utm_source=indeed&amp;utm_medium=phenom-feeds")</f>
        <v/>
      </c>
      <c r="G6" t="inlineStr">
        <is>
          <t>TX, US</t>
        </is>
      </c>
      <c r="H6" s="2" t="n">
        <v>46045</v>
      </c>
      <c r="I6" t="inlineStr">
        <is>
          <t>**McWilliams School of Biomedical Informatics is shaping the future of patient care, disease prevention, and biomedical discovery by transforming data into innovative solutions powered by artificial intelligence, data science, and informatics. We are the only biomedical informatics program with advanced doctoral degrees in Texas and the largest and only free\-standing informatics school in the nation.**
This position will support clinical data request services for entire UTHealth Houston. This position will perform daily data quality validation, mapping of electronic health record data to standardized clinical terminologies, and data architecture management to ensure accurate, reliable, and accessible datasets for the UTHealth Houston research community.
**What we do here changes the world.** UTHealth Houston is Texas’ resource for healthcare education, innovation, scientific discovery, and excellence in patient care. That’s where you come in.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The Data Scientist – Level I is a skillful team player with a clear track record of transforming data into actionable insights and knowledge. This individual is a deliberate and systematic scientist who can clearly articulate the hypotheses to be tested, practice with rigor and precision, and maintain a balanced/independent point of view to achieve valid and accepted findings. Uses social determinants of health data sets in conjunction with administrative claims and electronic health records to measure the relational impact of these variables when applicable.
It is essential for this person to be a very effective communicator who can guide business and clinical customers to understanding of applied methods, rationale, statistical validity and the appropriate application of insights.
 **Position Key Accountabilities:**
1\. Supports faculty and clinical, business and research customers with data science services on a variety of projects which may include clinical operations, hospital quality/safety, finance, supply chain, practice management, population health, personalized medicine and translational research.  
2\. Builds models that incorporate diverse data sets representing administrative, clinical and social health indicators when applicable.  
3\. Apply a variety of methods such as statistical analysis, data mining, predictive analytics, time series analysis, multivariate regression analysis, statistical process control and optimization solutions.  
4\. Perform as a results\-oriented problem solver to quickly synthesize complex scenarios, connect abstract patterns/information, apply appropriate methods, and implement practical and timely solutions.  
5\. Demonstrate and embrace a collaborative approach to fully realize the talents of colleagues such as data stewards, IT staff, business analysts, business stakeholders and industry experts.  
6\. Assess the impact of computer networking and data warehousing on data use and analysis when applicable.  
7\. Perform other duties as assigned.
 **Certification/Skills:**
* Proficiency with statistical packages, data bases and programming languages for data preparation, storage, transformation, analysis or visualization. Examples include R, SAS, STATA, SPSS, Matlab, SQL, Python, Hadoop, Pig, Hive, MapReduce, Java Tableau, Excel or other big data frameworks.
* Ability to work with a wide variety of data formats/sources such as relational databases, XML, JSON, CSV, text, sensors/activity trackers, clickstreams, social media, and geolocation
* Effective communication skills including written, oral, listening and interpersonal.
 **Minimum Education:**
Master’s degree in health care, management, mathematics, engineering, informatics, or a related field
 **Minimum Experience:**
1 year of enterprise experience as a data scientist, informaticist, statistician, senior analyst or related role
**Preferred Experience:**
Strong data management (SQL, ETL) and visualization (Tableau, Power BI) skills, proficiency in statistical software like R or Python, deep knowledge of clinical data warehouse, understanding of HIPAA regulations, and familiarity with healthcare terminology.
Also preferred is training or experience in clinical informatics; Technical skills in machine learning, advanced statistics, data mining, and the ability to build predictive models are a plus.
**Physical Requirements:**
Exerts up to 20 pounds of force occasionally and/or up to 10 pounds frequently and/or a negligible amount constantly to move objects.
 **Security Sensitive:**
This position is a security\-sensitive position pursuant to Texas Education Code §51\.215 and Texas Government Code §411\.094\. To the extent that a position requires the holder to research, work on, or have access to critical infrastructure as defined in Texas Business and Commerce Code §117\.001(2\),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things such as criminal history or continuous connections to the government or political apparatus of a foreign adversary might prevent the applicant, employee, or contractor from being able to maintain the security or integrity of the infrastructure. A foreign adversary is a nation listed in 15 C.F.R. §791\.4\.
**Residency Requirement:**
Employees must permanently reside and work in the State of Texas.</t>
        </is>
      </c>
    </row>
    <row r="7">
      <c r="A7" t="inlineStr">
        <is>
          <t>in-52decb8d74f5ad6c</t>
        </is>
      </c>
      <c r="B7" t="inlineStr">
        <is>
          <t>Junior Data Scientist</t>
        </is>
      </c>
      <c r="C7" t="inlineStr">
        <is>
          <t>Katten</t>
        </is>
      </c>
      <c r="D7" t="inlineStr">
        <is>
          <t>indeed</t>
        </is>
      </c>
      <c r="E7">
        <f>HYPERLINK("https://www.indeed.com/viewjob?jk=52decb8d74f5ad6c", "https://www.indeed.com/viewjob?jk=52decb8d74f5ad6c")</f>
        <v/>
      </c>
      <c r="F7">
        <f>HYPERLINK("https://phg.tbe.taleo.net/phg04/ats/careers/v2/viewRequisition?org=KATTMUCH2&amp;cws=39&amp;rid=7290", "https://phg.tbe.taleo.net/phg04/ats/careers/v2/viewRequisition?org=KATTMUCH2&amp;cws=39&amp;rid=7290")</f>
        <v/>
      </c>
      <c r="G7" t="inlineStr">
        <is>
          <t>Chicago, IL, US</t>
        </is>
      </c>
      <c r="H7" s="2" t="n">
        <v>46044</v>
      </c>
      <c r="I7" t="inlineStr">
        <is>
          <t>Requisition ID:
**7290**
Katten is a full\-service law firm with approximately 700 attorneys in locations across the United States and in London and Shanghai. Clients seeking sophisticated, high\-value legal services turn to Katten for counsel locally, nationally and internationally. The firm’s core areas of practice include corporate, financial markets and funds, insolvency and restructuring, intellectual property, litigation, real estate, structured finance and securitization, transactional tax planning, private credit and private wealth. Katten represents public and private companies in numerous industries, as well as a number of government and nonprofit organizations and individuals.
**Junior Data Scientist**
Under the direction of the Chief Innovation Officer and the Data Scientist, and in accordance with established firm policies and procedures, the Junior Data Scientist supports the collection, management, analysis, and visualization of data to help develop innovative and efficient solutions for the firm.
The Junior Data Scientist assists with business case development, data preparation, exploratory analysis, and reporting. This role supports the use of machine learning, natural language processing, and AI tools to contribute to internal and client\-facing solutions under guidance.
In this position, the Junior Data Scientist, works with a variety of stakeholders, including attorneys, business professionals, vendors, and clients, while maintaining professionalism and strict confidentiality in all firm and client matters.
**The Junior Data Scientist will be located in the Chicago offic**e. Katten offers a hybrid work model, allowing the flexibility to work both on\-site and remotely on a regular basis (KattenFlex).
**Essential Duties and Responsibilitie**s include, but may not be limited to, the following. Other duties may be requested and/or assigned. Essential functions are primary job duties that an individual must be able to perform successfully with or without a reasonable accommodation. Reasonable accommodations may be made to enable individuals with disabilities to perform the essential functions.
* Assist with data science and AI projects by supporting data collection, cleaning, and preparation activities.
* Collaborate with attorneys, business professionals, and Firm leadership to understand project goals and data needs.
* Contribute to client and internal projects through the firm’s data science team, DataLAB.
* Write and maintain code and basic AI workflows to support data processing and insight generation.
* Perform exploratory data analysis to identify trends, patterns, and data quality issues.
* Assist in applying statistical techniques and machine learning models under supervision.
* Support research into business problems and help identify data\-driven insights and potential solutions.
* Assist with data\-driven root\-cause analyses and summarize findings with attention to organizational impact.
* Manipulate and analyze structured and unstructured datasets using industry\-standard tools and techniques.
* Support the development and testing of AI\- and LLM\-based tools for internal and client\-facing applications.
* Prepare documentation, reports, and data visualizations for review by senior team members and Firm leadership.
* Assist with testing and evaluating new technologies, tools, and data sources.
* Stay informed about emerging technologies, standards, and best practices in data science and AI.
 **Knowledge, Skills, and Abilities**
* Bachelor’s degree in data science, statistics, computer science, engineering, applied mathematics, or a related quantitative field required; an advanced degree is a plus.
* 0–2 years of relevant work experience, internships, or academic project experience in data science, analytics, or related areas.
* Familiarity with some or all of the following tools:
	+ Python (e.g., Pandas, basic NLTK usage)
	+ SQL
	+ Data visualization tools such as Power BI or similar
* Foundational understanding of:
	+ Probability and statistics
	+ Data cleaning and exploratory data analysis
	+ Basic machine learning and data visualization concepts
* Exposure to cloud or big data platforms (e.g., Azure) is a plus but not required.
* Displays intelligence, creativity, resilience, and persistence in solving varied, complex, and non\-routine problems.
* Comfortable working both independently and in diverse teams.
* Excellent interpersonal, verbal, and written communication skills. Ability to communicate with courtesy and diplomacy, efficiently follow written and verbal instructions, provide information, and maintain effective relationships with a diverse group of attorneys, clients, staff, and outside contacts.
* Displays excellent time management and project management skills to meet objectives and deadlines.
* Able to effectively distill complex information, synthesize, simplify, and present to Firm Management, attorneys, and business professionals.
* Possess excellent reading, writing, grammar, spelling, punctuation, proofreading, and formatting skills in order to interpret and analyze source data, prepare correspondence and documentation, and proofread material for grammatical, typographical and spelling errors.
* Able to perform mathematical calculations and apply mathematical concepts when computing, reconciling balances, verifying numerical data, and preparing various reports.
* Able to operate standard office equipment including computers, printers, telephones, photocopiers, scanners, calculators, facsimiles, etc.
* Able to regularly lift and/or move up to 10 pounds.
The annualized salary range for this position can range between $60,000 to $80,000\. Actual pay will be adjusted based on location, experience, and other job\-related factors permitted by law.
We offer an outstanding benefit package which includes: medical/dental/vision, 401k with employer contribution, parental leave, transportation fringe benefit program, back\-up care option, generous paid time off policy and long\-term and short\-term disability policies.
Katten Muchin Rosenman LLP in an Equal Opportunity Employer. All qualified applicants will receive consideration for employment without regard to race, color, religion, sex, sexual orientation, gender identity, national origin, disability, or status as a protected veteran.</t>
        </is>
      </c>
    </row>
    <row r="8">
      <c r="A8" t="inlineStr">
        <is>
          <t>in-5a59c85d0c3d2487</t>
        </is>
      </c>
      <c r="B8" t="inlineStr">
        <is>
          <t>Data Scientist</t>
        </is>
      </c>
      <c r="C8" t="inlineStr">
        <is>
          <t>Los Angeles Sparks</t>
        </is>
      </c>
      <c r="D8" t="inlineStr">
        <is>
          <t>indeed</t>
        </is>
      </c>
      <c r="E8">
        <f>HYPERLINK("https://www.indeed.com/viewjob?jk=5a59c85d0c3d2487", "https://www.indeed.com/viewjob?jk=5a59c85d0c3d2487")</f>
        <v/>
      </c>
      <c r="F8">
        <f>HYPERLINK("https://www.teamworkonline.com/basketball-jobs/nbateamjobs/los-angeles-sparks/data-scientist-2153579?source=Indeed", "https://www.teamworkonline.com/basketball-jobs/nbateamjobs/los-angeles-sparks/data-scientist-2153579?source=Indeed")</f>
        <v/>
      </c>
      <c r="G8" t="inlineStr">
        <is>
          <t>Los Angeles, CA, US</t>
        </is>
      </c>
      <c r="H8" s="2" t="n">
        <v>46044</v>
      </c>
      <c r="I8" t="inlineStr">
        <is>
          <t>The Los Angeles Sparks are seeking a Data Scientist to help elevate the team’s competitive decision\-making through statistical modeling, automated reporting, and data\-driven insights. This role works closely with coaches, scouts, performance staff, and front\-office leadership to deliver actionable analysis that supports coaching, player evaluation, roster construction, and player development. The ideal candidate is a strong quantitative thinker with basketball domain knowledge, experience working with complex datasets, and the ability to turn data into clear, impactful insights used in realistic basketball solutions. This position reports to the Assistant General Manager, Research \&amp; Development.  
**PRINICIPAL DUTIES AND RESPONSIBILITIES:****Applied Basketball Analytics*** Develop predictive models to support player evaluation, lineup optimization, scouting, in\-game strategy, and roster management
* Analyze player tracking data, play\-by\-play, and event\-level datasets to uncover performance trends and competitive advantages
* Design analytical reports, visualizations, and tools used by coaches, scouts, and front\-office staff
 **Modeling \&amp; Statistical Research*** Build and validate models for player evaluation, player development, skill\-specific growth, and opponent scouting
* Conduct research on new basketball metrics and methodologies that enhance internal evaluations
Maintain reproducible research workflows and documentation  
* 
**Data Integration \&amp; Engineering Collaboration*** Partner with the Data Engineering team to define data needs, improve infrastructure, and ensure reliable, well\-structured datasets for analytics
* Build features, transformations, and metrics for use in models and internal reports
Integrate league providers (Second Spectrum, Synergy, etc.) into an internal data synthesis and reporting structure  
* 
**Cross\-Functional Impact*** Prepare clear, concise explanations of analytical findings for scouts, leadership, and coaches
* Support the main decision\-making periods needed throughout the season (Free Agency, Draft, and Staffing)
* Work collaboratively across Basketball Operations to create a data\-driven environment
 **KNOWLEDGE, SKILLS AND ABILITIES:*** Ability to translate complex data into clear, accessible insights for non\-technical audiences
* Passion for basketball analytics and familiarity with modern metrics and concepts
* Ability to work flexible hours during the WNBA season including evenings, weekends and holidays
**MINIMUM REQUIREMENTS:**  
**Education \&amp; Certification*** Bachelor’s or Master’s degree in Statistics, Data Science, Mathematics, Computer Science, or related quantitative field preferred.
**Experience*** 2\+ years of professional experience in data science or related fields
* Strong proficiency in R or Python and SQL.
* Experience building statistical or machine learning models on real\-world datasets.
* Experience building data viz (ggplot2, grobblR, Plotly, Shiny, Dash, etc.)
 **Preferred*** Experience with basketball\-specific data sources such as tracking data, video logs, or advanced play\-by\-play
* Familiarity with cloud analytics environments (AWS, GCP, or Azure)
* Knowledge of Bayesian modeling, optimization techniques, or time\-series forecasting
* Prior experience working in professional or collegiate sports analytics
***Compensation commensurate with experience; minimum starting salary $100,000***  
*This job description in no way states or implies that these are the only duties to be performed by the employee in this position. It is not intended to give all the details or a step\-by\-step account of the way each procedure or task is performed. The incumbent is expected to perform other duties necessary for the effective operation of the department.*  
*We are an equal opportunity employer and all qualified applicants will receive consideration for employment without regard to race, color, religion, national origin, sex, sexual orientation, age, disability, gender identity, marital or veteran status, or any other protected class.*  
*We will ensure that individuals with disabilities are provided reasonable accommodation to participate in the job application or interview process, to perform critical job functions, and to receive other benefits and privileges of employment. Please contact us to request accommodation.*</t>
        </is>
      </c>
    </row>
    <row r="9">
      <c r="A9" t="inlineStr">
        <is>
          <t>in-9b14e4512b7be8af</t>
        </is>
      </c>
      <c r="B9" t="inlineStr">
        <is>
          <t>Data Scientist</t>
        </is>
      </c>
      <c r="C9" t="inlineStr">
        <is>
          <t>Toyota Insurance Management Solutions</t>
        </is>
      </c>
      <c r="D9" t="inlineStr">
        <is>
          <t>indeed</t>
        </is>
      </c>
      <c r="E9">
        <f>HYPERLINK("https://www.indeed.com/viewjob?jk=9b14e4512b7be8af", "https://www.indeed.com/viewjob?jk=9b14e4512b7be8af")</f>
        <v/>
      </c>
      <c r="F9">
        <f>HYPERLINK("https://toyotaims.bamboohr.com/careers/215?source=indeed&amp;src=indeed&amp;postedDate=2026-01-23", "https://toyotaims.bamboohr.com/careers/215?source=indeed&amp;src=indeed&amp;postedDate=2026-01-23")</f>
        <v/>
      </c>
      <c r="G9" t="inlineStr">
        <is>
          <t>Plano, TX, US</t>
        </is>
      </c>
      <c r="H9" s="2" t="n">
        <v>46044</v>
      </c>
      <c r="I9" t="inlineStr">
        <is>
          <t>**Who are we:**
Toyota Insurance Management Solutions, including its affiliates Connected Analytic Services (CAS) and Advanced Connectivity (collectively “TIMS”) is a joint venture between Aioi Nissay Dowa Insurance Services, USA (AIS) and Toyota Financial Services International Corporation. Our objective is to sell and service innovative auto insurance products to Toyota and Lexus owners with a specific focus on telematics\-enabled, usage\-based insurance (UBI).
**Job Overview:**
We are seeking a highly driven and innovative Data Scientist with a strong focus on UBI telematics, conversational AI, AI‑enabled insights, and operational efficiency. In this role, you will transform complex data into actionable intelligence by leading efforts in advanced analytics, model development, data visualization, regulatory model filing, and end‑to‑end deployment of scalable solutions.
Success in this position requires strong software engineering skills, a collaborative mindset, and the ability to communicate technical concepts clearly to both technical and non\-technical stakeholders. We are looking for team members who thrive in a dynamic environment and bring creative data‑powered solutions that enhance decision‑making, improve risk assessment, and drive measurable business value.
 **Job Responsibilities:**
* Work with internal and external organizations to identify data requirements and available data sources.
* Translate business problems into data science solutions by rapid prototyping and utilizing insurance domain knowledge.
* Data analysis, visualization, model development, and deployment using Python and AWS while meeting regulatory and privacy requirements.
* Develop and manage tools and libraries that are reusable across the company.
**Required Education and Experience:**
* Bachelor’s or Master’s degree in data science, Machine Learning, Artificial Intelligence, Robotics, Computational Linguistics, or Computer Science.
* 3\+ years of direct experience in telematics, IoT, or mobility.
* 3\+ years of experience applying machine learning in an insurance or regulated environment.
* Experience operationalizing models via APIs and ML Ops pipelines.
* Experience building solutions in cloud\-based data platforms (AWS).
* Experience implementing solutions using statistical techniques and machine learning, including deep learning.
* Actuarial designation is desired but not required.
* Advanced hands\-on experience with SQL.
* Experience with geospatial data and tools.
* Experience with machine learning deployment, such as containerization and CI/CD.
* Prior experience in P\&amp;C insurance, especially UBI, is highly preferred.
**Required Knowledge, Skills, and Abilities:**
* Strong knowledge of machine learning, statistical modeling, and data science principles.
* Working knowledge of telematics or IoT and their application to risk and behavioral analysis.
* Understanding of insurance fundamentals, including pricing, claims, and regulatory considerations.
* Advanced analytical and problem\-solving skills with the ability to translate business problems/questions into data\-driven solutions.
* Ability to work effectively with large, complex, and ambiguous datasets in fast\-moving environments.
* Solid proficiency in Python and experience with ML libraries (TensorFlow, scikit\-learn, PyTorch, etc.).
* LLM\-based Conversational AI development experience is a strong plus.
* Ability to continuously learn and apply emerging AI techniques and industry best practices.
* Exposure with technical documentation and cross\-cultural collaboration is a plus.
**Required Competencies:**
* Detailed Oriented
* Analytical
* Statistical Modeling
* Risk Acumen
* Collaboration
* Innovation Mindset
* Business Translation \&amp; Communication
**Compensation:**
* $130,000\-$140,000 based on skills and sales experience
**Work Environment and Physical Demands:**
* This role operates in a professional office environment, requiring the ability to work for extended periods at a computer and participate in virtual and in\-person meetings.
* Hybrid schedule with a minimum of two in\-office days weekly.
* Must be authorized to work in the United States and able to meet any applicable employment eligibility requirements.
**Scope of Management:**
Total of direct reports: 0
 **Degree of Travel:** 2%
 **What are the Perks?** ·
* Medical, Dental \&amp; Vision Insurance
* Paid Time Off, Paid Holidays and Sick Days
* 401(k) Match
* FSA and HSA
* Pet Insurance
* Life Insurance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 Authorization:**
Applicants must be authorized to work for any employer in the U.S. This position does not offer sponsorship or the transfer of sponsorship of employment Visa.
 **Learn More:**
Visit our website Toyota Insurance: https://toyotainsurance.com/careers to learn more about our company culture and career opportunities.
 **FLSA Job Status**: Exempt Non\-Exempt
All qualified applicants will receive consideration for employment without regard to race, color, religion, sex, sexual orientation, gender identity, national origin, protected veteran status, or disability status. Reasonable accommodations may be made to enable individuals with disabilities to perform the essential functions.
An Equal Opportunity Employer: Female / Minority / Disability / Protected Veteran / Sexual Orientation / Gender Identity
'**EEOC is The Law' Information:**
https://www.eeoc.gov/sites/default/files/2023\-06/22\-088\_EEOC\_KnowYourRights6\.1</t>
        </is>
      </c>
    </row>
    <row r="10">
      <c r="A10" t="inlineStr">
        <is>
          <t>in-065f722bc741c608</t>
        </is>
      </c>
      <c r="B10" t="inlineStr">
        <is>
          <t>Data Scientist and Application Developer</t>
        </is>
      </c>
      <c r="C10" t="inlineStr">
        <is>
          <t>California Institute of Technology</t>
        </is>
      </c>
      <c r="D10" t="inlineStr">
        <is>
          <t>indeed</t>
        </is>
      </c>
      <c r="E10">
        <f>HYPERLINK("https://www.indeed.com/viewjob?jk=065f722bc741c608", "https://www.indeed.com/viewjob?jk=065f722bc741c608")</f>
        <v/>
      </c>
      <c r="F10">
        <f>HYPERLINK("https://phf.tbe.taleo.net/phf03/ats/careers/v2/viewRequisition?org=CALTECH&amp;cws=37&amp;rid=10733", "https://phf.tbe.taleo.net/phf03/ats/careers/v2/viewRequisition?org=CALTECH&amp;cws=37&amp;rid=10733")</f>
        <v/>
      </c>
      <c r="G10" t="inlineStr">
        <is>
          <t>Pasadena, CA, US</t>
        </is>
      </c>
      <c r="H10" s="2" t="n">
        <v>46044</v>
      </c>
      <c r="I10" t="inlineStr">
        <is>
          <t>Caltech is a world\-renowned science and engineering institute that marshals some of the world's brightest minds and most innovative tools to address fundamental scientific questions. We thrive on finding and cultivating talented people who are passionate about what they do. Join us and be a part of the diverse Caltech community.
#### **Job Summary**
The Einstein Papers Project at Caltech has an opening for a Data Scientist and Application Developer. Come be a part of the team that is researching and publishing Albert Einstein’s published and unpublished writings, his letters and those of his colleagues, family, and friends, his calculation drafts, notebooks, and interviews.
This role will work with a vibrant team of scientists and historians and philosophers of science to carry out text and image processing, extracting relevant information from printed sources, photographs, and handwritten manuscripts. The major source of data consists of some 100,000 archival records and tens of thousands of printed sources. We are interested in archive services and analysis tools related to the discovery of specific search objects (text, equations, concepts) and their characterization.
#### **Essential Job Duties**
* As an Einstein Papers analyst and developer, you will work with the team members to develop systems to ingest, process and deliver content and tools to users, using modern methodologies and AI software, particularly those tools developed to support digital humanities research, methods and platforms.
* Developing and improving infrastructure to ingest and organize database records and their associated files (jpg, tiff, pdf)
* Automating and improving the management of our repositories (move data to GitHub or other cloud\-based repository)
* Streamline deployment of software into test and production environments, through continuous integration, and troubleshoot runtime issues.
#### **Basic Qualifications**
* Bachelor’s degree in Computer Science/Engineering, Information Sciences, or related field.
* Three or more years of relevant experience developing code using python or similar programming languages
* System administration of local networks
* Web server and website administration and operation
* Dynamic database design
* Good familiarity with the TeX\-typsetting system
* Strong communication and interpersonal skills.
#### **Preferred Qualifications**
* Knowledge of Adobe products (Photoshop, InDesign) and Adobe FrameMaker (or willingness to learn).
* Production experience with AWS.
* Experience with configuration management, Git/GitHub.
* Strong Linux/UNIX skills.
* Experience with SQL.
* Ability to read German is a great plus.
#### **Required Documents**
* Resume.
**Hiring Range**
----------------
$109,200 \- $134,700 Per Year  
The salary of the finalist(s) selected for this role will be set based on a variety of factors, including but not limited to, internal equity, experience, education, specialty and training.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Non\-benefit eligible employees will have access to some benefits such as onsite counseling and sick time. Learn more about our benefits and staff perks.
**EEO Statement**
-----------------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is a VEVRAA Federal Contractor.
To read more Equal Employment Opportunity (EEO) go to eeoc\_self\_print\_poster.pdf.
**Disability Accommodations**
-----------------------------
Caltech complies with the Fair Employment and Housing Act (FEHA) and the Americans with Disabilities Act (ADA). We consider reasonable accommodation measures that may be necessary for eligible applicants and employees to perform the essential functions of a position.
If you would like to request an accommodation to complete this application, interview, or otherwise participate in the employee selection process, please contact Caltech Recruiting at employment@caltech.edu.
Additionally, if you do not meet the basic qualifications of a role but believe you can perform the essential functions of the job with reasonable accommodation, please reach out to Caltech Recruiting at employment@caltech.edu.</t>
        </is>
      </c>
    </row>
    <row r="11">
      <c r="A11" t="inlineStr">
        <is>
          <t>in-8ec186cfe1ae813f</t>
        </is>
      </c>
      <c r="B11" t="inlineStr">
        <is>
          <t>Staff Data Scientist, PXE Strategic Insights</t>
        </is>
      </c>
      <c r="C11" t="inlineStr">
        <is>
          <t>Qualtrics</t>
        </is>
      </c>
      <c r="D11" t="inlineStr">
        <is>
          <t>indeed</t>
        </is>
      </c>
      <c r="E11">
        <f>HYPERLINK("https://www.indeed.com/viewjob?jk=8ec186cfe1ae813f", "https://www.indeed.com/viewjob?jk=8ec186cfe1ae813f")</f>
        <v/>
      </c>
      <c r="F11">
        <f>HYPERLINK("https://www.qualtrics.com/careers/us/en/job/QUALUS7560275EXTERNALENUS/Staff-Data-Scientist-PXE-Strategic-Insights?utm_source=indeed&amp;utm_medium=phenom-feeds", "https://www.qualtrics.com/careers/us/en/job/QUALUS7560275EXTERNALENUS/Staff-Data-Scientist-PXE-Strategic-Insights?utm_source=indeed&amp;utm_medium=phenom-feeds")</f>
        <v/>
      </c>
      <c r="G11" t="inlineStr">
        <is>
          <t>Seattle, WA, US</t>
        </is>
      </c>
      <c r="H11" s="2" t="n">
        <v>46044</v>
      </c>
      <c r="I11"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microphone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Data Scientist, PXE Strategic Insights**
**Why We Have This Role**
Our product and GTM leaders need to understand which usage patterns actually drive business outcomes such as renewal, expansion, and revenue growth. We have product data scientists who help product teams learn fast through experimentation. This role goes deeper: building the models and research portfolio that answers our hardest strategic questions about product\-led growth.
You'll own the strategic research agenda at the intersection of product usage and business performance. Questions like: What usage stage in what timeframe drives the best renewal rates? Which feature combinations predict outsized platform consumption? What usage patterns separate accounts that expand from those that churn? Your insights will directly shape product roadmap prioritization and GTM strategy.
**How You’ll Find Success**
* Strategic Research Drives Decisions: Your models and insights are cited in product roadmap discussions, GTM strategy sessions, and executive reviews. Leaders say "the data shows..." and reference your work.
* Cross\-Functional Influence: Product and GTM stakeholders seek you out for partnership on strategic questions. You translate complex analyses into clear recommendations that drive action.
* Research Portfolio Management: You maintain a portfolio of 2\-3 concurrent research initiatives, balancing quick wins with deeper multi\-quarter investigations. You navigate competing stakeholder asks and synthesize them into coherent research plans.
* Methodological Leadership: You raise the bar for how we think about usage\-to\-outcome modeling. The team learns from your approaches to causal inference, predictive modeling, and working with messy behavioral data.
* AI\-First Innovation: Qualtrics is investing in its data science and AI tool stack for our product innovation, which you’ll leverage to accelerate insight generation while maintaining statistical rigor.
**How You’ll Grow**
* Strategic Scope: You'll own research that influences company\-level strategy, giving you visibility with Product and GTM leadership and exposure to board\-level discussions.
* Technical Leadership Track: This role positions you for either technical leadership (principal data scientist) or people leadership (manager/director) based on your interests. The soft skills required here, including stakeholder management, ambiguity navigation, executive communication, are foundational for either path.
* Cross\-Functional Fluency: You'll develop deep expertise in both product analytics and revenue analytics, a rare combination that's highly valued in B2B SaaS companies.
**Things You’ll Do**
* Own the Strategic Research Agenda: Build and maintain a portfolio of research initiatives investigating usage patterns that drive business outcomes. Navigate ambiguous or competing executive asks and synthesize them into clear research plans. Define what "good enough" looks like for each question, balancing rigor with actionability.
* Model Usage to Business Outcome Relationships: Develop predictive models for renewal, expansion, and NRR based on product usage patterns. Quantify the business impact of usage improvements (e.g., "reaching X stage in Y days improves renewal odds by Z%").
* Evaluate GTM Plays and Product Investments: Use casual inference methods to assess whether customer success plays or marketing campaigns are having their intended effects on usage and outcomes. Help product leaders understand the ROI of investments in specific customer journeys or features.
* Translate Complex Findings into Executive Narratives: Create compelling presentations that connect statistical findings to business strategy. Write clear, actionable recommendations that non\-technical stakeholders can act on. Present confidently to senior leadership across Product, GTM, and executive teams.
* Collaborate Across the Data Organization: Partner with Analytics Engineering to access and shape foundational datasets. Work with product data scientists to understand product instrumentation and context. Contribute methodological expertise to the broader team's capabilities.
**What We’re Looking For On Your Resume**
* Experience: 8\+ years in data science or analytics roles, with strong experience in B2B SaaS environments (or fast\-paced consulting/finance with B2B software exposure). You've spent significant time working with product usage data and business outcomes.
* You've Done This Before: You've built models connecting product behavior to revenue outcomes (renewal, expansion, NRR, churn). You've worked with messy, real\-world B2B data across multiple entities (users, accounts, licenses). You've presented findings to executives that influenced product or GTM strategy.
* Modeling Expertise: Strong proficiency in predictive modeling for business outcomes (regression, survival analysis). Applied understanding of causal inference methods (difference\-in\-differences, regression discontinuity). Skilled at feature engineering from behavioral data and interpreting model outputs for business insights (feature importance, effect sizes, interaction effects).You know when fancy methods matter and when simpler approaches are more effective.
* Relevant Data Skills: Expert in SQL for behavioral analysis (event streams, cohort analysis, user journeys). Strong Python skills for modeling and data manipulation (pandas, scikit\-learn, statsmodels). Comfortable with product analytics data structures (event\-based data, user properties, cohorts). Familiar with modern AI\-assisted tools and interested in leveraging them for productivity.
* B2B SaaS Fluency: Deep understanding of B2B SaaS business models (ARR, NRR, expansion, renewal mechanics). Experience navigating account\-level vs. user\-level behavior, multiple stakeholders, and long customer journeys. You speak both "product" and "revenue" languages fluently.
* Communication \&amp; Influence: Exceptional written and verbal communication skills with executive presence. Proven ability to translate complex statistical findings into strategic recommendations. Track record of influencing product or GTM strategy through data insights. Comfortable presenting to senior leadership and defending your methodology.
* Navigating Ambiguity: You thrive when given ambiguous questions from multiple stakeholders and can synthesize them into coherent research plans. You define study design and "definition of done" for strategic questions. You balance stakeholder needs with analytical rigor and know when to push back constructively.
* AI\-First Mindset: You're excited about how AI is transforming data science work and actively experiment with new tools and approaches. You understand the opportunity AI creates for data scientists to focus on higher\-value strategic work while automating routine tasks. You can articulate thoughtful views on where AI helps vs. where human judgment remains critical.
* Advanced Degree: Master's or PhD in Statistics, Economics, Computer Science, Data Science or related quantitative field preferred. Strong fundamentals in statistical inference and probability theory are more important than knowing every technique.
**What You Should Know About This Team**
* The PXE Data Science \&amp; Analytics Team has 3 specialized pillars: Data Science, Analytics, and Analytics Engineering. You'll be part of the Data Science pillar but work independently on strategic research while embedded data scientists focus on product unit partnerships and experimentation.
* We're investing heavily in becoming an AI\-first team. This means building exceptional foundational datasets that AI tools can leverage, adopting AI\-assisted workflows that amplify our impact, and experimenting with novel AI capabilities for analytics. We believe AI makes strategic research and domain expertise more valuable, not less.
* You'll report directly to the head of PXE Data Science \&amp; Analytics and work as a peer to other senior data scientists. Your stakeholders will span Product leadership (PM, UX, UX Research) and GTM leadership (Customer Success, Marketing).
* The team built Customer Maturity (a top strategic KPI), established Golden Paths to measure critical user journeys, and built our product analytics instance from scratch to hundreds of monthly active users. Your research will build on this foundation to connect these usage metrics to business outcomes.
* We value practical impact over theoretical perfection, cross\-functional collaboration, and clear communication. We use modern tools (dbt, Amplitude, Python/R, SageMaker, AI\-assisted coding) and maintain high standards for reproducible research.
**Our Team’s Favorite Perks and Benefits**
* Qualtrics Experience Bonus: Experiences you might not otherwise have
* Hybrid Work Model: 3 days/week in Seattle office (Mon/Tue/Thu) for collaboration
* Career Action Planning: Personalized career planning inside and outside Qualtrics
* Wellness: Comprehensive benefits including wellness reimbursement and mental health support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fit.**For full\-time positions*,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$185,000—$265,500 USD</t>
        </is>
      </c>
    </row>
    <row r="12">
      <c r="A12" t="inlineStr">
        <is>
          <t>in-1a1d11601135b97a</t>
        </is>
      </c>
      <c r="B12" t="inlineStr">
        <is>
          <t>Data Scientist</t>
        </is>
      </c>
      <c r="C12" t="inlineStr">
        <is>
          <t>Booz Allen Hamilton</t>
        </is>
      </c>
      <c r="D12" t="inlineStr">
        <is>
          <t>indeed</t>
        </is>
      </c>
      <c r="E12">
        <f>HYPERLINK("https://www.indeed.com/viewjob?jk=1a1d11601135b97a", "https://www.indeed.com/viewjob?jk=1a1d11601135b97a")</f>
        <v/>
      </c>
      <c r="F12">
        <f>HYPERLINK("https://careers.boozallen.com/careers/JobDetail?jobId=119830", "https://careers.boozallen.com/careers/JobDetail?jobId=119830")</f>
        <v/>
      </c>
      <c r="G12" t="inlineStr">
        <is>
          <t>San Antonio, TX, US</t>
        </is>
      </c>
      <c r="H12" s="2" t="n">
        <v>46044</v>
      </c>
      <c r="I12"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customers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using coding\-based data analysis and querying to solve data\-driven problems in industry, business, or national security, including Python and Pandas, R, or SQL
* 2\+ years of experience using software or code frameworks for statistical analysis and exploratory data analytics to solve data\-driven problems in industry, business, or national security, including Tableau, SAS JMP, QLIK, Palantir, or Python and seaborn
* Experience developing systems or data pipelines within technical and administrative constraints
* Experience designing and optimizing systems or pipelines in environments with competing parameters
* Experience with cascading effects for system architecture or pipelines
* Ability to contribute to multiple projects at once
* Ability to troubleshoot and push through development issues autonomously
* Secret clearance
* Bachelor’s degree and 2\+ years of experience in CS, statistics, applied mathematics, operations research, or a physics, engineering, or science\-based field involving system designs, or Master’s degree and 1\+ years of experience in CS, statistics, applied mathematics, operations research, or a physics, engineering, or science\-based field involving system designs
**Nice If You Have:**
* 1\+ years of experience performing geospatial data analysis using code\-based frameworks such as Python, GeoPandas, Shapely, or pyproj
* 1\+ years of experience with code\-based web data extraction, including Python with Playwright and lxml, or equivalent
* Experience performing geospatial analysis using off\-the\-shelf software such as ArcGIS and QGIS
* Experience coding or deploying code environments on disconnected or classified environments
* Experience with AI\-enhanced coding, including Cursor and Windsurf
* Top Secret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
      <c r="A13" t="inlineStr">
        <is>
          <t>in-fb54a4f94c8c8cd9</t>
        </is>
      </c>
      <c r="B13" t="inlineStr">
        <is>
          <t>Data Scientist, Mid</t>
        </is>
      </c>
      <c r="C13" t="inlineStr">
        <is>
          <t>Booz Allen Hamilton</t>
        </is>
      </c>
      <c r="D13" t="inlineStr">
        <is>
          <t>indeed</t>
        </is>
      </c>
      <c r="E13">
        <f>HYPERLINK("https://www.indeed.com/viewjob?jk=fb54a4f94c8c8cd9", "https://www.indeed.com/viewjob?jk=fb54a4f94c8c8cd9")</f>
        <v/>
      </c>
      <c r="F13">
        <f>HYPERLINK("https://careers.boozallen.com/careers/JobDetail?jobId=119739", "https://careers.boozallen.com/careers/JobDetail?jobId=119739")</f>
        <v/>
      </c>
      <c r="G13" t="inlineStr">
        <is>
          <t>Falls Church, VA, US</t>
        </is>
      </c>
      <c r="H13" s="2" t="n">
        <v>46044</v>
      </c>
      <c r="I13" t="inlineStr">
        <is>
          <t>Data Scientist, Mid**The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lead the development of AI and machine learning algorithms and provide technical support towards the delivery of next\-generation AI capabilities in the area of healthcare fraud, waste, and abuse.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Join us. The world can’t wait.
**You Have:**
* 2\+ years of experience in data science, developing predictive data models, performing quantitative analysis, creating visualizations, and processing complex data to create data\-driven insights
* 1\+ years of experience with developing AI, machine learning models, and quantitative analyses and visualization of targeted data sources
* 1\+ years of experience with AI and machine learning for healthcare fraud detection
* Experience with using healthcare claim data to develop and sustain operational data pipelines supporting AI and machine learning model building
* Experience in the development of model algorithms leveraging Python, Spark, and SQL
* Experience with implementing end\-to\-end machine learning workflows, including from data prep to deployment and evaluation
* Experience with visualization packages, including Matplotlib, Plotly, Seaborn, or ggplot2
* Ability to obtain and maintain a Public Trust or Suitability/Fitness determination based on client requirements
* Bachelor's degree
**Nice If You Have:**
* Experience with web scraping and analyzing unstructured data
* Experience with graph analysis and map visualizations
* Experience with software coding using C\+\+ or Java
* Experience with federal advising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in-08d0fade225154ca</t>
        </is>
      </c>
      <c r="B14" t="inlineStr">
        <is>
          <t>Data Scientist</t>
        </is>
      </c>
      <c r="C14" t="inlineStr">
        <is>
          <t>Booz Allen Hamilton</t>
        </is>
      </c>
      <c r="D14" t="inlineStr">
        <is>
          <t>indeed</t>
        </is>
      </c>
      <c r="E14">
        <f>HYPERLINK("https://www.indeed.com/viewjob?jk=08d0fade225154ca", "https://www.indeed.com/viewjob?jk=08d0fade225154ca")</f>
        <v/>
      </c>
      <c r="F14">
        <f>HYPERLINK("https://careers.boozallen.com/careers/JobDetail?jobId=119744", "https://careers.boozallen.com/careers/JobDetail?jobId=119744")</f>
        <v/>
      </c>
      <c r="G14" t="inlineStr">
        <is>
          <t>Falls Church, VA, US</t>
        </is>
      </c>
      <c r="H14" s="2" t="n">
        <v>46044</v>
      </c>
      <c r="I14"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turn these complex data sets into useful information to solve global challenges. Across private and public sectors from fraud detection to cancer research, to national intelligence, we need a seasoned data scientist like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and mentor your team as you oversee the development of algorithms and systems. You’ll use the right combination of tools and frameworks to turn sets of disparate data points into objective answers to advise your clients as they make informed decisions. As a technical leader, you’ll identify new opportunities to use data science solutions to help your clients meet their toughest challenges.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analyzing structured and unstructured data sources
* Experience developing predictive data models, quantitative analyses, and visualization of targeted data sources
* Experience with leading a team, including projects and deliverables
* Experience in leading the development of solutions to complex programs
* Experience with natural language processing (NLP), text mining, or machine learning techniques
* Ability to obtain a Secret clearance
* Bachelor’s degree
**Nice If You Have:**
* Experience with the development of algorithms leveraging R, Python, or SQL and NoSQL
* Experience with distributed data and computing tools
* Experience with machine learning, AI, or NLP
* Experience with visualization packages, including Plotly, Seaborn, or ggplot2
* Experience working with health data, including health surveillance, wastewater surveillance, and biosurveillance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
      <c r="A15" t="inlineStr">
        <is>
          <t>in-0ad55c24ccce31c7</t>
        </is>
      </c>
      <c r="B15" t="inlineStr">
        <is>
          <t>Data Scientist</t>
        </is>
      </c>
      <c r="C15" t="inlineStr">
        <is>
          <t>UST</t>
        </is>
      </c>
      <c r="D15" t="inlineStr">
        <is>
          <t>indeed</t>
        </is>
      </c>
      <c r="E15">
        <f>HYPERLINK("https://www.indeed.com/viewjob?jk=0ad55c24ccce31c7", "https://www.indeed.com/viewjob?jk=0ad55c24ccce31c7")</f>
        <v/>
      </c>
      <c r="F15">
        <f>HYPERLINK("https://usource.ripplehire.com/candidate/?token=xHQWoFn4C242POo7xMpH&amp;source=CAREERSITE#detail/job/51404", "https://usource.ripplehire.com/candidate/?token=xHQWoFn4C242POo7xMpH&amp;source=CAREERSITE#detail/job/51404")</f>
        <v/>
      </c>
      <c r="G15" t="inlineStr">
        <is>
          <t>Washington, DC, US</t>
        </is>
      </c>
      <c r="H15" s="2" t="n">
        <v>46044</v>
      </c>
      <c r="I15" t="inlineStr">
        <is>
          <t>1 Opening
Washington  
### **Role description**
**Data Scientist**
**Associate III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Data Scientist with good programming skills in Python and experience with Spark for data processing and analytics
**The opportunity:**
* Play a role in designing, developing, and implementing data pipelines and data integration solutions using Python and Google Cloud Platform services.
* Collaborate with cross\-functional teams to understand data requirements and design data solutions that meet business needs.
* Develop, construct, test and maintain data acquisition pipelines for large volumes of structured and unstructured data. This includes batch and real\-time processing
* Develop and maintain data pipelines and ETL processes using Python.
* Design, build, and optimize data models and data architecture for efficient data processing and storage
* Implement data integration and data transformation workflows to ensure data quality and consistency
* Monitor and troubleshoot data pipelines to ensure data availability and reliability
* Conduct performance tuning and optimization of data processing systems for improved efficiency and scalability
* Work closely with data analysts to provide them with the necessary data sets and tools for analysis and reporting
This position description identifies the responsibilities and tasks typically associated with the performance of the position. Other relevant essential functions may be required.
**What you** **need:**
* 8\+ years of experience
* Experience with scripting languages like Shell, Perl etc.
* Design and build an ingestion pipeline using Rest API.
* Experience with data modeling, data integration, and ETL processes
* Strong knowledge of SQL and database systems
* Familiarity with managing cloud\-native databases.
* Understanding of security integration in CI/CD pipelines.
* Understanding of data warehousing concepts and best practices
* Proficiency in working with large\-scale data sets and distributed computing frameworks
* Strong problem\-solving and analytical skills
* Excellent communication and teamwork abilities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Location:****Washington**
**Compensation Range**: $74,000\-$111,000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\#LI\-YG1
### **Skills**
data science,data pipelines,etl,ci/cd,python,google cloud platform
### **Benefits**
### **Compensation range: $ 74,000\.00 to 111,000\.00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6">
      <c r="A16" t="inlineStr">
        <is>
          <t>in-c714a85c0328e3dd</t>
        </is>
      </c>
      <c r="B16" t="inlineStr">
        <is>
          <t>Principal - Data Scientist</t>
        </is>
      </c>
      <c r="C16" t="inlineStr">
        <is>
          <t>Ally Financial</t>
        </is>
      </c>
      <c r="D16" t="inlineStr">
        <is>
          <t>indeed</t>
        </is>
      </c>
      <c r="E16">
        <f>HYPERLINK("https://www.indeed.com/viewjob?jk=c714a85c0328e3dd", "https://www.indeed.com/viewjob?jk=c714a85c0328e3dd")</f>
        <v/>
      </c>
      <c r="F16">
        <f>HYPERLINK("https://ally.avature.net/careers/JobDetail/Principal-Data-Scientist/15813", "https://ally.avature.net/careers/JobDetail/Principal-Data-Scientist/15813")</f>
        <v/>
      </c>
      <c r="G16" t="inlineStr">
        <is>
          <t>Charlotte, NC, US</t>
        </is>
      </c>
      <c r="H16" s="2" t="n">
        <v>46044</v>
      </c>
      <c r="I16" t="inlineStr">
        <is>
          <t>### **General information**
Career area
Technology
Work Location(s)
601 S. Tryon Street, NC
Remote?
No
Ref \#
21580
Posted Date
01\-23\-26
Working time
Full time
###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 **The Opportunity**
As a leader in digital financial services, our customer and employee experiences run on data. Our cloud\-based data, analytics, and AI platform fuel these journeys and help nearly 10,000 leaders and employees make countless data\-driven decisions every day. Our data scientists develop ML solutions that help generate revenue, enhance user experience, and ensure that state\-of\-the\-art GenAI systems run safely and securely.  
We are seeking highly skilled Data Scientists to join our growing team. This role will support enterprise initiatives across machine learning model development, Responsible AI, governance, and emerging generative AI innovations. You will partner with business stakeholders, technology teams, and risk partners to deliver high\-quality ML solutions and tools, and ensure responsible, effective deployment of AI solutions.
Successful candidates will be hands\-on with data and modeling, while also demonstrating strong communication skills and the ability to influence across a complex organization.
### **The Work Itself**
In this role, you will lead the development and deployment of cutting\-edge machine learning and generative AI/agent solutions that drive business transformation. You will design and implement advanced models utilizing experimentation, multi\-modal data, and the latest AI techniques to solve complex problems and unlock new opportunities. As a technical expert and innovator, you will collaborate closely with cross\-functional teams to ensure our AI systems are robust, responsible, and deliver measurable impact.  
You will also lead the architectural design and development of state\-of\-the\-art machine learning, generative AI, and agent systems that enhance user experience, drive revenue, and ensure operational excellence.  
* Lead experimentation initiatives, leveraging A/B testing, and novel AI approaches to continuously improve model performance and business outcomes.
* Advance responsible AI practices by integrating governance, ethical considerations, and security into every stage of model development and deployment.
* Develop and maintain trustworthy benchmarks and operational performance monitoring for predictive models and GenAI and agentic systems.
* Incorporate sophisticated algorithms, experimental design, and emerging AI methodologies to solve real\-world challenges and push the boundaries of innovation.
* Identify and champion new business opportunities by proposing and delivering innovative AI\-driven solutions that create tangible value and competitive advantage.
### **The Skills You Bring**
**Required:*** 5\+ years of experience in machine learning and data science.
* Bachelor's degree.
* Strong coding skills in Python
* Familiarity with cloud data environments such as AWS, Snowflake, Sagemaker, etc.
* Demonstrated technical leadership in developing and delivering AI/ML solutions in a production setting.
* Strong collaboration skills and growth mindset.
 **Nice\-to\-Haves:*** Graduate degree.
* GitHub handle and repositories.
* Hands\-on GenAI/agent and ML engineering experience e.g. using LangChain, Hugging Face, vector databases etc.
* Familiarity with Responsible AI principles, governance frameworks, or Model Risk Management especially in a finance setting.
* Experience in working with multiple partners and driving consensus.
\#LI\-Hybrid
###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$110000 \- $180000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17">
      <c r="A17" t="inlineStr">
        <is>
          <t>in-0d43b722248f092d</t>
        </is>
      </c>
      <c r="B17" t="inlineStr">
        <is>
          <t>Senior Applied Data Scientist</t>
        </is>
      </c>
      <c r="C17" t="inlineStr">
        <is>
          <t>EnrollHere</t>
        </is>
      </c>
      <c r="D17" t="inlineStr">
        <is>
          <t>indeed</t>
        </is>
      </c>
      <c r="E17">
        <f>HYPERLINK("https://www.indeed.com/viewjob?jk=0d43b722248f092d", "https://www.indeed.com/viewjob?jk=0d43b722248f092d")</f>
        <v/>
      </c>
      <c r="F17">
        <f>HYPERLINK("https://apply.workable.com/j/93137539E4", "https://apply.workable.com/j/93137539E4")</f>
        <v/>
      </c>
      <c r="G17" t="inlineStr">
        <is>
          <t>Remote, US</t>
        </is>
      </c>
      <c r="H17" s="2" t="n">
        <v>46044</v>
      </c>
      <c r="I17" t="inlineStr">
        <is>
          <t>EnrollHere is on a mission to make healthcare enrollment simple, transparent, and accessible for everyone. We partner with organizations nationwide to deliver streamlined technology and exceptional customer experiences, ensuring members can access the coverage they need with confidence. Our fully remote team thrives on collaboration, innovation, and a shared commitment to improving the enrollment journey for all.
As the platform scales, our ability to make accurate, timely decisions around policy behavior, agency performance, and cash flow becomes increasingly critical. This role is responsible for building and owning predictive, forecasting, and risk models that directly inform those decisions. Just as important, you will operationalize these models end\- to\-end—ensuring they run reliably in production, adapt as the business evolves, and are trusted by the teams that use them.
You’ll also help design and manage AI\-powered agents that support analytical and forecasting workflows, with a strong emphasis on control, evaluation, and real operational value. This is a hands\-on, senior role with clear ownership and accountability.
### **Responsibilities**
* Build predictive, forecasting, and risk models to support policy decisions, agency strategy, and cash\-flow planning.
* Own the full production lifecycle of models, including deployment, monitoring, drift detection, and retraining.
* Translate model outputs into decision\-ready insights for policy, finance, and operations teams.
* Partner closely with data engineering and product to ensure models are supported by scalable, reliable data pipelines.
* Design and manage AI/LLM\-based agents to automate or augment analytical workflows.
* Define evaluation metrics, guardrails, and failure modes for agent\-driven systems.
* Improve model reliability, interpretability, and business impact as the platform scales.
**Requirements**
* 5\+ years of experience in **applied data science**, **statistics**, or **quantitative analytics**.
* Strong background in **forecasting**, **predictive** **modeling**, or **risk/actuarial\-style analysis**.
* Demonstrated experience owning models in production, not just experimentation.
* Ability to operate in a **fast\-moving SaaS environment** with evolving data and requirements.
* Practical experience with or strong interest in AI agents and LLM\-based systems, beyond simple prompting.
* Clear communicator who can work across technical and business teams.
Nice to Have
* Experience in insurance, financial services, or regulated industries.
* Exposure to model monitoring, governance, or MLOps patterns.
* Familiarity with modern cloud data platforms and Databricks.
**Benefits**
We believe in taking care of our team, which is why we offer a comprehensive benefits package that supports your health, wellness, and future:
* **Medical:** 4 United Healthcare medical plans (including an HSA option)
* **Dental:** 3 dental plans (Aetna and MetLife)
* **Vision:** 2 Aetna vision plans
* **Wellness \&amp; Mental Health:** 5 additional Medical Plus benefits, including telehealth support and an annual Talkspace subscription
* **Ancillary Coverage:** 4 ancillary plans and supplemental life insurance
* **Retirement:** 401(k) with a 4% match (after a 90\-day exclusionary period)
* **PTO \&amp; Flexibility:** Generous PTO and remote work support
* **Growth:** Learning stipends and opportunities for professional development</t>
        </is>
      </c>
    </row>
    <row r="18">
      <c r="A18" t="inlineStr">
        <is>
          <t>in-f0fee07695757c87</t>
        </is>
      </c>
      <c r="B18" t="inlineStr">
        <is>
          <t>Climate Data Scientist</t>
        </is>
      </c>
      <c r="C18" t="inlineStr">
        <is>
          <t>Climate Central</t>
        </is>
      </c>
      <c r="D18" t="inlineStr">
        <is>
          <t>indeed</t>
        </is>
      </c>
      <c r="E18">
        <f>HYPERLINK("https://www.indeed.com/viewjob?jk=f0fee07695757c87", "https://www.indeed.com/viewjob?jk=f0fee07695757c87")</f>
        <v/>
      </c>
      <c r="F18">
        <f>HYPERLINK("https://www.climatecentral.org/open-position-climate-data-scientist", "https://www.climatecentral.org/open-position-climate-data-scientist")</f>
        <v/>
      </c>
      <c r="G18" t="inlineStr">
        <is>
          <t>Princeton, NJ, US</t>
        </is>
      </c>
      <c r="H18" s="2" t="n">
        <v>46044</v>
      </c>
      <c r="I18" t="inlineStr">
        <is>
          <t>**APPLY HERE**
#### **About Climate Central:**
Climate Central is an independent group of scientists and science translators who research and report the facts about our changing climate and how it affects people’s lives. We use science and tech to generate thousands of local storylines and compelling visuals that make climate change relevant and show what can be done about it. We address climate science, sea level rise, extreme weather, energy, and related topics. We collaborate with journalists, TV meteorologists, and other respected messengers, reaching broad audiences through local voices in the US and 150 nations. Our research and visuals appear in thousands of TV spots and well over ten thousand other news stories each year, and our impact is growing.
#### **About the role:**
Climate Central is seeking a highly\-skilled Climate Data Scientist to join our team. Reporting to the Vice President for Science, the scientist will be part of a new initiative in climate services to deliver actionable and interpretable probabilistic predictions of climate hazards on seasonal\-to\-decadal timescales. This initiative will build on Climate Central’s existing multi\-method daily, high\-resolution estimates of how strongly climate change is influencing conditions in the atmosphere and ocean. The scientist will work quickly and creatively to research, develop, and deliver new statistical analyses and decision\-ready products that meet cross\-sector needs for climate risk and hazard planning.
The ideal candidate will have a foundational working knowledge of climate science and modeling as well as experience developing data\-driven methods for prediction problems. *This position is for a two\-year term with the possibility of renewal.*
*Key Responsibilities*
Area \#1: Assessing and developing annual to decadal prediction methods
* Carrying out literature reviews of existing methodologies and datasets
* Identifying gaps in existing 1\-to\-10 year prediction products
* Developing multi\-method approaches that result in unique Climate Central product offerings
Area \#2: Advancing the science
* Using climate models and data to develop and validate predictions of natural hazards or perils in the 1\-to\-10 year window
* Developing scientifically sound technical reports that clearly convey data uncertainties and methodological details to build trust in forecast products developed for end users
* Presenting results at scientific conferences
Area \#3: Translating research into decision\-ready products
* Developing statistical models that predict local climate risks and collaborating with technical staff to turn these into operational service products
* Working with our technical, engagement, and business development teams to create forecast products that meet end\-user needs
* Working with our communications team to ensure products are accurately and accessibly reflected in externally facing materials
Other duties may be assigned as needed.
**Required Skills and Experience:**
* This position requires an advanced degree in a relevant field and experience applying data\-driven statistical approaches to climate model outputs
* Experience with rigorous model evaluation, uncertainty, and validation techniques for probabilistic statistical modeling
* Experience analyzing and visualizing large climate and geospatial datasets in Python using packages such as Xarray, pandas, statsmodels, and scikit\-learn
* Ability to work collaboratively within a fast\-paced environment and to see perspectives across different disciplines and vocabularies
* Excellent communications skills with a track record of effectively communicating about data and scientific findings
#### **Preferred Qualifications:**
* Experience working for a federal agency or lab that has been impacted by recent cuts
* Comfort in working in GitHub and with parallel and distributed computing tools to turn complex big data projects into efficient analysis pipelines (e.g., Dask, Zarr, multiprocessing, joblib, and high\-performance computing or cloud workflows) and end\-user\-ready products
* Experience working with seasonal\-to\-decadal forecasting models and/or large ensembles
* Familiarity with novel AI and/or supervised and unsupervised machine learning techniques, including using Python packages such as PyTorch, TensorFlow/Keras, or XGBoost
* Familiarity with the science and/or data relevant to quantifying climate risk in one or more sectors, such as health or economics
* Experience in working with statistical and/or dynamical downscaling techniques and bias\-adjustment for producing fine\-scale resolution information
* Experience producing scientific manuscripts and reports
**Compensation:** The expected base salary range for this position is $85,000\-$92,000\. Within the range, individual pay is determined by job\-related skills, experience, and relevant education or training. Climate Central offers generous benefits including:
* Medical benefits
* Dental/ Vision benefits
* More than 7 weeks of paid vacation and holidays available annually
* 12 weeks of paid family leave
* 401k with up to 12% matching
* Partial college tuition for children of employees who qualify
#### **Location and employment eligibility:**
This position will be remote, in accordance with Climate Central organizational policy. Presence at headquarters or other U.S.\-based locations is required for periodic team and organizational meetings, events and convenings. Climate Central’s headquarters are in Princeton, N.J. Candidates must be eligible for employment in the United States.
**Equity and EEO language:** Climate Central is an Equal Employment Opportunity employer and promotes a diverse and inclusive workplace. We do not discriminate against any applicant for employment or employee on the basis of race, color, religious creed, gender, age, marital status, sexual orientation, national origin, disability, veteran status or any other classification protected by applicable discrimination laws.
**How To Apply:** Please apply via this link. The application deadline is February 9, 2026 at 5pm ET.  
Please note that our application process requires the submission of a resume only. We are intentionally not asking for a cover letter, so please do not send one with your application.  
***When including your education history in your resume,*** *please remove the name of your school from your resume.* You may leave your degree (e.g., “B.A. Communication”), but please remove any undergraduate or graduate school names. This is one part of our effort to assess candidates against the required skills and experience for this role and to mitigate bias in the decision making process.  
Due to the volume of employment applications and queries received, Climate Central is unable to respond to each application individually. Applicants will be contacted directly if selected as a candidate.</t>
        </is>
      </c>
    </row>
    <row r="19">
      <c r="A19" t="inlineStr">
        <is>
          <t>in-0233dfb2eaf02e17</t>
        </is>
      </c>
      <c r="B19" t="inlineStr">
        <is>
          <t>Senior Marketing Data Scientist</t>
        </is>
      </c>
      <c r="C19" t="inlineStr">
        <is>
          <t>SoFi</t>
        </is>
      </c>
      <c r="D19" t="inlineStr">
        <is>
          <t>indeed</t>
        </is>
      </c>
      <c r="E19">
        <f>HYPERLINK("https://www.indeed.com/viewjob?jk=0233dfb2eaf02e17", "https://www.indeed.com/viewjob?jk=0233dfb2eaf02e17")</f>
        <v/>
      </c>
      <c r="F19">
        <f>HYPERLINK("https://grnh.se/xfy83ghf3us", "https://grnh.se/xfy83ghf3us")</f>
        <v/>
      </c>
      <c r="G19" t="inlineStr">
        <is>
          <t>San Francisco, CA, US</t>
        </is>
      </c>
      <c r="H19" s="2" t="n">
        <v>46044</v>
      </c>
      <c r="I1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0">
      <c r="A20" t="inlineStr">
        <is>
          <t>in-f6051e2242b8d30b</t>
        </is>
      </c>
      <c r="B20" t="inlineStr">
        <is>
          <t>Senior Marketing Data Scientist</t>
        </is>
      </c>
      <c r="C20" t="inlineStr">
        <is>
          <t>SoFi</t>
        </is>
      </c>
      <c r="D20" t="inlineStr">
        <is>
          <t>indeed</t>
        </is>
      </c>
      <c r="E20">
        <f>HYPERLINK("https://www.indeed.com/viewjob?jk=f6051e2242b8d30b", "https://www.indeed.com/viewjob?jk=f6051e2242b8d30b")</f>
        <v/>
      </c>
      <c r="F20">
        <f>HYPERLINK("https://grnh.se/kk1exqx33us", "https://grnh.se/kk1exqx33us")</f>
        <v/>
      </c>
      <c r="G20" t="inlineStr">
        <is>
          <t>San Francisco, CA, US</t>
        </is>
      </c>
      <c r="H20" s="2" t="n">
        <v>46044</v>
      </c>
      <c r="I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1">
      <c r="A21" t="inlineStr">
        <is>
          <t>in-0ddee302192a03ab</t>
        </is>
      </c>
      <c r="B21" t="inlineStr">
        <is>
          <t>RWD Data Scientist</t>
        </is>
      </c>
      <c r="C21" t="inlineStr">
        <is>
          <t>Elevance Health</t>
        </is>
      </c>
      <c r="D21" t="inlineStr">
        <is>
          <t>indeed</t>
        </is>
      </c>
      <c r="E21">
        <f>HYPERLINK("https://www.indeed.com/viewjob?jk=0ddee302192a03ab", "https://www.indeed.com/viewjob?jk=0ddee302192a03ab")</f>
        <v/>
      </c>
      <c r="F21">
        <f>HYPERLINK("https://careers.elevancehealth.com/rwd-data-scientist/job/115EF71C3A46CD23F40C813DC84206B7", "https://careers.elevancehealth.com/rwd-data-scientist/job/115EF71C3A46CD23F40C813DC84206B7")</f>
        <v/>
      </c>
      <c r="G21" t="inlineStr">
        <is>
          <t>Wilmington, DE, US</t>
        </is>
      </c>
      <c r="H21" s="2" t="n">
        <v>46044</v>
      </c>
      <c r="I21" t="inlineStr">
        <is>
          <t>**RWD Data Scientist**
**Locations:** This role requires associates to be in\-office **1\-2**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**RWD Data Scientist** will support strategic decision making across company, conduct feasibility analysis for external customers, and perform commercial analytics by developing predictive models and advanced analytics solutions. Design modeling studies to address specific business issues determined by consultation with business partners.
**How you will make an Impact:**
* Prepares analytical data sets in support of modeling studies.
* Develop and deliver customized reports for a diverse portfolio of clients, ensuring clarity and relevance.
* Design and implement scalable analytics pipeline, advanced statistical models to solve business problems.
* Conduct exploratory data analysis to support new product development
* Proactively collaborates with business partners to determine identified population segments and develop actionable plans to enable the identification of patterns related to quality, use, cost and other variables.
**Minimum Requirements:**
Requires MS, MA, or PhD with concentration in a quantitative discipline such as statistics, computer science, cognitive science, economics, or operations research, a minimum of 3 years direct experience programming large, multi\-source datasets with SAS required, and a minimum of 3 years in health care setting; or any combination of education and experience which would provide an equivalent background.
**Preferred Skills, Experiences and Competencies:**
* Proficiency with SQL, SQL Server, R or Python strongly preferred.
* Intermediate to Advanced expertise with software such as SAS Stat, SAS ETS, SAS Enterprise Miner or equivalents strongly preferred.
* Strong understanding of statistical modelling, predictive analytics, ML libraries
* Experience with visualization and business intelligences tools (i.e. Tableau, Power BI) strongly preferred
* Familiarity with healthcare datasets (i.e. closed claims, EHR/EMR), market access analytics, and commercial strategies in the pharmaceutical domain.
* Experience in developing and conducting training sessions for internal and external stakeholders.
* Familiarity with AWS and Cloud environments.
* Proven ability to design modeling studies and experience with data models, addressing data quality issues in study design, constructing robust and efficient analytical data sets strongly preferred.
* Significant experience in healthcare related field strongly preferred.
* The ability to present meaningful results to a business audience, to participate collaboratively in a team tasked to produce complex analyses on a rigorous schedule, to communicate with strong written and verbal communications skills, and to present to large multi\-disciplinary audiences on a regular basis strongly preferred.
* Ability to execute data counts, queries, and extractions specific to client inquiries, providing accurate and timely answers.
* Ability to engage in discussions to understand and articulate the "why" behind client data needs, building strong client relationships.
* Ability to work with client support and commercial teams to identify and capitalize on opportunities for product adoption and expansion.
* Desire to become a subject matter expert on internal healthcare datasets and their commercial applications, offering guidance and insights.
* Obtain an understanding of data sources, methodologies, and limitations, ensuring data integrity and adherence to industry standards.
* Background in leading initiatives to implement advanced analytics tools and techniques, such as AI and machine learning, to automate routine processes and enhance data insights.
For candidates working in person or virtually in the below locations, the salary\* range for this specific position is $102,580 to $153,870\.
Location(s): Massachusetts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22">
      <c r="A22" t="inlineStr">
        <is>
          <t>in-fd49fd0ecc54060a</t>
        </is>
      </c>
      <c r="B22" t="inlineStr">
        <is>
          <t>Senior Data Scientist, Analytical Data Product - Engine</t>
        </is>
      </c>
      <c r="C22" t="inlineStr">
        <is>
          <t>Roblox</t>
        </is>
      </c>
      <c r="D22" t="inlineStr">
        <is>
          <t>indeed</t>
        </is>
      </c>
      <c r="E22">
        <f>HYPERLINK("https://www.indeed.com/viewjob?jk=fd49fd0ecc54060a", "https://www.indeed.com/viewjob?jk=fd49fd0ecc54060a")</f>
        <v/>
      </c>
      <c r="F22">
        <f>HYPERLINK("https://grnh.se/5kh9lb671us", "https://grnh.se/5kh9lb671us")</f>
        <v/>
      </c>
      <c r="G22" t="inlineStr">
        <is>
          <t>San Mateo, CA, US</t>
        </is>
      </c>
      <c r="H22" s="2" t="n">
        <v>46044</v>
      </c>
      <c r="I2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ANALYTICAL DATA PRODUCT, ENGINE?**
This role will work very closely with Product Managers, Engineers and other partners, responsible for analytical data products that are critical in empowering businesses to rapidly identify opportunities and innovate on growth products and strategies. In this role, you will partner closely with other data scientists to build analytical data products and machine learning models to drive growth efficiency. You will also report to Senior Data Science leadership on the team.
**You Will:**
* Design and build scalable data pipelines and solutions to empower rapid analytical decision making
* Be a key owner of data reliability and data quality across the Engine data science team
* Uplevel the team in terms of data craftsmanship, best practices, testing, quality guardrails, and bring new tools and technologies
* Perform dashboarding and data analysis to generate business insights and manage analytical data solution roadmap
* Collaborate with product manager and other data scientists to understand business goals and product needs
* Partner with different product teams to optimize user growth strategies through insights, strategy, and leadership
**You Have:**
* Minimum of 2 years of experience in analytical engineering, data engineering or similar role.
* An advanced or equivalent degree in Computer Science, Mathematics, Statistics or a related discipline.
* Experience with SQL, spark, python, airflow, and overall modern data stacks and data visualization
* Experience with data mining, warehousing and building ETL pipelines
* Experience in the systems domain and/or gaming industry is a strong plus
**You Are:**
* **Passionate** for leveraging data solutions to drive decisions and optimize business performance.
* **Strive** to write elegant and maintainable code, clear documentations and comfortable with picking up new technologies
* **Strong product mindset** and **data intuition.** Keen to apply analytical and data engineering skills to translate business problems into scalable engineering solutions
* An expert at transforming data with SQL and a scripting language such as Python or R. You're experienced in automating efforts and crunching massive volumes of data in distributed systems using frameworks such as Spark, Hadoop or Flink.
* **Motivated by impact**. You find satisfaction in being able to point to direct contributions you've made to an organization. You recognize the inherent tradeoffs between further research/experimentation and productionization apply the appropriate methodology to maximize impact.
* **A strong communicator**. You understand that analysis must be presented in meaningful ways and engage in spirited discussions about the findings. You have the ability to explain technical concepts to non\-technical audiences and discuss appropriate tradeoffs.
\#LI\-FO1  
\#LI\-Onsite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3">
      <c r="A23" t="inlineStr">
        <is>
          <t>in-ffd4ba75e10a489b</t>
        </is>
      </c>
      <c r="B23" t="inlineStr">
        <is>
          <t>Data Scientist</t>
        </is>
      </c>
      <c r="C23" t="inlineStr">
        <is>
          <t>Do it Best Corp.</t>
        </is>
      </c>
      <c r="D23" t="inlineStr">
        <is>
          <t>indeed</t>
        </is>
      </c>
      <c r="E23">
        <f>HYPERLINK("https://www.indeed.com/viewjob?jk=ffd4ba75e10a489b", "https://www.indeed.com/viewjob?jk=ffd4ba75e10a489b")</f>
        <v/>
      </c>
      <c r="F23">
        <f>HYPERLINK("https://doitbestcareers.com/opening?gnk=job&amp;gni=8a7883a89a9e3698019ab77988ee44b0&amp;gns=Indeed+Free", "https://doitbestcareers.com/opening?gnk=job&amp;gni=8a7883a89a9e3698019ab77988ee44b0&amp;gns=Indeed+Free")</f>
        <v/>
      </c>
      <c r="G23" t="inlineStr">
        <is>
          <t>Fort Wayne, IN, US</t>
        </is>
      </c>
      <c r="H23" s="2" t="n">
        <v>46044</v>
      </c>
      <c r="I23" t="inlineStr">
        <is>
          <t>**Data Scientist**  
Location: Fort Wayne, IN  
Level: Entry to Mid\-Level  
Division / Department: Information Technology / Data \&amp; Analytics  
Reports to: Divisional Manager, Enterprise Data  
Travel: Minimal  
**About the Role:**  
At Do it Best, we combine a cooperative mission with modern technology to serve thousands of member\-owned locations. We’re building out our data science practice and looking for people who want to work at the intersection of advanced analytics, innovation, and business strategy. If you're excited by meaningful problems and motivated by measurable impact, you'll find this role both rewarding and energizing.
As a data scientist, you’ll develop models, run experiments, and uncover patterns that guide strategic and operational decisions. You’ll work closely with analysts, engineers, and business stakeholders to frame problems, test hypotheses, and deliver solutions that create measurable value. In addition to contributing hands\-on, you’ll help elevate the team’s technical capabilities by sharing best practices and shaping how we apply data science across the organization.  
**Key Responsibilities:**
* Collaborate with analytics team members and cross\-functional partners to design and deliver impactful data\-driven solutions.
* Apply statistical and machine learning techniques to solve real\-world business problems, forecast outcomes, and guide decision\-making.
* Conduct exploratory research to identify emerging opportunities where data science can create a competitive advantage.
* Design, prototype, and deploy AI/ML models to automate processes, improve performance, and drive measurable business impact.
* Translate complex technical findings into accessible insights through visualizations, presentations, and storytelling.
* Write internal research papers and white papers to document methods, share discoveries, and support data\-informed strategic planning.
* Stay current with industry trends, tools, and academic research to continually improve our methodologies and capabilities.
**Education and Experience:**
* Bachelor’s degree in a quantitative field such as Data Science, Computer Science, Statistics, Applied Mathematics, Operations Research, or Engineering; or equivalent combination of education and 4\+ years of relevant, hands\-on experience in data science or advanced analytics roles.
* Strong proficiency in Python for data analysis, modeling, and machine learning.
* Solid foundation in applied statistics, including hypothesis testing, regression, A/B testing, and time series analysis.
* Demonstrated experience designing and executing machine learning workflows, including feature engineering, model development, validation, deployment, and performance monitoring.
* Hands\-on experience with experimentation frameworks, including causal inference methods and controlled testing, to support data\-driven decision\-making.
* Proven ability to gather business requirements and translate them into well\-defined analytical or predictive modeling projects.
* Familiarity with other relevant languages and tools used in data science such as SQL, R, Scala/Spark, or Julia is a plus.
**Skills and Abilities:**
* Strong problem\-solving and critical thinking capabilities.
* Clear and concise communication skills, both verbal and written.
* A self\-starter who thrives in collaborative environments.
* Familiarity with the software development lifecycle and Agile methodologies.
**What We Offer:**
* Competitive insurance coverage (medical, dental, vision)
* Paid time off and paid holidays
* Profit sharing and bonus opportunities
* Retirement savings account and planning support
* Tuition and education reimbursement
* Health and wellness reimbursements
* Growth and career development opportunities
**About Do it Best:**  
Based in Fort Wayne, IN, Do it Best is the only US\-based, member\-owned comprehensive and fully integrated hardware, lumber, and building materials buying cooperative in the home improvement industry. With annual sales of nearly $6 billion, Do it Best serves thousands of member\-owned locations across the United States and in more than 60 other countries, and is now part of the Do it Best Group, the world’s largest independent home improvement co\-op. For more information, visit doitbestonline.com and follow us on Facebook, Instagram, and LinkedIn.</t>
        </is>
      </c>
    </row>
    <row r="24">
      <c r="A24" t="inlineStr">
        <is>
          <t>in-ce629a0c98ec3927</t>
        </is>
      </c>
      <c r="B24" t="inlineStr">
        <is>
          <t>Data Scientist</t>
        </is>
      </c>
      <c r="C24" t="inlineStr">
        <is>
          <t>Group Health Cooperative of Eau Claire</t>
        </is>
      </c>
      <c r="D24" t="inlineStr">
        <is>
          <t>indeed</t>
        </is>
      </c>
      <c r="E24">
        <f>HYPERLINK("https://www.indeed.com/viewjob?jk=ce629a0c98ec3927", "https://www.indeed.com/viewjob?jk=ce629a0c98ec3927")</f>
        <v/>
      </c>
      <c r="F24">
        <f>HYPERLINK("https://www.group-health.com/Careers.aspx?gnk=job&amp;gni=8a7883a89be7cb73019bec56f17e1e09&amp;gns=Indeed+Free", "https://www.group-health.com/Careers.aspx?gnk=job&amp;gni=8a7883a89be7cb73019bec56f17e1e09&amp;gns=Indeed+Free")</f>
        <v/>
      </c>
      <c r="G24" t="inlineStr">
        <is>
          <t>Altoona, WI, US</t>
        </is>
      </c>
      <c r="H24" s="2" t="n">
        <v>46044</v>
      </c>
      <c r="I24" t="inlineStr">
        <is>
          <t>**Position Purpose**  
As a Data Scientist is accountable for GHC’s data and data technologies. They are also accountable for the securing, planning, designing, data architecture, development, deployment, and maintenance of data intelligence deliverables for complex business operations. This role actively participates in Scrum ceremonies, aligning development efforts with Agile principles, and supports business decision\-making by providing data integrity, security, and quality integrations in a timely manner.  
**Essential Position Functions**
* Provide data leadership to the team and company with a secured ‘cloud first’ technology mindset.
* Actively participate in working sessions to help define system and security requirements pertaining to data\-related systems within Agile iterations.
* Document business requirements associated with data integration projects/processes within Agile cycles. Guide activities around functional design, architectural design, test case design, and system testing to ensure all requirements are met.
* Manage project priorities, scope, deliverables, timelines, and execution within the Agile iterations and ceremonies.
* Define data and integration standards, ensuring HIPAA standards are followed.
* Research and implement solutions for government\-mandated rules related to Patient Access, Interoperability, Transparency, EDGE reporting, etc.
* Assist in the identification, evaluation, and implementation of vendor\-supplied systems.
* Assure quality, reliability, and security in all solutions, aligning with the agreed DevOps approach.
* Assist with the development and maintenance of IT\-related policies and procedures on a yearly basis.
* Provide staff orientation training and development.
* Define and implement data security standards for the organization. This includes but is not limited to deidentification of data for non\-production environments, active directory security standards, and data design patterns which obfuscate PHI data while maintaining data efficacy.
**Minimum Requirements of the Position**
* Bachelor’s degree in Computer Science, Information Technology, or a related degree.
* Three years of experience and expertise building database solutions that are designed to support multiple workloads built with SQL Server on\-premises and Azure SQL services and can manage the operational aspects of cloud\-native and hybrid data platform solutions.
* Five years of experience using SQL and Microsoft SQL Server Integration Services (SSIS), experience with Microsoft SSAS, SSRS, Power BI, Visual Studio, and DevOps, knowledge of RDBMS principles and database design, experience designing and implementing a data warehouse.
* Knowledge of best practices related to data security, experience with HL7, EDI, or FHIR standards, excellent project management skills, knowledge of Agile principles and methodology.
* Prior experience in healthcare or the health insurance industry preferred, prior supervisory experience preferred, securing data in production environments while providing de\-identifiable information to lower development environments, experience with deployment, and data replication in a multi\-stage environment.
**Certification Requirements**  
Although it is not realistic for every candidate to carry all listed certifications, it is expected that the employee/candidate be certified in Scrum and credentialed in at least two of the Azure certifications listed below. It is also acceptable to suggest and achieve equal alternative certifications.
* Scrum Certification: Within 60 days of employment obtain Professional Scrum Master (PSM I) and/or within 180 days of employment obtain the Certified Scrum Developer (PSD I/II) to demonstrate proficiency in Scrum principles and practices.
* Azure Certifications:
	+ DP\-100 Microsoft Azure Data Scientist Associate (required with 6 months)
	+ AZ\-900 Microsoft Certified Azure Fundamentals (preferred)
	+ DP\-300 Administering Azure SQL Solutions (preferred)
	+ DP\-900 Microsoft Azure Data Fundamentals (preferred)
	+ PL\-300 PowerBI Data Analyst (preferred)
	+ DP\-203 Azure Data Factory (preferred)
Group Health Cooperative of Eau Claire complies with applicable Federal civil rights laws and does not discriminate, exclude or treat candidates less favorably on the basis of race, color, national origin (including limited English proficiency and primary language), age, disability, or sex (including sex characteristics, including intersex traits; pregnancy or related conditions; sexual orientation; gender identity; and sex stereotypes).  
The Cooperative is committed to fostering a caring and compassionate environment while ensuring that individual differences are valued. The Cooperative is a quality driven cooperative built on collaboration, community involvement, innovation, and belonging. It is essential that all employees and members feel secure and welcome, that the opinions and contributions of all individuals are respected and that all voices are heard.  
This full time position offers an outstanding benefit package, including three weeks of vacation the first year, a generous retirement plan, health and dental insurance, a wellness program, and much more! If you are interested in working for an organization focused on a team atmosphere and is dedicated to providing exceptional service submit your resume today! Send resume to: resumes@group\-health.com. Group Health Cooperative of Eau Claire is an affirmative action and equal opportunity employer.</t>
        </is>
      </c>
    </row>
    <row r="25">
      <c r="A25" t="inlineStr">
        <is>
          <t>in-4e6af0a07ddaf72a</t>
        </is>
      </c>
      <c r="B25" t="inlineStr">
        <is>
          <t>Data Scientist</t>
        </is>
      </c>
      <c r="C25" t="inlineStr">
        <is>
          <t>Do it Best Corp.</t>
        </is>
      </c>
      <c r="D25" t="inlineStr">
        <is>
          <t>indeed</t>
        </is>
      </c>
      <c r="E25">
        <f>HYPERLINK("https://www.indeed.com/viewjob?jk=4e6af0a07ddaf72a", "https://www.indeed.com/viewjob?jk=4e6af0a07ddaf72a")</f>
        <v/>
      </c>
      <c r="F25">
        <f>HYPERLINK("https://doitbestcareers.com/opening?gnk=job&amp;gni=8a7887ac9be7cbcb019bec7fdb502154&amp;gns=Indeed+Free", "https://doitbestcareers.com/opening?gnk=job&amp;gni=8a7887ac9be7cbcb019bec7fdb502154&amp;gns=Indeed+Free")</f>
        <v/>
      </c>
      <c r="G25" t="inlineStr">
        <is>
          <t>Dallas, TX, US</t>
        </is>
      </c>
      <c r="H25" s="2" t="n">
        <v>46044</v>
      </c>
      <c r="I25" t="inlineStr">
        <is>
          <t>**Data Scientist**  
Location: Fort Wayne, IN  
Level: Entry to Mid\-Level  
Division / Department: Information Technology / Data \&amp; Analytics  
Reports to: Divisional Manager, Enterprise Data  
Travel: Minimal  
**About the Role:**  
At Do it Best, we combine a cooperative mission with modern technology to serve thousands of member\-owned locations. We’re building out our data science practice and looking for people who want to work at the intersection of advanced analytics, innovation, and business strategy. If you're excited by meaningful problems and motivated by measurable impact, you'll find this role both rewarding and energizing.
As a data scientist, you’ll develop models, run experiments, and uncover patterns that guide strategic and operational decisions. You’ll work closely with analysts, engineers, and business stakeholders to frame problems, test hypotheses, and deliver solutions that create measurable value. In addition to contributing hands\-on, you’ll help elevate the team’s technical capabilities by sharing best practices and shaping how we apply data science across the organization.  
**Key Responsibilities:**
* Collaborate with analytics team members and cross\-functional partners to design and deliver impactful data\-driven solutions.
* Apply statistical and machine learning techniques to solve real\-world business problems, forecast outcomes, and guide decision\-making.
* Conduct exploratory research to identify emerging opportunities where data science can create a competitive advantage.
* Design, prototype, and deploy AI/ML models to automate processes, improve performance, and drive measurable business impact.
* Translate complex technical findings into accessible insights through visualizations, presentations, and storytelling.
* Write internal research papers and white papers to document methods, share discoveries, and support data\-informed strategic planning.
* Stay current with industry trends, tools, and academic research to continually improve our methodologies and capabilities.
**Education and Experience:**
* Bachelor’s degree in a quantitative field such as Data Science, Computer Science, Statistics, Applied Mathematics, Operations Research, or Engineering; or equivalent combination of education and 4\+ years of relevant, hands\-on experience in data science or advanced analytics roles.
* Strong proficiency in Python for data analysis, modeling, and machine learning.
* Solid foundation in applied statistics, including hypothesis testing, regression, A/B testing, and time series analysis.
* Demonstrated experience designing and executing machine learning workflows, including feature engineering, model development, validation, deployment, and performance monitoring.
* Hands\-on experience with experimentation frameworks, including causal inference methods and controlled testing, to support data\-driven decision\-making.
* Proven ability to gather business requirements and translate them into well\-defined analytical or predictive modeling projects.
* Familiarity with other relevant languages and tools used in data science such as SQL, R, Scala/Spark, or Julia is a plus.
**Skills and Abilities:**
* Strong problem\-solving and critical thinking capabilities.
* Clear and concise communication skills, both verbal and written.
* A self\-starter who thrives in collaborative environments.
* Familiarity with the software development lifecycle and Agile methodologies.
**What We Offer:**
* Competitive insurance coverage (medical, dental, vision)
* Paid time off and paid holidays
* Profit sharing and bonus opportunities
* Retirement savings account and planning support
* Tuition and education reimbursement
* Health and wellness reimbursements
* Growth and career development opportunities
**About Do it Best:**  
Based in Fort Wayne, IN, Do it Best is the only US\-based, member\-owned comprehensive and fully integrated hardware, lumber, and building materials buying cooperative in the home improvement industry. With annual sales of nearly $6 billion, Do it Best serves thousands of member\-owned locations across the United States and in more than 60 other countries, and is now part of the Do it Best Group, the world’s largest independent home improvement co\-op. For more information, visit doitbestonline.com and follow us on Facebook, Instagram, and LinkedIn.</t>
        </is>
      </c>
    </row>
    <row r="26">
      <c r="A26" t="inlineStr">
        <is>
          <t>in-d44969cad7de6b99</t>
        </is>
      </c>
      <c r="B26" t="inlineStr">
        <is>
          <t>Data Scientist</t>
        </is>
      </c>
      <c r="C26" t="inlineStr">
        <is>
          <t>Syntel</t>
        </is>
      </c>
      <c r="D26" t="inlineStr">
        <is>
          <t>indeed</t>
        </is>
      </c>
      <c r="E26">
        <f>HYPERLINK("https://www.indeed.com/viewjob?jk=d44969cad7de6b99", "https://www.indeed.com/viewjob?jk=d44969cad7de6b99")</f>
        <v/>
      </c>
      <c r="F26">
        <f>HYPERLINK("https://recruitingbypaycor.com/career/JobIntroduction.action?id=8a7887a89be7cb9f019becc0d69b49f5&amp;source=Indeed+Free", "https://recruitingbypaycor.com/career/JobIntroduction.action?id=8a7887a89be7cb9f019becc0d69b49f5&amp;source=Indeed+Free")</f>
        <v/>
      </c>
      <c r="G26" t="inlineStr">
        <is>
          <t>Washington, DC, US</t>
        </is>
      </c>
      <c r="H26" s="2" t="n">
        <v>46044</v>
      </c>
      <c r="I26" t="inlineStr">
        <is>
          <t>**Overview**
------------
**Syntelligent Analytic Solutions, LLC** provides uniquely qualified personnel with the expertise and tools needed to fulfill our customers’ management and technical requirements in the intelligence, defense, homeland security and commercial market space.
Our customers’ and Syntelligent’s success are built upon the core values of People First, Integrity \&amp; Accountability, Mission Driven, Community Focus and Team Oriented.
**Responsibilities**
--------------------
Syntelligent is seeking a Data Scientist to support a Government Customer
**Location:** Nebraska Avenue Complex / 3801 Nebraska Ave NW, Washington, D.C.
**Shift:** Day
**Anticipated Salary Range:** $125000 \- $140000
**Status:** Full\-Time
**Opening Type:** Immediate
**Number of Openings:** 5
**Duties will include:**
* As a Data Scientist, you will be involved in full spectrum analytic technical support to mission operations and the intelligence lifecycle: requirements collection and refinement, translating user requirements into technical requirements, environment configuration, exploratory data analysis, model development, selection, and evaluation, identifying insights from analytic products and then communicating those results to a nontechnical audience. To that end, you will work with cross\-functional teams to identify relevant and permissible data sources, access available infrastructure, and to develop analytic products tailored to mission user requirements. Strong communication and interpersonal skills are critical in your ability to collaborate with your technical colleagues and building rapport with the customer. Your analytic products should clearly and succinctly distill trends, illuminate latent patterns, and spotlight insights in an easy\-to\-consume manner for customers to take action on.
* Establish advanced analysis and data visualization methodologies, models, and tools to derive intelligence outcomes and impacts.
* Design and deliver infographics across a range of media platforms.
* Identify and process raw data, trends, analysis, and assessments in order to aggregate disparate information, leveraging both analytic and visualization tools.
* Leverage knowledge of databases and methodologies to determine appropriate sources, determine indicators and relationships, and generate intelligence support packages.
* Provide tailored communications to innovation stakeholders in meetings, demos, and other customer engagements, as well as support analytic innovation, development, and data analytics activities to customers and stakeholders.
* Brief customers on assessments and prepare briefings based on finished analysis, including preparing daily briefings for senior policy and operational decision makers.
* Develop machine learning models with attention to model accuracy.
* Draft technical methodologies and participate in architectural reviews.
* Document processes and solutions that serve as communication findings for both technical and non\-technical stakeholder
**Qualifications**
------------------
**Required:**
* Bachelor’s degree or equivalent practical experience.
* 4 \- 6\+ years of experience in computer science, data science, data analytics.
* Be able to work onsite in a customer's SCIF in Washington, DC for 3\-4 days a week.
* Experience executing data science methods using python libraries for Data Cleaning/Wrangling, Exploratory Data Analysis (EDA), Statistical Analysis, Data Visualization.
* Strong proficiency in programming languages such as Python.
* Agile development experience along with related technologies (e.g., Jira).
**Desired:**
* Familiarity and experience with the Intelligence Community (IC), and the intel cycle.
* Familiarity and experience with the Department of Homeland Security (DHS).
* Ability, openness, and eagerness to learn.
* Data Analytics
* Data Science
* Data Visualization
* GitLab
* Jupyter Notebooks
* Python and R Studio
**Clearance:** TS/SCI
**Certification Requirement:** none
**Physical Requirements:** Must be able to sit/stand at a desk for long\-periods and must be able to lift 20 pounds occasionally.
**Mental Requirements:** Must be able to multi\-task and rapidly change priorities with limited notice.
**Online applications, please.**
--------------------------------
When we review candidates' information, we are looking for the best matches for the position based on the qualifications listed in the job posting. If your skills and experience appear to match an open position, a recruitment services professional or a hiring manager may contact you.
**Syntelligent Analytic Solutions, LLC** is an Equal Employment Opportunity and Affirmative Action employer. It is the policy of the company to provide equal employment opportunities to all qualified applicants without regard to race, color, religion, sex, sexual orientation and gender identity or expression, national origin or protected veteran status and will not be discriminated against on the basis of disability. If you are a qualified disabled veteran or individual with a disability and need reasonable accommodation to use or access our online system, please contact our Human Resources at 540‑736‑4570\.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li-4365633121</t>
        </is>
      </c>
      <c r="B2" t="inlineStr">
        <is>
          <t>Data Scientist</t>
        </is>
      </c>
      <c r="C2" t="inlineStr">
        <is>
          <t>Pickle</t>
        </is>
      </c>
      <c r="D2" t="inlineStr">
        <is>
          <t>linkedin</t>
        </is>
      </c>
      <c r="E2">
        <f>HYPERLINK("https://www.linkedin.com/jobs/view/4365633121", "https://www.linkedin.com/jobs/view/4365633121")</f>
        <v/>
      </c>
      <c r="F2" t="inlineStr"/>
      <c r="G2" t="inlineStr">
        <is>
          <t>New York, NY</t>
        </is>
      </c>
      <c r="H2" t="inlineStr"/>
      <c r="I2" t="inlineStr">
        <is>
          <t>**About Pickle**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Pickle is now live nationwide and scaling rapidly in key local markets including
 **NYC, LA, and Miami** 
 . Our marketplace already features
 **300K\+ items listed for rent** 
 , and we’re just getting started.
 What makes Pickle different is the combination of
 **incredible peer\-to\-peer inventory** 
 ,
 **industry\-leading convenience** 
 (under
 **2 days nationwide** 
 and under
 **2 hours locally** 
 ), and an
 **on\-demand model with no subscriptions** 
 — users rent what they want, when they want it. Backed by our
 **Series A funding raised in early 2025** 
 from
 **FirstMark and Craft** 
 , we’re scaling quickly and building the future of access\-driven shopping.
**About The Role**
 You will be the strategic partner to the Founders, answering the billion\-dollar question:
 ***How do we scale efficiently?***
 You will be the detective solving the complex puzzle of a two\-sided marketplace. One day, you might be modeling price elasticity to determine how a 5% discount impacts contribution margin. The next, you’ll be digging into referral data to engineer a viral loop that lowers our CAC by half. You will hunt down the "why" behind every chart, discovering the invisible friction points that hold us back and the hidden behaviors that unlock massive growth.
 If you are a "Grinder"—someone who loves the thrill of a hard problem and can’t put it down until you’ve found the solution—this is your playground.
**Responsibilities**
**Growth Strategy \&amp; Acquisition**
* Pricing \&amp; Incentive Strategy: Design and test dynamic pricing models and incentive structures (e.g., first\-order discounts, owner bonuses). You will mathematically determine how to stoke demand and aid conversion without eroding our contribution profit margins, ensuring every dollar of "discount" generates long\-term ROI.
* The Growth Equation: Model our acquisition channels (Organic, Paid, Referral, Ambassadors). You will identify which channels have the highest LTV/CAC ratio and tell us where to double down.
* Viral Loops: Analyze our referral and sharing behaviors. You will calculate our K\-factor (virality) and identify product changes to keep our users as our best marketing channel.
**Marketplace Liquidity \&amp; Retention**
* Supply\-Led Growth: Analyze how inventory levels drive organic growth. Does adding 100 power owners in Chicago unlock 1,000 new customers? You will tell us where to focus supply acquisition.
* The "Magic Moments": Identify the specific user behaviors that lead to long\-term retention (e.g., "Users who rent within 7 days of signup retain at 3x").
* Churn Prediction: Build models to identify at\-risk users before they leave, allowing our CX team to intervene.
**Product Conversion (CRO)**
* Funnel Optimization: Own the granular analysis of our demand and supply funnels. You will find the leaks in the bucket and design A/B tests to plug them.
* Experimentation: Help the product team design valid experiments. You ensure we aren't just shipping features, but moving metrics with statistical significance.
**Requirements**
* The "Grinder" Mentality: You are relentlessly curious. You are the type of person who can't put something down until you figure out the why.
* Growth Native: You speak the language of growth: CAC, LTV, ROAS, K\-Factor, Churn, and Cohorts. You understand that "Data Science" is a tool to make money and grow the user base.
* Product Fluency: You understand product growth loops and can quickly execute and extract insights from demand funnels and A/B tests
* 5\+ Years Experience: Ideally in a Consumer Marketplace or high\-growth B2C app. You have seen how a company scales and understand the data infrastructure needed to support it.
+ Note: We are open to less experience if you have exceptional raw talent and a portfolio of solving complex growth problems.
* Technical Fluency: Expert\-level SQL. Proficient in Python/R for modeling. Experience with growth stacks (PostHog, Mixpanel, AppsFlyer, Segment) and visualization tools.
**Benefits**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$170K \- $250K</t>
        </is>
      </c>
    </row>
    <row r="3">
      <c r="A3" t="inlineStr">
        <is>
          <t>li-4321306294</t>
        </is>
      </c>
      <c r="B3" t="inlineStr">
        <is>
          <t>Data Scientist - Business Analytics, Apple Ads</t>
        </is>
      </c>
      <c r="C3" t="inlineStr">
        <is>
          <t>Apple</t>
        </is>
      </c>
      <c r="D3" t="inlineStr">
        <is>
          <t>linkedin</t>
        </is>
      </c>
      <c r="E3">
        <f>HYPERLINK("https://www.linkedin.com/jobs/view/4321306294", "https://www.linkedin.com/jobs/view/4321306294")</f>
        <v/>
      </c>
      <c r="F3">
        <f>HYPERLINK("https://jobs.apple.com/en-us/details/200643444?board_id=17682&amp;urlHash=e5pr", "https://jobs.apple.com/en-us/details/200643444?board_id=17682&amp;urlHash=e5pr")</f>
        <v/>
      </c>
      <c r="G3" t="inlineStr">
        <is>
          <t>New York, NY</t>
        </is>
      </c>
      <c r="H3" t="inlineStr"/>
      <c r="I3"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 from small app developers to big, global brands. Because when advertising is done right, it benefits everyone.
**Description**
 The Apple Ads Data Insights team is seeking a Data Scientist to develop and deliver analytical solutions in close partnership with Sales, Marketing, Finance, Product, and Engineering. Analytics is a team sport, and in this role you will be a key contributor to a data\-centric team whose work directly informs business decisions and outcomes.
 What makes this role exciting is the business complexity, scale, and high standards for information architecture, performance optimization, and actionable insights. This role is well suited for someone who enjoys working through ambiguous problems, understanding how metrics move, and translating analysis into clear recommendations for stakeholders.
**Responsibilities**
* Work closely with members of a data\-centric team to execute analyses and contribute to the exploration, development, execution, and measurement of analytical solutions critical to running the business
* Monitor business metrics and identify key drivers behind large\-scale trends and changes in business health
* Translate ambiguous business questions into clear, actionable insights with an emphasis on accuracy and impact
* Design and improve dashboards and reporting solutions with a strong focus on usability and clarity
* Apply statistical analysis and data science techniques to understand business performance, diagnose metric movement, and inform decision\-making
* Lead business analytics projects end to end, including defining investigations, exploring data, conducting analysis, interpreting results, and presenting findings to stakeholders
**Minimum Qualifications**
* 2–4 years of experience in Business Analytics, Data Science, or a related analytical role
* Strong data analysis skills, including the ability to conduct deep dives using statistical methods and data science techniques
* Exceptional communication skills, with the ability to communicate complex analyses clearly to executive and technical audiences
* Demonstrated ability to collaborate with cross\-functional partners such as Product, Sales, and Marketing to design experiments and analyses that inform business decisions
* Proficiency in SQL and data visualization, with a strong eye for design and clarity
* Strong programming skills in Python, with experience using libraries such as Pandas, SciPy, and scikit\-learn
* Comfortable querying and analyzing large datasets using tools such as SQL, Snowflake, or similar analytical data platforms
* Bachelor’s degree in a related field, or equivalent industry experience
**Preferred Qualifications**
* 3\+ years of experience in Business Analytics or Data Science
* Experience in ad tech, digital advertising, or mobile advertising, which can accelerate ramp\-up but is not required
* Familiarity with job orchestration frameworks such as Airflow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
      <c r="A4" t="inlineStr">
        <is>
          <t>li-4365601932</t>
        </is>
      </c>
      <c r="B4" t="inlineStr">
        <is>
          <t>Data Scientist (REMOTE)</t>
        </is>
      </c>
      <c r="C4" t="inlineStr">
        <is>
          <t>Lensa</t>
        </is>
      </c>
      <c r="D4" t="inlineStr">
        <is>
          <t>linkedin</t>
        </is>
      </c>
      <c r="E4">
        <f>HYPERLINK("https://www.linkedin.com/jobs/view/4365601932", "https://www.linkedin.com/jobs/view/4365601932")</f>
        <v/>
      </c>
      <c r="F4" t="inlineStr"/>
      <c r="G4" t="inlineStr">
        <is>
          <t>Austin, TX</t>
        </is>
      </c>
      <c r="H4" t="inlineStr"/>
      <c r="I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
      <c r="A5" t="inlineStr">
        <is>
          <t>li-4365606152</t>
        </is>
      </c>
      <c r="B5" t="inlineStr">
        <is>
          <t>Junior Data Scientist</t>
        </is>
      </c>
      <c r="C5" t="inlineStr">
        <is>
          <t>Katten Muchin Rosenman LLP</t>
        </is>
      </c>
      <c r="D5" t="inlineStr">
        <is>
          <t>linkedin</t>
        </is>
      </c>
      <c r="E5">
        <f>HYPERLINK("https://www.linkedin.com/jobs/view/4365606152", "https://www.linkedin.com/jobs/view/4365606152")</f>
        <v/>
      </c>
      <c r="F5" t="inlineStr"/>
      <c r="G5" t="inlineStr">
        <is>
          <t>Chicago, IL</t>
        </is>
      </c>
      <c r="H5" t="inlineStr"/>
      <c r="I5" t="inlineStr">
        <is>
          <t>**Requisition ID**
**7290**
 Katten is a full\-service law firm with approximately 700 attorneys in locations across the United States and in London and Shanghai. Clients seeking sophisticated, high\-value legal services turn to Katten for counsel locally, nationally and internationally. The firm’s core areas of practice include corporate, financial markets and funds, insolvency and restructuring, intellectual property, litigation, real estate, structured finance and securitization, transactional tax planning, private credit and private wealth. Katten represents public and private companies in numerous industries, as well as a number of government and nonprofit organizations and individuals.
**Junior Data Scientist**
 Under the direction of the Chief Innovation Officer and the Data Scientist, and in accordance with established firm policies and procedures, the Junior Data Scientist supports the collection, management, analysis, and visualization of data to help develop innovative and efficient solutions for the firm.
 The Junior Data Scientist assists with business case development, data preparation, exploratory analysis, and reporting. This role supports the use of machine learning, natural language processing, and AI tools to contribute to internal and client\-facing solutions under guidance.
 In this position, the Junior Data Scientist, works with a variety of stakeholders, including attorneys, business professionals, vendors, and clients, while maintaining professionalism and strict confidentiality in all firm and client matters.
**The Junior Data Scientist will be located in the Chicago offic** 
 e. Katten offers a hybrid work model, allowing the flexibility to work both on\-site and remotely on a regular basis (KattenFlex).
**Essential Duties and Responsibilitie** 
 s include, but may not be limited to, the following. Other duties may be requested and/or assigned. Essential functions are primary job duties that an individual must be able to perform successfully with or without a reasonable accommodation. Reasonable accommodations may be made to enable individuals with disabilities to perform the essential functions.
* Assist with data science and AI projects by supporting data collection, cleaning, and preparation activities.
* Collaborate with attorneys, business professionals, and Firm leadership to understand project goals and data needs.
* Contribute to client and internal projects through the firm’s data science team, DataLAB.
* Write and maintain code and basic AI workflows to support data processing and insight generation.
* Perform exploratory data analysis to identify trends, patterns, and data quality issues.
* Assist in applying statistical techniques and machine learning models under supervision.
* Support research into business problems and help identify data\-driven insights and potential solutions.
* Assist with data\-driven root\-cause analyses and summarize findings with attention to organizational impact.
* Manipulate and analyze structured and unstructured datasets using industry\-standard tools and techniques.
* Support the development and testing of AI\- and LLM\-based tools for internal and client\-facing applications.
* Prepare documentation, reports, and data visualizations for review by senior team members and Firm leadership.
* Assist with testing and evaluating new technologies, tools, and data sources.
* Stay informed about emerging technologies, standards, and best practices in data science and AI.
**Knowledge, Skills, And Abilities**
* Bachelor’s degree in data science, statistics, computer science, engineering, applied mathematics, or a related quantitative field required; an advanced degree is a plus.
* 0–2 years of relevant work experience, internships, or academic project experience in data science, analytics, or related areas.
* Familiarity with some or all of the following tools:
+ Python (e.g., Pandas, basic NLTK usage)
+ SQL
+ Data visualization tools such as Power BI or similar
* Foundational understanding of:
+ Probability and statistics
+ Data cleaning and exploratory data analysis
+ Basic machine learning and data visualization concepts
* Exposure to cloud or big data platforms (e.g., Azure) is a plus but not required.
* Displays intelligence, creativity, resilience, and persistence in solving varied, complex, and non\-routine problems.
* Comfortable working both independently and in diverse teams.
* Excellent interpersonal, verbal, and written communication skills. Ability to communicate with courtesy and diplomacy, efficiently follow written and verbal instructions, provide information, and maintain effective relationships with a diverse group of attorneys, clients, staff, and outside contacts.
* Displays excellent time management and project management skills to meet objectives and deadlines.
* Able to effectively distill complex information, synthesize, simplify, and present to Firm Management, attorneys, and business professionals.
* Possess excellent reading, writing, grammar, spelling, punctuation, proofreading, and formatting skills in order to interpret and analyze source data, prepare correspondence and documentation, and proofread material for grammatical, typographical and spelling errors.
* Able to perform mathematical calculations and apply mathematical concepts when computing, reconciling balances, verifying numerical data, and preparing various reports.
* Able to operate standard office equipment including computers, printers, telephones, photocopiers, scanners, calculators, facsimiles, etc.
* Able to regularly lift and/or move up to 10 pounds.
 The annualized salary range for this position can range between $60,000 to $80,000\. Actual pay will be adjusted based on location, experience, and other job\-related factors permitted by law.
 We offer an outstanding benefit package which includes: medical/dental/vision, 401k with employer contribution, parental leave, transportation fringe benefit program, back\-up care option, generous paid time off policy and long\-term and short\-term disability policies.
 Katten Muchin Rosenman LLP in an Equal Opportunity Employer. All qualified applicants will receive consideration for employment without regard to race, color, religion, sex, sexual orientation, gender identity, national origin, disability, or status as a protected veteran.</t>
        </is>
      </c>
    </row>
    <row r="6">
      <c r="A6" t="inlineStr">
        <is>
          <t>li-4321353982</t>
        </is>
      </c>
      <c r="B6" t="inlineStr">
        <is>
          <t>Clinical Data Scientist</t>
        </is>
      </c>
      <c r="C6" t="inlineStr">
        <is>
          <t>Unlearn.AI</t>
        </is>
      </c>
      <c r="D6" t="inlineStr">
        <is>
          <t>linkedin</t>
        </is>
      </c>
      <c r="E6">
        <f>HYPERLINK("https://www.linkedin.com/jobs/view/4321353982", "https://www.linkedin.com/jobs/view/4321353982")</f>
        <v/>
      </c>
      <c r="F6" t="inlineStr"/>
      <c r="G6" t="inlineStr">
        <is>
          <t>San Francisco, CA</t>
        </is>
      </c>
      <c r="H6" t="inlineStr"/>
      <c r="I6"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 Transform clinical trial, observational, and electronic health record data into high\-quality, well\-structured datasets.
* Analyze longitudinal clinical datasets, developing a strong understanding of outcome measures, biomarkers, and other variables commonly used in clinical research across multiple disease areas.
* Collaborate closely with cross\-functional teams of data scientists, machine learning scientists, engineers, and clinicians to design, build, and maintain robust data products grounded in sound data organization, domain knowledge, and careful analysis.
* Communicate technical findings, data characteristics, and limitations clearly and effectively to both internal partners and external collaborators, including in forward\-deployed, client\-facing settings.
**Minimum Requirements**
* BS or advanced degree in Bioinformatics, Computer Science, Psychology, Public Health, or related discipline.
* 2\+ years of experience wrangling data from disparate sources, data cleaning, and harmonizing datasets for analysis.
* Experience working with complex or nuanced datasets.
* Fluency in Python and its essential data science tools (numpy, pandas).
* Demonstrated experience in collaborative software development.
* Experience with clinical datasets in applied machine learning applications.
* Experience working in multidisciplinary teams that include scientists, engineers, and product management.
**Bonus Points For**
* Prior experience in forward\-deployed, client\-facing settings.
* Experience in clinical/healthcare data.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7">
      <c r="A7" t="inlineStr">
        <is>
          <t>li-4363468107</t>
        </is>
      </c>
      <c r="B7" t="inlineStr">
        <is>
          <t>AppleCare Data Scientist (SQL, Python, Tableau, Snowflake)</t>
        </is>
      </c>
      <c r="C7" t="inlineStr">
        <is>
          <t>Apple</t>
        </is>
      </c>
      <c r="D7" t="inlineStr">
        <is>
          <t>linkedin</t>
        </is>
      </c>
      <c r="E7">
        <f>HYPERLINK("https://www.linkedin.com/jobs/view/4363468107", "https://www.linkedin.com/jobs/view/4363468107")</f>
        <v/>
      </c>
      <c r="F7" t="inlineStr"/>
      <c r="G7" t="inlineStr">
        <is>
          <t>Austin, TX</t>
        </is>
      </c>
      <c r="H7" t="inlineStr"/>
      <c r="I7"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At Apple, we believe in delivering an unparalleled customer experience! The AppleCare Business Insights, Operations, and Systems (ACBIOS) team contributes to this mission by transforming complex data into actionable insights to drive enhancements to Apple products, services, and the end\-to\-end customer journey.
 We are seeking a Data Scientist to lead high\-impact initiatives focused on understanding and optimizing the cross\-channel customer journey. The ideal candidate will possess deep attention to detail, proficiency in a broad range of data modeling and visualization tools, and the ability to effectively communicate methodology and findings to business partners.
**Description**
 In this role, you will apply advanced analytics and data science methods to identify strategic opportunities, deliver actionable recommendations, and rigorously measure the success of initiatives and programs. This will involve close collaboration with Support, Service, Finance, and IT teams. The role demands a blend of deep technical expertise and strong business acumen to uncover critical trends, discover patterns, and enable data\-driven decision\-making at scale. Furthermore, you will be responsible for designing, developing, documenting, and maintaining foundational customer journey data models for analysts and data scientists across the wider AppleCare organization to use in their customer journey analytics.
**Responsibilities**
* Partner with technical and non\-technical stakeholders to translate problem statements and requests into technical requirements
* Perform deep\-dive and what\-if analyses to uncover trends, anomalies, and opportunities for improvement
* Write and optimize sophisticated SQL queries in Snowflake with a focus on performance and scalability
* Build advanced Tableau and Streamlit dashboards
* Implement robust automation of pipelines and workflows complete with graceful issue handling and alerting
* Apply standard methodologies in code quality, Git, CI/CD, and Jenkins workflows
* Clearly document your work for both technical and non\-technical audiences
* Regularly present roadmaps, progress updates, and findings to stakeholders and leadership
**Minimum Qualifications**
* Bachelorʼs degree in a quantitative or technical field
* 5\-8 years of applied experience in data science, business analytics, or BI roles
* Expert level SQL skills with MPP database platforms
* Tableau dashboard development experience
* Python development experience with pandas, NumPy, and ML packages (Ex: scikit\-learn)
* Proficiency in statistical analysis including concepts such as confidence intervals, p\-values, and statistical significance
* Proven record of producing clean, maintainable, and well\-documented SQL \&amp; Python code following best practices
* Experience translating business questions and needs into technical requirements
* Excellent communication skills with experience presenting to multi\-functional teams and executive leadership
**Preferred Qualifications**
* Expert level Snowflake experience including with Snowpark
* Experience with Streamlit dashboard development
* Applied experience with software engineering workflows using Git and CI/CD tools
* Experience developing custom Tableau extensions
* Prior experience with building and deploying systems that utilize LLMs
* Background in customer analytics, customer 360, or product service/support analytics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
      <c r="A8" t="inlineStr">
        <is>
          <t>li-4363477318</t>
        </is>
      </c>
      <c r="B8" t="inlineStr">
        <is>
          <t>Senior Data Scientist</t>
        </is>
      </c>
      <c r="C8" t="inlineStr">
        <is>
          <t>Fractal</t>
        </is>
      </c>
      <c r="D8" t="inlineStr">
        <is>
          <t>linkedin</t>
        </is>
      </c>
      <c r="E8">
        <f>HYPERLINK("https://www.linkedin.com/jobs/view/4363477318", "https://www.linkedin.com/jobs/view/4363477318")</f>
        <v/>
      </c>
      <c r="F8" t="inlineStr"/>
      <c r="G8" t="inlineStr">
        <is>
          <t>New York, NY</t>
        </is>
      </c>
      <c r="H8" t="inlineStr"/>
      <c r="I8" t="inlineStr">
        <is>
          <t>**Senior Data Scientist – Applied AI(GCP)**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is the one who empowers imagination with intelligence. Fractal has been featured as a Great Place to Work by The Economic Times in partnership with the Great Place to Work® Institute and recognized as a ‘Cool Vendor’ and a ‘Vendor to Watch’ by Gartner.
 Please visit Fractal \| Intelligence for Imagination for more information about Fractal
 Location: NYC, New York (Onsite)
 Note: This position is not eligible for Immigration Sponsorship
 *at this time.* 
**Position Overview:** 
 We are seeking a Senior Data Scientist to design and deliver applied AI solutions for a large, regulated utility. This role focuses on taking complex, data\-intensive use cases from Proof of Concept (POC) through Minimum Viable Product (MVP), with a clear path toward operational deployment.
 For example, the data scientist may work on an Asset Damage Prevention use case, applying NLP and machine learning to unstructured excavation tickets and historical incident data to generate explainable risk scores that help prioritize inspections and recommend mitigation actions. This is illustrative of the type of applied, operational AI problems the role will support from POC through MVP.
 This is a hands\-on, product\-oriented role requiring close collaboration with product owners, subject matter experts (SMEs), data engineers, and platform teams.
**Key Responsibilities** 
**POC \&amp; MVP Model Development** 
* Design and implement NLP pipelines to structure unstructured operational text data (e.g., tickets, notes, descriptions).
* Develop predictive ML models to assess risk, prioritize work, or support operational decision\-making.
* Produce explainable model outputs, including key drivers and reason codes appropriate for non\-technical users.
* Validate model outputs with SMEs and incorporate feedback through iterative refinement.
* Define and track success metrics aligned to business value, not just model performance.
**Data Exploration \&amp; Feature Engineering** 
* Explore and assess large, complex enterprise datasets across multiple operational systems.
* Engineer features from structured, semi\-structured, and unstructured data sources.
* Collaborate on contextual and geospatial feature development where applicable.
* Identify data quality issues, linkage gaps, and modeling limitations early.
**Cloud \&amp; Production Readiness (GCP)** 
* Build and train models using Google Cloud services (e.g., BigQuery, Vertex AI, Cloud Storage).
* Partner with data engineering to ensure scalable, secure, and compliant data pipelines.
* Support transition from exploratory notebooks to MVP\-ready, repeatable workflows.
* Contributes to model monitoring, retraining strategies, and auditability requirements.
**Cross\-Functional Collaboration** 
* Translate product requirements into technical modeling approaches.
* Work with engineers to integrate models into downstream tools and workflows.
* Communicate trade\-offs, limitations, and insights clearly to both technical and business stakeholders.
* Support documentation and knowledge transfer as solutions mature.
**Required Qualifications** 
* 6\+ years of experience in applied data science or machine learning.
* Strong proficiency in Python and common ML/NLP libraries.
* Demonstrated experience delivering end\-to\-end ML solutions from problem framing through validation.
* Hands\-on experience with Google Cloud Platform, including:
* BigQuery
* Vertex AI (or equivalent managed ML services)
* Cloud Storage
* Experience working with unstructured text data and feature extraction.
* Strong understanding of model explainability and responsible AI principles.
* Comfort working with imperfect, real\-world enterprise data.
**Preferred Qualifications** 
* Experience in utilities, energy, infrastructure, construction, or other asset\-intensive industries.
* Familiarity with geospatial analytics or spatial feature engineering.
* Experience linking data across multiple enterprise systems.
* Prior experience delivering POCs that progress into MVPs or production systems.
* Experience working in regulated or audit\-sensitive environments.
**What Success Looks Like** 
* POCs that demonstrate clear functional and business value.
* Models that outperform manual or legacy approaches while remaining explainable.
* Strong SME trust in model outputs and limitations.
* A reusable modeling foundation that accelerates future AI use cases.
* Smooth transition from experimentation to MVP readiness.
**Why This Role Matters** 
 This role helps establish repeatable, trustworthy AI capabilities within a regulated utility environment, supporting a portfolio of operational, safety, and infrastructure\-focused AI use cases.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filled.At Fractal, it is not typical for an individual to be hired at or near the top of the range for their role and compensation decisions are dependent on the facts and circumstances of each case.A reasonable estimate of the current range is: $110,000 \- $170,000\. In addition, for the current performance period, you may be eligible for a discretionary bonus.
 Benefits:
 As a full\-time employee of the company or as an hourly employee working more than 30 hours per week, you will be eligible to participate in the health, dental, vision, life insurance, and disability plan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9">
      <c r="A9" t="inlineStr">
        <is>
          <t>li-4365632053</t>
        </is>
      </c>
      <c r="B9" t="inlineStr">
        <is>
          <t>Data Scientist</t>
        </is>
      </c>
      <c r="C9" t="inlineStr">
        <is>
          <t>Haystack</t>
        </is>
      </c>
      <c r="D9" t="inlineStr">
        <is>
          <t>linkedin</t>
        </is>
      </c>
      <c r="E9">
        <f>HYPERLINK("https://www.linkedin.com/jobs/view/4365632053", "https://www.linkedin.com/jobs/view/4365632053")</f>
        <v/>
      </c>
      <c r="F9">
        <f>HYPERLINK("https://us.haystackapp.io/roles/6952ee503bbbc7b6641eb069?src=linkedin&amp;urlHash=psFf", "https://us.haystackapp.io/roles/6952ee503bbbc7b6641eb069?src=linkedin&amp;urlHash=psFf")</f>
        <v/>
      </c>
      <c r="G9" t="inlineStr"/>
      <c r="H9" t="inlineStr"/>
      <c r="I9" t="inlineStr">
        <is>
          <t>**Data Scientist, Mid \| Remote\-Friendly \| $77,600 \- $176,000**
 We're working with BOOZ, ALLEN \&amp; HAMILTON, INC. on this exciting opportunity.
 As a Data Scientist at Booz Allen, you'll have the chance to transform complex data into actionable insights for diverse challenges, from fraud detection to national intelligence. Join a team dedicated to using data science for good, working across private and public sectors.
**Key Responsibilities**
* Utilize leadership skills and data science expertise to create real\-world impact.
* Work closely with clients to understand their needs and analyze their data\-rich environments.
* Guide teammates and lead the development of algorithms and systems.
* Turn disparate data points into objective answers to advise clients for informed decision\-making.
* Provide a deep understanding of data, its meaning, and its potential applications.
**What You'll Need**
* 2\+ years of experience using data science programming languages such as Python or R.
* Experience creating ETL pipelines, including querying APIs, cleaning data, and creating schemas.
* Experience with version control tools such as Git, GitLab, GitHub, or Bitbucket.
* Knowledge of statistical analysis, predictive modeling, and machine learning methods.
* Ability to design and develop automated analytic software, techniques, and algorithms.
* Ability to generate data visualizations with tools such as Tableau, Power BI, or ArcGIS.
* TS/SCI clearance.
**What's On Offer**
* Comprehensive health, life, disability, financial, and retirement benefits.
* Paid leave, professional development, and tuition assistance.
* Work\-life programs and dependent care.
* Recognition awards program for exceptional performance.
**Apply via Haystack today!**</t>
        </is>
      </c>
    </row>
    <row r="10">
      <c r="A10" t="inlineStr">
        <is>
          <t>li-4365639256</t>
        </is>
      </c>
      <c r="B10" t="inlineStr">
        <is>
          <t>Associate Data Scientist- Gen AI -ML</t>
        </is>
      </c>
      <c r="C10" t="inlineStr">
        <is>
          <t>Capgemini</t>
        </is>
      </c>
      <c r="D10" t="inlineStr">
        <is>
          <t>linkedin</t>
        </is>
      </c>
      <c r="E10">
        <f>HYPERLINK("https://www.linkedin.com/jobs/view/4365639256", "https://www.linkedin.com/jobs/view/4365639256")</f>
        <v/>
      </c>
      <c r="F10">
        <f>HYPERLINK("https://www.capgemini.com/jobs/396136-en_GB_SAPBTP/Associate-Data-Scientist\u002d\u002dGen-AI\u002d\u002dML&amp;urlHash=023a", "https://www.capgemini.com/jobs/396136-en_GB_SAPBTP/Associate-Data-Scientist\u002d\u002dGen-AI\u002d\u002dML&amp;urlHash=023a")</f>
        <v/>
      </c>
      <c r="G10" t="inlineStr">
        <is>
          <t>Seattle, WA</t>
        </is>
      </c>
      <c r="H10" t="inlineStr"/>
      <c r="I1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is:$90\.000 to 120,000\.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1">
      <c r="A11" t="inlineStr">
        <is>
          <t>li-4363407791</t>
        </is>
      </c>
      <c r="B11" t="inlineStr">
        <is>
          <t>Senior Data Scientist, Analytical Data Product - Engine</t>
        </is>
      </c>
      <c r="C11" t="inlineStr">
        <is>
          <t>Roblox</t>
        </is>
      </c>
      <c r="D11" t="inlineStr">
        <is>
          <t>linkedin</t>
        </is>
      </c>
      <c r="E11">
        <f>HYPERLINK("https://www.linkedin.com/jobs/view/4363407791", "https://www.linkedin.com/jobs/view/4363407791")</f>
        <v/>
      </c>
      <c r="F11">
        <f>HYPERLINK("https://careers.roblox.com/jobs/7539739?gh_jid=7539739&amp;gh_src=da92d0c91&amp;urlHash=tyni", "https://careers.roblox.com/jobs/7539739?gh_jid=7539739&amp;gh_src=da92d0c91&amp;urlHash=tyni")</f>
        <v/>
      </c>
      <c r="G11" t="inlineStr">
        <is>
          <t>San Mateo, CA</t>
        </is>
      </c>
      <c r="H11" t="inlineStr"/>
      <c r="I1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ANALYTICAL DATA PRODUCT, ENGINE?**
 This role will work very closely with Product Managers, Engineers and other partners, responsible for analytical data products that are critical in empowering businesses to rapidly identify opportunities and innovate on growth products and strategies. In this role, you will partner closely with other data scientists to build analytical data products and machine learning models to drive growth efficiency. You will also report to Senior Data Science leadership on the team.
**You Will**
* Design and build scalable data pipelines and solutions to empower rapid analytical decision making
* Be a key owner of data reliability and data quality across the Engine data science team
* Uplevel the team in terms of data craftsmanship, best practices, testing, quality guardrails, and bring new tools and technologies
* Perform dashboarding and data analysis to generate business insights and manage analytical data solution roadmap
* Collaborate with product manager and other data scientists to understand business goals and product needs
* Partner with different product teams to optimize user growth strategies through insights, strategy, and leadership
**You Have**
* Minimum of 2 years of experience in analytical engineering, data engineering or similar role.
* An advanced or equivalent degree in Computer Science, Mathematics, Statistics or a related discipline.
* Experience with SQL, spark, python, airflow, and overall modern data stacks and data visualization
* Experience with data mining, warehousing and building ETL pipelines
* Experience in the systems domain and/or gaming industry is a strong plus
**You Are**
* Passionate for leveraging data solutions to drive decisions and optimize business performance.
* Strive to write elegant and maintainable code, clear documentations and comfortable with picking up new technologies
* Strong product mindset and data intuition. Keen to apply analytical and data engineering skills to translate business problems into scalable engineering solutions
* An expert at transforming data with SQL and a scripting language such as Python or R. You're experienced in automating efforts and crunching massive volumes of data in distributed systems using frameworks such as Spark, Hadoop or Flink.
* Motivated by impact. You find satisfaction in being able to point to direct contributions you've made to an organization. You recognize the inherent tradeoffs between further research/experimentation and productionization apply the appropriate methodology to maximize impact.
* A strong communicator. You understand that analysis must be presented in meaningful ways and engage in spirited discussions about the findings. You have the ability to explain technical concepts to non\-technical audiences and discuss appropriate tradeoffs.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$221,380—$263,670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
      <c r="A12" t="inlineStr">
        <is>
          <t>li-4365612474</t>
        </is>
      </c>
      <c r="B12" t="inlineStr">
        <is>
          <t>Data Scientist (Oncology)</t>
        </is>
      </c>
      <c r="C12" t="inlineStr">
        <is>
          <t>Inside Higher Ed</t>
        </is>
      </c>
      <c r="D12" t="inlineStr">
        <is>
          <t>linkedin</t>
        </is>
      </c>
      <c r="E12">
        <f>HYPERLINK("https://www.linkedin.com/jobs/view/4365612474", "https://www.linkedin.com/jobs/view/4365612474")</f>
        <v/>
      </c>
      <c r="F12" t="inlineStr"/>
      <c r="G12" t="inlineStr">
        <is>
          <t>Baltimore, MD</t>
        </is>
      </c>
      <c r="H12" t="inlineStr"/>
      <c r="I12" t="inlineStr">
        <is>
          <t>**Specific Duties \&amp; Responsibilities**
* Support the development of dashboards, calculations, and reports which may require programming.
* Support the development and tuning of machine learning models, which may require programming.
* Support the development of infrastructure for cleaning and processing data and running experiments to evaluate system performance.
* Mine various data resources for development of key metrics, performance indicators, and general business intelligence useful for planning and service design.
* Perform error analysis and suggest and implement improvements.
* Other duties as assigned.
**Minimum Qualifications**
* Bachelor's Degree.
* Four years of relevant quantitative research and analytics experience, with at least two of those years including complex programming experience.
* Additional education may substitute for required experience and additional related experience may substitute for required education beyond a high school diploma/graduation equivalent, to the extent permitted by the JHU equivalency formula.
 Classified Title: Data Scientist I
 Job Posting Title (Working Title): Data Scientist (Oncology)
 Role/Level/Range: ATP/04/PH
 Starting Salary Range: $99,800 \-$175,000 Annually ($105,000 targeted; Commensurate w/exp.)
 Employee group: Full Time
 Schedule: Mon\-Fri
 FLSA Status: Exempt
 Location: School of Medicine Campus
 Department name: SOM Onc Biostatistics
 Personnel area: School of Medicine</t>
        </is>
      </c>
    </row>
    <row r="13">
      <c r="A13" t="inlineStr">
        <is>
          <t>li-4354752674</t>
        </is>
      </c>
      <c r="B13" t="inlineStr">
        <is>
          <t>Senior Data Scientist, Ecosystems</t>
        </is>
      </c>
      <c r="C13" t="inlineStr">
        <is>
          <t>Patreon</t>
        </is>
      </c>
      <c r="D13" t="inlineStr">
        <is>
          <t>linkedin</t>
        </is>
      </c>
      <c r="E13">
        <f>HYPERLINK("https://www.linkedin.com/jobs/view/4354752674", "https://www.linkedin.com/jobs/view/4354752674")</f>
        <v/>
      </c>
      <c r="F13" t="inlineStr"/>
      <c r="G13" t="inlineStr">
        <is>
          <t>San Francisco, CA</t>
        </is>
      </c>
      <c r="H13" t="inlineStr"/>
      <c r="I13"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**Senior Data Scientist** 
 to support our mission.
*This role is based in
 **New York or San Francisco** 
 and open to those who are able to be in\-office 2 days per week on a hybrid work model.*
**About The Role**
* You’ll work in lock step with your cross\-functional team to build product features that help creators improve their membership monetization.
* You’ll conduct quantitative research to inform product strategy and opportunities, design metrics to help track goals and make decisions, devise learning methods (including experiments) to test hypotheses, and work closely with our machine learning and data engineering teams on building MVP user\-facing data products.
* You'll translate data into actionable insights and communicate your technical work to the data team, your cross\-functional partners, executive leadership, and the rest of the company.
* You’ll be a cultural and technical leader on the data science team.
**About You**
* Bachelor's degree in Statistics, Economics, Engineering, Mathematics, a related quantitative field, or equivalent practical experience.
* You have a wealth of experience helping product teams make great decisions with data.
* You are an experimentation expert and possess a very strong statistical inference skillset.
* You have solid analytical thinking. You ask the right questions and strive to see beyond the numbers to understand what an analysis represents in terms of real\-world applications.
* You have experience making tradeoffs between speed and accuracy.
* You are a SQL expert and have experience in Python or R to perform statistical analyses.
* You have a track record of building strong relationships with product, engineering, research, and design teammates.
* You have a growth mindset and aspire to continuously improve your soft and technical skills.
* You are an expert communicator with a love for clarity and simplicity.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14">
      <c r="A14" t="inlineStr">
        <is>
          <t>li-4355423499</t>
        </is>
      </c>
      <c r="B14" t="inlineStr">
        <is>
          <t>Data Scientist</t>
        </is>
      </c>
      <c r="C14" t="inlineStr">
        <is>
          <t>UST</t>
        </is>
      </c>
      <c r="D14" t="inlineStr">
        <is>
          <t>linkedin</t>
        </is>
      </c>
      <c r="E14">
        <f>HYPERLINK("https://www.linkedin.com/jobs/view/4355423499", "https://www.linkedin.com/jobs/view/4355423499")</f>
        <v/>
      </c>
      <c r="F14" t="inlineStr"/>
      <c r="G14" t="inlineStr">
        <is>
          <t>Washington, United States</t>
        </is>
      </c>
      <c r="H14" t="inlineStr"/>
      <c r="I14" t="inlineStr">
        <is>
          <t>**Role Description**
**Data Scientist**
**Associate III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Data Scientist with good programming skills in Python and experience with Spark for data processing and analytics
**The Opportunity**
* Play a role in designing, developing, and implementing data pipelines and data integration solutions using Python and Google Cloud Platform services.
* Collaborate with cross\-functional teams to understand data requirements and design data solutions that meet business needs.
* Develop, construct, test and maintain data acquisition pipelines for large volumes of structured and unstructured data. This includes batch and real\-time processing
* Develop and maintain data pipelines and ETL processes using Python.
* Design, build, and optimize data models and data architecture for efficient data processing and storage
* Implement data integration and data transformation workflows to ensure data quality and consistency
* Monitor and troubleshoot data pipelines to ensure data availability and reliability
* Conduct performance tuning and optimization of data processing systems for improved efficiency and scalability
* Work closely with data analysts to provide them with the necessary data sets and tools for analysis and reporting
 This position description identifies the responsibilities and tasks typically associated with the performance of the position. Other relevant essential functions may be required.
**What You Need**
* 8\+ years of experience
* Experience with scripting languages like Shell, Perl etc.
* Design and build an ingestion pipeline using Rest API.
* Experience with data modeling, data integration, and ETL processes
* Strong knowledge of SQL and database systems
* Familiarity with managing cloud\-native databases.
* Understanding of security integration in CI/CD pipelines.
* Understanding of data warehousing concepts and best practices
* Proficiency in working with large\-scale data sets and distributed computing frameworks
* Strong problem\-solving and analytical skills
* Excellent communication and teamwork abilities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Washington**
**Compensation Range** 
 : $74,000\-$111,000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**Skills**
 data science,data pipelines,etl,ci/cd,python,google cloud platform</t>
        </is>
      </c>
    </row>
    <row r="15">
      <c r="A15" t="inlineStr">
        <is>
          <t>li-4363414378</t>
        </is>
      </c>
      <c r="B15" t="inlineStr">
        <is>
          <t>PHD Data Scientist  Direct Hire Fortune 100 Co Salary up to $120K+10% Bonus</t>
        </is>
      </c>
      <c r="C15" t="inlineStr">
        <is>
          <t>Confidential Careers</t>
        </is>
      </c>
      <c r="D15" t="inlineStr">
        <is>
          <t>linkedin</t>
        </is>
      </c>
      <c r="E15">
        <f>HYPERLINK("https://www.linkedin.com/jobs/view/4363414378", "https://www.linkedin.com/jobs/view/4363414378")</f>
        <v/>
      </c>
      <c r="F15" t="inlineStr"/>
      <c r="G15" t="inlineStr">
        <is>
          <t>Houston, TX</t>
        </is>
      </c>
      <c r="H15" t="inlineStr"/>
      <c r="I15" t="inlineStr">
        <is>
          <t>We are seeking a PhD\-level Data Scientist to join a Fortune 100 company on a high\-impact, strategic initiative. This role is part of a special project focused on solving complex, data\-driven challenges and contributing to meaningful business outcomes within a large, established organization.
 This is a
 **direct\-hire** 
 position offering a competitive compensation package, including full benefits and paid time off. The role follows a hybrid work model, with an expectation of working onsite
 **three days per week** 
 , allowing for close collaboration with cross\-functional teams while maintaining flexibility.
 Qualified candidates must hold a PhD in a relevant field and be
 **authorized to work in the United States** 
 . We are looking for individuals who bring strong analytical expertise, intellectual curiosity, and the ability to apply advanced research methods in a real\-world, industry setting.</t>
        </is>
      </c>
    </row>
    <row r="16">
      <c r="A16" t="inlineStr">
        <is>
          <t>li-4363467770</t>
        </is>
      </c>
      <c r="B16" t="inlineStr">
        <is>
          <t>Data Scientist</t>
        </is>
      </c>
      <c r="C16" t="inlineStr">
        <is>
          <t>Toyota Insurance</t>
        </is>
      </c>
      <c r="D16" t="inlineStr">
        <is>
          <t>linkedin</t>
        </is>
      </c>
      <c r="E16">
        <f>HYPERLINK("https://www.linkedin.com/jobs/view/4363467770", "https://www.linkedin.com/jobs/view/4363467770")</f>
        <v/>
      </c>
      <c r="F16" t="inlineStr"/>
      <c r="G16" t="inlineStr">
        <is>
          <t>Plano, TX</t>
        </is>
      </c>
      <c r="H16" t="inlineStr"/>
      <c r="I16" t="inlineStr">
        <is>
          <t>**Who Are We**
 Toyota Insurance Management Solutions, including its affiliates Connected Analytic Services (CAS) and Advanced Connectivity (collectively “TIMS”) is a joint venture between Aioi Nissay Dowa Insurance Services, USA (AIS) and Toyota Financial Services International Corporation. Our objective is to sell and service innovative auto insurance products to Toyota and Lexus owners with a specific focus on telematics\-enabled, usage\-based insurance (UBI).
**Job Overview**
 We are seeking a highly driven and innovative Data Scientist with a strong focus on UBI telematics, conversational AI, AI‑enabled insights, and operational efficiency. In this role, you will transform complex data into actionable intelligence by leading efforts in advanced analytics, model development, data visualization, regulatory model filing, and end‑to‑end deployment of scalable solutions.
 Success in this position requires strong software engineering skills, a collaborative mindset, and the ability to communicate technical concepts clearly to both technical and non\-technical stakeholders. We are looking for team members who thrive in a dynamic environment and bring creative data‑powered solutions that enhance decision‑making, improve risk assessment, and drive measurable business value.
**Job Responsibilities**
* Work with internal and external organizations to identify data requirements and available data sources.
* Translate business problems into data science solutions by rapid prototyping and utilizing insurance domain knowledge.
* Data analysis, visualization, model development, and deployment using Python and AWS while meeting regulatory and privacy requirements.
* Develop and manage tools and libraries that are reusable across the company.
**Required Education And Experience**
* Bachelor’s or Master’s degree in data science, Machine Learning, Artificial Intelligence, Robotics, Computational Linguistics, or Computer Science.
* 3\+ years of direct experience in telematics, IoT, or mobility.
* 3\+ years of experience applying machine learning in an insurance or regulated environment.
* Experience operationalizing models via APIs and ML Ops pipelines.
* Experience building solutions in cloud\-based data platforms (AWS).
* Experience implementing solutions using statistical techniques and machine learning, including deep learning.
* Actuarial designation is desired but not required.
* Advanced hands\-on experience with SQL.
* Experience with geospatial data and tools.
* Experience with machine learning deployment, such as containerization and CI/CD.
* Prior experience in P\&amp;C insurance, especially UBI, is highly preferred.
**Required Knowledge, Skills, And Abilities**
* Strong knowledge of machine learning, statistical modeling, and data science principles.
* Working knowledge of telematics or IoT and their application to risk and behavioral analysis.
* Understanding of insurance fundamentals, including pricing, claims, and regulatory considerations.
* Advanced analytical and problem\-solving skills with the ability to translate business problems/questions into data\-driven solutions.
* Ability to work effectively with large, complex, and ambiguous datasets in fast\-moving environments.
* Solid proficiency in Python and experience with ML libraries (TensorFlow, scikit\-learn, PyTorch, etc.).
* LLM\-based Conversational AI development experience is a strong plus.
* Ability to continuously learn and apply emerging AI techniques and industry best practices.
* Exposure with technical documentation and cross\-cultural collaboration is a plus.
**Required Competencies**
* Detailed Oriented
* Analytical
* Statistical Modeling
* Risk Acumen
* Collaboration
* Innovation Mindset
* Business Translation \&amp; Communication
**Compensation**
* $130,000\-$140,000 based on skills and sales experience
**Work Environment And Physical Demands**
* This role operates in a professional office environment, requiring the ability to work for extended periods at a computer and participate in virtual and in\-person meetings.
* Hybrid schedule with a minimum of two in\-office days weekly.
* Must be authorized to work in the United States and able to meet any applicable employment eligibility requirements.
**Scope Of Management**
 Total of direct reports: 0
 Degree of Travel: 2%
 What are the Perks?
* 
* Medical, Dental \&amp; Vision Insurance
* Paid Time Off, Paid Holidays and Sick Days
* 401(k) Match
* FSA and HSA
* Pet Insurance
* Life Insurance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 Authorization**
 Applicants must be authorized to work for any employer in the U.S. This position does not offer sponsorship or the transfer of sponsorship of employment Visa.
**Learn More**
 Visit our website Toyota Insurance: https://toyotainsurance.com/careers to learn more about our company culture and career opportunities.
 FLSA Job Status: ☒ Exempt ☐Non\-Exempt
 All qualified applicants will receive consideration for employment without regard to race, color, religion, sex, sexual orientation, gender identity, national origin, protected veteran status, or disability status. Reasonable accommodations may be made to enable individuals with disabilities to perform the essential functions.
 An Equal Opportunity Employer: Female / Minority / Disability / Protected Veteran / Sexual Orientation / Gender Identity
**'EEOC Is The Law' Information**
 https://www.eeoc.gov/sites/default/files/2023\-06/22\-088\_EEOC\_KnowYourRights6\.1</t>
        </is>
      </c>
    </row>
    <row r="17">
      <c r="A17" t="inlineStr">
        <is>
          <t>li-4321401047</t>
        </is>
      </c>
      <c r="B17" t="inlineStr">
        <is>
          <t>Senior Data Scientist  PHD Direct Hire Fortune 100 Co Salary up to $150K+10% Bonus</t>
        </is>
      </c>
      <c r="C17" t="inlineStr">
        <is>
          <t>Confidential Careers</t>
        </is>
      </c>
      <c r="D17" t="inlineStr">
        <is>
          <t>linkedin</t>
        </is>
      </c>
      <c r="E17">
        <f>HYPERLINK("https://www.linkedin.com/jobs/view/4321401047", "https://www.linkedin.com/jobs/view/4321401047")</f>
        <v/>
      </c>
      <c r="F17" t="inlineStr"/>
      <c r="G17" t="inlineStr">
        <is>
          <t>Houston, TX</t>
        </is>
      </c>
      <c r="H17" t="inlineStr"/>
      <c r="I17" t="inlineStr">
        <is>
          <t>We are seeking a PhD\-level Senior Data Scientist to join a Fortune 100 company on a high\-impact, strategic initiative. This role is part of a special project focused on solving complex, data\-driven challenges and contributing to meaningful business outcomes within a large, established organization.
 This is a
 **direct\-hire** 
 position offering a competitive compensation package, including full benefits and paid time off. The role follows a hybrid work model, with an expectation of working onsite
 **three days per week** 
 , allowing for close collaboration with cross\-functional teams while maintaining flexibility.
 Qualified candidates must hold a PhD in a relevant field and be
 **authorized to work in the United States** 
 . We are looking for individuals who bring strong analytical expertise, intellectual curiosity, and the ability to apply advanced research methods in a real\-world, industry setting.</t>
        </is>
      </c>
    </row>
    <row r="18">
      <c r="A18" t="inlineStr">
        <is>
          <t>li-4326271156</t>
        </is>
      </c>
      <c r="B18" t="inlineStr">
        <is>
          <t>Ice Cream Customer Analytics Data Scientist</t>
        </is>
      </c>
      <c r="C18" t="inlineStr">
        <is>
          <t>The Magnum Ice Cream Company</t>
        </is>
      </c>
      <c r="D18" t="inlineStr">
        <is>
          <t>linkedin</t>
        </is>
      </c>
      <c r="E18">
        <f>HYPERLINK("https://www.linkedin.com/jobs/view/4326271156", "https://www.linkedin.com/jobs/view/4326271156")</f>
        <v/>
      </c>
      <c r="F18" t="inlineStr"/>
      <c r="G18" t="inlineStr">
        <is>
          <t>Englewood Cliffs, NJ</t>
        </is>
      </c>
      <c r="H18" t="inlineStr"/>
      <c r="I18" t="inlineStr">
        <is>
          <t>**Scope:** 
 US, Customer Development
**Location:** 
 Englewood Cliffs, NJ \- Hybrid (Minimum 2 Days in Office)
**Terms \&amp; Conditions:** 
 Full time, International sponsorship or relocation not supported
 If you are in the Ice Cream business or consider choosing to work for the The Magnum Ice Cream Company Ice Cream business, you will work for the Global, leading Ice Cream player with €7\.9bn Turn Over in 2023\. The Ice Cream business is operating in a highly attractive category, as we are part of the 1 trillion snacking and refreshment industry, growing consistently at high pace. We have strong brands equities: 5 of top 10 selling brands including Magnum and Ben \&amp; Jerry’s. We are investing to unlock the full growth potential of Ice Cream as a standalone entity, once we separate from Unilever, which happened in December of 2025\.
 Ice Cream has distinct characteristics from TMICC’s other operating businesses and the growth potential of Ice Cream will be better delivered under a different ownership structure. As an Ice Cream company we are committed to developing and nurturing talent within. You will have ample options for career growth and exploration, allowing you for you to explore roles and opportunities across the new organization. Your career development will be a priority for us, and we are dedicated to supporting your growth journey within the new company. We hope that you will want to build the new chapter of our Ice Cream history together with us.
**ABOUT ICE CREAM: Life Tastes Better with Ice Cream**
 TMICC Ice Cream is the largest global Ice Cream Company in the world, with over 100 years of experience delivering a diverse range of indulgent, yet responsible, craft food experiences and treats delighting consumers. Committed to innovation, quality, and sustainability we have 35 brands, including 3 one billion Euro brands (Magnum, Wall’s, Ben \&amp; Jerry’s), a strong presence in over 60 countries, generating annual revenue of over $8 billion. All brands are driven to transform moments into memories through indulgent yet responsibly made and marketed products. We have a well\-developed strategy to deliver growth and value creation which is clear on where to play and how to win.
 We turn the ordinary into the extraordinary by designing unique and innovative Ice Cream experiences that make life taste better, creating joyful experiences. In our Ice Cream business, we’re crafting the future through innovation and imaginative minds, creating unique products. We spark moments of happiness for people and within the communities where we operate. However, it is not as simple as it may seem. As Ice Cream makers we are serious about happiness. With warm hearts, we create the coolest products.
**Job Purpose**
 The Customer Analytics Data Scientist will report to the Associate Director of CD Analytics and Insights and will be responsible for developing advanced analytical models and insights that empower the US Customer Development function to achieve its sales ambitions. In this role, you will have the opportunity to design and implement predictive and prescriptive analytics solutions that drive decision\-making across sales, category management, shopper marketing, and channel strategy.
 This is a hands\-on technical role with strong business integration. The ideal candidate not only has deep expertise in statistical modeling and machine learning but also thrives on partnering with commercial and customer development teams to translate complex data into actionable business stories. You will collaborate closely with data engineering to ensure models are seamlessly operationalized within our data ecosystem and brought to life through visualization and stakeholder engagement.
**Key Responsibilities**
* Work closely with business stakeholders to translate needs into well designed and executed technology products that are embedded into daily decision\-making, with a focus on promotion optimization, syndicated and retailer data, demand forecasting, shopper marketing, digital commerce, and sales reporting
* Develop predictive and forecasting models (e.g., forecasting demand, pricing, promotions optimization, customer/shopper behavior) that drive commercial decision\-making and business performance.
* Collaborate with data engineering to define consistent business logic and unified data definitions, consistent with how the business operates, that enable self\-service analytics and integration across data products.
* Build advanced analytics capabilities including demand forecasting, promotion performance, assortment optimization, and shopper behavior modeling.
* Liase with local and global business and technology teams to define, manage, and enhance Magnum’s Customer Development analytics capabilities
* Conduct advanced analytics analyses using data science, machine learning, and AI to uncover insights that generate tangible business value
* Communicate and deliver engaging data visualizations and data narratives that bring data to life for both technical \&amp; non\-technical audiences, simplifying complex concepts and enabling decision\-making across commercial teams
* Guide and lead squads or project teams, driving adoption of data science principles and best\-in\-class analytics approaches to deliver impactful solutions.
**What You Need To Succeed**
* Technical aptitude and the ability to lead teams toward business\-value focused technology solutions
* 6\+ years of experience with cloud data platforms (Azure, AWS, GCP) and Databricks, with strong proficiency in SQL, PySpark, Python, and DAX for building high\-performance data transformations and pipelines.
* Hands\-on experience with Databricks, Azure Data Factory, Delta Lake, Power BI, Alteryx and related cloud data technologies.
* Proficient in machine learning frameworks and libraries including scikit\-learn, TensorFlow, PyTorch, XGBoost
* Experience with data visualization tools like PowerBI, Tableau.
* Strong ability to communicate technical findings to non\-technical audiences, turning data into actionable business narratives.
* Intellectual curiosity and strong analytic ability
* Preparedness to develop a deep understanding of business operations and needs for the Customer Development function
* Excellent planning, organization, and project estimation skills
* Strong understanding of the use and management of retailer and syndicated data
* Ability to work collaboratively with cross functional teams both locally and globally
* Ability to communicate and present complex topics clearly and compellingly to business stakeholders
**Skills**
* Strong understanding of data science principles and data visualization approaches
* Solid understanding of data modelling to support analytics and reporting use cases.
* Proficiency in coding languages such as Python, PySpark, DAX and SQL
* Ability to collect business requirements and translate into technical solutions
* Experience using tools like Databricks, Azure Data Factory, Power BI, and Alteryx
* Experience leveraging data sources such as Circana, Nielsen, panel data, and retailer data
* Ability to design intuitive and compelling front end business applications
* Data Engineering, Computer Science or study in related field.
**Required**
**EXPERIENCES \&amp; QUALIFICATIONS:**
* Experience applying data science, machine learning, and AI to business problems in Consumer Goods organizations
* Experience designing and implementing end\-to\-end data analyses and capabilities for a business focused audience
* Experience creating data visualization dashboards in tools such as PowerBI or Tableau
* Experience collecting business requirements and translating them into technology projects
* Experience working in a consumer goods organization
* Experience with the use and management of retailer and syndicated data (such as Circana, Nielsen)
**Preferred**
* Experience in a consumer goods Customer Development function
* Experience with retailer data platforms such as Scintilla, SymphonyAI, 1010data and 84\.51 Stratum
* Familiarity with Digital Commerce and Shopper Marketing data solutions
* Experience managing analytics teams
**Pay:** 
 The pay range for this position is $99,760 to $149,640\. TMICC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TMICC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\#TMICC
 \#TMICC
**About The Magnum Ice Cream Company**
 With 19\.000 expert ice cream colleagues and iconic brands like Wall’s, Cornetto and Ben \&amp; Jerry’s, loved in 76 countries, we are the world’s largest Ice Cream company leading the industry We have been taking pleasure seriously for more than 100 years, serving happiness with every lick or scoop of ice cream for generations.
**About**
 The Magnum Ice Cream Company (formerly part of Unilever)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 Here’s what defines success in our organization :
* We are all about growth
* We operate with speed and simplicity
* We win together with fun
* We boldly innovate to disrupt our industry
* We care and challenge
* We are experts in the Ice Cream Category
**ARE YOU EXCITED TO CRAFT THE ICE CREAM FUTURE?**
 Please apply online and do not forget to upload your CV. Your application will be reviewed against the requirements, and we will be in touch shortly after the closing date, with an update on the status of your application.
 The Magnum Ice Cream Company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protected veteran status, or any other characteristic protected by local, state, or federal law and will not be discriminated against on the basis of disability.
 For more information about your Federal rights, please see Know Your Rights: Workplace Discrimination is Illegal and Pay Transparency Non discrimination Provision.
 Employment is subject to verification of pre\-screening tests, which may include drug screening, background check, credit check and DMV check.
 If you are an individual with a disability in need of assistance at any time during our recruitment process, please contact your recruiter. Please note: This email is reserved for individuals with disabilities in need of assistance and is not a means of inquiry about positions or application statuses. The Protected Veterans or Individuals with Disabilities AAP narratives are available for inspection by any employee or applicant for employment Monday through Friday during normal business hours at establishment.</t>
        </is>
      </c>
    </row>
    <row r="19">
      <c r="A19" t="inlineStr">
        <is>
          <t>li-4365600923</t>
        </is>
      </c>
      <c r="B19" t="inlineStr">
        <is>
          <t>Data Scientist I - McWilliams School of Biomedical Informatics</t>
        </is>
      </c>
      <c r="C19" t="inlineStr">
        <is>
          <t>UTHealth Houston</t>
        </is>
      </c>
      <c r="D19" t="inlineStr">
        <is>
          <t>linkedin</t>
        </is>
      </c>
      <c r="E19">
        <f>HYPERLINK("https://www.linkedin.com/jobs/view/4365600923", "https://www.linkedin.com/jobs/view/4365600923")</f>
        <v/>
      </c>
      <c r="F19" t="inlineStr"/>
      <c r="G19" t="inlineStr">
        <is>
          <t>Texas, United States</t>
        </is>
      </c>
      <c r="H19" t="inlineStr"/>
      <c r="I19" t="inlineStr">
        <is>
          <t>**McWilliams School of Biomedical Informatics is shaping the future of patient care, disease prevention, and biomedical discovery by transforming data into innovative solutions powered by artificial intelligence, data science, and informatics. We are the only biomedical informatics program with advanced doctoral degrees in Texas and the largest and only free\-standing informatics school in the nation.**
 This position will support clinical data request services for entire UTHealth Houston. This position will perform daily data quality validation, mapping of electronic health record data to standardized clinical terminologies, and data architecture management to ensure accurate, reliable, and accessible datasets for the UTHealth Houston research community.
**What we do here changes the world.** 
 UTHealth Houston is Texas’ resource for healthcare education, innovation, scientific discovery, and excellence in patient care. That’s where you come in.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The Data Scientist – Level I is a skillful team player with a clear track record of transforming data into actionable insights and knowledge. This individual is a deliberate and systematic scientist who can clearly articulate the hypotheses to be tested, practice with rigor and precision, and maintain a balanced/independent point of view to achieve valid and accepted findings. Uses social determinants of health data sets in conjunction with administrative claims and electronic health records to measure the relational impact of these variables when applicable.
 It is essential for this person to be a very effective communicator who can guide business and clinical customers to understanding of applied methods, rationale, statistical validity and the appropriate application of insights.
**Position Key Accountabilities:**
* Supports faculty and clinical, business and research customers with data science services on a variety of projects which may include clinical operations, hospital quality/safety, finance, supply chain, practice management, population health, personalized medicine and translational research.
* Builds models that incorporate diverse data sets representing administrative, clinical and social health indicators when applicable.
* Apply a variety of methods such as statistical analysis, data mining, predictive analytics, time series analysis, multivariate regression analysis, statistical process control and optimization solutions.
* Perform as a results\-oriented problem solver to quickly synthesize complex scenarios, connect abstract patterns/information, apply appropriate methods, and implement practical and timely solutions.
* Demonstrate and embrace a collaborative approach to fully realize the talents of colleagues such as data stewards, IT staff, business analysts, business stakeholders and industry experts.
* Assess the impact of computer networking and data warehousing on data use and analysis when applicable.
* Perform other duties as assigned.
**Certification/Skills:**
* Proficiency with statistical packages, data bases and programming languages for data preparation, storage, transformation, analysis or visualization. Examples include R, SAS, STATA, SPSS, Matlab, SQL, Python, Hadoop, Pig, Hive, MapReduce, Java Tableau, Excel or other big data frameworks.
* Ability to work with a wide variety of data formats/sources such as relational databases, XML, JSON, CSV, text, sensors/activity trackers, clickstreams, social media, and geolocation
* Effective communication skills including written, oral, listening and interpersonal.
**Minimum Education:**
 Master’s degree in health care, management, mathematics, engineering, informatics, or a related field
**Minimum Experience:**
 1 year of enterprise experience as a data scientist, informaticist, statistician, senior analyst or related role
**Preferred Experience:**
 Strong data management (SQL, ETL) and visualization (Tableau, Power BI) skills, proficiency in statistical software like R or Python, deep knowledge of clinical data warehouse, understanding of HIPAA regulations, and familiarity with healthcare terminology.
 Also preferred is training or experience in clinical informatics; Technical skills in machine learning, advanced statistics, data mining, and the ability to build predictive models are a plus.
**Physical Requirements:**
 Exerts up to 20 pounds of force occasionally and/or up to 10 pounds frequently and/or a negligible amount constantly to move objects.
**Security Sensitive:**
 This position is a security\-sensitive position pursuant to Texas Education Code
* 51\.215 and Texas Government Code
* 411\.094\. To the extent that a position requires the holder to research, work on, or have access to critical infrastructure as defined in Texas Business and Commerce Code
* 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things such as criminal history or continuous connections to the government or political apparatus of a foreign adversary might prevent the applicant, employee, or contractor from being able to maintain the security or integrity of the infrastructure. A foreign adversary is a nation listed in 15 C.F.R.
* 791\.4\.
**Residency Requirement:**
 Employees must permanently reside and work in the State of Texas.</t>
        </is>
      </c>
    </row>
    <row r="20">
      <c r="A20" t="inlineStr">
        <is>
          <t>li-4365643079</t>
        </is>
      </c>
      <c r="B20" t="inlineStr">
        <is>
          <t>Senior Marketing Data Scientist</t>
        </is>
      </c>
      <c r="C20" t="inlineStr">
        <is>
          <t>SoFi</t>
        </is>
      </c>
      <c r="D20" t="inlineStr">
        <is>
          <t>linkedin</t>
        </is>
      </c>
      <c r="E20">
        <f>HYPERLINK("https://www.linkedin.com/jobs/view/4365643079", "https://www.linkedin.com/jobs/view/4365643079")</f>
        <v/>
      </c>
      <c r="F20" t="inlineStr"/>
      <c r="G20" t="inlineStr">
        <is>
          <t>Seattle, WA</t>
        </is>
      </c>
      <c r="H20" t="inlineStr"/>
      <c r="I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1">
      <c r="A21" t="inlineStr">
        <is>
          <t>li-4365626474</t>
        </is>
      </c>
      <c r="B21" t="inlineStr">
        <is>
          <t>Applied Scientist II, Prime Video Personalization and Discovery Science</t>
        </is>
      </c>
      <c r="C21" t="inlineStr">
        <is>
          <t>Prime Video &amp; Amazon MGM Studios</t>
        </is>
      </c>
      <c r="D21" t="inlineStr">
        <is>
          <t>linkedin</t>
        </is>
      </c>
      <c r="E21">
        <f>HYPERLINK("https://www.linkedin.com/jobs/view/4365626474", "https://www.linkedin.com/jobs/view/4365626474")</f>
        <v/>
      </c>
      <c r="F21" t="inlineStr"/>
      <c r="G21" t="inlineStr">
        <is>
          <t>New York, United States</t>
        </is>
      </c>
      <c r="H21" t="inlineStr"/>
      <c r="I2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22">
      <c r="A22" t="inlineStr">
        <is>
          <t>li-4355550697</t>
        </is>
      </c>
      <c r="B22" t="inlineStr">
        <is>
          <t>Data Scientist and Application Developer</t>
        </is>
      </c>
      <c r="C22" t="inlineStr">
        <is>
          <t>Caltech</t>
        </is>
      </c>
      <c r="D22" t="inlineStr">
        <is>
          <t>linkedin</t>
        </is>
      </c>
      <c r="E22">
        <f>HYPERLINK("https://www.linkedin.com/jobs/view/4355550697", "https://www.linkedin.com/jobs/view/4355550697")</f>
        <v/>
      </c>
      <c r="F22" t="inlineStr"/>
      <c r="G22" t="inlineStr">
        <is>
          <t>Pasadena, CA</t>
        </is>
      </c>
      <c r="H22" t="inlineStr"/>
      <c r="I22" t="inlineStr">
        <is>
          <t>Caltech is a world\-renowned science and engineering institute that marshals some of the world's brightest minds and most innovative tools to address fundamental scientific questions. We thrive on finding and cultivating talented people who are passionate about what they do. Join us and be a part of the diverse Caltech community.
**Job Summary**
 The Einstein Papers Project at Caltech has an opening for a Data Scientist and Application Developer. Come be a part of the team that is researching and publishing Albert Einstein’s published and unpublished writings, his letters and those of his colleagues, family, and friends, his calculation drafts, notebooks, and interviews.
 This role will work with a vibrant team of scientists and historians and philosophers of science to carry out text and image processing, extracting relevant information from printed sources, photographs, and handwritten manuscripts. The major source of data consists of some 100,000 archival records and tens of thousands of printed sources. We are interested in archive services and analysis tools related to the discovery of specific search objects (text, equations, concepts) and their characterization.
**Essential Job Duties**
* As an Einstein Papers analyst and developer, you will work with the team members to develop systems to ingest, process and deliver content and tools to users, using modern methodologies and AI software, particularly those tools developed to support digital humanities research, methods and platforms.
* Developing and improving infrastructure to ingest and organize database records and their associated files (jpg, tiff, pdf)
* Automating and improving the management of our repositories (move data to GitHub or other cloud\-based repository)
* Streamline deployment of software into test and production environments, through continuous integration, and troubleshoot runtime issues.
**Basic Qualifications**
* Bachelor’s degree in Computer Science/Engineering, Information Sciences, or related field.
* Three or more years of relevant experience developing code using python or similar programming languages
* System administration of local networks
* Web server and website administration and operation
* Dynamic database design
* Good familiarity with the TeX\-typsetting system
* Strong communication and interpersonal skills.
**Preferred Qualifications**
* Knowledge of Adobe products (Photoshop, InDesign) and Adobe FrameMaker (or willingness to learn).
* Production experience with AWS.
* Experience with configuration management, Git/GitHub.
* Strong Linux/UNIX skills.
* Experience with SQL.
* Ability to read German is a great plus.
**Required Documents**
* Resume.
**Hiring Range**
 $109,200 \- $134,700 Per Year
 The salary of the finalist(s) selected for this role will be set based on a variety of factors, including but not limited to, internal equity, experience, education, specialty and training.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Non\-benefit eligible employees will have access to some benefits such as onsite counseling and sick time. Learn more about our
**EEO Statement**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is a VEVRAA Federal Contractor.
 To read more Equal Employment Opportunity (EEO) go to eeoc\_self\_print\_poster.pdf.
**Disability Accommodations**
 Caltech complies with the Fair Employment and Housing Act (FEHA) and the Americans with Disabilities Act (ADA). We consider reasonable accommodation measures that may be necessary for eligible applicants and employees to perform the essential functions of a position.
 If you would like to request an accommodation to complete this application, interview, or otherwise participate in the employee selection process, please contact Caltech Recruiting at
 Additionally, if you do not meet the basic qualifications of a role but believe you can perform the essential functions of the job with reasonable accommodation, please reach out to Caltech Recruiting at</t>
        </is>
      </c>
    </row>
    <row r="23">
      <c r="A23" t="inlineStr">
        <is>
          <t>li-4365639138</t>
        </is>
      </c>
      <c r="B23" t="inlineStr">
        <is>
          <t>Senior Marketing Data Scientist</t>
        </is>
      </c>
      <c r="C23" t="inlineStr">
        <is>
          <t>SoFi</t>
        </is>
      </c>
      <c r="D23" t="inlineStr">
        <is>
          <t>linkedin</t>
        </is>
      </c>
      <c r="E23">
        <f>HYPERLINK("https://www.linkedin.com/jobs/view/4365639138", "https://www.linkedin.com/jobs/view/4365639138")</f>
        <v/>
      </c>
      <c r="F23">
        <f>HYPERLINK("https://boards.greenhouse.io/sofi/jobs/7602832003?gh_src=7ed8869b3us&amp;urlHash=ADJ_", "https://boards.greenhouse.io/sofi/jobs/7602832003?gh_src=7ed8869b3us&amp;urlHash=ADJ_")</f>
        <v/>
      </c>
      <c r="G23" t="inlineStr">
        <is>
          <t>New York, NY</t>
        </is>
      </c>
      <c r="H23" t="inlineStr"/>
      <c r="I2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4">
      <c r="A24" t="inlineStr">
        <is>
          <t>li-4365631227</t>
        </is>
      </c>
      <c r="B24" t="inlineStr">
        <is>
          <t>Applied Scientist II, Prime Video Personalization and Discovery Science</t>
        </is>
      </c>
      <c r="C24" t="inlineStr">
        <is>
          <t>Prime Video &amp; Amazon MGM Studios</t>
        </is>
      </c>
      <c r="D24" t="inlineStr">
        <is>
          <t>linkedin</t>
        </is>
      </c>
      <c r="E24">
        <f>HYPERLINK("https://www.linkedin.com/jobs/view/4365631227", "https://www.linkedin.com/jobs/view/4365631227")</f>
        <v/>
      </c>
      <c r="F24">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24" t="inlineStr">
        <is>
          <t>Sunnyvale, CA</t>
        </is>
      </c>
      <c r="H24" t="inlineStr"/>
      <c r="I2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25">
      <c r="A25" t="inlineStr">
        <is>
          <t>li-4365627254</t>
        </is>
      </c>
      <c r="B25" t="inlineStr">
        <is>
          <t>Data Scientist</t>
        </is>
      </c>
      <c r="C25" t="inlineStr">
        <is>
          <t>Guidehouse</t>
        </is>
      </c>
      <c r="D25" t="inlineStr">
        <is>
          <t>linkedin</t>
        </is>
      </c>
      <c r="E25">
        <f>HYPERLINK("https://www.linkedin.com/jobs/view/4365627254", "https://www.linkedin.com/jobs/view/4365627254")</f>
        <v/>
      </c>
      <c r="F25">
        <f>HYPERLINK("https://guidehouse.wd1.myworkdayjobs.com/External/job/US\u002d\u002d-AL-Huntsville/Data-Scientist_35671/apply?source=REC_LINKEDIN?utm_source=linkedin.com&amp;utm_medium=job_posting&amp;utm_campaign=Core_Media&amp;utm_content=social_media&amp;utm_term=277974857&amp;ss=paid&amp;urlHash=ISFQ", "https://guidehouse.wd1.myworkdayjobs.com/External/job/US\u002d\u002d-AL-Huntsville/Data-Scientist_35671/apply?source=REC_LINKEDIN?utm_source=linkedin.com&amp;utm_medium=job_posting&amp;utm_campaign=Core_Media&amp;utm_content=social_media&amp;utm_term=277974857&amp;ss=paid&amp;urlHash=ISFQ")</f>
        <v/>
      </c>
      <c r="G25" t="inlineStr">
        <is>
          <t>Huntsville, AL</t>
        </is>
      </c>
      <c r="H25" t="inlineStr"/>
      <c r="I25" t="inlineStr">
        <is>
          <t>**Job Family**
 Data Science \&amp; Analysis
**Travel Required**
 None
**Clearance Required**
 Active Secret
**What You Will Do**
 Guidehouse is seeking a Data Scientist who will provide data solutions (analysis, data engineering, data science etc.) to a Department of War client. You will be a part of a multi\-disciplinary, high\-impact team supporting the client achieve and sustain supply chain excellence. The ideal candidate will perform technical tasks that include, but are not limited to, building data pipelines, developing visualizations, and building predictive models. These tasks will involve using advanced tools and technologies such as Python, R, SQL, and data visualization platforms like Power BI. The consultant will also be responsible for ensuring data integrity and security, adhering to best practices in data management, and staying updated with the latest trends in data analytics. Experience with machine learning algorithms and statistical analysis will be highly advantageous.
**What You Will Need**
* An ACTIVE and MAINTAINED "SECRET" Federal or DoD security clearance
* Bachelor's Degree
* SEVEN (7\) years of experience as a data scientist, data analyst or data engineer
**What Would Be Nice To Have**
* Knowledge of supply chain and logistics
* Proficiency in programming languages such as Python or R
* Excellent problem\-solving skills and attention to detail
* Strong communication and collaboration skills, with the ability to work effectively in a team environment
* Experience with design and build of ETL programs, interfaces, and data reconciliation processes
* Ability to effectively communicate with all levels of staff within an organization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6">
      <c r="A26" t="inlineStr">
        <is>
          <t>li-4365632249</t>
        </is>
      </c>
      <c r="B26" t="inlineStr">
        <is>
          <t>Senior Marketing Data Scientist</t>
        </is>
      </c>
      <c r="C26" t="inlineStr">
        <is>
          <t>SoFi</t>
        </is>
      </c>
      <c r="D26" t="inlineStr">
        <is>
          <t>linkedin</t>
        </is>
      </c>
      <c r="E26">
        <f>HYPERLINK("https://www.linkedin.com/jobs/view/4365632249", "https://www.linkedin.com/jobs/view/4365632249")</f>
        <v/>
      </c>
      <c r="F26" t="inlineStr"/>
      <c r="G26" t="inlineStr">
        <is>
          <t>New York, NY</t>
        </is>
      </c>
      <c r="H26" t="inlineStr"/>
      <c r="I2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7">
      <c r="A27" t="inlineStr">
        <is>
          <t>li-4365637099</t>
        </is>
      </c>
      <c r="B27" t="inlineStr">
        <is>
          <t>Applied Scientist II, Prime Video Personalization and Discovery Science</t>
        </is>
      </c>
      <c r="C27" t="inlineStr">
        <is>
          <t>Prime Video &amp; Amazon MGM Studios</t>
        </is>
      </c>
      <c r="D27" t="inlineStr">
        <is>
          <t>linkedin</t>
        </is>
      </c>
      <c r="E27">
        <f>HYPERLINK("https://www.linkedin.com/jobs/view/4365637099", "https://www.linkedin.com/jobs/view/4365637099")</f>
        <v/>
      </c>
      <c r="F27">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27" t="inlineStr">
        <is>
          <t>Seattle, WA</t>
        </is>
      </c>
      <c r="H27" t="inlineStr"/>
      <c r="I2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28">
      <c r="A28" t="inlineStr">
        <is>
          <t>li-4365628429</t>
        </is>
      </c>
      <c r="B28" t="inlineStr">
        <is>
          <t>Senior Marketing Data Scientist</t>
        </is>
      </c>
      <c r="C28" t="inlineStr">
        <is>
          <t>SoFi</t>
        </is>
      </c>
      <c r="D28" t="inlineStr">
        <is>
          <t>linkedin</t>
        </is>
      </c>
      <c r="E28">
        <f>HYPERLINK("https://www.linkedin.com/jobs/view/4365628429", "https://www.linkedin.com/jobs/view/4365628429")</f>
        <v/>
      </c>
      <c r="F28">
        <f>HYPERLINK("https://boards.greenhouse.io/sofi/jobs/7602832003?gh_src=7ed8869b3us&amp;urlHash=ADJ_", "https://boards.greenhouse.io/sofi/jobs/7602832003?gh_src=7ed8869b3us&amp;urlHash=ADJ_")</f>
        <v/>
      </c>
      <c r="G28" t="inlineStr">
        <is>
          <t>San Francisco, CA</t>
        </is>
      </c>
      <c r="H28" t="inlineStr"/>
      <c r="I2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9">
      <c r="A29" t="inlineStr">
        <is>
          <t>li-4349785379</t>
        </is>
      </c>
      <c r="B29" t="inlineStr">
        <is>
          <t>Principal Geospatial Data Scientist</t>
        </is>
      </c>
      <c r="C29" t="inlineStr">
        <is>
          <t>NextEra Energy Resources</t>
        </is>
      </c>
      <c r="D29" t="inlineStr">
        <is>
          <t>linkedin</t>
        </is>
      </c>
      <c r="E29">
        <f>HYPERLINK("https://www.linkedin.com/jobs/view/4349785379", "https://www.linkedin.com/jobs/view/4349785379")</f>
        <v/>
      </c>
      <c r="F29">
        <f>HYPERLINK("https://jobs.nexteraenergy.com/job/Juno-Beach-Principal-Geospatial-Data-Scientist-FL-33408/1349562600/&amp;urlHash=OvHm", "https://jobs.nexteraenergy.com/job/Juno-Beach-Principal-Geospatial-Data-Scientist-FL-33408/1349562600/&amp;urlHash=OvHm")</f>
        <v/>
      </c>
      <c r="G29" t="inlineStr"/>
      <c r="H29" t="inlineStr"/>
      <c r="I29" t="inlineStr">
        <is>
          <t>**Requisition ID:** 
 92194
 NextEra Energy Resources is one of America’s largest wholesale electricity generators, harnessing diverse energy sources to power progress. We deliver tailored energy solutions that fuel economic growth, strengthen communities, and help customers achieve their energy goals. Ready to make a lasting impact? Take the next step in your career with us!
****Position Specific Description****
 NextEra Energy is a Fortune 200 company that owns Florida Power \&amp; Light Company, the largest electric utility in the United States, serving approximately 12 million residents in Florida. Our diverse energy portfolio includes natural gas, nuclear, renewable energy, and battery storage solutions. With a strong commitment to meeting America's evolving energy needs sustainably, NextEra Energy Resources, LLC, is a leader in energy infrastructure development. Ready to make a meaningful impact? Join our team to elevate your career.
 The Principal Geospatial Data Scientist for the Enterprise NEE.GIS Geospatial DataOps team will drive innovation by integrating cutting\-edge data science methodologies, including machine learning (ML), deep learning (DL), and artificial intelligence (AI), into geospatial analytics. This role involves leading cross\-functional teams to design, build, and deliver advanced geospatial data and analytics solutions, enhancing operational efficiency and strategic decision\-making.
 We place a strong emphasis on expertise in current technologies and processes, coupled with a proven track record of innovation. Ideal candidates will have extensive experience in geospatial data management and analytics, and demonstrate a passion for developing groundbreaking analyses, processes, or tools utilizing advanced data science techniques.
 Key Responsibilities
 The Principal Geospatial Data Scientist leads complex geospatial data projects by deploying advanced analytical techniques and modeling. This role involves transforming raw spatial data into strategic insights to drive decision\-making and business innovation.
* Acquire and preprocess geospatial data from diverse sources, including satellite imagery, GIS, vendors, and governmental agencies; automate workflows where feasible.
* Develop and apply sophisticated statistical models and machine learning algorithms to perform large\-scale spatial data analyses.
* Design and implement dynamic visualizations—apps, dashboards, maps, and charts—to effectively communicate geospatial insights to non\-technical audiences.
* Collaborate with cross\-functional stakeholders to discern data requirements and develop tailored solutions.
* Construct predictive models to forecast spatial trends and patterns; continuously refine and advance model efficacy.
* Synthesize varied data sources into unified geospatial datasets; ensure data integrity through routine audits and quality assurance.
* Stay abreast of cutting\-edge geospatial analytics techniques and GIS technology advancements.
* Innovate by exploring new data sources and methodologies within geospatial analysis.
* Perform additional job\-related duties as necessary.
****Preferred Qualifications:****
* Possess expert knowledge of coordinate reference systems, including their reprojections and conversions, with a focus on understanding the implications of accuracy and performance impact on large\-scale geospatial data analytics.
* Proven experience in national or global scale data analysis and modeling.
* Proficient in programming languages, notably Python; familiarity with version control systems like Git and Agile methodologies.
* Expertise in Safe Software FME and Esri Enterprise GIS platforms, as well as cloud computing environments like AWS, leveraging Kubernetes.
* Extensive experience with machine learning, deep learning, and artificial intelligence applications.
* Ability to coordinate multifaceted analysis projects with various subject matter experts to achieve cost\-effective and competitive outcomes.
* Background in the Energy sector, particularly in Oil \&amp; Gas, Renewables, or Utilities.
****Desired Qualifications****
* GISP and/or ASPRS CMS Certifications
* DASCA or similar certification
* Master’s Degree
* Doctoral Degree
* Experience: 10\+ years
****Job Overview****
 This position is responsible for leading the development of algorithms, modeling techniques, and optimization methods that support many aspects of NextEra and FPL business. Employees in this role use knowledge of machine learning, optimization, statistics, and applied mathematics along with abilities in software engineering with a focus on distributed computing and data storage infrastructure (i.e., “Big Data”).
****Job Duties \&amp; Responsibilities****
* Provide thought leadership, set technical strategy, and identify possible uses of data science methods
* Explain methods and results to upper\-level executives
* Develop machine learning, optimizations or other modeling solutions
* Oversee related employee work, learn new techniques being developed
* Prepares comprehensive documented observations, analyses and interpretations of results including technical reports, summaries, protocols and quantitative analyses
* Works with big data and distributed computing platforms
* Develops software and contributes to product development
* Performs other job\-related duties as assigned
****Required Qualifications****
* Bachelor’s Degree
* Experience: 6\+ years
****Preferred Qualifications****
* Master’s Degree
* Doctoral Degree
 NextEra Energy offers a wide range of benefits to support our employees and their eligible family members. Click
 **here** 
 to learn more.
**Employee Group:** 
 Exempt
**Employee Type:** 
 Full Time
**Job Category:** 
 Science, Research, and Technology
**Organization:** 
 NextEra Energy Project Management, LLC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30">
      <c r="A30" t="inlineStr">
        <is>
          <t>li-4363407130</t>
        </is>
      </c>
      <c r="B30" t="inlineStr">
        <is>
          <t>Data Scientist II - Teams Commercial Data Science</t>
        </is>
      </c>
      <c r="C30" t="inlineStr">
        <is>
          <t>Jobs via Dice</t>
        </is>
      </c>
      <c r="D30" t="inlineStr">
        <is>
          <t>linkedin</t>
        </is>
      </c>
      <c r="E30">
        <f>HYPERLINK("https://www.linkedin.com/jobs/view/4363407130", "https://www.linkedin.com/jobs/view/4363407130")</f>
        <v/>
      </c>
      <c r="F30" t="inlineStr"/>
      <c r="G30" t="inlineStr">
        <is>
          <t>Redmond, WA</t>
        </is>
      </c>
      <c r="H30" t="inlineStr"/>
      <c r="I30" t="inlineStr">
        <is>
          <t>**Overview**
 The
 **Microsoft Teams Data Science team** 
 's charter is to foster a data\-driven culture to encourage and enable the entire organization to make more informed decisions through data. Our data and analytics team works closely with engineering, marketing, finance, and business leaders to identify opportunities for improving the customer experience and accelerate our business's growth in support of this mission. This is a unique opportunity to bring your knowledge of enterprise software offerings, as well as your understanding of data science methods and best practices, to help Microsoft deliver the best experience possible for our customers and partners.
 We are a modern product and services organization, one of the largest business \&amp; consumer services on the planet, with over 300 million monthly active users. Data scientists on this team will be part of the broader data science team, and collaborate with product teams focused on tangible and measurable business impact.
 Teams is strategic for the company and brings many exciting opportunities to improve the user experience and drive efficiency. This requires partnering with other data scientists within and outside Teams, business analysis, PMs, Applied Science, Engineers, and User Research. This role requires technical depth and experience leveraging statistics, data analysis, and visualization to drive business insights that lead to action and deliver business outcomes.
 As a Data Scientist you will own and execute end\-to\-end data analysis for Teams Commercial scenarios, translating product questions into clearly defined metrics, insights, and recommendations that inform product and engineering decisions. You will build and strengthen foundation in product analytics, experimentation, and storytelling while partnering closely with DS and PM leaders to grow scope, influence, and technical depth.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other teams across Microsoft to develop key metrics to achieve business outcomes.
* Work cross functionally to translate business problems into ones that can be solved and informed by data.
* Communicate vision and strategy, enabling global teams to operate independently to deliver success
* Demonstrate curiosity and apply analytical skills to dive deep into data to find key insights that impact the business.
* Develop models of usage, user interaction and business patterns to make recommendations and influence the product roadmap.
* Serve as a contributor and advocate for AB testing. Design, execute and analyze experiments to evaluate product change attribution.
* Utilize tools like SQL, R, Python to execute analyses.
* Develop and manage relationships with product and business leaders across the organization to understand objectives and identify opportunities.
* Collaborate closely with other Microsoft Data Science and Data Engineering teams to deliver data\-informed solutions to address the business's priority needs.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leveraging experience and understanding the need to deliver measurable business impact by working with stakeholders to turn business problems into data analysis questions and unearthing actionable insights from data.
* Experience as a data scientist for an online service, app, or Web site with millions of users. Experience working on an online collaboration, video conference, or messaging product is a plus.
* Have a track record of innovative thinking and problem\-solving skills using Big Data.
* Have the ability to deliver on ambiguous projects with incomplete data.
* 3\+ years leveraging the practical uses of statistics (i.e. experimentation, statistical modeling).
* Professional experience with large\-scale computing systems like Hadoop, MapReduce, and/or similar systems.
* 3\+ years of professional experience in SQL, R, Python, or related tools for large\-scale analysis.
* Ability to clearly explain ideas and communicate complex analysis \&amp; insights to a non\-technical audience.
* Experience working as part of geographically dispersed, diverse, and virtual teams.
 \#W\+DJOBS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
      <c r="A31" t="inlineStr">
        <is>
          <t>li-4355309834</t>
        </is>
      </c>
      <c r="B31" t="inlineStr">
        <is>
          <t>Senior People Data Scientist</t>
        </is>
      </c>
      <c r="C31" t="inlineStr">
        <is>
          <t>Signature Aviation</t>
        </is>
      </c>
      <c r="D31" t="inlineStr">
        <is>
          <t>linkedin</t>
        </is>
      </c>
      <c r="E31">
        <f>HYPERLINK("https://www.linkedin.com/jobs/view/4355309834", "https://www.linkedin.com/jobs/view/4355309834")</f>
        <v/>
      </c>
      <c r="F31">
        <f>HYPERLINK("https://hdbt.fa.us2.oraclecloud.com/hcmUI/CandidateExperience/en/job/15492/?utm_medium=jobboard&amp;utm_source=linkedin&amp;urlHash=JwR-", "https://hdbt.fa.us2.oraclecloud.com/hcmUI/CandidateExperience/en/job/15492/?utm_medium=jobboard&amp;utm_source=linkedin&amp;urlHash=JwR-")</f>
        <v/>
      </c>
      <c r="G31" t="inlineStr"/>
      <c r="H31" t="inlineStr"/>
      <c r="I31" t="inlineStr">
        <is>
          <t>**Job Description**
 We are seeking a Senior People Data Scientist to deliver HR reporting through Oracle HCM and advanced analytics and insights by leveraging the enterprise Databricks platform. This role will focus on extracting HR data from Oracle HCM and other systems (payroll, engagement, cases, etc.), performing analysis and modeling within Databricks, and publishing curated datasets and dashboards in Power BI. The ideal candidate combines strong technical skills in SQL, Python, and Databricks with deep understanding of HR data and business priorities.
**Responsibilities**
 (Other duties may be assigned)
**HR Data Reporting \&amp; Analysis**
* Develop and maintain custom reports in Oracle HCM using SQL to support HR operations and analytics.
* Write advanced SQL queries to extract and transform HR data from Oracle tables.
* Analyze HR datasets for workforce insights (headcount, attrition, recruiting, talent \&amp; succession planning, engagement, team performance).
* Ensure accuracy and consistency of HR data across systems.
**Analytics \&amp; Visualization**
* Perform advanced analytics and modeling in Databricks using Python and SQL.
* Leverage Databricks notebooks for data exploration, transformation, and machine learning.
* Publish curated datasets from Databricks to BI tools (Power BI) for HR scorecards and executive reporting.
* Apply Python and statistical techniques for predictive modeling (e.g., attrition forecasting, workforce planning).
* Use Databricks ML and Delta Lake for scalable analytics
* Identify trends and deliver actionable insights to HR leadership.
* Partner with HR leaders to translate business questions into data requirements.
* Work closely with Data Engineering and Platform teams to ensure HR data is clean, standardized, and accessible.
* Document processes and create user\-friendly guides for HR stakeholders.
* Understand and apply PII masking and compliance requirements for HR data.
* Ensure adherence to privacy regulations (GDPR, CCPA) and internal security standards.
**Collaboration \&amp; Enablement**
* Partner with HR leaders to translate business questions into data requirements.
* Work closely with Data Engineering and Platform teams to ensure HR data is clean, standardized, and accessible.
* Document processes and create user\-friendly guides for HR stakeholders.
**Data Governance \&amp; Compliance**
* Understand and apply PII masking and compliance requirements for HR data.
* Ensure adherence to privacy regulations (GDPR, CCPA) and internal security standards .
**Qualifications**
**Required Skills \&amp; Experience**
* Technical Expertise
+ Strong proficiency in Oracle HCM reporting and SQL.
+ Expert in Databricks (Delta Lake, Unity Catalog, ML workflows).
+ Strong Python and SQL for analytics and modeling.
+ Advanced Power BI skills for visualization and dashboarding.
+ Experience with Oracle HCM reporting and HR data structures.
+ Familiarity with HR metrics and KPIs.
* HR Data Experience
+ Proven track record as a technical expert with the ability to execute an analytics strategy evolving basic HR reporting to modern business intelligence.
+ Familiarity with HR metrics and KPIs (headcount, attrition, talent indicators, etc.).
* Data Governance
+ Experience implementing governance processes for data masking, security, and compliance controls for sensitive data.
+ Understanding of privacy regulations and best practices for PII handling.
* Soft Skills
+ Strong problem\-solving and communication skills.
+ Ability to work cross\-functionally with HR, IT, and Data Governance teams.
**Minimum Education And/or Experience**
* Bachelor’s Degree from a four\-year college or university with a major in computer science, data science, information systems, statistics, mathematics or related field
* Preferred Master’s Degree in data analytics, business intelligence or related field
* 5\+ years experience in HR Data Analytics or similar roles
* Highly valued: Databricks certified professional
* Highly valued: MS PowerBI/Azure certification(s)
* Highly valued: Recognized certification(s) in SQL \&amp; Python
**About Us**
 With more than 225 locations worldwide, Signature Aviation is the largest global network of private aviation terminals, delivering safe, convenient, and elevated experiences to those we serve. As a premier hospitality organization and a certified Great Place to Work™, we are committed to redefining private air travel. Our nearly 6,000\-strong team of aviation experts and enthusiasts is dedicated to delivering excellence to our guests and communities, and it starts with taking care of our team. Signature provides a variety of benefits, programs, and resources to support our team members’ overall well\-being and professional development. We proudly volunteer and give back, focusing on elevating the neighborhoods where we operate, empowering the next generation of aviation professionals, and supporting our veterans.
 From your health to your financial wellness, there are several benefits for you and your family when joining Signature Aviation.
**Our Benefits**
* Medical/prescription drug, dental, and vision Insurance
* Health Savings Account
* Flexible Spending Accounts
* Life Insurance
* Disability Insurance
* 401(k)
* Critical Illness, Hospital Indemnity and Accident Insurance
* Identity Theft and Legal Services
* Paid time off
* Paid Maternity Leave
* Tuition reimbursement
* Training and Development
* Employee Assistance Program (EAP) \&amp; Perks
 Qualified applicants will receive consideration for employment without regard to age, race, color, religion, sex, sexual orientation, gender identity, national origin, or other protected characteristics.</t>
        </is>
      </c>
    </row>
    <row r="32">
      <c r="A32" t="inlineStr">
        <is>
          <t>li-4321363773</t>
        </is>
      </c>
      <c r="B32" t="inlineStr">
        <is>
          <t>Data Scientist / Senior Data Analyst</t>
        </is>
      </c>
      <c r="C32" t="inlineStr">
        <is>
          <t>Integra FEC</t>
        </is>
      </c>
      <c r="D32" t="inlineStr">
        <is>
          <t>linkedin</t>
        </is>
      </c>
      <c r="E32">
        <f>HYPERLINK("https://www.linkedin.com/jobs/view/4321363773", "https://www.linkedin.com/jobs/view/4321363773")</f>
        <v/>
      </c>
      <c r="F32">
        <f>HYPERLINK("https://job-boards.greenhouse.io/integra&amp;urlHash=6Fom", "https://job-boards.greenhouse.io/integra&amp;urlHash=6Fom")</f>
        <v/>
      </c>
      <c r="G32" t="inlineStr">
        <is>
          <t>Austin, TX</t>
        </is>
      </c>
      <c r="H32" t="inlineStr"/>
      <c r="I32" t="inlineStr">
        <is>
          <t>Integra is a litigation and economic consulting firm that exists to restore integrity to the financial system through forensic data analytics. We work with government agencies and law firms in their efforts to combat a wide array of financial fraud, in areas ranging from securities to healthcare to crypto assets. We are looking for strong candidates with quantitative and financial backgrounds and a natural curiosity to learn to join our team and help tackle complex projects by efficiently analyzing data. 
**﻿Main responsibilities include:** 
* Plan, develop, and take ownership in data\-intensive investigations related to financial fraud
* Write scripts to retrieve and organize data; parse free\-form text fields, images, and spreadsheets to derive insights
* Construct and analyze large datasets to find fraudulent patterns; develop quantitative and empirical methods to analyze potentially fraudulent conduct
* Summarize and present findings to technical and non\-technical audiences, through long\-form reports, charts and slides
* Anticipated to grow toward managing projects and communicating with clients
**Job Qualifications** 
*Required* 
* 3\+ years of relevant work experience
* Background in statistics, mathematics, engineering, computer science, data science, accounting, finance, economics, or other quantitative field
* Demonstrated experience with R, Python, and/or SQL
* Attention to detail
* Intellectual curiosity and interest in fraud analysis
* Highest ethical standards
* Strong teamwork abilities
*Preferred* 
* Excellent skills in R, Python, and/or SQL
* Background in economic/management consulting or finance
* Knowledge of financial concepts and principles
* Knowledge of crypto, decentralized finance, or smart contracts
* Demonstrated aptitude for research
**Applicants must be authorized to work for any employer in the U.S. We are unable to sponsor or take over sponsorship of an employment Visa at this time.**</t>
        </is>
      </c>
    </row>
    <row r="33">
      <c r="A33" t="inlineStr">
        <is>
          <t>li-4363477148</t>
        </is>
      </c>
      <c r="B33" t="inlineStr">
        <is>
          <t>Data Scientist</t>
        </is>
      </c>
      <c r="C33" t="inlineStr">
        <is>
          <t>Jobs via Dice</t>
        </is>
      </c>
      <c r="D33" t="inlineStr">
        <is>
          <t>linkedin</t>
        </is>
      </c>
      <c r="E33">
        <f>HYPERLINK("https://www.linkedin.com/jobs/view/4363477148", "https://www.linkedin.com/jobs/view/4363477148")</f>
        <v/>
      </c>
      <c r="F33">
        <f>HYPERLINK("https://click.appcast.io/t/cLRWYfxwEhG1KO_g0Fs_Zv92-voF8bSDM-sQ87n6Z0Y=&amp;urlHash=94mx", "https://click.appcast.io/t/cLRWYfxwEhG1KO_g0Fs_Zv92-voF8bSDM-sQ87n6Z0Y=&amp;urlHash=94mx")</f>
        <v/>
      </c>
      <c r="G33" t="inlineStr">
        <is>
          <t>McLean, VA</t>
        </is>
      </c>
      <c r="H33" t="inlineStr"/>
      <c r="I33" t="inlineStr">
        <is>
          <t>Dice is the leading career destination for tech experts at every stage of their careers. Our client, CCS Global Tech, is seeking the following. Apply via Dice today!
 CCS Global Tech is a rapidly growing Information Technology company with a diverse portfolio of technology products and services and a large network of industry partnerships. With over 22 years of being a successful business with a global talent pool and presence, CCS is a certified Microsoft Gold Partner and specializes in delivering expert Microsoft based solutions for technical and business needs. We have been recognized by Inc. 500 Magazine as one of the fastest growing small companies in the Unites States.
 we are a Tier 1 vendor for the City and County of San Francisco for Cloud Services, Staffing Services and Training Services. For this multi\-year opportunity with a diverse set of needs to address, we are currently focusing on establishing partnerships with individuals as well as companies who can help us enhance our overall service portfolio, cut lead times, and ultimately help us deliver successfully. We currently hold sizable Government accounts in the San Francisco bay area including City and County of San Francisco, San Mateo County, and Santa Clara County.
 We take great pride in our global reach and local influence. Your experience alongside our highly skilled and talented internal team who guide you along the way, offers key insights into what helps you stand out in a competitive job market.
 If you are a partner company, please submit resumes with contact information of your own W2 Consultants only. Submitted consultants are expected to have excellent communication skills.
 We are seeking one (1\) Data Scientist
 This position will sit in McLean, VA.
 The candidate MUST have significant
 experience (Expert/SME level) with data engineering, to include designing and building
 data infrastructure, developing data pipelines, transforming and preparing
 data, ensuring data quality and security, and monitoring and optimizing
 systems.
 The candidate MUST have extensive
 experience with Python and AWS.
 Experience with SQL, multi\-data source queries with database
 technologies (PostgreSQL, MySQL, RDS, etc.), NiFi, Git, Elasticsearch, Kibana,
 Jupyter Notebooks, NLP, AI, and any data visualization tools (Tableau, Kibana,
 Qlik, etc.) are desired.</t>
        </is>
      </c>
    </row>
    <row r="34">
      <c r="A34" t="inlineStr">
        <is>
          <t>li-4365644082</t>
        </is>
      </c>
      <c r="B34" t="inlineStr">
        <is>
          <t>Sr. Manager, Supply Chain Data Scientist</t>
        </is>
      </c>
      <c r="C34" t="inlineStr">
        <is>
          <t>E.L.F. BEAUTY</t>
        </is>
      </c>
      <c r="D34" t="inlineStr">
        <is>
          <t>linkedin</t>
        </is>
      </c>
      <c r="E34">
        <f>HYPERLINK("https://www.linkedin.com/jobs/view/4365644082", "https://www.linkedin.com/jobs/view/4365644082")</f>
        <v/>
      </c>
      <c r="F34" t="inlineStr"/>
      <c r="G34" t="inlineStr">
        <is>
          <t>Fairfield, NJ</t>
        </is>
      </c>
      <c r="H34" t="inlineStr"/>
      <c r="I34" t="inlineStr">
        <is>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Keys Soulcare, a groundbreaking lifestyle beauty brand created with Alicia Keys, Naturium, high\-performance, biocompatible, clinically\-effective and accessible skin care, and our newest brand, rhode, a line of curated skincare essentials, formulated for a variety of skin types and needs with high performance ingredients, it’s a daily routine that nourishes your skin barrier over time.
 In our Fiscal year 25, we had net sales of $1 Billion and our business performance has been nothing short of extraordinary with 27 consecutive quarters of net sales growth. We are the \#2 mass cosmetics brand in the US and are the fastest growing mass cosmetics brand among the top 5\. Our total compensation philosophy offers every full\-time new hire competitive pay and benefits, bonus eligibility (200% of target over the last six fiscal years), equity, flexible time off, year\-round half\-day Fridays, and a hybrid 3 day in office, 2 day at home work environment. We believe the combination of our unique culture, total compensation, workplace flexibility and care for the team is unmatched across not just beauty but any industry.
 Visit our Career Page to learn more about our team: https://www.elfbeauty.com/work\-with\-us
**Position Summary**
 The Senior Manager, Supply Chain Data Scientist serves as a senior technical and strategic thought partner, defining solution architectures, influencing product and business decisions, and ensuring that analytical solutions are both technically rigorous and operationally viable. The ideal candidate can lead end\-to\-end solutioning independently, manage ambiguity and complex stakeholder dynamics, and communicate technical and business risk effectively across teams and leadership levels. SQL and Python programming, and working with ML modeling will be a daily activity as you work with Snowflake data sets to build out planning and network optimization models.
**Responsibilities:**
* Lead the framing, design, and delivery of advanced optimization and machine learning solutions for high\-impact retail supply chain challenges
* Lead successful implementation and development of advanced planning and scheduling software, including network optimization and scenario planning
* Creating supply chain planning tools to improve planning processes, increasing accuracy and efficiency
* Developing, implementing, and maintaining key performance indicators for supply chain planning
* Build ad hoc reports for supply chain planning functions to help improve planning processes and communications
* Refining statistical and machine learning forecasting models to minimize forecast error and bias
* Develop Supply planning tools that include rough cut and finite capacity constraining
**Requirements:**
* 5\+ years of experience with advanced SQL and Python programming for data mapping, transformation and querying
* Prefer 3\+ years’ experience within Supply Planning, Inventory Optimization, or Supply Chain Analytics
* Strong communication skills with the ability to lead cross\-functional data initiatives
* Proven organizational skills, problem\-solving ability, and leadership experience
* Bachelor’s degree minimum, advanced degree preferred
* High drive for results and willing to work in a demanding \&amp; rapid paced environment
* Excellent communication skills both verbal and written
* Excellent analytical, follow\-up, and attention to detail skills
* Ability to work autonomously across functions to meet deadlines and drive tasks to completion
* System implementation experience a plus
* Excellent Excel Skills and knowledge; proficient in Microsoft Suite (Word and PowerPoint)
 The base salary range for this role is listed above.
 Total compensation includes base salary, annual company\-based performance bonus, and equity. Under e.l.f.’s annual bonus program, employees are eligible to earn up to 200% of their target bonus when company performance exceeds defined goals. In addition, e.l.f. provides a variety of other benefits to employees, including medical, dental, and vision insurance, a retirement savings plan, gender neutral parental leave, and unlimited paid time off. The amount of total compensation (including base salary) offered will be based on a wide range of factors, including geographic location, experience, specific skills, and qualifications.
 Compensation components are subject to change at the company’s discretion
***This job description is intended to describe the general nature and level of work being performed in this position. It also reflects the general details considered necessary to describe the principal functions of the job identified, and shall not be considered, as detailed description of all the work required inherent in the job. It is not an exhaustive list of responsibilities, and it is subject to changes and exceptions at the supervisors’ discretion.***
*e.l.f. Beauty respects your privacy. Please see our Job Applicant Privacy Notice (www.elfbeauty.com/us\-job\-applicant\-privacy\-notice) for how your personal information is used and shared.*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5">
      <c r="A35" t="inlineStr">
        <is>
          <t>li-4363456997</t>
        </is>
      </c>
      <c r="B35" t="inlineStr">
        <is>
          <t>Data Scientist</t>
        </is>
      </c>
      <c r="C35" t="inlineStr">
        <is>
          <t>Jobs via Dice</t>
        </is>
      </c>
      <c r="D35" t="inlineStr">
        <is>
          <t>linkedin</t>
        </is>
      </c>
      <c r="E35">
        <f>HYPERLINK("https://www.linkedin.com/jobs/view/4363456997", "https://www.linkedin.com/jobs/view/4363456997")</f>
        <v/>
      </c>
      <c r="F35">
        <f>HYPERLINK("https://click.appcast.io/t/nzYH9IS09W-odNjQHLy-vpVNFr1hA1PY_2hD8UjvUos=&amp;urlHash=pUCP", "https://click.appcast.io/t/nzYH9IS09W-odNjQHLy-vpVNFr1hA1PY_2hD8UjvUos=&amp;urlHash=pUCP")</f>
        <v/>
      </c>
      <c r="G35" t="inlineStr">
        <is>
          <t>Lake St Louis, MO</t>
        </is>
      </c>
      <c r="H35" t="inlineStr"/>
      <c r="I35" t="inlineStr">
        <is>
          <t>Dice is the leading career destination for tech experts at every stage of their careers. Our client, CCS Global Tech, is seeking the following. Apply via Dice today!
 CCS Global Tech is a rapidly growing Information Technology company with a diverse portfolio of technology products and services and a large network of industry partnerships. With over 22 years of being a successful business with a global talent pool and presence, CCS is a certified Microsoft Gold Partner and specializes in delivering expert Microsoft based solutions for technical and business needs. We have been recognized by Inc. 500 Magazine as one of the fastest growing small companies in the Unites States.
 we are a Tier 1 vendor for the City and County of San Francisco for Cloud Services, Staffing Services and Training Services. For this multi\-year opportunity with a diverse set of needs to address, we are currently focusing on establishing partnerships with individuals as well as companies who can help us enhance our overall service portfolio, cut lead times, and ultimately help us deliver successfully. We currently hold sizable Government accounts in the San Francisco bay area including City and County of San Francisco, San Mateo County, and Santa Clara County.
 We take great pride in our global reach and local influence. Your experience alongside our highly skilled and talented internal team who guide you along the way, offers key insights into what helps you stand out in a competitive job market.
 If you are a partner company, please submit resumes with contact information of your own W2 Consultants only. Submitted consultants are expected to have excellent communication skills.
 Role \- Data Scientist
 Location \- St. Louis, MO
 Clearance \- Active TS/SCI
 Salary Range: $115,000\-$160,000 Yearly
 Key Requirements
 Bachelor's degree in Computer Science, Mathematics, Statistics, or related technical field required; Master's degree preferred
 3\+ years of experience in data science, data analysis, or related field
 Strong proficiency in SQL and relational database concepts
**Full Description**
 G3 is looking for a Data Scientist to develop methods for querying, visualizing, aggregating, correlating, and analyzing big data across intelligence disciplines. Optimize databases, expose new datasets, build custom tools, and apply mathematical concepts to solve complex geospatial intelligence analysis problems.
**Responsibilities**
 Develop methods for querying, visualizing, aggregating, correlating, and analyzing big data across intel disciplines
 Optimize existing databases to speed up the query, input, export and visualization of data
 Work with AOS and AOB teams to develop strategies for exposing new datasets and create migration plans for legacy datasets
 Build custom solutions (tools, processes, etc.) to automate or assist analytic endeavors as submitted by AOS and AOB leadership and analytic units
 Write scripts in Visual Basic, R, Python or other software for statistical models using large datasets to extract patterns, relationships, and anticipatory behaviors that are repeatable, efficient, and enable hypothesis testing and knowledge capture
 Use mathematical concepts and techniques to solve complex GEOINT analysis problems
 Utilize ArcGIS, Excel, SPSS, SAS, MATLAB, R and other statistical packages to analyze and visualize operational data
 Visualize data both temporally and spatially to assist in data integrity checks, prepare follow\-on analysis, ask the next question, and display analytical assessments
 Maintain, move and manipulate data between applications using SQL databases, ArcServer, table data, relational/NoSQL DBMS, Excel, Access, Tableau, Insights, Oracle
 Develop tradecraft techniques and training solutions for discovery, preparation, manipulation and normalization of big data so that methods are repeatable and can be explained to users
**Required Qualifications**
 Active TS/SCI security clearance
 Bachelor's degree in Computer Science, Mathematics, Statistics, or related technical field required; Master's degree preferred
 3\+ years of experience in data science, data analysis, or related field
 Strong proficiency in SQL and relational database concepts
 Experience with statistical programming languages such as R, Python, MATLAB
 Knowledge of geospatial analysis concepts and tools such as ArcGIS
 Familiarity with big data technologies like Hadoop, Spark, NoSQL databases
 Excellent problem\-solving skills and ability to develop innovative solutions
 Strong verbal and written communication skills
**Preferred Qualifications**
 5\+ years of experience in data science, preferably in the intelligence community
 Experience working with geospatial intelligence data and products
 Knowledge of NGA's mission, organization, and functions
 Familiarity with IC data sources, tools, and analytic methodologies
 Experience developing and deploying machine learning models
 Ability to collaborate effectively in cross\-functional teams
 Strong leadership skills and ability to mentor junior analysts</t>
        </is>
      </c>
    </row>
    <row r="36">
      <c r="A36" t="inlineStr">
        <is>
          <t>li-4321323729</t>
        </is>
      </c>
      <c r="B36" t="inlineStr">
        <is>
          <t>LEAD DATA SCIENTIST</t>
        </is>
      </c>
      <c r="C36" t="inlineStr">
        <is>
          <t>Jobs via Dice</t>
        </is>
      </c>
      <c r="D36" t="inlineStr">
        <is>
          <t>linkedin</t>
        </is>
      </c>
      <c r="E36">
        <f>HYPERLINK("https://www.linkedin.com/jobs/view/4321323729", "https://www.linkedin.com/jobs/view/4321323729")</f>
        <v/>
      </c>
      <c r="F36" t="inlineStr"/>
      <c r="G36" t="inlineStr">
        <is>
          <t>Houston, TX</t>
        </is>
      </c>
      <c r="H36" t="inlineStr"/>
      <c r="I36" t="inlineStr">
        <is>
          <t>Dice is the leading career destination for tech experts at every stage of their careers. Our client, Microgreen Technologies LLC, is seeking the following. Apply via Dice today!
**Job Description**
* We re looking for Data Scientists capable of handling end\-to\-end projects, with strong expertise in LLM\-based solutions and cloud deployments (AWS and Azure).
* Familiarity with SQL for data handling is recommended, along with a solid understanding of classical machine learning algorithms as well.
**Mandatory Skills** 
 \- DATA MODELING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2026-01-24T06:23:53Z</dcterms:created>
  <dcterms:modified xsi:type="dcterms:W3CDTF">2026-01-24T06:23:53Z</dcterms:modified>
</cp:coreProperties>
</file>