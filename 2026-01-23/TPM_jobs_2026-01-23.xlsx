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in-523b47ba75cb3fcb</t>
        </is>
      </c>
      <c r="B2" t="inlineStr">
        <is>
          <t>Steel NDT Program Manager</t>
        </is>
      </c>
      <c r="C2" t="inlineStr"/>
      <c r="D2" t="inlineStr">
        <is>
          <t>indeed</t>
        </is>
      </c>
      <c r="E2">
        <f>HYPERLINK("https://www.indeed.com/viewjob?jk=523b47ba75cb3fcb", "https://www.indeed.com/viewjob?jk=523b47ba75cb3fcb")</f>
        <v/>
      </c>
      <c r="F2">
        <f>HYPERLINK("https://workforcenow.adp.com/mascsr/default/mdf/recruitment/recruitment.html?cid=2bc86367-5107-46af-add0-af0fd139feb3&amp;ccId=19000101_000001&amp;jobId=958328&amp;source=IN&amp;lang=en_US", "https://workforcenow.adp.com/mascsr/default/mdf/recruitment/recruitment.html?cid=2bc86367-5107-46af-add0-af0fd139feb3&amp;ccId=19000101_000001&amp;jobId=958328&amp;source=IN&amp;lang=en_US")</f>
        <v/>
      </c>
      <c r="G2" t="inlineStr">
        <is>
          <t>Horsham, PA, US</t>
        </is>
      </c>
      <c r="H2" s="2" t="n">
        <v>46045</v>
      </c>
      <c r="I2" t="inlineStr">
        <is>
          <t>**What We Are Looking For:**
We are looking for a motivated and results\-driven Program Manager to join our growing company. This position will directly support our services and field teams across the nation to produce and deliver technical and management reports/deliverables as necessary.
**What You’ll Do:**
* Assist in business development to increase the work performed by the steel NDT division including lead generation, professional committee involvement, attending conferences, and proposal writing.
* Become familiar with traditional BDI testing and monitoring equipment and include it in your sales repertoire.
* Perform inspections of steel structures including, but not limited to, welds, pin and hanger assemblies, cracks including those caused by fatigue, and other fracture critical elements.
* Assist in the development of in\-house ASNT TC\-1A training and certification programs.
* Develop and train staff to become ASNT certified steel inspectors and identify key hire requirements when necessary.
* Oversee field testing to ensure the quality of testing and data collection.
* Development of testing procedures to scan, calibration, and data collection plans for multiple metal and connection types.
* Research and development to further identify how focal laws, focal length, near field depths, beam spread, attenuation, dead zones, noise, and other ultrasonic testing parameters can impact accuracy of detection and how the procedures will account for these parameters to ensure accurate detection, as required to build out the Program and in alignment with Management.
* Define certification standards and validation of equipment operators for NDE.
* Evaluation of data collection to locate, quantify, and characterize discontinuities, QA/QC of field data, and report preparation and review.
* Project management of steel NDT projects, including logistical planning; client correspondence; project execution; assurance that field and reporting deadlines are met; budget tracking; forecasting; and invoicing.
* Management and mentorship of junior staff.
* In alignment with Management goals, support recruiting efforts to build out Program capacity and capability needs.
* As required by customer commitments or Management expectations, this role may require billable effort.
* Writing, reviewing, and presenting final deliverables for assigned projects.
* Other duties and special projects as assigned.
**What You Need to Be Successful:**
* Exposure, experience, and ASNT Level II or Level III certification in UT, MT, PT, and/or VT for nondestructive testing, data processing and analysis, report writing, and client interaction.
* Exposure, experience, and ASNT Level II or Level III certification in PAUT, TOFD, and/or TFM/FMC preferred.
* ASNT Level III certification preferred.
* Ability to balance field and office work.
* Proficient knowledge of bridges and dams and how to test and interpret analysis data.
* Able to lift at least 50lbs and have stamina for moderate physical activity
**You Are:**
* Results\-driven and leverage strong organization and process to guide your teams.
* A natural self\-starter with a drive to connect with people daily.
* Flexible and have the ability to adapt to different types of work on a variety of projects
* An effective communicator with the ability to address multiple audiences (oral and written)
* Ready to develop personally and professionally with a growing company
* Comfortable working at heights (200\+ ft)
**Qualifications:**
* 10\+ years of relevant industry experience
* CWI Certification
* ASNT Level II certification required, ASNT Level III certification preferred
* Willing to travel (up to 75% field and business development activities) and willing to work out in the field
**Benefits and Compensation:**
Salary Range: $120,000 \- $140,000 per year dependent on experience
We offer a comprehensive, industry\-leading compensation and benefits package designed to support your personal and professional well\-being:
* Paid time off and paid holidays
* 401(k) with company match: 100% match on contributions up to 3%, plus 50% match on contributions up to 5%
* Competitive medical insurance coverage with generous employer contributions
* Health Savings Account (HSA) with employer funding
* Company\-paid life, AD\&amp;D, and disability insurances
* Optional dental, vision, hospital, critical illness, accident, and pet insurance
* Employee Assistance Program (EAP)
BDI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
      <c r="A3" t="inlineStr">
        <is>
          <t>in-a93b76144b2b3e7e</t>
        </is>
      </c>
      <c r="B3" t="inlineStr">
        <is>
          <t>Steel NDT Program Manager</t>
        </is>
      </c>
      <c r="C3" t="inlineStr"/>
      <c r="D3" t="inlineStr">
        <is>
          <t>indeed</t>
        </is>
      </c>
      <c r="E3">
        <f>HYPERLINK("https://www.indeed.com/viewjob?jk=a93b76144b2b3e7e", "https://www.indeed.com/viewjob?jk=a93b76144b2b3e7e")</f>
        <v/>
      </c>
      <c r="F3">
        <f>HYPERLINK("https://workforcenow.adp.com/mascsr/default/mdf/recruitment/recruitment.html?cid=2bc86367-5107-46af-add0-af0fd139feb3&amp;ccId=19000101_000001&amp;jobId=958328&amp;source=IN&amp;lang=en_US", "https://workforcenow.adp.com/mascsr/default/mdf/recruitment/recruitment.html?cid=2bc86367-5107-46af-add0-af0fd139feb3&amp;ccId=19000101_000001&amp;jobId=958328&amp;source=IN&amp;lang=en_US")</f>
        <v/>
      </c>
      <c r="G3" t="inlineStr">
        <is>
          <t>Metairie, LA, US</t>
        </is>
      </c>
      <c r="H3" s="2" t="n">
        <v>46045</v>
      </c>
      <c r="I3" t="inlineStr">
        <is>
          <t>**What We Are Looking For:**
We are looking for a motivated and results\-driven Program Manager to join our growing company. This position will directly support our services and field teams across the nation to produce and deliver technical and management reports/deliverables as necessary.
**What You’ll Do:**
* Assist in business development to increase the work performed by the steel NDT division including lead generation, professional committee involvement, attending conferences, and proposal writing.
* Become familiar with traditional BDI testing and monitoring equipment and include it in your sales repertoire.
* Perform inspections of steel structures including, but not limited to, welds, pin and hanger assemblies, cracks including those caused by fatigue, and other fracture critical elements.
* Assist in the development of in\-house ASNT TC\-1A training and certification programs.
* Develop and train staff to become ASNT certified steel inspectors and identify key hire requirements when necessary.
* Oversee field testing to ensure the quality of testing and data collection.
* Development of testing procedures to scan, calibration, and data collection plans for multiple metal and connection types.
* Research and development to further identify how focal laws, focal length, near field depths, beam spread, attenuation, dead zones, noise, and other ultrasonic testing parameters can impact accuracy of detection and how the procedures will account for these parameters to ensure accurate detection, as required to build out the Program and in alignment with Management.
* Define certification standards and validation of equipment operators for NDE.
* Evaluation of data collection to locate, quantify, and characterize discontinuities, QA/QC of field data, and report preparation and review.
* Project management of steel NDT projects, including logistical planning; client correspondence; project execution; assurance that field and reporting deadlines are met; budget tracking; forecasting; and invoicing.
* Management and mentorship of junior staff.
* In alignment with Management goals, support recruiting efforts to build out Program capacity and capability needs.
* As required by customer commitments or Management expectations, this role may require billable effort.
* Writing, reviewing, and presenting final deliverables for assigned projects.
* Other duties and special projects as assigned.
**What You Need to Be Successful:**
* Exposure, experience, and ASNT Level II or Level III certification in UT, MT, PT, and/or VT for nondestructive testing, data processing and analysis, report writing, and client interaction.
* Exposure, experience, and ASNT Level II or Level III certification in PAUT, TOFD, and/or TFM/FMC preferred.
* ASNT Level III certification preferred.
* Ability to balance field and office work.
* Proficient knowledge of bridges and dams and how to test and interpret analysis data.
* Able to lift at least 50lbs and have stamina for moderate physical activity
**You Are:**
* Results\-driven and leverage strong organization and process to guide your teams.
* A natural self\-starter with a drive to connect with people daily.
* Flexible and have the ability to adapt to different types of work on a variety of projects
* An effective communicator with the ability to address multiple audiences (oral and written)
* Ready to develop personally and professionally with a growing company
* Comfortable working at heights (200\+ ft)
**Qualifications:**
* 10\+ years of relevant industry experience
* CWI Certification
* ASNT Level II certification required, ASNT Level III certification preferred
* Willing to travel (up to 75% field and business development activities) and willing to work out in the field
**Benefits and Compensation:**
Salary Range: $120,000 \- $140,000 per year dependent on experience
We offer a comprehensive, industry\-leading compensation and benefits package designed to support your personal and professional well\-being:
* Paid time off and paid holidays
* 401(k) with company match: 100% match on contributions up to 3%, plus 50% match on contributions up to 5%
* Competitive medical insurance coverage with generous employer contributions
* Health Savings Account (HSA) with employer funding
* Company\-paid life, AD\&amp;D, and disability insurances
* Optional dental, vision, hospital, critical illness, accident, and pet insurance
* Employee Assistance Program (EAP)
BDI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4">
      <c r="A4" t="inlineStr">
        <is>
          <t>in-4c7cd5525c535cf0</t>
        </is>
      </c>
      <c r="B4" t="inlineStr">
        <is>
          <t>Steel NDT Program Manager</t>
        </is>
      </c>
      <c r="C4" t="inlineStr"/>
      <c r="D4" t="inlineStr">
        <is>
          <t>indeed</t>
        </is>
      </c>
      <c r="E4">
        <f>HYPERLINK("https://www.indeed.com/viewjob?jk=4c7cd5525c535cf0", "https://www.indeed.com/viewjob?jk=4c7cd5525c535cf0")</f>
        <v/>
      </c>
      <c r="F4">
        <f>HYPERLINK("https://workforcenow.adp.com/mascsr/default/mdf/recruitment/recruitment.html?cid=2bc86367-5107-46af-add0-af0fd139feb3&amp;ccId=19000101_000001&amp;jobId=958328&amp;source=IN&amp;lang=en_US", "https://workforcenow.adp.com/mascsr/default/mdf/recruitment/recruitment.html?cid=2bc86367-5107-46af-add0-af0fd139feb3&amp;ccId=19000101_000001&amp;jobId=958328&amp;source=IN&amp;lang=en_US")</f>
        <v/>
      </c>
      <c r="G4" t="inlineStr">
        <is>
          <t>Louisville, CO, US</t>
        </is>
      </c>
      <c r="H4" s="2" t="n">
        <v>46045</v>
      </c>
      <c r="I4" t="inlineStr">
        <is>
          <t>**What We Are Looking For:**
We are looking for a motivated and results\-driven Program Manager to join our growing company. This position will directly support our services and field teams across the nation to produce and deliver technical and management reports/deliverables as necessary.
**What You’ll Do:**
* Assist in business development to increase the work performed by the steel NDT division including lead generation, professional committee involvement, attending conferences, and proposal writing.
* Become familiar with traditional BDI testing and monitoring equipment and include it in your sales repertoire.
* Perform inspections of steel structures including, but not limited to, welds, pin and hanger assemblies, cracks including those caused by fatigue, and other fracture critical elements.
* Assist in the development of in\-house ASNT TC\-1A training and certification programs.
* Develop and train staff to become ASNT certified steel inspectors and identify key hire requirements when necessary.
* Oversee field testing to ensure the quality of testing and data collection.
* Development of testing procedures to scan, calibration, and data collection plans for multiple metal and connection types.
* Research and development to further identify how focal laws, focal length, near field depths, beam spread, attenuation, dead zones, noise, and other ultrasonic testing parameters can impact accuracy of detection and how the procedures will account for these parameters to ensure accurate detection, as required to build out the Program and in alignment with Management.
* Define certification standards and validation of equipment operators for NDE.
* Evaluation of data collection to locate, quantify, and characterize discontinuities, QA/QC of field data, and report preparation and review.
* Project management of steel NDT projects, including logistical planning; client correspondence; project execution; assurance that field and reporting deadlines are met; budget tracking; forecasting; and invoicing.
* Management and mentorship of junior staff.
* In alignment with Management goals, support recruiting efforts to build out Program capacity and capability needs.
* As required by customer commitments or Management expectations, this role may require billable effort.
* Writing, reviewing, and presenting final deliverables for assigned projects.
* Other duties and special projects as assigned.
**What You Need to Be Successful:**
* Exposure, experience, and ASNT Level II or Level III certification in UT, MT, PT, and/or VT for nondestructive testing, data processing and analysis, report writing, and client interaction.
* Exposure, experience, and ASNT Level II or Level III certification in PAUT, TOFD, and/or TFM/FMC preferred.
* ASNT Level III certification preferred.
* Ability to balance field and office work.
* Proficient knowledge of bridges and dams and how to test and interpret analysis data.
* Able to lift at least 50lbs and have stamina for moderate physical activity
**You Are:**
* Results\-driven and leverage strong organization and process to guide your teams.
* A natural self\-starter with a drive to connect with people daily.
* Flexible and have the ability to adapt to different types of work on a variety of projects
* An effective communicator with the ability to address multiple audiences (oral and written)
* Ready to develop personally and professionally with a growing company
* Comfortable working at heights (200\+ ft)
**Qualifications:**
* 10\+ years of relevant industry experience
* CWI Certification
* ASNT Level II certification required, ASNT Level III certification preferred
* Willing to travel (up to 75% field and business development activities) and willing to work out in the field
**Benefits and Compensation:**
Salary Range: $120,000 \- $140,000 per year dependent on experience
We offer a comprehensive, industry\-leading compensation and benefits package designed to support your personal and professional well\-being:
* Paid time off and paid holidays
* 401(k) with company match: 100% match on contributions up to 3%, plus 50% match on contributions up to 5%
* Competitive medical insurance coverage with generous employer contributions
* Health Savings Account (HSA) with employer funding
* Company\-paid life, AD\&amp;D, and disability insurances
* Optional dental, vision, hospital, critical illness, accident, and pet insurance
* Employee Assistance Program (EAP)
BDI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5">
      <c r="A5" t="inlineStr">
        <is>
          <t>in-12d24c79ae59246d</t>
        </is>
      </c>
      <c r="B5" t="inlineStr">
        <is>
          <t>Product Manager - Modular Data Center Infrastructure (Power &amp; Cooling)</t>
        </is>
      </c>
      <c r="C5" t="inlineStr">
        <is>
          <t>HYPER SOLUTIONS</t>
        </is>
      </c>
      <c r="D5" t="inlineStr">
        <is>
          <t>indeed</t>
        </is>
      </c>
      <c r="E5">
        <f>HYPERLINK("https://www.indeed.com/viewjob?jk=12d24c79ae59246d", "https://www.indeed.com/viewjob?jk=12d24c79ae59246d")</f>
        <v/>
      </c>
      <c r="F5">
        <f>HYPERLINK("https://recruiting.paylocity.com/recruiting/jobs/Details/3865892/Hyper-Solutions-Inc/Product-Manager---Modular-Data-Center-Infrastructure-Power-Cooling?source=Indeed_Feed", "https://recruiting.paylocity.com/recruiting/jobs/Details/3865892/Hyper-Solutions-Inc/Product-Manager---Modular-Data-Center-Infrastructure-Power-Cooling?source=Indeed_Feed")</f>
        <v/>
      </c>
      <c r="G5" t="inlineStr">
        <is>
          <t>Richmond, VA, US</t>
        </is>
      </c>
      <c r="H5" s="2" t="n">
        <v>46045</v>
      </c>
      <c r="I5" t="inlineStr">
        <is>
          <t>Description:
The Product Manager of Modular Data Center Infrastructure (Power \&amp; Cooling) will lead the strategy, product development, roadmap, and lifecycle management for Prefabricated Power Modules and Cooling. This role is ideal for a product leader who thrives at the intersection of electrical power, thermal systems, and modular infrastructure \- and who wants to shape the future of rapidly deployable data\-center platforms.
Partnering closely with Engineering, Manufacturing, Supply Chain, Quality, Sales, and other Product Managers, this position defines what Hyper builds, how it is architected, and how it scales, ensuring solutions meet performance, compliance, serviceability, and customer requirements.
**Core Responsibilities**
* Define and own the product vision and roadmap for prefabricated power modules and integrated cooling systems.
* Translate customer, market, and Sales requirements into clear product definitions, system architectures, and scalable configurations.
* Lead cross\-functional collaboration across electrical and mechanical engineering, manufacturing, supply chain, quality, and commercial teams.
* Drive New Product Introduction (NPI) from concept through launch, including requirements definition, design reviews, and readiness activities.
* Define serviceability, maintainability, and field\-replaceable strategies for cooling systems within modular pods.
* Own compliance and certification strategy for cooling and integrated power systems.
* Define documentation required for field inspection, commissioning, and customer acceptance.
* Serve as the primary product owner and escalation point for modular power and cooling solutions.
* Monitor market trends, competitive offerings, and evolving data center requirements to guide roadmap decisions.
* Support Sales pursuits with technical positioning, solution definition, and early\-stage customer engagement.
**Additional Responsibilities**
* Collaborate with other Product Managers to ensure portfolio alignment and platform standardization.
* Support factory and site acceptance testing, commissioning activities, and post\-launch product feedback.
* Drive continuous improvement of product definition, configuration tools, and lifecycle processes.
Requirements:
* 7\+ years of experience in product management, product engineering, or applications engineering within data center, electrical, or critical\-infrastructure environments, including at least 2 years in a Product Manager role.
* Strong understanding of data center power distribution systems and core cooling concepts.
* Experience leading complex hardware products through full lifecycle and NPI processes.
* Ability to read and interpret one\-line diagrams, system layouts, and technical specifications.
* Proven ability to lead cross\-functional teams and influence without direct authority.
* Bachelor’s degree in Engineering or a related technical field.
**Preferred Qualifications**
* Experience with prefabricated or modular data center infrastructure.
* Familiarity with UL, NEC, ASHRAE, and other relevant electrical and thermal standards.
* Background working with hyperscale, colocation, or data centers.
**Why Hyper?**
At Hyper, you’ll help shape the next generation of modular, rapidly deployable data center infrastructure, integrating power and cooling into scalable platforms that accelerate deployment and improve reliability. You’ll work across engineering, manufacturing, and commercial teams to build products that directly impact how critical facilities are designed and delivered.
In addition to competitive compensation and comprehensive benefits, including employer\-paid medical, dental, and vision coverage and a 401(k) with company match, Hyper offers the opportunity to influence a high\-growth product portfolio and play a visible role in defining the future of mission\-critical infrastructure.
**Location**
Onsite in Richmond, VA, or remote depending on candidate location and business needs.
**Compensation**
The anticipated starting salary range for this role is $130,000 \- $170,000?per year. Actual salary varies due to factors that may include but not limited to relevant experience, skills, certifications and location. This hire will be eligible for discretionary bonus or incentive compensation. Variable compensation may depend on various factors, such as individual and organizational performance.
Hyper Solutions is an Equal Opportunity Employer. We celebrate diversity and are committed to creating an inclusive environment for all employees. We do not discriminate based on race, color, religion, sex (including pregnancy, gender identity, and sexual orientation), national origin, age, disability, genetic information, veteran status, or any other protected status under applicable laws.
All applications will be used exclusively for selection purposes and handled confidentially by authorized personnel only. Your application may also be considered for other suitable positions within Hyper Solutions, Inc.
Please note that Hyper Solutions is currently unable to offer visa sponsorship, and applicants must be authorized to work in the U.S. without the need for sponsorship now or in the future.
\#Hyper \#HyperHiring \#HyperCareers</t>
        </is>
      </c>
    </row>
    <row r="6">
      <c r="A6" t="inlineStr">
        <is>
          <t>in-3b644b1e5d2645ee</t>
        </is>
      </c>
      <c r="B6" t="inlineStr">
        <is>
          <t>Program Manager - Get Housing</t>
        </is>
      </c>
      <c r="C6" t="inlineStr">
        <is>
          <t>Family promise of Spokane</t>
        </is>
      </c>
      <c r="D6" t="inlineStr">
        <is>
          <t>indeed</t>
        </is>
      </c>
      <c r="E6">
        <f>HYPERLINK("https://www.indeed.com/viewjob?jk=3b644b1e5d2645ee", "https://www.indeed.com/viewjob?jk=3b644b1e5d2645ee")</f>
        <v/>
      </c>
      <c r="F6">
        <f>HYPERLINK("https://familypromiseofspokane.bamboohr.com/careers/59?source=indeed&amp;src=indeed&amp;postedDate=2026-01-24", "https://familypromiseofspokane.bamboohr.com/careers/59?source=indeed&amp;src=indeed&amp;postedDate=2026-01-24")</f>
        <v/>
      </c>
      <c r="G6" t="inlineStr">
        <is>
          <t>Spokane, WA, US</t>
        </is>
      </c>
      <c r="H6" s="2" t="n">
        <v>46045</v>
      </c>
      <c r="I6" t="inlineStr">
        <is>
          <t>**Position Title:** Program Manager \- Get Housing  
**Department:** Family Services  
**Reports To:** Director of Shelter and Housing Programs  
**Supervises:** Case Managers \- Get Housing
**FLSA Status:** Non\-exempt/Hourly  
**Location:** Spokane, WA (community\-based; onsite/field work required)  
**Schedule:** Full\-time; may include some evenings/weekends to meet participant needs \&amp; partner schedules  
**Travel:** Local travel within Spokane County required
 **The Opportunity**
The Get Housing Program Manager leads and strengthens Family Promise of Spokane’s Get Housing case management program to ensure families experiencing homelessness move quickly into safe, stable housing and transition them to the Keep Housing team for continued support. This position is responsible for providing oversight and maintaining necessary training and certification schedules, supervising staff, establishing consistent best practices, strengthening partner systems, managing performance metrics, ensuring compliance, and driving continuous improvement. The Program Manager, Get Housing is accountable for outcomes, staff performance, and operational excellence while modeling Family Promise of Spokane’s Core Values and advancing our belief that no child should ever experience homelessness.
 **Core Values in Action**
This role is expected to consistently demonstrate Family Promise of Spokane’s Core Values:
* **Being Radically Empathetic:** We step into someone else’s shoes without judgement and meet people with dignity. humility, and deep listening.
* **Being Collaborative Stewards:** We don’t just react, we design, we take smart risks, we use data and feedback and always ask how to do it better.
* **Being Curiously Accountable:** We honor every dollar, every volunteer, and every partner, by working together, with trust, transparency, and accountability.
* **Being Intentional Innovators:** We ask questions, seek to understand, and own our impact \- good or bad. We learn out loud and welcome accountability as a path to excellence.
* **Being Compassionately Competitive:** We care deeply and compete to lead, innovate, and deliver better outcomes. We are driven by purpose and love.
Why Join Us
* Mission\-driven work with measurable impact.
* Supportive leadership culture focused on learning and improvement.
* Opportunity to shape systems, not just manage cases.
* A team committed to empathy, accountability, and results.
Essential Responsibilities
The following are essential and cannot be reasonably accommodated for without fundamentally altering this position:
**1\) Program Leadership \&amp; Strategy**
* Own overall program performance: housing placements, retention, service quality, compliance, and guest families’ experience.
* Translate organizational goals into program strategy, quarterly priorities, and weekly execution plans.
* Build and maintain a program operating rhythm: team meetings, case conferencing, partner coordination, data reviews, and quality checks.
* Identify gaps in services, workflow, staffing, and community resources; propose solutions and implement improvements.
* Maintain program documentation: policies, procedures, workflows, templates, and training guides so the program runs consistently regardless of staff changes.
**2\) People Management \&amp; Team Development**
* Directly supervise assigned staff through hiring, onboarding, coaching, performance check\-ins, and annual evaluations.
* Establish clear roles, caseload expectations, and standards of practice aligned with funder requirements and Family Promise outcomes.
* Create a supportive, accountable team culture that reduces burnout and promotes excellence, learning, and retention.
* Ensure staff are trained and consistently using best practices such as:
	+ Housing First principles
	+ Trauma\-informed care and motivational interviewing
	+ Progressive engagement
	+ Fair housing and equal access standards
	+ Safety planning and de\-escalation
	+ Documentation quality and confidentiality (HIPAA/ROI as applicable)
**3\) Housing Operations \&amp; Service Delivery Excellence**
* Ensure consistent, high\-quality housing stabilization services including:
	+ Coordinated Entry participation (as applicable)
	+ Housing navigation and landlord engagement
	+ Eligibility screening and verification standards
	+ Barrier reduction planning and problem\-solving
	+ Move\-in coordination and housing retention supports
* Monitor and manage caseload distribution, timeliness of service delivery, and participant progression toward housing.
* Ensure strong crisis response and safety protocols for staff and participants in field\-based settings.
* Review complex cases, provide escalation support, and ensure ethical decision\-making in service delivery.
**4\) Performance Management, Data Quality, \&amp; Outcomes**
* Establish clear program KPIs and dashboards (in partnership with leadership), such as:
	+ Referrals accepted/served
	+ Time\-to\-housing placement
	+ Housing placement rate
	+ Housing retention at 3/6/12 months (as applicable)  
	Income/benefits connections (if applicable)
	+ Landlord partnerships created/maintained
	+ HMIS/data accuracy, timeliness, and completeness
* Conduct routine file and documentation audits to ensure quality, compliance, and readiness for monitoring.
* Lead weekly/monthly performance reviews with staff; set improvement plans when targets are missed.
* Use data to identify bottlenecks, test process changes, and standardize what improves outcomes.
**5\) Contract Compliance, Program Integrity, \&amp; Stewardship**
* Ensure program compliance with all applicable contracts, funder requirements, and internal policies.
* Collaborate on grant reporting, monitoring preparation, corrective action plans, and program narratives.
* Support budgeting and resource stewardship by monitoring program spending, rental assistance use (if applicable), and supply needs.
* Maintain strong confidentiality and professional standards; ensure staff understand and follow release\-of\-information practices.
**6\) Community Partnerships \&amp; System Coordination**
* Serve as primary program representative with community partners (landlords, property managers, housing authorities, service providers, Coordinated Entry partners, etc.).
* Expand and maintain landlord and property partnerships; establish a consistent landlord engagement approach and service standards.
* Participate in community meetings and coalitions as assigned; elevate barriers and advocate for system solutions.
* Coordinate internally with Shelter, Diversion, Prevention, and other programs to ensure smooth referrals and warm handoffs.
**7\) Continuous Improvement \&amp; Best Practice Standardization**
* Build a “playbook” for the program: standardized steps from referral to move\-in to stabilization.
* Implement consistent documentation standards, required forms, and timelines.
* Establish cross\-training and coverage plans to reduce service disruption during absences or turnover.
* Create and maintain a risk log (participant safety, landlord issues, high\-barrier cases, compliance risks) and mitigation plans.
Required Qualifications
* Bachelor’s degree in social work, human services, public administration, or related field **or** equivalent combination of education and relevant experience.
* Minimum **3 years** of experience in housing stabilization, homelessness response, case management, or related services.
* Minimum **1 year** of experience leading teams (supervision, coaching, or formal management strongly preferred).
* Demonstrated ability to manage outcomes using data, metrics, and continuous improvement practices.
* Strong working knowledge of Housing First and trauma\-informed best practices.
* Ability to build relationships with landlords, property managers, and community partners.
* Strong documentation, organization, and time\-management skills.
Preferred Qualifications
* HMIS proficiency and Coordinated Entry experience.
* Grant/contract compliance experience and comfort with monitoring/audits
* Experience with rental assistance programs, housing retention strategies, and crisis/problem\-solving.
* Bilingual or multicultural competency aligned with the community served.
Key Competencies
* Results\-driven, mission\-centered leadership
* Coaching and performance management
* Systems thinking and process improvement
* Clear communication and conflict navigation
* High integrity, confidentiality, and sound judgment
* Cultural humility and equity\-centered practice
* Ability to work independently in the field while maintaining team alignment
Physical Demands \&amp; Work Environment
* Regular community\-based work in a variety of settings including shelters, participant homes, partner sites, and offices.
* Frequent sitting, standing, walking; occasional lifting/carrying up to 25 lbs.
* Work includes potential exposure to high\-stress situations; de\-escalation and safety practices are required.
Conditions of Employment (Required)
* **Annual background check authorization and ability to pass.**
* **Driving on the job is required:** must maintain a **valid driver’s license** and **current auto insurance**, and meet organizational driving standards.
EOS Rocks (Operational Projects) – Expectations \&amp; Accountability
Operational projects (also known as “Rocks” in the EOS framework) are time\-bound priorities that strengthen our systems, improve outcomes, and support professional growth. Rocks may be a formal part of an employee’s role, and participation is expected for employees in leadership positions.
Leaders are accountable to:
* **Own assigned Rocks** by defining scope, success measures, and timeline in alignment with organizational priorities.
* **Drive execution** by coordinating stakeholders, identifying barriers early, and keeping work moving forward.
* **Track progress consistently** (typically weekly) and communicate status, risks, and resource needs with transparency.
* **Deliver measurable results** by the end of the quarter and document learnings so improvements are sustained.
* **Model our Core Values** while leading Rock work—especially Curiously Accountable, Collaborative Stewards, and Intentional Innovators.
To apply for the Program Manager \- Get Housing position at Family Promise of Spokane, please submit your resume and a cover letter.</t>
        </is>
      </c>
    </row>
    <row r="7">
      <c r="A7" t="inlineStr">
        <is>
          <t>in-38fa5ea4bd925a5b</t>
        </is>
      </c>
      <c r="B7" t="inlineStr">
        <is>
          <t>Senior Product Manager — Media2</t>
        </is>
      </c>
      <c r="C7" t="inlineStr">
        <is>
          <t>NVIDIA</t>
        </is>
      </c>
      <c r="D7" t="inlineStr">
        <is>
          <t>indeed</t>
        </is>
      </c>
      <c r="E7">
        <f>HYPERLINK("https://www.indeed.com/viewjob?jk=38fa5ea4bd925a5b", "https://www.indeed.com/viewjob?jk=38fa5ea4bd925a5b")</f>
        <v/>
      </c>
      <c r="F7">
        <f>HYPERLINK("https://click.appcast.io/t/uyE-dsbh7vX67Dvav7Ie74l3fio22MytDnf9x2yDKE8=", "https://click.appcast.io/t/uyE-dsbh7vX67Dvav7Ie74l3fio22MytDnf9x2yDKE8=")</f>
        <v/>
      </c>
      <c r="G7" t="inlineStr">
        <is>
          <t>Santa Clara, CA, US</t>
        </is>
      </c>
      <c r="H7" s="2" t="n">
        <v>46045</v>
      </c>
      <c r="I7" t="inlineStr">
        <is>
          <t>Are you ready to join a team that's pushing the boundaries of AI and media? NVIDIA is at the forefront of redefining the next era of computing, and our Media2 Product Management team is leading the charge. As a Senior Product Manager, you’ll play a critical role in bringing GPU accelerated AI to live sports. This is an outstanding opportunity to build the future of AI in live sports media, working alongside world\-class engineers, key customers, and partners to achieve flawless execution!
**What you'll be doing:**
* Assisting in shaping the AI platform vision \&amp; roadmap for Media2, outlining strategy, success indicators, and multi\-release schedules that align with NVIDIA’s AI and accelerated computing strategy.
* Translating customer workflows into product specifications by gathering requirements from industry collaborators, studios, and enterprise media teams, and writing concise PRDs with actionable MVP steps.
* Partnering closely with engineering to define specifications for AI model requirements.
* Crafting go\-to\-market positioning, licensing/pricing, early\-access programs, and launch plans; enabling field, GSI/ISV partners, and key lighthouse customers; driving platform activation and usage growth.
* Collaborating with standards bodies, partners, and integrators to ensure compatibility with enterprise hardware, storage, and security/compliance requirements.
* Championing continuous improvement by defining requirements for latency, efficiency, reliability, time\-to\-first\-frame, and cost per channel. Analyzing telemetry and usage data and iterating quickly to improve developer experience and operational robustness.
**What we need to see:**
* BS/MS/PhD or equivalent experience
* 12\+ years of product management experience and a proven track record of shipping successful software.
* Familiarity with AI/ML concepts, including LLMs, VLMs, and real\-time inference, with an ability to reason about model performance, latency/efficiency trade\-offs, and containerized deployment of AI services.
* Highly technical expertise, including knowledge of Linux, containerized workflows (Kubernetes), distributed systems, and GPU\-accelerated and real\-time software.
* Strong communication and leadership, with the ability to write and present clearly and influence key collaborators internally and externally.
.
**Ways to stand out from the crowd:**
* Experience with sports media analytics platforms and their application in global sports engagements.
* Demonstrated success in shipping AI\-for\-media features with measurable improvements in accuracy and cost, and experience applying AI to virtual production and broadcast use cases.
* Experience with NVIDIA’s development platforms including CUDA, NIM, NVAIE, NeMo, and Blueprints.
* Solid understanding of broadcast and live sports media workflows, including ST 2110, Virtual Production, production control, and live/near\-live workflows.
* A developer\-first platform approach with strong instincts around NIM/SDKs/APIs, sample apps, and reference workflows that delight system integrators and development partners.
Your base salary will be determined based on your location, experience, and the pay of employees in similar positions. The base salary range is 208,000 USD \- 327,750 USD for Level 5, and 240,000 USD \- 379,500 USD for Level 6\.
You will also be eligible for equity and benefits.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8">
      <c r="A8" t="inlineStr">
        <is>
          <t>in-5149dfbeacfcc27b</t>
        </is>
      </c>
      <c r="B8" t="inlineStr">
        <is>
          <t>Program Manager</t>
        </is>
      </c>
      <c r="C8" t="inlineStr">
        <is>
          <t>LIGHTFEATHER IO LLC</t>
        </is>
      </c>
      <c r="D8" t="inlineStr">
        <is>
          <t>indeed</t>
        </is>
      </c>
      <c r="E8">
        <f>HYPERLINK("https://www.indeed.com/viewjob?jk=5149dfbeacfcc27b", "https://www.indeed.com/viewjob?jk=5149dfbeacfcc27b")</f>
        <v/>
      </c>
      <c r="F8">
        <f>HYPERLINK("https://grnh.se/305nrvkb8us", "https://grnh.se/305nrvkb8us")</f>
        <v/>
      </c>
      <c r="G8" t="inlineStr">
        <is>
          <t>Alexandria, VA, US</t>
        </is>
      </c>
      <c r="H8" s="2" t="n">
        <v>46045</v>
      </c>
      <c r="I8" t="inlineStr">
        <is>
          <t>LightFeather is seeking an experienced **IT Program Manager** to lead the delivery of federal technology modernization projects. The Program Manager will serve as the primary point of coordination between federal stakeholders, technical teams, and LightFeather leadership, ensuring projects are delivered on time, within scope, and compliant with federal standards. This role focuses on driving cloud migration, DevSecOps implementation, database modernization, and platform transformation initiatives that deliver measurable value to government agencies. The ideal candidate will excel in agile environments and have deep experience managing complex technical implementations in federal settings.
**Location:** Remote (Candidates in the DC Metro area preferred)  
**Job Type:** Full\-time  
**Citizenship:** U.S. Citizenship Required  
**Clearance Requirement:** Active Public Trust clearance or higher required
**Key Responsibilities**
* Lead program delivery for federal IT modernization initiatives, serving as primary client interface and coordinating with stakeholders to translate business requirements into technical roadmaps.
* Implement and facilitate agile methodologies including Scrum ceremonies, sprint planning, demos, and retrospectives to ensure iterative value delivery and continuous improvement.
* Coordinate development activities across cloud infrastructure, DevSecOps pipelines, database modernization, application development, and support functions, aligning resources with mission priorities.
* Oversee platform reliability and performance including system uptime requirements (typically \&gt;99%), monitoring, maintenance procedures, and proactive issue resolution.
* Manage compliance and quality assurance including development of Quality Control Plans, federal security standards (FISMA, FedRAMP, Section 508\), and assessment activities such as POA\&amp;Ms and vulnerability management.
* Lead project kickoff sessions, stakeholder meetings, and technical status updates, ensuring risks, dependencies, and issues are tracked, communicated, and resolved appropriately.
* Prepare and deliver monthly progress reports and executive briefings summarizing accomplishments, metrics, issues, and upcoming milestones for government leadership.
* Coordinate helpdesk and user support services managing user cases, system bugs, and service requests while maintaining high customer satisfaction standards.
* Oversee cloud migration and modernization efforts including infrastructure transformation, legacy system updates, data migration, and integration activities.
* Manage PIV card compliance and personnel security requirements, coordinating Assessment and Authorization (A\&amp;A) activities and security documentation.
* Maintain project documentation including management plans, technical specifications, user stories, and lessons learned throughout the project lifecycle.
* Serve as the primary point of contact for client leadership, providing clear communication on progress, risks, resolutions, and strategic recommendations.
**Required Qualifications**
* U.S. Citizenship required.
* Active Public Trust clearance or higher.
* Active PMP Certification.
* 5\+ years of program or project management experience in federal IT environments with demonstrated success leading complex technical projects.
* Proven experience with agile methodologies including hands\-on facilitation of Scrum events and managing development teams in government contracting environments.
* Strong understanding of cloud platforms and modern architecture patterns with experience in cloud migration, DevSecOps practices, and database modernization projects.
* Knowledge of federal compliance frameworks including FISMA, FedRAMP, Section 508 accessibility requirements, and security standards.
* Excellent communication skills with ability to present to executive audiences, translate technical concepts, and build relationships with diverse stakeholder groups.
* Experience managing technical teams and subcontractors with strong organizational and time management skills to oversee multiple priorities.
* Proven track record preparing project plans, reports, and management documentation for federal clients and audit requirements.
**Preferred Skills**
* CSM, SAFe, or equivalent agile certifications.
* Experience with federal platforms serving large user bases and complex data requirements.
* Familiarity with modern development tools such as JIRA, Confluence, and project management platforms.
* Background in DevSecOps pipelines, CI/CD practices, and automated testing environments.
* Knowledge of database modernization including cloud\-native databases, data governance, and migration strategies.
* Understanding of enterprise architecture and technology alignment with federal standards.
* Experience with transition\-in or transition\-out activities and contract management processes.
**Why Join LightFeather?**
You'll be part of a team dedicated to meaningful impact, working on solutions that address mission\-critical needs. Experience variety, fulfillment, and the opportunity to work with some of the best in the industry.</t>
        </is>
      </c>
    </row>
    <row r="9">
      <c r="A9" t="inlineStr">
        <is>
          <t>in-8b6ef5526429d72c</t>
        </is>
      </c>
      <c r="B9" t="inlineStr">
        <is>
          <t>LICENSING PROGRAM MANAGER I</t>
        </is>
      </c>
      <c r="C9" t="inlineStr">
        <is>
          <t>Department of Social Services</t>
        </is>
      </c>
      <c r="D9" t="inlineStr">
        <is>
          <t>indeed</t>
        </is>
      </c>
      <c r="E9">
        <f>HYPERLINK("https://www.indeed.com/viewjob?jk=8b6ef5526429d72c", "https://www.indeed.com/viewjob?jk=8b6ef5526429d72c")</f>
        <v/>
      </c>
      <c r="F9">
        <f>HYPERLINK("https://www.calcareers.ca.gov/CalHrPublic/Jobs/JobPosting.aspx?JobControlId=505562", "https://www.calcareers.ca.gov/CalHrPublic/Jobs/JobPosting.aspx?JobControlId=505562")</f>
        <v/>
      </c>
      <c r="G9" t="inlineStr">
        <is>
          <t>CA, US</t>
        </is>
      </c>
      <c r="H9" s="2" t="n">
        <v>46044</v>
      </c>
      <c r="I9" t="inlineStr">
        <is>
          <t>Under the supervision of a Licensing Program Manager II, the Licensing Program Manager I (LPM I) in the San Diego Regional Child Care office is responsible for monitoring and supervising the activities of a unit of Licensing Program Analysts and performs quality assurance reviews, plans and conducts individual and group training, reviews complaint investigations, provides technical and supervisory direction in the office and the field, and reviews monthly intake and production reports. The LPM I may act as the Division representative with other agencies, recruit and hire new staff, meet with facility representatives, and recommend administrative actions against noncompliance licensees. The LPM I supports the office in maintaining CCLD Policies and Procedures. Must be able to travel.  
Subject to personnel approval and SROA/Surplus policies.  
All interested applicants are required to include the POSITION NUMBER \&amp; JOB CLASSIFICATION on the STD 678 Examination/Employment Application in the Job Title section and to clearly state your eligibility (e.g., list, transfer, etc.) in the Explanations section of the Examination/Employment Application.  
If you would like to share how you learned about this career opportunity, please take a moment to complete our brief Recruitment Survey.  
Need help with applying for positions, taking an examination, or preparing for interviews? Our team is here to support you, reach out anytime at Recruiter@dss.ca.gov For guidance on applying for a state job, visit Three Steps to a State Job.  
Follow us on LinkedIn to stay up to date on our latest opportunities.  
You will find additional information about the job in the **Duty Statement**.
Working Conditions
This is an office\-centered position; however, occasional telework may be permitted.  
Use of a computer for several hours a day which involves sitting most of the time but may include walking or standing for brief periods. Attend meetings, workshops and training associated with job duties. Work hours and schedules may vary.  
This position is eligible for **hybrid work** in accordance with the Governor’s Executive Order N\-22\-25 and at the sole discretion of the Department of Social Servicesunder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Headquarter location may be designated on the selected candidate's primary residence location, and/or the closest CDSS location in accordance with operational need and available space. The successful candidate must reside in California upon appointment. The successful candidate must reside in California upon appointment.  
Please note: Regular commute is not compensable.
Minimum Requirements
You will find the Minimum Requirements in the Class Specification.* LICENSING PROGRAM MANAGER I
Additional Documents
* Job Application Package Checklist
* Duty Statement
Position Details
**Job Code \#:** JC\-505562
**Position \#(s):**
800\-865\-8222\-003
**Working Title:** **Licensing Program Manager I (LPM I)**
**Classification:** LICENSING PROGRAM MANAGER I
$7,416\.00 \- $9,213\.00
New to State candidates will be hired into the minimum salary of the classification or minimum of alternate range when applicable.
**\# of Positions:** 1
**Work Location:** San Diego County
**Telework:** In Office
**Job Type:** Permanent, Full Time
Department Information
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  
It is the mission of the Community Care Licensing Division to promote the health, safety, and quality of life of each person in community care through the administration of an effective, collaborative regulatory enforcement system.  
The core mission of the Child Care Program is to ensure the health and safety of children in care. The Child Care Program strives to provide preventive, protective, and quality services to children in care by ensuring that licensed facilities meet established health and safety standards through monitoring facilities, providing technical assistance, and establishing partnerships with providers, parents, and the child care community.  
**CDSS Guiding Principles** **Diversity. Equity. Inclusion. Accessibility. Belonging.**
We ensure opportunities for everyone to participate in a meaningful way in fulfilling the mission and vision of CDSS. **Community Engagement**
We prioritize the lived experiences of community members as a driving force behind the creation, implementation, desired impact, or change of programs and services. **Empowerment**
We engage, operate, and advocate from the understanding that each community and person has desires and capabilities to lead in their own life. **Quality Services**
We provide services that align intent and impact by ensuring that they are accessible, community driven, interconnected, and continuously improved. **Data Defined Outcomes**
We equitably collect and analyze data, take data\-driven action, and measure outcomes relevant to those we serve, ensuring transparency and accountability.
Special Requirements
**Please Note: A Statement of Qualifications or Supplemental Questionnaire must be submitted along with your application to be considered for this position. Applications submitted without an SOQ may be disqualified for this position.**
Do not include any confidential information on any documents (i.e., application, resume, or transcripts) you submit for this job vacancy. Confidential information that should be excluded or removed from these documents include but is not limited to: Social Security Number (SSN), birthday and/or age, photos, student/other ID number, driver’s license number (unless required), basis of eligibility, exam results, LEAP status, and marital status. Confidential information submitted via a CalCareer Account (electronic application) is automatically redacted upon submission.
Please include a Statement of Qualifications (SOQ) with your application for the hiring manager’s review. The SOQ will be your first interview for this position. If your qualifications are competitive, you will be invited to an on\-site interview.
The SOQ should be no longer than two pages, single\-spaced, in 12\-point font and in question and answer format. Please provide answers to the following questions to the best of your ability:
1\. Please describe how your experience best qualifies you for this position.
2\. As a Licensing Program Manager, you are expected to maintain a high\-level of quality, quantity, and timely submissions for your own work as well as your staff’s work. Explain how you would accomplish this and remain accountable to management?
3\. Tell us about your experience working with reluctant staff and how you gained their cooperation to complete a task.
A notation or reference to other materials such as resumes or applications will not be considered and will not substitute for the SOQ. Failure to answer the questions required in the SOQ may result in elimination from the hiring process.
This position is designated under the Conflict of Interest Code.
This position is subject to fingerprinting clearance by the Department of Justice.
**You are required to complete employment history on the application form (STD 678\). You may be disqualified from the hiring and selection process if the employment history is not complete. Resumes will not take the place of employment history.**
If you are meeting minimum qualifications with education, you must include your unofficial transcripts for verification. If selected, you may be required to provide official transcripts at the time of hire.
Training and Development assignments may be considered based on the availability of eligible candidates and are subject to approval by the Hiring Authority prior to appointment. Training and Development assignments are temporary in nature and shall not exceed twenty\-four (24\) months.
Candidates who reside outside of the State of California may be admitted to the job interview, but they must provide proof of residence in California prior to being eligible for appointment.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2/7/2026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Social Services
California Department of Social Services
Attn: Classification \&amp; Pay Unit
P. O. Box 944243 \- MS 8\-15\-58
Sacramento, CA 94244\-2430
**Address for Drop\-Off Application Packages**
You may drop off your application and any applicable or required documents at:
Department of Social Services
California Department of Social Services
Classification \&amp; Pay Unit
744 P Street, MS 8\-15\-58
Sacramento,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(SOQ) Please see the Special Requirements section of this job advertisement for detailed instructions for the SOQ submission.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Positive Attitude and Professionalism. Fast Learner with ability to prioritize workloads. Effective communication skills. Ability to collaborate with others. Effective team building. Be a good coach. Ability to be accessible. Remains calm under pressure. Respectful and inspirational. Excellent people skills. Fosters accountability. A motivator. Ability to assess issues and quickly identify the best possible solution(s). Recognize and make use of individual employee’s strengths. Ability to meet the challenge of working in a fast\-paced and continuously changing environment. Demonstrated management achieving measurable results in a short timeframe. Knowledge of Child Care Program rules, regulations, and policies.
Benefits
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 **TRANSPORTATION REIMBURSEMENT*** Public transit (mass transit) passes.
	+ 100 percent discount on public transit passes sold by state agencies, up to the monthly exclusion amount provided by the Internal Revenue Service (IRS).
	+ 100 percent reimbursement on public transit passes purchased by state employees, up to the monthly exclusion amount provided by the IRS.
* Vanpool drivers and riders
	+ 100 percent reimbursement on the monthly fee, up to the monthly exclusion amount provided by the IRS.
**Click here to view all the attractive benefits available to state employees!**  
Benefit information can be found on the CalHR website and the CalPERS website.
Contact Information
The Hiring Unit Contact is available to answer questions regarding the position or application process.
**Hiring Unit Contact:**  
Jason Garay  
(619\) 767\-2250  
Jason.Garay@dss.ca.gov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  
(916\) 657\-2326  
EEOoffice@dss.ca.gov
California Relay Service: 1\-800\-735\-2929 (TTY), 1\-800\-735\-2922 (Voice) TTY is a Telecommunications Device for the Deaf, and is reachable only from phones equipped with a TTY Device.
Personal Leave Program (PLP) 2025
Personal Leave Program (PLP) 2025 \- Salaries do not reflect reductions from the Personal Leave Program, please see the applicable Memorandum of Understanding (MOU) for additional information on the length and percentage of reductions.
Examination Information
Those interested in obtaining employment with any state agency must apply and compete through the state hiring and recruitment process.
To apply for the examination for this position, click on the link below to search for the examination and follow the “How to Apply” instructions in the examination announcement:
CalCareers Exam/Assessment Search
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10">
      <c r="A10" t="inlineStr">
        <is>
          <t>in-05b25fa20cb4e65f</t>
        </is>
      </c>
      <c r="B10" t="inlineStr">
        <is>
          <t>LICENSING PROGRAM MANAGER II</t>
        </is>
      </c>
      <c r="C10" t="inlineStr">
        <is>
          <t>Department of Social Services</t>
        </is>
      </c>
      <c r="D10" t="inlineStr">
        <is>
          <t>indeed</t>
        </is>
      </c>
      <c r="E10">
        <f>HYPERLINK("https://www.indeed.com/viewjob?jk=05b25fa20cb4e65f", "https://www.indeed.com/viewjob?jk=05b25fa20cb4e65f")</f>
        <v/>
      </c>
      <c r="F10">
        <f>HYPERLINK("https://www.calcareers.ca.gov/CalHrPublic/Jobs/JobPosting.aspx?JobControlId=505577", "https://www.calcareers.ca.gov/CalHrPublic/Jobs/JobPosting.aspx?JobControlId=505577")</f>
        <v/>
      </c>
      <c r="G10" t="inlineStr">
        <is>
          <t>CA, US</t>
        </is>
      </c>
      <c r="H10" s="2" t="n">
        <v>46044</v>
      </c>
      <c r="I10" t="inlineStr">
        <is>
          <t>The California Department of Social Services (CDSS) serves, aids and protects disadvantaged and vulnerable children and adults in ways that strengthen and preserve families, encourage personal responsibility and foster independence. CDSS employees are our most important resource in serving California’s most susceptible population.
The CDSS Community Care Licensing Division is currently accepting applications for a Licensing Program Manager II (LPM II) for the El Segundo North Child Care Regional Office. Under the general direction of the Assistant Program Administrator (LPM III), the El Segundo North Child Care.
Regional Manager (LPM II) plans, organizes, and directs the activities of a regional office responsible for evaluating and licensing community care facilities and enforcing community care regulations. The LPM II directly supervises one to six Licensing Program Manager’s (LPM I) and clerical staff/ supervisors and ensures supervisory coverage in the regional office at all times. The LPM II will be the Regional Manager (RM) for the El Segundo North Child Care Regional Office. Travel is required.
Responsibilities include meeting with licensees or representatives on issues concerning regional implementation of regulations, making region\-level decisions regarding proposed legal action on concert with legal staff, and approves/denies license application renewals, provisional licenses, and notices of operations in violation of the law. The LPM II evaluates the appropriateness and effectiveness of licensing standards, provides input to modify regulations or policy, and develops appropriate regional procedures to implement established licensing policy and to ensure uniform interpretation of regulations.  
All interested applicants are required to include the POSITION NUMBER \&amp; JOB CLASSIFICATION on the STD 678 Examination/Employment Application in the Job Title section and to clearly state your eligibility (e.g., list, transfer, etc.) in the Explanations section of the Examination/Employment Application.  
If you would like to share how you learned about this career opportunity, please take a moment to complete our brief Recruitment Survey.  
Need help with applying for positions, taking an examination, or preparing for interviews? Our team is here to support you, reach out anytime at Recruiter@dss.ca.gov For guidance on applying for a state job, visit Three Steps to a State Job.  
Follow us on LinkedIn to stay up to date on our latest opportunities.  
You will find additional information about the job in the **Duty Statement**.
Working Conditions
This is an office\-centered position; however, occasional telework may be permitted.  
Use of a computer for several hours a day which involves sitting most of the time but may include walking, climbing stairs, or standing for brief periods. Attend meetings, workshops and training associated with job duties. Work hours and schedules may vary. This position requires the ability to travel frequently. The reporting location for this position is 300 N. Continental Blvd., Suite 290A El Segundo, CA 90245\.  
This position is eligible for **hybrid work** in accordance with the Governor’s Executive Order N\-22\-25 and at the sole discretion of the Department of Social Servicesunder California Government Code Section 14200\. All telework schedules are subject to change and may be re\-evaluated at any time. The incumbent will be expected to report for in office work and attend work related in\-person events as deemed operationally necessary. Telework does not change the terms and conditions of employment, the essential functions of job duties, or required compliance with the CDSS policies. Headquarter location may be designated on the selected candidate's primary residence location, and/or the closest CDSS location in accordance with operational need and available space. The successful candidate must reside in California upon appointment. The successful candidate must reside in California upon appointment.  
Please note: Regular commute is not compensable.
Minimum Requirements
You will find the Minimum Requirements in the Class Specification.* LICENSING PROGRAM MANAGER II
Additional Documents
* Job Application Package Checklist
* Duty Statement
Position Details
**Job Code \#:** JC\-505577
**Position \#(s):**
800\-853\-8224\-400
**Working Title:** **Licensing Program Manager II (LPM II) / Regional Manager**
**Classification:** LICENSING PROGRAM MANAGER II
$8,140\.00 \- $10,116\.00
New to State candidates will be hired into the minimum salary of the classification or minimum of alternate range when applicable.
**\# of Positions:** 1
**Work Location:** Los Angeles County
**Telework:** In Office
**Job Type:** Permanent, Full Time
Department Information
Are you interested in making a difference in the lives of fellow Californians while achieving your career goals? Do you set high standards for yourself and enjoy a collaborative and challenging work environment? The mission of the California Department of Social Services is to serve, protect, and support the people of California experiencing need in ways that empower wellbeing and disrupt systemic inequities. The vision of the California Department of Social Services is to provide quality services with a commitment to an inclusive, diverse, and equitable California where all people can thrive.  
It is the mission of the Community Care Licensing Division to promote the health, safety, and quality of life of each person in community care through the administration of an effective, collaborative regulatory enforcement system.  
The core mission of the Child Care Program is to ensure the health and safety of children in care. The Child Care Program strives to provide preventive, protective, and quality services to children in care by ensuring that licensed facilities meet established health and safety standards through monitoring facilities, providing technical assistance, and establishing partnerships with providers, parents, and the child care community.  
**CDSS Guiding Principles** **Diversity. Equity. Inclusion. Accessibility. Belonging.**
We ensure opportunities for everyone to participate in a meaningful way in fulfilling the mission and vision of CDSS. **Community Engagement**
We prioritize the lived experiences of community members as a driving force behind the creation, implementation, desired impact, or change of programs and services. **Empowerment**
We engage, operate, and advocate from the understanding that each community and person has desires and capabilities to lead in their own life. **Quality Services**
We provide services that align intent and impact by ensuring that they are accessible, community driven, interconnected, and continuously improved. **Data Defined Outcomes**
We equitably collect and analyze data, take data\-driven action, and measure outcomes relevant to those we serve, ensuring transparency and accountability.
Special Requirements
**Please Note: A Statement of Qualifications or Supplemental Questionnaire must be submitted along with your application to be considered for this position. Applications submitted without an SOQ may be disqualified for this position.**  
Do not include any confidential information on any documents (i.e., application, resume, or transcripts) you submit for this job vacancy. Confidential information that should be excluded or removed from these documents include but is not limited to: Social Security Number (SSN), birthday and/or age, photos, student/other ID number, driver’s license number (unless required), basis of eligibility, exam results, LEAP status, and marital status. Confidential information submitted via a CalCareer Account (electronic application) is automatically redacted upon submission.
Please include a Statement of Qualifications (SOQ) with your application for the hiring manager’s review. The SOQ will be your first interview for this position. If your qualifications are competitive, you will be invited to an on\-site interview.
The SOQ should be no longer than two pages, single\-spaced, and in 12\-point font. Please provide answers to the following questions to the best of your ability:
1\. Describe an instance where you were instrumental in resolving a conflict between two or more stakeholders. Include the end result.
2\. Explain how you have worked with multiple entities to improve a process that helped achieve a common goal.  
A notation or reference to other materials such as resumes or applications will not be considered and will not substitute for the SOQ. Failure to answer the questions required in the SOQ may result in elimination from the hiring process.  
This position is designated under the Conflict of Interest Code.
This position is subject to fingerprinting clearance by the Department of Justice.
**You are required to complete employment history on the application form (STD 678\). You may be disqualified from the hiring and selection process if the employment history is not complete. Resumes will not take the place of employment history.**
If you are meeting minimum qualifications with education, you must include your unofficial transcripts for verification. If selected, you may be required to provide official transcripts at the time of hire.
Training and Development assignments may be considered based on the availability of eligible candidates and are subject to approval by the Hiring Authority prior to appointment. Training and Development assignments are temporary in nature and shall not exceed twenty\-four (24\) months.  
Candidates who reside outside of the State of California may be admitted to the job interview, but they must provide proof of residence in California prior to being eligible for appointment.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2/4/2026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Social Services
California Department of Social Services
Attn: Classification \&amp; Pay Unit
P. O. Box 944243 \- MS 8\-15\-58
Sacramento, CA 94244\-2430
**Address for Drop\-Off Application Packages**
You may drop off your application and any applicable or required documents at:
Department of Social Services
California Department of Social Services
Classification \&amp; Pay Unit
744 P Street, MS 8\-15\-58
Sacramento,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(SOQ) Please see the Special Requirements section of this job advertisement for detailed instructions for the SOQ submission.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We encourage applications regardless of whether you think you meet 100% of these skills below. Please highlight your knowledge, skills, and experience related to the below desirable qualifications in your application package.* Ability to work independently and as part of a team.
* Ability to exercise initiative, good judgment, and honesty.
* Possess computer skills and experience using Microsoft Office Suite, Microsoft Teams, \&amp; SharePoint.
* Ability communicate effectively and clearly, both verbally and in writing.
Benefits
There are many benefits to joining our team! The State of California has a generous benefits package that includes medical coverage, CalPERS pension upon retirement, two weeks paid vacation per year, two weeks paid sick leave per year, two paid Professional Development Days, one paid Personal Holiday, pre\-tax parking fee program. **TRANSPORTATION REIMBURSEMENT*** Public transit (mass transit) passes.
	+ 100 percent discount on public transit passes sold by state agencies, up to the monthly exclusion amount provided by the Internal Revenue Service (IRS).
	+ 100 percent reimbursement on public transit passes purchased by state employees, up to the monthly exclusion amount provided by the IRS.
* Vanpool drivers and riders
	+ 100 percent reimbursement on the monthly fee, up to the monthly exclusion amount provided by the IRS.
**Click here to view all the attractive benefits available to state employees!**  
Benefit information can be found on the CalHR website and the CalPERS website.
Contact Information
The Hiring Unit Contact is available to answer questions regarding the position or application process.
**Hiring Unit Contact:**  
Sharon Greene  
(323\) 558\-2738  
Sharon.Greene@dss.ca.gov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  
(916\) 657\-2326  
EEOoffice@dss.ca.gov
California Relay Service: 1\-800\-735\-2929 (TTY), 1\-800\-735\-2922 (Voice) TTY is a Telecommunications Device for the Deaf, and is reachable only from phones equipped with a TTY Device.
Personal Leave Program (PLP) 2025
Personal Leave Program (PLP) 2025 \- Salaries do not reflect reductions from the Personal Leave Program, please see the applicable Memorandum of Understanding (MOU) for additional information on the length and percentage of reductions.
Examination Information
Those interested in obtaining employment with any state agency must apply and compete through the state hiring and recruitment process.
To apply for the examination for this position, click on the link below to search for the examination and follow the “How to Apply” instructions in the examination announcement:
CalCareers Exam/Assessment Search
Successful examination applicants are placed on an eligibility list. If you already have list eligibility for this classification, you do not need to retake the examination. Applicants should refer to their examination results or check their CalCareer account for specific list eligibility expiration dates and to re\-take the examination when necessary. For questions regarding the examination process, please contact the Examination Unit at: Examinations@dss.ca.gov.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11">
      <c r="A11" t="inlineStr">
        <is>
          <t>in-45077a60ffc7491a</t>
        </is>
      </c>
      <c r="B11" t="inlineStr">
        <is>
          <t>Digital Product Owner</t>
        </is>
      </c>
      <c r="C11" t="inlineStr">
        <is>
          <t>Huntington Bank</t>
        </is>
      </c>
      <c r="D11" t="inlineStr">
        <is>
          <t>indeed</t>
        </is>
      </c>
      <c r="E11">
        <f>HYPERLINK("https://www.indeed.com/viewjob?jk=45077a60ffc7491a", "https://www.indeed.com/viewjob?jk=45077a60ffc7491a")</f>
        <v/>
      </c>
      <c r="F11">
        <f>HYPERLINK("https://huntington-careers.com/search/jobdetails/digital-product-owner/10980a8d-8f9b-43de-8b06-b0b64ce8856c?utm_campaign=indeed_organic&amp;utm_source=indeed&amp;utm_medium=organic_job_board", "https://huntington-careers.com/search/jobdetails/digital-product-owner/10980a8d-8f9b-43de-8b06-b0b64ce8856c?utm_campaign=indeed_organic&amp;utm_source=indeed&amp;utm_medium=organic_job_board")</f>
        <v/>
      </c>
      <c r="G11" t="inlineStr">
        <is>
          <t>Columbus, OH, US</t>
        </is>
      </c>
      <c r="H11" s="2" t="n">
        <v>46044</v>
      </c>
      <c r="I11" t="inlineStr">
        <is>
          <t>**Description**
===============
**Summary:**
The Digital Product Owner leverages the agile methodology to develop and deliver banking products and solutions and engages with product leaders and stakeholders to access and represent Features, OKRs, and priorities to the agile team. This position works with Business System Analysts to decompose features into story cards, leads the building of the product backlog, sets sprint priorities, provides product demos, assists with mitigating delivery, and provides stakeholders with transparency into day\-to\-day execution.
**Duties and Responsibilities:**
* Leads the more complex online/digital products projects to completion.
* Mentors junior level colleagues as necessary.
* Validates completeness of approved features for decomposition.
* Lead the validation of feature priority and implementation sequencing timeline.
* Manage the product lifecycle from requirements gathering through production and release.
* Manage and ensure cross\-impacted teams are identified early and included in solution discussion; manage impact assessment timelines.
* Manage priorities with other Product Owners where cross\-product conflicts exist.
* Manage leadership relationships an expectations of the team.
* Provide stakeholders with transparency to execution progress and blockers.
* Organize Story Mapping and collaborate with the Business Systems Analyst and facilitate Story Mapping sessions, and provide the overall vision/problem statement.
* Walk through and explain each identified feature and its defined scope.
* Manage Product Development and Product Backlog and define sprint goals.
* Consult with the scrum teams during development, providing clarification and context.
* Validate user story acceptance criteria and accept completed User Stories.
* Maintain Development Tracking tools.
* Create and assign cards for Feature Definition.
* Log open risks, issues, questions, decisions against Features.
* Clearly document ongoing changes to feature scope, prioritization, and requirements.
* Matrix Manage and/or Coach entry\-level Product Owners.
* Perform other duties as assigned.
**Basic Qualifications:**
* Bachelor's Degree
* 5\+ years of Online/Mobile Product Management or Digital project delivery experience in Consumer or Business and Commercial Banking
**Preferred Qualifications:**
* New customer acquisition and on\-boarding experience
* Digital product management or delivery experience in e\-commerce, digital messaging, identity and access management, digital money movement, or customer self\-service
* Experience in leading teams (5\-10 member), user testing and data analysis to improve customer experiences
* Experience in creating re\-designed Consumer or Business and Commercial Banking customer experiences
* Experience in leading teams (5\-10 member), user testing and data analysis to improve customer experiences
* Ability to translate business needs to technology teams
* Experience with desktop and mobile web, mobile apps, and alerts
* User\-centered design and usability expertise
* Self\-starter who develops plans and is committed to hitting delivery dates
* Strong analytical skills and familiarity with the Software Delivery Lifecycle
* Excellent written and verbal (face\-to\-face and phone) communication skills including professional grammar and demeanor Ability to develop working relationships with individuals at all levels of an organization
* Strong organizational skills and attention to detail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Annually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2">
      <c r="A12" t="inlineStr">
        <is>
          <t>in-a3ccae90f58eb0d1</t>
        </is>
      </c>
      <c r="B12" t="inlineStr">
        <is>
          <t>Digital Product Owner</t>
        </is>
      </c>
      <c r="C12" t="inlineStr">
        <is>
          <t>Huntington Bank</t>
        </is>
      </c>
      <c r="D12" t="inlineStr">
        <is>
          <t>indeed</t>
        </is>
      </c>
      <c r="E12">
        <f>HYPERLINK("https://www.indeed.com/viewjob?jk=a3ccae90f58eb0d1", "https://www.indeed.com/viewjob?jk=a3ccae90f58eb0d1")</f>
        <v/>
      </c>
      <c r="F12">
        <f>HYPERLINK("https://huntington-careers.com/search/jobdetails/digital-product-owner/10980a8d-8f9b-43de-8b06-b0b64ce8856c?utm_campaign=indeed_organic&amp;utm_source=indeed&amp;utm_medium=organic_job_board", "https://huntington-careers.com/search/jobdetails/digital-product-owner/10980a8d-8f9b-43de-8b06-b0b64ce8856c?utm_campaign=indeed_organic&amp;utm_source=indeed&amp;utm_medium=organic_job_board")</f>
        <v/>
      </c>
      <c r="G12" t="inlineStr">
        <is>
          <t>Cincinnati, OH, US</t>
        </is>
      </c>
      <c r="H12" s="2" t="n">
        <v>46044</v>
      </c>
      <c r="I12" t="inlineStr">
        <is>
          <t>**Description**
===============
**Summary:**
The Digital Product Owner leverages the agile methodology to develop and deliver banking products and solutions and engages with product leaders and stakeholders to access and represent Features, OKRs, and priorities to the agile team. This position works with Business System Analysts to decompose features into story cards, leads the building of the product backlog, sets sprint priorities, provides product demos, assists with mitigating delivery, and provides stakeholders with transparency into day\-to\-day execution.
**Duties and Responsibilities:**
* Leads the more complex online/digital products projects to completion.
* Mentors junior level colleagues as necessary.
* Validates completeness of approved features for decomposition.
* Lead the validation of feature priority and implementation sequencing timeline.
* Manage the product lifecycle from requirements gathering through production and release.
* Manage and ensure cross\-impacted teams are identified early and included in solution discussion; manage impact assessment timelines.
* Manage priorities with other Product Owners where cross\-product conflicts exist.
* Manage leadership relationships an expectations of the team.
* Provide stakeholders with transparency to execution progress and blockers.
* Organize Story Mapping and collaborate with the Business Systems Analyst and facilitate Story Mapping sessions, and provide the overall vision/problem statement.
* Walk through and explain each identified feature and its defined scope.
* Manage Product Development and Product Backlog and define sprint goals.
* Consult with the scrum teams during development, providing clarification and context.
* Validate user story acceptance criteria and accept completed User Stories.
* Maintain Development Tracking tools.
* Create and assign cards for Feature Definition.
* Log open risks, issues, questions, decisions against Features.
* Clearly document ongoing changes to feature scope, prioritization, and requirements.
* Matrix Manage and/or Coach entry\-level Product Owners.
* Perform other duties as assigned.
**Basic Qualifications:**
* Bachelor's Degree
* 5\+ years of Online/Mobile Product Management or Digital project delivery experience in Consumer or Business and Commercial Banking
**Preferred Qualifications:**
* New customer acquisition and on\-boarding experience
* Digital product management or delivery experience in e\-commerce, digital messaging, identity and access management, digital money movement, or customer self\-service
* Experience in leading teams (5\-10 member), user testing and data analysis to improve customer experiences
* Experience in creating re\-designed Consumer or Business and Commercial Banking customer experiences
* Experience in leading teams (5\-10 member), user testing and data analysis to improve customer experiences
* Ability to translate business needs to technology teams
* Experience with desktop and mobile web, mobile apps, and alerts
* User\-centered design and usability expertise
* Self\-starter who develops plans and is committed to hitting delivery dates
* Strong analytical skills and familiarity with the Software Delivery Lifecycle
* Excellent written and verbal (face\-to\-face and phone) communication skills including professional grammar and demeanor Ability to develop working relationships with individuals at all levels of an organization
* Strong organizational skills and attention to detail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Annually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3">
      <c r="A13" t="inlineStr">
        <is>
          <t>in-f76eeb7b2f090e8c</t>
        </is>
      </c>
      <c r="B13" t="inlineStr">
        <is>
          <t>Digital Product Owner</t>
        </is>
      </c>
      <c r="C13" t="inlineStr">
        <is>
          <t>Huntington Bank</t>
        </is>
      </c>
      <c r="D13" t="inlineStr">
        <is>
          <t>indeed</t>
        </is>
      </c>
      <c r="E13">
        <f>HYPERLINK("https://www.indeed.com/viewjob?jk=f76eeb7b2f090e8c", "https://www.indeed.com/viewjob?jk=f76eeb7b2f090e8c")</f>
        <v/>
      </c>
      <c r="F13">
        <f>HYPERLINK("https://huntington-careers.com/search/jobdetails/digital-product-owner/10980a8d-8f9b-43de-8b06-b0b64ce8856c?utm_campaign=indeed_organic&amp;utm_source=indeed&amp;utm_medium=organic_job_board", "https://huntington-careers.com/search/jobdetails/digital-product-owner/10980a8d-8f9b-43de-8b06-b0b64ce8856c?utm_campaign=indeed_organic&amp;utm_source=indeed&amp;utm_medium=organic_job_board")</f>
        <v/>
      </c>
      <c r="G13" t="inlineStr">
        <is>
          <t>Columbus, OH, US</t>
        </is>
      </c>
      <c r="H13" s="2" t="n">
        <v>46044</v>
      </c>
      <c r="I13" t="inlineStr">
        <is>
          <t>**Description**
===============
**Summary:**
The Digital Product Owner leverages the agile methodology to develop and deliver banking products and solutions and engages with product leaders and stakeholders to access and represent Features, OKRs, and priorities to the agile team. This position works with Business System Analysts to decompose features into story cards, leads the building of the product backlog, sets sprint priorities, provides product demos, assists with mitigating delivery, and provides stakeholders with transparency into day\-to\-day execution.
**Duties and Responsibilities:**
* Leads the more complex online/digital products projects to completion.
* Mentors junior level colleagues as necessary.
* Validates completeness of approved features for decomposition.
* Lead the validation of feature priority and implementation sequencing timeline.
* Manage the product lifecycle from requirements gathering through production and release.
* Manage and ensure cross\-impacted teams are identified early and included in solution discussion; manage impact assessment timelines.
* Manage priorities with other Product Owners where cross\-product conflicts exist.
* Manage leadership relationships an expectations of the team.
* Provide stakeholders with transparency to execution progress and blockers.
* Organize Story Mapping and collaborate with the Business Systems Analyst and facilitate Story Mapping sessions, and provide the overall vision/problem statement.
* Walk through and explain each identified feature and its defined scope.
* Manage Product Development and Product Backlog and define sprint goals.
* Consult with the scrum teams during development, providing clarification and context.
* Validate user story acceptance criteria and accept completed User Stories.
* Maintain Development Tracking tools.
* Create and assign cards for Feature Definition.
* Log open risks, issues, questions, decisions against Features.
* Clearly document ongoing changes to feature scope, prioritization, and requirements.
* Matrix Manage and/or Coach entry\-level Product Owners.
* Perform other duties as assigned.
**Basic Qualifications:**
* Bachelor's Degree
* 5\+ years of Online/Mobile Product Management or Digital project delivery experience in Consumer or Business and Commercial Banking
**Preferred Qualifications:**
* New customer acquisition and on\-boarding experience
* Digital product management or delivery experience in e\-commerce, digital messaging, identity and access management, digital money movement, or customer self\-service
* Experience in leading teams (5\-10 member), user testing and data analysis to improve customer experiences
* Experience in creating re\-designed Consumer or Business and Commercial Banking customer experiences
* Experience in leading teams (5\-10 member), user testing and data analysis to improve customer experiences
* Ability to translate business needs to technology teams
* Experience with desktop and mobile web, mobile apps, and alerts
* User\-centered design and usability expertise
* Self\-starter who develops plans and is committed to hitting delivery dates
* Strong analytical skills and familiarity with the Software Delivery Lifecycle
* Excellent written and verbal (face\-to\-face and phone) communication skills including professional grammar and demeanor Ability to develop working relationships with individuals at all levels of an organization
* Strong organizational skills and attention to detail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Annually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4">
      <c r="A14" t="inlineStr">
        <is>
          <t>in-14acaec3bee42cb8</t>
        </is>
      </c>
      <c r="B14" t="inlineStr">
        <is>
          <t>Digital Product Owner</t>
        </is>
      </c>
      <c r="C14" t="inlineStr">
        <is>
          <t>Huntington Bank</t>
        </is>
      </c>
      <c r="D14" t="inlineStr">
        <is>
          <t>indeed</t>
        </is>
      </c>
      <c r="E14">
        <f>HYPERLINK("https://www.indeed.com/viewjob?jk=14acaec3bee42cb8", "https://www.indeed.com/viewjob?jk=14acaec3bee42cb8")</f>
        <v/>
      </c>
      <c r="F14">
        <f>HYPERLINK("https://huntington-careers.com/search/jobdetails/digital-product-owner/10980a8d-8f9b-43de-8b06-b0b64ce8856c?utm_campaign=indeed_organic&amp;utm_source=indeed&amp;utm_medium=organic_job_board", "https://huntington-careers.com/search/jobdetails/digital-product-owner/10980a8d-8f9b-43de-8b06-b0b64ce8856c?utm_campaign=indeed_organic&amp;utm_source=indeed&amp;utm_medium=organic_job_board")</f>
        <v/>
      </c>
      <c r="G14" t="inlineStr">
        <is>
          <t>Columbus, OH, US</t>
        </is>
      </c>
      <c r="H14" s="2" t="n">
        <v>46044</v>
      </c>
      <c r="I14" t="inlineStr">
        <is>
          <t>**Description**
===============
**Summary:**
The Digital Product Owner leverages the agile methodology to develop and deliver banking products and solutions and engages with product leaders and stakeholders to access and represent Features, OKRs, and priorities to the agile team. This position works with Business System Analysts to decompose features into story cards, leads the building of the product backlog, sets sprint priorities, provides product demos, assists with mitigating delivery, and provides stakeholders with transparency into day\-to\-day execution.
**Duties and Responsibilities:**
* Leads the more complex online/digital products projects to completion.
* Mentors junior level colleagues as necessary.
* Validates completeness of approved features for decomposition.
* Lead the validation of feature priority and implementation sequencing timeline.
* Manage the product lifecycle from requirements gathering through production and release.
* Manage and ensure cross\-impacted teams are identified early and included in solution discussion; manage impact assessment timelines.
* Manage priorities with other Product Owners where cross\-product conflicts exist.
* Manage leadership relationships an expectations of the team.
* Provide stakeholders with transparency to execution progress and blockers.
* Organize Story Mapping and collaborate with the Business Systems Analyst and facilitate Story Mapping sessions, and provide the overall vision/problem statement.
* Walk through and explain each identified feature and its defined scope.
* Manage Product Development and Product Backlog and define sprint goals.
* Consult with the scrum teams during development, providing clarification and context.
* Validate user story acceptance criteria and accept completed User Stories.
* Maintain Development Tracking tools.
* Create and assign cards for Feature Definition.
* Log open risks, issues, questions, decisions against Features.
* Clearly document ongoing changes to feature scope, prioritization, and requirements.
* Matrix Manage and/or Coach entry\-level Product Owners.
* Perform other duties as assigned.
**Basic Qualifications:**
* Bachelor's Degree
* 5\+ years of Online/Mobile Product Management or Digital project delivery experience in Consumer or Business and Commercial Banking
**Preferred Qualifications:**
* New customer acquisition and on\-boarding experience
* Digital product management or delivery experience in e\-commerce, digital messaging, identity and access management, digital money movement, or customer self\-service
* Experience in leading teams (5\-10 member), user testing and data analysis to improve customer experiences
* Experience in creating re\-designed Consumer or Business and Commercial Banking customer experiences
* Experience in leading teams (5\-10 member), user testing and data analysis to improve customer experiences
* Ability to translate business needs to technology teams
* Experience with desktop and mobile web, mobile apps, and alerts
* User\-centered design and usability expertise
* Self\-starter who develops plans and is committed to hitting delivery dates
* Strong analytical skills and familiarity with the Software Delivery Lifecycle
* Excellent written and verbal (face\-to\-face and phone) communication skills including professional grammar and demeanor Ability to develop working relationships with individuals at all levels of an organization
* Strong organizational skills and attention to detail
 **Exempt Status: (Yes** \= not eligible for overtime pay) (**No** \= eligible for overtime pay)
Yes**Workplace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$70,000\.00 \- $140,000\.00 Annually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5">
      <c r="A15" t="inlineStr">
        <is>
          <t>in-3f465a66447e4c5e</t>
        </is>
      </c>
      <c r="B15" t="inlineStr">
        <is>
          <t>Product Manager</t>
        </is>
      </c>
      <c r="C15" t="inlineStr">
        <is>
          <t>eCapital</t>
        </is>
      </c>
      <c r="D15" t="inlineStr">
        <is>
          <t>indeed</t>
        </is>
      </c>
      <c r="E15">
        <f>HYPERLINK("https://www.indeed.com/viewjob?jk=3f465a66447e4c5e", "https://www.indeed.com/viewjob?jk=3f465a66447e4c5e")</f>
        <v/>
      </c>
      <c r="F15">
        <f>HYPERLINK("https://ecapital.applytojob.com/apply/ZrQqIaCBxf/Product-Manager?source=INDE&amp;~", "https://ecapital.applytojob.com/apply/ZrQqIaCBxf/Product-Manager?source=INDE&amp;~")</f>
        <v/>
      </c>
      <c r="G15" t="inlineStr">
        <is>
          <t>Remote, US</t>
        </is>
      </c>
      <c r="H15" s="2" t="n">
        <v>46044</v>
      </c>
      <c r="I15" t="inlineStr">
        <is>
          <t>**About Us:**  
At eCapital, we are on a mission to ignite growth and empower businesses across North America and the U.K. by accelerating their access to capital. Our expertise and forward\-thinking technology create customized, cutting\-edge solutions for clients in over 80 industries. We are proud to have been named to the prestigious Inc. 5000 Fastest Growing Company list in 2024, recognized as a ‘Great Place to Work’ by the Secured Finance Network, and celebrated as a ‘Most Innovative Company’ by ABF Journal; all thanks to our dynamic team who are the cornerstone of our success. Are you ready to make an impact and help us shape the future of finance?  
**The Opportunity:**  
eCapital is seeking a Product Manager to drive the success of our fintech products through deep customer insight, data\-driven decisions, and hands\-on execution. This role is designed for a builder, someone who thrives at the intersection of business, technology, and customer experience. You’ll work cross\-functionally with engineering, delivery, and operations to define, develop, and launch features and products that create measurable business and customer value.  
We hold ourselves to an exceptionally high standard, driven by our relentless pursuit of excellence and innovation. Joining our team means becoming part of a culture that values audacious goals, challenges conventional thinking, and consistently pushes the boundaries of what’s possible. Every individual who joins us contributes to shaping solutions that empower businesses and redefine industry standards.  
As a Product Manager, you’ll own the roadmap and execution for one or more product areas, ensuring initiatives align with business goals, deliver customer impact, and scale effectively across our platform.  
**Key Responsibilities:*** Define and deliver the product roadmap for your area, ensuring alignment with business goals, customer needs, and strategic priorities.
* Act as the voice of the customer, using data, feedback, and market research to identify opportunities, prioritize features, and define success metrics.
* Translate complex business problems into clear, actionable product requirements (PR/FAQs, user stories, acceptance criteria).
* Collaborate cross\-functionally with engineering, delivery, design, and operations to deliver high\-quality features on time and within scope.
* Drive execution from concept to launch, including stakeholder alignment, sprint planning, release readiness, and post\-launch analysis.
* Measure performance through usage data, feedback loops, and key performance indicators to guide continuous improvement.
* Facilitate clear communication, documenting and presenting updates to stakeholders at multiple levels.
* Contribute to process improvement, refining how the product team plans, delivers, and measures success.
* Champion eCapital’s leadership principles, earning trust, thinking big, delivering results, and maintaining a bias for action.
**Required Qualifications:*** Bachelor’s degree in Computer Science, Finance, Business, or a related field.
* 4\+ years of experience in product management, preferably in SaaS, fintech, or financial services.
* Proven ability to deliver customer\-facing products or platform capabilities from concept to launch.
* Strong understanding of APIs, SaaS architectures, and data\-driven decision\-making.
* Excellent communication and documentation skills — able to translate between technical and business audiences.
* Demonstrated ability to balance competing priorities, manage ambiguity, and make data\-informed trade\-offs.
* Experience working in an agile or iterative development environment.
**Preferred Qualifications:*** Background in lending technology, embedded finance, or payment systems.
* Experience with data analytics, AI/ML features, or automation\-driven products.
* Familiarity with financial regulations, compliance, or underwriting workflows.
* Track record of improving customer satisfaction, efficiency, or adoption metrics.
**We Bring:*** $125,000 \- $155,000 Annually
* Annual Bonus Incentives
* PTO
* Health, Dental, and Life Benefits
* 401(K) Matching
* Abundant professional development opportunities at a growing and thriving Fintech company!
**eCapital Culture:**  
At eCapital, we're not just a funding provider—we're a strategic partner built for what's next. Our culture is defined by innovation, scalability, and personalized service. We value:* **Agility**: We adapt quickly to changing market conditions and customer needs.
* **Relationships**: We put our clients' needs at the center of everything we do, and we believe the best results come from diverse teams working together.
* **Accountability:** We hold ourselves to the highest standards in all aspects of our work.
* **Innovation**: We constantly push boundaries to create better solutions for our clients.
We offer a dynamic work environment where you'll have the opportunity to make a significant impact on our business and the SMBs we serve. Join us in revolutionizing how businesses access and manage capital in the digital age.  
eCapital values diverse experiences and backgrounds. We encourage all qualified candidates to apply, regardless of race, color, religion, gender, sexual orientation, national origin, genetics, disability, age, or veteran status.  
**AI Statement**  
eCapital uses AI\-enabled tools within our applicant tracking system to support resume screening by comparing qualifications to job requirements. Final hiring decisions and resume reviews are always conducted by our recruiters.  
**Vacancy Type:** Addition
ZrQqIaCBxf</t>
        </is>
      </c>
    </row>
    <row r="16">
      <c r="A16" t="inlineStr">
        <is>
          <t>in-48a6ed78769ac4e5</t>
        </is>
      </c>
      <c r="B16" t="inlineStr">
        <is>
          <t>Product Manager</t>
        </is>
      </c>
      <c r="C16" t="inlineStr"/>
      <c r="D16" t="inlineStr">
        <is>
          <t>indeed</t>
        </is>
      </c>
      <c r="E16">
        <f>HYPERLINK("https://www.indeed.com/viewjob?jk=48a6ed78769ac4e5", "https://www.indeed.com/viewjob?jk=48a6ed78769ac4e5")</f>
        <v/>
      </c>
      <c r="F16">
        <f>HYPERLINK("https://workforcenow.adp.com/mascsr/default/mdf/recruitment/recruitment.html?cid=e12ae6cd-d161-4ceb-ab26-fd1b37d7f0a8&amp;ccId=19000101_000001&amp;jobId=575656&amp;source=IN&amp;lang=en_US", "https://workforcenow.adp.com/mascsr/default/mdf/recruitment/recruitment.html?cid=e12ae6cd-d161-4ceb-ab26-fd1b37d7f0a8&amp;ccId=19000101_000001&amp;jobId=575656&amp;source=IN&amp;lang=en_US")</f>
        <v/>
      </c>
      <c r="G16" t="inlineStr">
        <is>
          <t>Newark, NJ, US</t>
        </is>
      </c>
      <c r="H16" s="2" t="n">
        <v>46044</v>
      </c>
      <c r="I16" t="inlineStr">
        <is>
          <t>**Location**
* Preferably Philadelphia, PA or Newark, NJ. Will consider remote for the right candidate.
**Overview**
Highlight Health is a mission\-driven company that protects consumer rights and controls healthcare costs for self\-funded plans. We are a profitable, fast\-growing company without private equity investors. We're at an exciting inflection point where we are transforming our company to be more agile, scaling our tech and product team, and preparing for our first digital product launches in 2026\.
 Highlight Health is redefining cost containment for self\-funded health plans, participants, and stop\-loss carriers. We save money for plans and participants, while assisting plan sponsors in fulfilling their fiduciary duties. We are an independent, nationally recognized healthcare cost containment company that uses innovative technology and sound industry knowledge and experience to drive success. Our combination of expertise and technology sets the industry standard for independent healthcare cost containment and guidance services. Our team has passion for their work and the company’s impact on healthcare costs.
 We are looking for an experienced Product Manager to initially take ownership of our new externally facing customer portal, followed by future products we will be launching. This is a high visibility, high\-growth potential position. The portal is a mission\-critical application for the continued rapid growth of our business. Because we are a still a small company, you will initially wear three hats: Product Manager (defining what to build based on customer and internal stakeholder needs), Product Owner (translating vision into actionable user stories and managing the backlog), and Project Manager (ensuring on time delivery and stakeholder communication). This is a player\-coach role where you'll be hands\-on with the team daily while also setting strategy, managing up to executive leadership, and team building. Although this role resides in the Technology department, you'll work cross\-functionally with Sales, Operations, Client Success, and directly with customers.
**Essential Duties and Responsibilities**
* Product Management:
	+ Own the Partner Portal roadmap (3\-6 month view aligned with company goals) and subsequent product roadmaps
	+ Conduct customer interviews and gather feedback (Internal stakeholders are considered key customers as well).
	+ Work with Sales, Client Success, Operations, and executive leadership to prioritize features.
	+ Make build/buy/partner decisions in collaboration with the CTO.
	+ Define success metrics and track product performance (adoption, usage, satisfaction).
	+ Identify market opportunities and competitive threats.
	+ Understand the healthcare claims domain deeply and translate customer workflows into product requirements.
	+ Own future new product launches (external and internal).
* Product Owner:
	+ Groom and prioritize the product backlog in Azure DevOps to keep the team 2 sprints ahead.
	+ Write user stories with clear acceptance criteria that the team can execute on.
	+ Lead sprint planning, reviews, and retrospectives on a bi\-weekly cadence.
	+ Answer team questions daily and unblock developers when they hit roadblocks.
	+ Accept completed work and validate against requirements and quality standards.
	+ Collaborate with design on wireframes and with QA on test plans.
	+ Bridge between technical team and business stakeholders by translating needs in both directions.
* Project Management:
	+ Track delivery timelines and identify risks early before they become blockers.
	+ Provide weekly status updates to executive team on progress, risks, and achievements.
	+ Coordinate across teams (development, operations, sales, client success) to ensure alignment.
	+ Manage dependencies with external vendors
	+ Facilitate decision\-making when blockers arise and escalate appropriately.
	+ Document decisions and maintain project artifacts for team visibility and stakeholder communication.
* Team Leadership:
	+ Work with the CTO to develop product development capabilities and expand the team.
	+ An individual contributor first and a hands\-on approach to daily teamwork
	+ Coach a growing technical team (10 people today, 15\+ by mid\-year) on Agile best practices.
	+ Foster a collaborative, inclusive, and high\-performance team culture.
	+ Work closely with Lead Developer, DevOps Engineer, and Data Engineer to balance features with technical sustainability.
	+ Advocate for technical debt and infrastructure work alongside feature development.
	+ Support the hiring of nearshore developers and their integration into the team
**Experience and Qualifications**
Minimum Qualifications
* At least 5\-8years of experience in product management, product owner, or related roles.
* Previous work in small and evolving development environments
* At least2yearsHands\-on Agile/Scrum experience (you've run sprints yourself, not just attended them).
* Healthcare domain knowledge (claims processing, HIPAA compliance, healthcare workflows, or adjacent).
* Technical fluency (understand APIs, discuss architecture with engineers without intimidation).
* Proven success in stakeholder management (comfortable presenting to executives and customers).
* Experience with Azure DevOps, Jira, or similar Agile project management tools.
* Strong user story writing (clear acceptance criteria, appropriate level of detail).
* Ability to wear multiple hats effectively (Product Manager, Product Owner, Project Manager).
* Excellent interpersonal, leadership, and communication skills.
* Data\-informed decision making (uses metrics, not just opinions).
* Bias to action (ships iteratively, doesn't wait for perfect).
 Nice to Have
* Healthcare claims or billing systems experience.
* MS Dynamics experience a huge plus
* Scrum Master certification (CSM, PSM, or equivalent).
* Experience launching 0\-to\-1 products.
* Managed products in regulated industries (healthcare, government).
* Led teams through vendor\-to\-internal transitions.
* Experience with nearshore/offshore development teams.
* SQL or data analysis skills.
* UX/design background.
**Compensation and Benefits**
* Salary Range:$140,000\+
* Highlight Health offers an attractive benefits package, with healthcare cost reimbursement, paid time off, commuting benefits, short\-term disability, an employer 401(k) contribution, and bonuses.
* After90 days of employment, you may work from home 1 day/week.
**How to Apply**
* Submit your resume.
* Submit a mandatory cover letter.</t>
        </is>
      </c>
    </row>
    <row r="17">
      <c r="A17" t="inlineStr">
        <is>
          <t>in-002822957c58baf5</t>
        </is>
      </c>
      <c r="B17" t="inlineStr">
        <is>
          <t>Product Manager</t>
        </is>
      </c>
      <c r="C17" t="inlineStr"/>
      <c r="D17" t="inlineStr">
        <is>
          <t>indeed</t>
        </is>
      </c>
      <c r="E17">
        <f>HYPERLINK("https://www.indeed.com/viewjob?jk=002822957c58baf5", "https://www.indeed.com/viewjob?jk=002822957c58baf5")</f>
        <v/>
      </c>
      <c r="F17">
        <f>HYPERLINK("https://workforcenow.adp.com/mascsr/default/mdf/recruitment/recruitment.html?cid=e12ae6cd-d161-4ceb-ab26-fd1b37d7f0a8&amp;ccId=19000101_000001&amp;jobId=575656&amp;source=IN&amp;lang=en_US", "https://workforcenow.adp.com/mascsr/default/mdf/recruitment/recruitment.html?cid=e12ae6cd-d161-4ceb-ab26-fd1b37d7f0a8&amp;ccId=19000101_000001&amp;jobId=575656&amp;source=IN&amp;lang=en_US")</f>
        <v/>
      </c>
      <c r="G17" t="inlineStr">
        <is>
          <t>Philadelphia, PA, US</t>
        </is>
      </c>
      <c r="H17" s="2" t="n">
        <v>46044</v>
      </c>
      <c r="I17" t="inlineStr">
        <is>
          <t>**Location**
* Preferably Philadelphia, PA or Newark, NJ. Will consider remote for the right candidate.
**Overview**
Highlight Health is a mission\-driven company that protects consumer rights and controls healthcare costs for self\-funded plans. We are a profitable, fast\-growing company without private equity investors. We're at an exciting inflection point where we are transforming our company to be more agile, scaling our tech and product team, and preparing for our first digital product launches in 2026\.
 Highlight Health is redefining cost containment for self\-funded health plans, participants, and stop\-loss carriers. We save money for plans and participants, while assisting plan sponsors in fulfilling their fiduciary duties. We are an independent, nationally recognized healthcare cost containment company that uses innovative technology and sound industry knowledge and experience to drive success. Our combination of expertise and technology sets the industry standard for independent healthcare cost containment and guidance services. Our team has passion for their work and the company’s impact on healthcare costs.
 We are looking for an experienced Product Manager to initially take ownership of our new externally facing customer portal, followed by future products we will be launching. This is a high visibility, high\-growth potential position. The portal is a mission\-critical application for the continued rapid growth of our business. Because we are a still a small company, you will initially wear three hats: Product Manager (defining what to build based on customer and internal stakeholder needs), Product Owner (translating vision into actionable user stories and managing the backlog), and Project Manager (ensuring on time delivery and stakeholder communication). This is a player\-coach role where you'll be hands\-on with the team daily while also setting strategy, managing up to executive leadership, and team building. Although this role resides in the Technology department, you'll work cross\-functionally with Sales, Operations, Client Success, and directly with customers.
**Essential Duties and Responsibilities**
* Product Management:
	+ Own the Partner Portal roadmap (3\-6 month view aligned with company goals) and subsequent product roadmaps
	+ Conduct customer interviews and gather feedback (Internal stakeholders are considered key customers as well).
	+ Work with Sales, Client Success, Operations, and executive leadership to prioritize features.
	+ Make build/buy/partner decisions in collaboration with the CTO.
	+ Define success metrics and track product performance (adoption, usage, satisfaction).
	+ Identify market opportunities and competitive threats.
	+ Understand the healthcare claims domain deeply and translate customer workflows into product requirements.
	+ Own future new product launches (external and internal).
* Product Owner:
	+ Groom and prioritize the product backlog in Azure DevOps to keep the team 2 sprints ahead.
	+ Write user stories with clear acceptance criteria that the team can execute on.
	+ Lead sprint planning, reviews, and retrospectives on a bi\-weekly cadence.
	+ Answer team questions daily and unblock developers when they hit roadblocks.
	+ Accept completed work and validate against requirements and quality standards.
	+ Collaborate with design on wireframes and with QA on test plans.
	+ Bridge between technical team and business stakeholders by translating needs in both directions.
* Project Management:
	+ Track delivery timelines and identify risks early before they become blockers.
	+ Provide weekly status updates to executive team on progress, risks, and achievements.
	+ Coordinate across teams (development, operations, sales, client success) to ensure alignment.
	+ Manage dependencies with external vendors
	+ Facilitate decision\-making when blockers arise and escalate appropriately.
	+ Document decisions and maintain project artifacts for team visibility and stakeholder communication.
* Team Leadership:
	+ Work with the CTO to develop product development capabilities and expand the team.
	+ An individual contributor first and a hands\-on approach to daily teamwork
	+ Coach a growing technical team (10 people today, 15\+ by mid\-year) on Agile best practices.
	+ Foster a collaborative, inclusive, and high\-performance team culture.
	+ Work closely with Lead Developer, DevOps Engineer, and Data Engineer to balance features with technical sustainability.
	+ Advocate for technical debt and infrastructure work alongside feature development.
	+ Support the hiring of nearshore developers and their integration into the team
**Experience and Qualifications**
Minimum Qualifications
* At least 5\-8years of experience in product management, product owner, or related roles.
* Previous work in small and evolving development environments
* At least2yearsHands\-on Agile/Scrum experience (you've run sprints yourself, not just attended them).
* Healthcare domain knowledge (claims processing, HIPAA compliance, healthcare workflows, or adjacent).
* Technical fluency (understand APIs, discuss architecture with engineers without intimidation).
* Proven success in stakeholder management (comfortable presenting to executives and customers).
* Experience with Azure DevOps, Jira, or similar Agile project management tools.
* Strong user story writing (clear acceptance criteria, appropriate level of detail).
* Ability to wear multiple hats effectively (Product Manager, Product Owner, Project Manager).
* Excellent interpersonal, leadership, and communication skills.
* Data\-informed decision making (uses metrics, not just opinions).
* Bias to action (ships iteratively, doesn't wait for perfect).
 Nice to Have
* Healthcare claims or billing systems experience.
* MS Dynamics experience a huge plus
* Scrum Master certification (CSM, PSM, or equivalent).
* Experience launching 0\-to\-1 products.
* Managed products in regulated industries (healthcare, government).
* Led teams through vendor\-to\-internal transitions.
* Experience with nearshore/offshore development teams.
* SQL or data analysis skills.
* UX/design background.
**Compensation and Benefits**
* Salary Range:$140,000\+
* Highlight Health offers an attractive benefits package, with healthcare cost reimbursement, paid time off, commuting benefits, short\-term disability, an employer 401(k) contribution, and bonuses.
* After90 days of employment, you may work from home 1 day/week.
**How to Apply**
* Submit your resume.
* Submit a mandatory cover letter.</t>
        </is>
      </c>
    </row>
    <row r="18">
      <c r="A18" t="inlineStr">
        <is>
          <t>in-90314ef35dfbb61a</t>
        </is>
      </c>
      <c r="B18" t="inlineStr">
        <is>
          <t>Health Program Manager 1</t>
        </is>
      </c>
      <c r="C18" t="inlineStr">
        <is>
          <t>State of Arizona</t>
        </is>
      </c>
      <c r="D18" t="inlineStr">
        <is>
          <t>indeed</t>
        </is>
      </c>
      <c r="E18">
        <f>HYPERLINK("https://www.indeed.com/viewjob?jk=90314ef35dfbb61a", "https://www.indeed.com/viewjob?jk=90314ef35dfbb61a")</f>
        <v/>
      </c>
      <c r="F18">
        <f>HYPERLINK("https://www.azstatejobs.gov/jobs/health-program-manager-1-phoenix-arizona-united-states-d8dbe36f-1cf3-426c-b875-93bcbf2a3a3e", "https://www.azstatejobs.gov/jobs/health-program-manager-1-phoenix-arizona-united-states-d8dbe36f-1cf3-426c-b875-93bcbf2a3a3e")</f>
        <v/>
      </c>
      <c r="G18" t="inlineStr">
        <is>
          <t>Phoenix, AZ, US</t>
        </is>
      </c>
      <c r="H18" s="2" t="n">
        <v>46044</v>
      </c>
      <c r="I18" t="inlineStr">
        <is>
          <t>DEPT OF HEALTH SERVICES
*The Arizona Department of Health Services promotes and protects the health of Arizona’s children and adults. Our mission is to promote, protect, and improve the health and wellness of individuals and communities in Arizona. We strive to set the standard for personal and community health through direct care, science, public policy, and leadership. ADHS promotes alternative work schedules, flexible hours. We have positions that can fit any stage in your career, from entry to senior level. We offer a robust benefit package, including the ADHS Student Loan Assistance Program, where eligible employees can receive up to $300\.00 per month for their outstanding student loans. Come check us out and see how you can make a difference in the lives of all Arizonans.*
**Immunization Program Specialist**
Job Location:
Address: 150 N 18th Ave, Phoenix, AZ 85007
This Posting is for Current Internal ADHS Applicants ONLY.
Posting Details:
Salary: $55,000  
Grade: 20
Job Summary: This Posting is for Current Internal ADHS Applicants ONLY.
Plans, directs and implements site visits that assess VFC program compliance, with VFC/VFA/ enrolled sites. Provides technical assistance and education for immunization program compliance and accountability for VFC/VFA enrolled sites and schools/child care facilities. Completes required reporting, documentation and data collection for all work activities.
Job Duties:
Plans, directs and implements site visits that assess VFC program compliance and vaccination with VFC/VFA enrolled sites  
Provide technical assistance and education for immunization program compliance and accountability for VFC/VFA provider sites as outlined in the AZ VFC Operations Guide and federal guidelines for school/child care staff, and as directed by program leadership. Create, conduct trainings related to work assignments as directed by program leadership.  
Complete required reporting, documentation, and data collection for all work activities as defined by program leadership.  
Provide routine communication (email, phone, face to face) for provider staff, school/child care staff, and internal staff in a timely and professional manner. This is to include reporting these communications in REDCap as defined by program leadership.  
Attend meetings and trainings, to increase staff understanding of program roles and requirements, as assigned by program leadership.  
Other duties as assigned as related to the position
Knowledge, Skills \&amp; Abilities (KSAs):
Knowledge of :  
* Public health practices, knowledge or ability to gain knowledge about vaccines
* Dosing schedules, storage and handling, shipping and management.
* Program planning and evaluation
* Vaccine inventory practices, program rules, regulations, requirements, policies as well as childcare and school immunization requirements.
* Knowledge of Performance Management (PM), and Continuous Quality Improvement (CQI) and Lean methodologies.
Skill in:  
* Outstanding written and oral communication skills are needed to: clearly explain all of the rules and requirements of the immunization program, detail verbally and in writing the findings at all program visits, Microsoft, Google and ASIIS skills are also needed or must quickly be learned.
Ability to:  
* Communicate with providers in a variety of situations\-retaining professional attitude and excellent relational skills.
* Conduct research and write reports
* Learn, utilize and teach technology (ASIIS, Tracker, other).
* Conduct presentations in front of an audience.
* Solve or resolve issues that providers have with program requirements; using these situations as teachable moments. Provide training as directed by leadership.
* Travel across AZ to provide program related visits
* Maintain good relationships with internal staff and program provider staff.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Bachelor's degree in public health, healthcare administration, social work or related discipline with 2 years work experience in public health, healthcare, or a related field.
Pre\-Employment Requirements:
This Posting is for Current Internal ADHS Applicants ONLY.
Driver's License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The State of Arizona provides an excellent comprehensive benefits package including:
* Affordable medical and dental insurance plans
* Paid vacation and sick time
* Paid Parental Leave\-Up to 12 weeks per year paid leave for newborn or newly\-placed foster/adopted child (pilot program).
* 10 paid holidays per year
* Wellness program and plans
* Life insurance
* Short/long\-term disability insurance
* Defined retirement plan
* Award winning Infant at Work program
* Credit union membership
* Transit subsidy
* ADHS Student Assistance Pilot Program
Retirement:
To help you build a financially secure future, the State makes monthly contributions to finance your retirement benefit. The State will contribute to the ASRS in an amount equal to your contribution. In other words, you and the State will each pay 50% of the total cost of the benefit. New State employees have a 27\-week wait period for contributions to begin.
Contact Us:
The State of Arizona is an Equal Opportunity/Reasonable Accommodation Employer. Persons with a disability may request a reasonable accommodation such as a sign language interpreter or an alternative format by emailing nicole.zawacki@azdhs.gov. Requests should be made as early as possible to allow sufficient time to arrange the accommodation. DHS is an Equal Employment Opportunity Employer. All newly hired employees will be subject to E\-Verify Employment Eligibility Verification.</t>
        </is>
      </c>
    </row>
    <row r="19">
      <c r="A19" t="inlineStr">
        <is>
          <t>in-6776fbaa04a5c033</t>
        </is>
      </c>
      <c r="B19" t="inlineStr">
        <is>
          <t>Senior Program Manager – Oak Ridge, TN</t>
        </is>
      </c>
      <c r="C19" t="inlineStr">
        <is>
          <t>Tetra Tech</t>
        </is>
      </c>
      <c r="D19" t="inlineStr">
        <is>
          <t>indeed</t>
        </is>
      </c>
      <c r="E19">
        <f>HYPERLINK("https://www.indeed.com/viewjob?jk=6776fbaa04a5c033", "https://www.indeed.com/viewjob?jk=6776fbaa04a5c033")</f>
        <v/>
      </c>
      <c r="F19">
        <f>HYPERLINK("https://tetratech.referrals.selectminds.com/jobs/senior-program-manager-%E2%80%93-oak-ridge-tn-52964", "https://tetratech.referrals.selectminds.com/jobs/senior-program-manager-%E2%80%93-oak-ridge-tn-52964")</f>
        <v/>
      </c>
      <c r="G19" t="inlineStr">
        <is>
          <t>Oak Ridge, TN, US</t>
        </is>
      </c>
      <c r="H19" s="2" t="n">
        <v>46044</v>
      </c>
      <c r="I19" t="inlineStr">
        <is>
          <t>**The Opportunity:**
Tetra Tech is adding a ***Senior Program Manager*** for our Oak Ridge, TN location.  
**Why Tetra Tech:**
At Tetra Tech, we are *Leading with Science* to solve the world’s most complex challenges. Our industry\-leading experts in engineering and consulting are committed to driving positive change in communities around the world. For over 50 years, we have been at the forefront of innovation and sustainability. Today we stand as a market leader, offering cutting\-edge solutions in water, environment, energy, and international development. Our work has improved more than 625 million lives around the world.  
**Your Impact:**
Join Tetra Tech to make a real difference. Our work leverages cutting\-edge technologies, advanced analytics, and the expertise of world\-class scientists and engineers to create meaningful change around the world. Discover your full potential – join us to advance your career while leaving a lasting legacy.  
**Your Role:**
* Provide senior\-level program management for the oversight and execution of complex projects.
* Lead project integration activities, including the development, issuance, and annual updates of technical documents, as well as conducting implementation verification reviews.
* Offer expert\-level knowledge and guidance in the analysis of radioactive materials at DOE/NNSA national laboratories and sites, with a specific focus on Radioactive Material Processing Technologies.
* Foster relationships with national laboratory leaders, DOE senior management, and key business leaders to drive program success and collaboration.
* Conduct activities in line with internal procedures, legislation, and industry standards.
* Pursue continuous professional development and maintain a high degree of discipline knowledge and awareness.
* Work in a safe manner at all times and report all health and safety incidents and concerns.
* Additional duties as required.
**Qualifications:**
* Minimum of an M.S. in a technical field.
* At least 20 years of experience working with DOE/NNSA programs and sites.
* In\-depth understanding and working knowledge of advanced analytical techniques for radioactive materials.
* Proven ability to manage complex multi\-laboratory programs and personnel effectively.
* Strong background in program management and business development.
* Must have or be capable of obtaining a DOE Q\-clearance.
* The position may be filled on either a part\-time or full\-time basis, depending on candidate qualifications.
* Must possess a valid driver’s license with a clean driving record without restrictions.
This role is an excellent opportunity to lead high\-impact projects, collaborate with industry leaders, and contribute to advancements in radioactive material processing technologies at DOE/NNSA facilities.  
**Life at Tetra Tech:**
The perks of working at Tetra Tech include:
* Comprehensive and market\-competitive benefits.
* Medical benefits, workers compensation insurance, and 401(k) plan.
* Merit\-based financial rewards.
* Flexibility and company\-wide commitment to work/life balance.
* Collaborative team atmosphere that values the contributions of all employees.
* Learning and development opportunities for ongoing professional growth.
A pre\-employment drug screen in compliance with federal regulations is required, along with a physical if needed.  
*At Tetra Tech, health and safety play a vital role in our success. Tetra Tech’s employees work together to comply with all applicable health \&amp; safety practices and protocols, including public health orders and regulations that are mandated by local, state, provincial, federal, international authorities, and clients.*
**About Tetra Tech:**
Tetra Tech is the leader in water, environment, and sustainable infrastructure, providing high\-end consulting and engineering services for projects worldwide. With 30,000 employees working together, Tetra Tech provides clear solutions to complex problems by *Leading with Science**®* to address the entire water cycle, protect and restore the environment, design sustainable and resilient infrastructure, and support the clean energy transition.  
Tetra Tech is proud to be an Equal Opportunity Employer. All qualified candidates will be considered without regard to race, color, religion, national origin, age, disability, sex, marital or familial status, status as a protected veteran, or any other characteristic protected by law. Tetra Tech is a VEVRAA federal contractor and we request priority referral of veterans.  
We invite applications from all interested parties.  
Explore our open positions at https://www.tetratech.com/careers. Follow us on social media to learn more about our people, culture, and opportunities:
LinkedIn: @TetraTechCareers
X (Twitter): @TetraTechJobs</t>
        </is>
      </c>
    </row>
    <row r="20">
      <c r="A20" t="inlineStr">
        <is>
          <t>in-848b3958d577b118</t>
        </is>
      </c>
      <c r="B20" t="inlineStr">
        <is>
          <t>Senior Business Product Manager, Content Agentic AI Applications</t>
        </is>
      </c>
      <c r="C20" t="inlineStr">
        <is>
          <t>Genentech</t>
        </is>
      </c>
      <c r="D20" t="inlineStr">
        <is>
          <t>indeed</t>
        </is>
      </c>
      <c r="E20">
        <f>HYPERLINK("https://www.indeed.com/viewjob?jk=848b3958d577b118", "https://www.indeed.com/viewjob?jk=848b3958d577b118")</f>
        <v/>
      </c>
      <c r="F20">
        <f>HYPERLINK("https://careers.gene.com/us/en/job/202601-101916/Senior-Business-Product-Manager-Content-Agentic-AI-Applications", "https://careers.gene.com/us/en/job/202601-101916/Senior-Business-Product-Manager-Content-Agentic-AI-Applications")</f>
        <v/>
      </c>
      <c r="G20" t="inlineStr">
        <is>
          <t>San Francisco, CA, US</t>
        </is>
      </c>
      <c r="H20" s="2" t="n">
        <v>46044</v>
      </c>
      <c r="I20" t="inlineStr">
        <is>
          <t>THE POSITION
Why Genentech
We’re passionate about delivering on Our Promise to improve the lives of patients and create healthier communities for all. We foster a culture of inclusivity, integrity and creativity while boldly pursuing answers to the world’s most complex health challenges and transforming society.
Who We Are
Digital Experience is shaping the future of how Genentech connects with our patients and customers by harnessing the power of digital innovation and human\-centered design. As healthcare evolves, we are bold in our approach – leveraging cutting edge AI, advanced digital engagement, end\-to\-end content management, and omnichannel technologies and operations to create seamless, personalized, and meaningful experiences for our patients and customers. This is your opportunity to lead transformative change, integrating advanced technology with strategic vision to drive impact at scale. If you are passionate about redefining the healthcare experiences and building something extraordinary, we want you on this journey. Let’s redefine what’s possible together!
This combined team, in collaboration with key partners, builds solutions to serve Marketing, Customer Engagement, Medical Affairs, Public Affairs \&amp; Access (“CMG”), and other patient\- and customer\-facing teams across CMG to shape and drive a seamless, consistent, meaningful, and compliant experience for patients and customers across our interactions. The team is specifically accountable for:
* Defining omnichannel solutions, shaping engagement strategies, designing, operationalizing, and producing seamless, consistent \&amp; meaningful patient and customer experiences.
* Accelerating, connecting, and enabling the development of digital solutions that enhance the patient and customer experience across CMG.
* Advancing the mission of seamless, consistent \&amp; meaningful patient and customer experiences that maximize patient impact while keeping compliance at the forefront.
The Opportunity
Genentech/Roche is looking to redefine the customer experience by leveraging advanced AI solutions across the commercial value chain, including for marketing and sales, medical and government affairs and access. We are seeking an exceptional Senior Business Product Manager to define and lead the business needs and deliver on orchestrating a multi\-agent system. The solution will orchestrate across different specialized agents or tools including content creation and review platforms, content management systems, (CMS), Digital Asset Management (DAM) platforms, CRM, Omnichannel delivery systems etc. You will define the business needs, translate into requirements and work with SMEs and Technical teams to build the core capabilities that accelerate time\-to\-market while achieving zero critical regulatory errors, regardless of the underlying tools. For a Product leader who thrives on business impact with systems thinking and breaking silos across the enterprise, this is the chance to connect users, tools and data into a connected ecosystem.
The Impact You'll Make
Reporting to the Senior Director, Content Authoring \&amp; Assembly, the Senior Business Product Manager, Agentic AI will own the strategy and roadmap for content lifecycle orchestration leveraging multi agents, ensuring it drives compliant, autonomous workflow automation from creation in CMS/DAM to deployment.
Strategy and Vision
* Define and articulate the long\-term vision and strategy for orchestration of content across commercial, medical, access, physicians and patients leveraging multi agent systems.
* Build the business case and define the business impact in measurable terms for eg improved efficiency and turn around times and track these metrics
* Define the north star and roadmap to get there by making trade off decisions and leveraging prioritization frameworks
* Lead the decomposition of complex workflows (e.g., content versioning, MLR submission) into distinct, system\-agnostic tasks that can be efficiently delegated to specialized Agentic Modules within any connected CMS or DAM platform.
* Own the product strategy and roadmap for core orchestration features, including connectivity to tools, platforms, AI agents with unified context shared across all stakeholders.
* Identify and prioritize opportunities where Master Orchestration can reduce bottlenecks and compliance risk across the entire content value chain.
Execution and Delivery
* Define the detailed requirements for the orchestration layer working closely with business stakeholders across commercial, medical, and access teams
* Define data grounding and context sharing requirements to ensure the Master Layer and its modules only operate based on validated, current, and compliant sources, regardless of which CMS/DAM holds the source data.
* Translate workflow requirements into detailed product specifications for underlying logic and orchestration, balancing speed and efficiency with the high bar for accuracy and auditability required by MLR.
* Partner with Engineering and Data Science to build robust, scalable, and observable platform components that allow for transparent tracking of every automated action across all integrated systems and scalability across the enterprise
* Prototype and test new functionality with SMEs, ensuring compliance and operational viability across platforms.
People and Collaboration
* Champion the "Autonomous Enterprise" mindset, defining the new operating model where human teams collaborate seamlessly with automated systems residing in any platform.
* Facilitate deep technical and business collaboration across IT, CMLR, Legal,and Global teams to secure governance for the Master Platform and standardize the inputs/outputs of all Agentic Modules, regardless of the vendor.
* Engage deeply with internal stakeholders (Content Strategists, MLR Reviewers) to understand trust boundaries and design escalation paths that maintain confidence in automated execution.
* Influence adjacent product teams (e.g., teams owning CRM,OMNICHANEL, or other CMS/DAM systems) on the technical requirements needed for their modules to interface with and be governed by the Master Layer.
Qualifications
Core Experience \&amp; Skills
* 6\+ years of enterprise software Product Management experience, with at least 5 years in SaaS; Data platform or advanced automation experience strongly preferred.
* Strong understanding of the technical challenges in integrating and coordinating workflows across multiple enterprise systems (CMS, DAM, CRM) via API layers.
* Hands on experience designing and building multi agent solutions
* Mandatory expertise in building, designing, or defining complex Multi\-System or Multi\-Component Orchestration layer or high\-scale workflow automation platforms.
* Experience working and building for complex enterprise personas (Administrators, Power Users, Auditors).
* Strong understanding of the role of high\-quality data in automation development, quality, governance, and how it impacts business outcomes.
* Proven collaborator with exceptional organizational effectiveness, able to drive consensus and execution across highly matrixed, technical teams.
* A proven 0 1 builder with a deep focus on customer needs, comfortable quickly transitioning from initial problem framing to a live product.
* Strong AI product fluency and curiosity about emerging, state\-of\-the\-art tech, with an understanding of modern AI capabilities, their limitations, and how to productize them responsibly.
Preferred (Domain\-Specific) Qualifications
* Practical familiarity with Content Management Systems (CMS) and Digital Asset Management (DAM) platforms, including their API architectures.
* Experience in content lifecycle management (creation, review, publishing) in a regulated environment is highly valued.
* Prior experience designing products where trust, auditability, and output validation (quality\-first focus) are non\-negotiable requirements.
* Thought leadership in advanced automation trends, system safety and ethics, and enterprise adoption patterns.
* Pharma, healthcare experience is a huge plus
* Prototype, experiment, and rapidly develop functional AI tools and data\-driven solutions. Leverage AI as a core capability to explore and refine experience directions, including user flows, UX copy, stress tests, and lightweight compositional elements.
Location
* This position is based in South San Francisco, CA.
* Relocation Assistance is not available
*The expected salary range for this position based on the primary location of South San Francisco, CA is $185,200 \- $343,900 USD Annual**.*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\#LI\-NN2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Category**Computational Biology
**Schedule**Full time
**Job Type**Regular
**Posted Date**Jan 23rd 2026
**Job ID**202601\-101916</t>
        </is>
      </c>
    </row>
    <row r="21">
      <c r="A21" t="inlineStr">
        <is>
          <t>in-0690341e16b25f55</t>
        </is>
      </c>
      <c r="B21" t="inlineStr">
        <is>
          <t>Temporary Program Manager (Wealth Management Transformation)</t>
        </is>
      </c>
      <c r="C21" t="inlineStr">
        <is>
          <t>Artius Solutions</t>
        </is>
      </c>
      <c r="D21" t="inlineStr">
        <is>
          <t>indeed</t>
        </is>
      </c>
      <c r="E21">
        <f>HYPERLINK("https://www.indeed.com/viewjob?jk=0690341e16b25f55", "https://www.indeed.com/viewjob?jk=0690341e16b25f55")</f>
        <v/>
      </c>
      <c r="F21">
        <f>HYPERLINK("https://candidateportalnew.ceipal.com/job-details/Fh8aJmvSlZZbgiuIMKucjXm1cfaavRS0e0hkAS70hqU#.job_boards.Indeed", "https://candidateportalnew.ceipal.com/job-details/Fh8aJmvSlZZbgiuIMKucjXm1cfaavRS0e0hkAS70hqU#.job_boards.Indeed")</f>
        <v/>
      </c>
      <c r="G21" t="inlineStr">
        <is>
          <t>Los Angeles, CA, US</t>
        </is>
      </c>
      <c r="H21" s="2" t="n">
        <v>46044</v>
      </c>
      <c r="I21" t="inlineStr">
        <is>
          <t>**Temporary Program Manager (Wealth Management Transformation)**
**Location:** Los Angeles, CA (Hybrid / Onsite as needed)  
**Type:** Contract / Temporary  
**Level:** Manager
**Overview**
We're seeking a Temporary Program Manager with strong Wealth Management and advisory transformation experience to support a large\-scale initiative within a regulated financial services environment. This role will lead defined programs or major workstreams related to Broker\-Dealer to RIA transitions, advisor onboarding, and platform change, serving as both a program lead and subject matter expert.
**Key Responsibilities**
* Lead Wealth Management transformation programs or workstreams, including BD\-to\-RIA or hybrid model transitions
* Serve as a subject matter expert (SME) across advisory operating models, onboarding, and platform change
* Partner across Legal, Compliance, Operations, Technology, and Advisor teams to drive execution
* Support custody, clearing, and asset transfer activities, including advisor and client onboarding
* Manage timelines, risks, issues, dependencies, and program reporting
* Track and mitigate regulatory, operational, and execution risks tied to advisory transitions
* Ensure delivery aligns with regulatory requirements, controls, and operating standards
* Prepare status updates and materials for senior stakeholders
**Required Qualifications**
* 7 10 years of program or project management experience in Banking or Financial Services
* Strong Wealth Management domain expertise, including advisory platforms or operating models
* Experience supporting Broker\-Dealer to RIA transitions or similar advisory initiatives
* Familiarity with RIA custodians (e.g., Pershing)
* Working knowledge of Broker\-Dealer vs. RIA regulatory and operating frameworks
* Experience delivering initiatives in regulated environments
* Strong stakeholder management and communication skills
.</t>
        </is>
      </c>
    </row>
    <row r="22">
      <c r="A22" t="inlineStr">
        <is>
          <t>in-00018e4443cfa1dc</t>
        </is>
      </c>
      <c r="B22" t="inlineStr">
        <is>
          <t>Program Manager - Custody / Asset Servicing</t>
        </is>
      </c>
      <c r="C22" t="inlineStr">
        <is>
          <t>Artius Solutions</t>
        </is>
      </c>
      <c r="D22" t="inlineStr">
        <is>
          <t>indeed</t>
        </is>
      </c>
      <c r="E22">
        <f>HYPERLINK("https://www.indeed.com/viewjob?jk=00018e4443cfa1dc", "https://www.indeed.com/viewjob?jk=00018e4443cfa1dc")</f>
        <v/>
      </c>
      <c r="F22">
        <f>HYPERLINK("https://candidateportalnew.ceipal.com/job-details/M8XAK0gVBbAe-KyWuH2S0x9l8wYcrAopjWPniQ6pw-Y#.job_boards.Indeed", "https://candidateportalnew.ceipal.com/job-details/M8XAK0gVBbAe-KyWuH2S0x9l8wYcrAopjWPniQ6pw-Y#.job_boards.Indeed")</f>
        <v/>
      </c>
      <c r="G22" t="inlineStr">
        <is>
          <t>Jersey City, NJ, US</t>
        </is>
      </c>
      <c r="H22" s="2" t="n">
        <v>46044</v>
      </c>
      <c r="I22" t="inlineStr">
        <is>
          <t>**Temporary Program Manager (Custody / Asset Servicing SEI)**
**Location:** Jersey City, NJ (Hybrid / Onsite as needed)  
**Type:** Contract / Temporary  
**Level:** Manager
**Overview**
We're seeking a Temporary Program Manager with strong Custody / Asset Servicing expertise to support Wealth Management initiatives within a regulated financial services environment. This role will lead defined programs or major workstreams tied to custodial platform delivery, integrations, and operational change.
**Key Responsibilities**
* Lead custody and asset servicing programs/workstreams, including platform enhancements and integrations
* Serve as a subject matter expert (SME) across custody processes and asset safekeeping requirements
* Partner across Operations, Technology, Risk, Compliance, and vendor teams to drive execution
* Support integrations with SEI custodial platforms and downstream systems
* Manage timelines, risks, issues, dependencies, and program reporting
* Ensure delivery aligns with controls, regulatory requirements, and operational standards
* Prepare status updates and materials for senior stakeholders
**Required Qualifications**
* 7 10 years of program/project management experience in Banking or Financial Services
* Strong Custody / Asset Servicing domain expertise
* Hands\-on experience with **SEI** custodial platforms
* Experience delivering initiatives in regulated environments
* Strong stakeholder management and communication skills
.</t>
        </is>
      </c>
    </row>
    <row r="23">
      <c r="A23" t="inlineStr">
        <is>
          <t>in-043ee4350424b37b</t>
        </is>
      </c>
      <c r="B23" t="inlineStr">
        <is>
          <t>Manager, Software Engineering Product Manager (Rapid Response)</t>
        </is>
      </c>
      <c r="C23" t="inlineStr">
        <is>
          <t>Nationwide Mutual Insurance Company</t>
        </is>
      </c>
      <c r="D23" t="inlineStr">
        <is>
          <t>indeed</t>
        </is>
      </c>
      <c r="E23">
        <f>HYPERLINK("https://www.indeed.com/viewjob?jk=043ee4350424b37b", "https://www.indeed.com/viewjob?jk=043ee4350424b37b")</f>
        <v/>
      </c>
      <c r="F23">
        <f>HYPERLINK("https://careers.nationwide.com/manager-software-engineering-product-manager-rapid-response/job/0EC93431129D1BE9556513D50F3C9D25", "https://careers.nationwide.com/manager-software-engineering-product-manager-rapid-response/job/0EC93431129D1BE9556513D50F3C9D25")</f>
        <v/>
      </c>
      <c r="G23" t="inlineStr">
        <is>
          <t>Columbus, OH, US</t>
        </is>
      </c>
      <c r="H23" s="2" t="n">
        <v>46044</v>
      </c>
      <c r="I23"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will work a hybrid schedule coming into the Columbus, Ohio or Des Moines, Iowa office 2 days per week on Mondays \&amp; Tuesdays.**
Do you excel at driving operational excellence and tackling challenges in real time? Commercial Lines Solutions (CLS) is seeking a Rapid Response Manager to help us build a resilient, high‑performing technology environment where uptime is the standard, and every incident becomes an opportunity for growth.
**About the Role**  
As our Rapid Response Manager, you’ll lead the charge in managing high‑impact incidents across our application landscape. You’ll oversee a dedicated team of associates and vendor partners, ensuring swift, coordinated responses that minimize disruption and drive continuous improvement.
**What You’ll Do**
* Lead 24/7 response for P0 incidents, coordinating resolution efforts.
* Manage P1 incidents with urgency, ensuring effective escalation and communication.
* Leverage AI‑driven tools and automation to accelerate incident detection, triage, and resolution, improving overall productivity and reducing response times.
* Facilitate post‑incident reviews, identify root causes, and drive follow‑up actions to prevent recurrence.
* Serve as the central point of contact during incidents, keeping leadership and impacted teams informed.
* Lead a team of internal associates and vendor partners to ensure seamless incident response.
* Lead and manage offshore teams operating under a Managed Service Agreement model, ensuring alignment, accountability, and consistent delivery.
**What You Bring**
* Proven experience in incident management and leading cross‑functional teams.
* Strong leadership and coordination skills in high‑pressure scenarios.
* Expertise with ITSM tools like ServiceNow and Jira.
* Excellent communication, problem‑solving, and decision‑making abilities.
* Demonstrated success improving incident SLAs through KPI‑driven analytics and targeted process improvement.
* Proven experience managing Managed Service Agreements and driving vendor accountability for consistent, high‑quality delivery.
* Experience in Commercial Lines Insurance operations and familiarity with Policy Administration Systems is a huge plus.
\#LI\-AC1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Engineering Product Manager, you’ll be accountable for a suite of in house or third party applications. You'll lead teams of technology professionals to enable business outcomes and provide reliable customer\-centric solutions and experiences.**Job Description**
**Key Responsibilities:**
* Responsible for applying secure software and systems engineering practices throughout the delivery lifecycle to ensure our data and technology solutions are protected from threats and vulnerabilities.
* Partners with leaders to ensure a viable total cost of ownership and ongoing health and wellness of applications.
* Assists in the development and implementation of application suite roadmaps through the evaluation of business needs, competitive landscape, technology currency and information security considerations.
* Manages risk mitigation controls and provides support for internal and external audits.
* Supports the engineering build of the application suite and non technical efforts for the products.
* Represents voice of the customer, acts in a forward\-facing role to business partners as an active member of a portfolio management team in the advocation of business case development, planning, financial management and evaluation of portfolio.
* Hire and develop talent, provide consistent coaching and feedback.
* Responsible for delivery availability and resiliency following established operating mechanisms and best practices.
May perform other responsibilities as assigned.
**Reporting Relationships:** Reports to Technology Director or above. Leads a team of 5 or more technology professionals.
**Typical Skills and Experiences:**
**Education:** Undergraduate studies in management information systems, engineering, math, computer science or comparable experience and education preferred.
**Experience:** Six years of experience in application suite management with four years or more leading numerous teams across multiple technologies. Proven experience in empowering and building an engaged team.
**Knowledge, Abilities and Skills:** Detailed understanding and knowledge of the systems development life cycle and modern methodologies, practices, tools, and techniques. Solid understanding of concepts and techniques in project delivery, budgeting, forecasting and financial analysis. Ability to develop and implement roadmap strategies. Proven decision\-making and problem\-solving skills. Coaching and career development of team. Ability to develop and maintain positive relationships. Insurance/financial services industry knowledge is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Manager, Software Engineering Product Manager : $118,000\.00\-$222,000\.00
The expected starting salary range for Manager, Software Engineering Product Manager : $118,000\.00 \- $178,000\.00</t>
        </is>
      </c>
    </row>
    <row r="24">
      <c r="A24" t="inlineStr">
        <is>
          <t>in-364508098ebd6025</t>
        </is>
      </c>
      <c r="B24" t="inlineStr">
        <is>
          <t>Manager, Software Engineering Product Manager (Rapid Response)</t>
        </is>
      </c>
      <c r="C24" t="inlineStr">
        <is>
          <t>Nationwide Mutual Insurance Company</t>
        </is>
      </c>
      <c r="D24" t="inlineStr">
        <is>
          <t>indeed</t>
        </is>
      </c>
      <c r="E24">
        <f>HYPERLINK("https://www.indeed.com/viewjob?jk=364508098ebd6025", "https://www.indeed.com/viewjob?jk=364508098ebd6025")</f>
        <v/>
      </c>
      <c r="F24">
        <f>HYPERLINK("https://careers.nationwide.com/manager-software-engineering-product-manager-rapid-response/job/0EC93431129D1BE9556513D50F3C9D25", "https://careers.nationwide.com/manager-software-engineering-product-manager-rapid-response/job/0EC93431129D1BE9556513D50F3C9D25")</f>
        <v/>
      </c>
      <c r="G24" t="inlineStr">
        <is>
          <t>Des Moines, IA, US</t>
        </is>
      </c>
      <c r="H24" s="2" t="n">
        <v>46044</v>
      </c>
      <c r="I24"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will work a hybrid schedule coming into the Columbus, Ohio or Des Moines, Iowa office 2 days per week on Mondays \&amp; Tuesdays.**
Do you excel at driving operational excellence and tackling challenges in real time? Commercial Lines Solutions (CLS) is seeking a Rapid Response Manager to help us build a resilient, high‑performing technology environment where uptime is the standard, and every incident becomes an opportunity for growth.
**About the Role**  
As our Rapid Response Manager, you’ll lead the charge in managing high‑impact incidents across our application landscape. You’ll oversee a dedicated team of associates and vendor partners, ensuring swift, coordinated responses that minimize disruption and drive continuous improvement.
**What You’ll Do**
* Lead 24/7 response for P0 incidents, coordinating resolution efforts.
* Manage P1 incidents with urgency, ensuring effective escalation and communication.
* Leverage AI‑driven tools and automation to accelerate incident detection, triage, and resolution, improving overall productivity and reducing response times.
* Facilitate post‑incident reviews, identify root causes, and drive follow‑up actions to prevent recurrence.
* Serve as the central point of contact during incidents, keeping leadership and impacted teams informed.
* Lead a team of internal associates and vendor partners to ensure seamless incident response.
* Lead and manage offshore teams operating under a Managed Service Agreement model, ensuring alignment, accountability, and consistent delivery.
**What You Bring**
* Proven experience in incident management and leading cross‑functional teams.
* Strong leadership and coordination skills in high‑pressure scenarios.
* Expertise with ITSM tools like ServiceNow and Jira.
* Excellent communication, problem‑solving, and decision‑making abilities.
* Demonstrated success improving incident SLAs through KPI‑driven analytics and targeted process improvement.
* Proven experience managing Managed Service Agreements and driving vendor accountability for consistent, high‑quality delivery.
* Experience in Commercial Lines Insurance operations and familiarity with Policy Administration Systems is a huge plus.
\#LI\-AC1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Engineering Product Manager, you’ll be accountable for a suite of in house or third party applications. You'll lead teams of technology professionals to enable business outcomes and provide reliable customer\-centric solutions and experiences.**Job Description**
**Key Responsibilities:**
* Responsible for applying secure software and systems engineering practices throughout the delivery lifecycle to ensure our data and technology solutions are protected from threats and vulnerabilities.
* Partners with leaders to ensure a viable total cost of ownership and ongoing health and wellness of applications.
* Assists in the development and implementation of application suite roadmaps through the evaluation of business needs, competitive landscape, technology currency and information security considerations.
* Manages risk mitigation controls and provides support for internal and external audits.
* Supports the engineering build of the application suite and non technical efforts for the products.
* Represents voice of the customer, acts in a forward\-facing role to business partners as an active member of a portfolio management team in the advocation of business case development, planning, financial management and evaluation of portfolio.
* Hire and develop talent, provide consistent coaching and feedback.
* Responsible for delivery availability and resiliency following established operating mechanisms and best practices.
May perform other responsibilities as assigned.
**Reporting Relationships:** Reports to Technology Director or above. Leads a team of 5 or more technology professionals.
**Typical Skills and Experiences:**
**Education:** Undergraduate studies in management information systems, engineering, math, computer science or comparable experience and education preferred.
**Experience:** Six years of experience in application suite management with four years or more leading numerous teams across multiple technologies. Proven experience in empowering and building an engaged team.
**Knowledge, Abilities and Skills:** Detailed understanding and knowledge of the systems development life cycle and modern methodologies, practices, tools, and techniques. Solid understanding of concepts and techniques in project delivery, budgeting, forecasting and financial analysis. Ability to develop and implement roadmap strategies. Proven decision\-making and problem\-solving skills. Coaching and career development of team. Ability to develop and maintain positive relationships. Insurance/financial services industry knowledge is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Manager, Software Engineering Product Manager : $118,000\.00\-$222,000\.00
The expected starting salary range for Manager, Software Engineering Product Manager : $118,000\.00 \- $178,000\.00</t>
        </is>
      </c>
    </row>
    <row r="25">
      <c r="A25" t="inlineStr">
        <is>
          <t>in-9d63d9c4e0bf5a8c</t>
        </is>
      </c>
      <c r="B25" t="inlineStr">
        <is>
          <t>Senior Program Manager, Global Event Security</t>
        </is>
      </c>
      <c r="C25" t="inlineStr">
        <is>
          <t>Gates Foundation</t>
        </is>
      </c>
      <c r="D25" t="inlineStr">
        <is>
          <t>indeed</t>
        </is>
      </c>
      <c r="E25">
        <f>HYPERLINK("https://www.indeed.com/viewjob?jk=9d63d9c4e0bf5a8c", "https://www.indeed.com/viewjob?jk=9d63d9c4e0bf5a8c")</f>
        <v/>
      </c>
      <c r="F25">
        <f>HYPERLINK("https://gatesfoundation.wd1.myworkdayjobs.com/en-US/Gates/job/Seattle-WA/Senior-Program-Manager--Global-Event-Security_B021370-1?source=gatesfoundation.org", "https://gatesfoundation.wd1.myworkdayjobs.com/en-US/Gates/job/Seattle-WA/Senior-Program-Manager--Global-Event-Security_B021370-1?source=gatesfoundation.org")</f>
        <v/>
      </c>
      <c r="G25" t="inlineStr">
        <is>
          <t>Seattle, WA, US</t>
        </is>
      </c>
      <c r="H25" s="2" t="n">
        <v>46044</v>
      </c>
      <c r="I25" t="inlineStr">
        <is>
          <t>The Foundation
We are the largest nonprofit fighting poverty, disease, and inequity around the world. Founded on a simple premise: people everywhere, regardless of identity or circumstances, should have the chance to live healthy, productive lives. We believe our employees should reflect the rich diversity of the global populations we aim to serve. We provide an exceptional benefits package to employees and their families which include comprehensive medical, dental, and vision coverage with no premiums, generous paid time off, paid family leave, foundation\-paid retirement contribution, regional holidays, and opportunities to engage in several employee communities. As a workplace, we’re committed to creating an environment for you to thrive both personally and professionally.
The Team
Global Security works hard to safeguard foundation personnel, information, facilities, assets, and reputation. We are comprised of about two dozen employees as well as the contingent employees in Reception, the Guard Force, and the Global Security Operations Center. Security spans across all affiliates and regional offices and organizationally reports into Business Operations.*This position is located in our Seattle, Wa. or Washington DC office and a limited\-term position* *(9 months). Relocation will not be provided.**Please include a cover letter letting us know how you're uniquely qualified for this role and what motivates you to apply.**We will be accepting applications until 5:00pm PDT on February 4, 2026*
Your Role
Serve as the Global Security (GS) senior program manager for event security. Responsible for establishing event security program direction, identifying interdependence and communication requirements, tracking progress, identifying and mitigating risks and resolving conflicts and issues. Develops and executes security plans for high\-profile international events, including managing vendor relationships and liaising with local police and other government entities. Build strong relationships with team, internal and external partners, and effectively interact with senior audiences. Responsible for researching and analyzing data to produce comprehensive risk assessments for consumers regarding threats to foundation\-hosted events worldwide. Responsible for identifying opportunities to enhance and improve team strategies and processes through various tasks. Establish and implement processes, policies and protocols for an effective event security management system in foundation locations.
What You’ll Do* Responsible for event security program activities related to program definition and delivery. Includes project scheduling, budgeting and forecasting, resource planning, contracting, risk management, and change management. Working in consultation with GS management, help determine GS staffing requirements for high\-profile foundation events.
* Collaborates with foundation leaders and operations and program team partners on event security program design. Ensures strategic alignment on event security requirements and procedures, identifying opportunities to improve event security while balancing programmatic requirements.
* Lead on\-the\-ground security support for high\-profile foundation events, including development and execution of event security plans and interaction with external partners and vendors and internal foundation partners. For events where you are not the lead POC, provide strategic oversight, ensuring best practices and procedures are applied across foundation events.
* Working with partners across GS, identify and manage relationships with vendors worldwide who can provide event security services. Develop standards protocols for these vendors to follow when delivery event security services.
* Compare actual event security performance with planned performance, analyze variances, assess trends to effect process improvements, evaluate possible alternatives, and implement appropriate corrective action if needed to continuously improve programs.
* Oversee training program and contingency planning for GS members on event security.
* Establish strong network with event security professionals in other organizations. Leverage benchmarking to improve the Gates Foundation event security program.
Your Experience* Master’s or bachelor’s degree with 8 \+ years of relevant security experience or an equivalent combination.
* Excellent analytical and problem\-solving skills; including research, monitoring and information collection and reporting.
* Strong collaboration, communication and influencing skills, including with senior executives and leaders.
* Demonstrated capability for operational security support at high profile events. Previous corporate event security experience preferred.
* Demonstrated experience working closely with government security entities and close protection teams. Previous work in diplomatic, law enforcement and/or intelligence agencies preferred.
* Experience working internationally in multiple settings (office \&amp; field), understanding varying global perspectives and culture.
* High level of interpersonal, verbal and written communication skills.
* Must have a proven track record of working in a dynamic, fast\-paced environment, requiring a high level of attention to detail while maintaining focus on the big picture.
* The ability to work independently and make sound decisions to maintain organizational objectives.
* Strong ability to network effectively at all organizational levels.
* Excellent ability to identify and work effectively with key stakeholders on complex, cross organizational and foundation projects in unfamiliar areas.
* Utilize discretion with demonstrated experience in maintaining utmost confidentiality and privacy.
* Project/Program management and information security experience highly desired.
* Must be available to travel internationally on a frequent basis (25%).
* Must be able to legally work in the country where this position is located without visa sponsorship.
The salary range for this role is $173,000 to $259,600 USD. We recognize high\-wage market differences in Seattle and Washington D.C., where our offices are located. The range for this role in these locations is $190,300 to $285,500 USD. As a mission\-driven organization, we strive to balance competitive pay with our mission. New hires salaries are typically between the range minimum and the salary range midpoint. Actual placement in the range will depend on a candidate’s job\-related skills, experience, and expertise, as evaluated during the interview process.
Hiring Requirements
As part of our standard hiring process for new employees, employment will be contingent upon successful completion of a background check.
Candidate Accommodations
If you require assistance due to a disability in the application or recruitment process
Inclusion Statement
We are dedicated to the belief that all lives have equal value. We strive for a global and cultural workplace that supports ever greater diversity, equity, and inclusion — of voices, ideas, and approaches — and we support this diversity through all our employment practices.
All applicants and employees who are drawn to serve our mission will enjoy equality of opportunity and fair treatment without regard to race, color, age, religion, pregnancy, sex, sexual orientation, disability, gender identity, gender expression, national origin, genetic information, veteran status, marital status, and prior protected activity.</t>
        </is>
      </c>
    </row>
    <row r="26">
      <c r="A26" t="inlineStr">
        <is>
          <t>in-f3800ead8ed4e282</t>
        </is>
      </c>
      <c r="B26" t="inlineStr">
        <is>
          <t>Senior Program Manager - Space and Defense Group</t>
        </is>
      </c>
      <c r="C26" t="inlineStr">
        <is>
          <t>Moog, Inc</t>
        </is>
      </c>
      <c r="D26" t="inlineStr">
        <is>
          <t>indeed</t>
        </is>
      </c>
      <c r="E26">
        <f>HYPERLINK("https://www.indeed.com/viewjob?jk=f3800ead8ed4e282", "https://www.indeed.com/viewjob?jk=f3800ead8ed4e282")</f>
        <v/>
      </c>
      <c r="F26">
        <f>HYPERLINK("https://moog.wd5.myworkdayjobs.com/en-US/MOOG_External_Career_Site/job/Buffalo-NY/Senior-Program-Manager---Space-and-Defense-Group_R-26-15863", "https://moog.wd5.myworkdayjobs.com/en-US/MOOG_External_Career_Site/job/Buffalo-NY/Senior-Program-Manager---Space-and-Defense-Group_R-26-15863")</f>
        <v/>
      </c>
      <c r="G26" t="inlineStr">
        <is>
          <t>Buffalo, NY, US</t>
        </is>
      </c>
      <c r="H26" s="2" t="n">
        <v>46044</v>
      </c>
      <c r="I26"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Senior Program Manager \- Space and Defense Group
Work Schedule:
Onsite – Buffalo, NY
Moog's Space and Defense Group is growing and looking for Senior Program Managers to join our team in Elma, New York. These are cross\-functional roles that require coordination between many different groups within and outside of Moog.
To be considered for Senior Program Manager role, here’s what you’ll need to bring with you:* Minimum of an BS Degree in Engineering or Business.
* Minimum of five (5\) years of program/project management related experience in a production or manufacturing environment in aerospace, defense, or other highly engineered manufacturing environments.
* Must have demonstrated experience managing complex production programs in a manufacturing environment, with direct responsibility for cost, schedule, and performance.
* A track record of leading cross\-functional teams—including engineering, operations, supply chain, and quality—through full\-rate production.
* Demonstrated experience in identifying issues and problems, which impact program performance, and taking appropriate actions to resolve these issues and recover costs and schedule, in a timely manner.
* Demonstrated knowledge in understanding contractual requirements and scope adherence.
* Proven ability to operate under pressure while managing multiple priorities simultaneously.
* Some travel may be required.
* Ability to access U.S. export\-controlled information.
* PMP certification preferred.
* Currently having a Security Clearance is highly preferred.
As a Senior Program Manager, you will:* Lead technical programs from contract award, through final end item delivery, including support to sales and proposal efforts through fact finding and negotiations.
* Lead and manage cross functional and large teams across disciplines ranging from contracts, procurement, engineering, test, operations, and quality.
* Oversee and manage tasks from engineering design, to qualification, and throughout the production lifecycle.
* Use your technical background to understand and confirm that the requirements are interpreted and met throughout the program.
* Ensure that the program plan, schedule, and costs meet both Moog and customer expectations.
* Plan, coordinate, and manage the preparation and presentation of materials to be reviewed at internal and customer meetings.
* Review and manage program costs and technical risks, presenting status and schedule of programs at monthly Program Management Review.
How we care for you:* Financial Rewards: great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Collaborative and Welcoming Workplace: Inclusive culture rooted in our values, enhanced by Employee Resource Groups, and team\-building activities.
* Additional site\-specific benefits may be offered.
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\#LI\-KM1
Salary Range Transparency:
Buffalo, NY $115,000\.00–$155,000\.00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27">
      <c r="A27" t="inlineStr">
        <is>
          <t>in-e452330679729b2d</t>
        </is>
      </c>
      <c r="B27" t="inlineStr">
        <is>
          <t>Senior Business Product Manager, Content Agentic AI Applications</t>
        </is>
      </c>
      <c r="C27" t="inlineStr">
        <is>
          <t>Genentech</t>
        </is>
      </c>
      <c r="D27" t="inlineStr">
        <is>
          <t>indeed</t>
        </is>
      </c>
      <c r="E27">
        <f>HYPERLINK("https://www.indeed.com/viewjob?jk=e452330679729b2d", "https://www.indeed.com/viewjob?jk=e452330679729b2d")</f>
        <v/>
      </c>
      <c r="F27">
        <f>HYPERLINK("https://careers.gene.com/us/en/job/GENEUS202601101916EXTERNALENUS/Senior-Business-Product-Manager-Content-Agentic-AI-Applications", "https://careers.gene.com/us/en/job/GENEUS202601101916EXTERNALENUS/Senior-Business-Product-Manager-Content-Agentic-AI-Applications")</f>
        <v/>
      </c>
      <c r="G27" t="inlineStr">
        <is>
          <t>San Francisco, CA, US</t>
        </is>
      </c>
      <c r="H27" s="2" t="n">
        <v>46044</v>
      </c>
      <c r="I27" t="inlineStr">
        <is>
          <t>### **The Position**
Why Genentech
We’re passionate about delivering on Our Promise to improve the lives of patients and create healthier communities for all. We foster a culture of inclusivity, integrity and creativity while boldly pursuing answers to the world’s most complex health challenges and transforming society.
Who We Are
Digital Experience is shaping the future of how Genentech connects with our patients and customers by harnessing the power of digital innovation and human\-centered design. As healthcare evolves, we are bold in our approach – leveraging cutting edge AI, advanced digital engagement, end\-to\-end content management, and omnichannel technologies and operations to create seamless, personalized, and meaningful experiences for our patients and customers. This is your opportunity to lead transformative change, integrating advanced technology with strategic vision to drive impact at scale. If you are passionate about redefining the healthcare experiences and building something extraordinary, we want you on this journey. Let’s redefine what’s possible together!
This combined team, in collaboration with key partners, builds solutions to serve Marketing, Customer Engagement, Medical Affairs, Public Affairs \&amp; Access (“CMG”), and other patient\- and customer\-facing teams across CMG to shape and drive a seamless, consistent, meaningful, and compliant experience for patients and customers across our interactions. The team is specifically accountable for:
* Defining omnichannel solutions, shaping engagement strategies, designing, operationalizing, and producing seamless, consistent \&amp; meaningful patient and customer experiences.
* Accelerating, connecting, and enabling the development of digital solutions that enhance the patient and customer experience across CMG.
* Advancing the mission of seamless, consistent \&amp; meaningful patient and customer experiences that maximize patient impact while keeping compliance at the forefront.
The Opportunity
Genentech/Roche is looking to redefine the customer experience by leveraging advanced AI solutions across the commercial value chain, including for marketing and sales, medical and government affairs and access. We are seeking an exceptional Senior Business Product Manager to define and lead the business needs and deliver on orchestrating a multi\-agent system. The solution will orchestrate across different specialized agents or tools including content creation and review platforms, content management systems, (CMS), Digital Asset Management (DAM) platforms, CRM, Omnichannel delivery systems etc. You will define the business needs, translate into requirements and work with SMEs and Technical teams to build the core capabilities that accelerate time\-to\-market while achieving zero critical regulatory errors, regardless of the underlying tools. For a Product leader who thrives on business impact with systems thinking and breaking silos across the enterprise, this is the chance to connect users, tools and data into a connected ecosystem.
The Impact You'll Make
Reporting to the Senior Director, Content Authoring \&amp; Assembly, the Senior Business Product Manager, Agentic AI will own the strategy and roadmap for content lifecycle orchestration leveraging multi agents, ensuring it drives compliant, autonomous workflow automation from creation in CMS/DAM to deployment.
Strategy and Vision
* Define and articulate the long\-term vision and strategy for orchestration of content across commercial, medical, access, physicians and patients leveraging multi agent systems.
* Build the business case and define the business impact in measurable terms for eg improved efficiency and turn around times and track these metrics
* Define the north star and roadmap to get there by making trade off decisions and leveraging prioritization frameworks
* Lead the decomposition of complex workflows (e.g., content versioning, MLR submission) into distinct, system\-agnostic tasks that can be efficiently delegated to specialized Agentic Modules within any connected CMS or DAM platform.
* Own the product strategy and roadmap for core orchestration features, including connectivity to tools, platforms, AI agents with unified context shared across all stakeholders.
* Identify and prioritize opportunities where Master Orchestration can reduce bottlenecks and compliance risk across the entire content value chain.
Execution and Delivery
* Define the detailed requirements for the orchestration layer working closely with business stakeholders across commercial, medical, and access teams
* Define data grounding and context sharing requirements to ensure the Master Layer and its modules only operate based on validated, current, and compliant sources, regardless of which CMS/DAM holds the source data.
* Translate workflow requirements into detailed product specifications for underlying logic and orchestration, balancing speed and efficiency with the high bar for accuracy and auditability required by MLR.
* Partner with Engineering and Data Science to build robust, scalable, and observable platform components that allow for transparent tracking of every automated action across all integrated systems and scalability across the enterprise
* Prototype and test new functionality with SMEs, ensuring compliance and operational viability across platforms.
People and Collaboration
* Champion the "Autonomous Enterprise" mindset, defining the new operating model where human teams collaborate seamlessly with automated systems residing in any platform.
* Facilitate deep technical and business collaboration across IT, CMLR, Legal,and Global teams to secure governance for the Master Platform and standardize the inputs/outputs of all Agentic Modules, regardless of the vendor.
* Engage deeply with internal stakeholders (Content Strategists, MLR Reviewers) to understand trust boundaries and design escalation paths that maintain confidence in automated execution.
* Influence adjacent product teams (e.g., teams owning CRM,OMNICHANEL, or other CMS/DAM systems) on the technical requirements needed for their modules to interface with and be governed by the Master Layer.
Qualifications
Core Experience \&amp; Skills
* 6\+ years of enterprise software Product Management experience, with at least 5 years in SaaS; Data platform or advanced automation experience strongly preferred.
* Strong understanding of the technical challenges in integrating and coordinating workflows across multiple enterprise systems (CMS, DAM, CRM) via API layers.
* Hands on experience designing and building multi agent solutions
* Mandatory expertise in building, designing, or defining complex Multi\-System or Multi\-Component Orchestration layer or high\-scale workflow automation platforms.
* Experience working and building for complex enterprise personas (Administrators, Power Users, Auditors).
* Strong understanding of the role of high\-quality data in automation development, quality, governance, and how it impacts business outcomes.
* Proven collaborator with exceptional organizational effectiveness, able to drive consensus and execution across highly matrixed, technical teams.
* A proven 0 1 builder with a deep focus on customer needs, comfortable quickly transitioning from initial problem framing to a live product.
* Strong AI product fluency and curiosity about emerging, state\-of\-the\-art tech, with an understanding of modern AI capabilities, their limitations, and how to productize them responsibly.
Preferred (Domain\-Specific) Qualifications
* Practical familiarity with Content Management Systems (CMS) and Digital Asset Management (DAM) platforms, including their API architectures.
* Experience in content lifecycle management (creation, review, publishing) in a regulated environment is highly valued.
* Prior experience designing products where trust, auditability, and output validation (quality\-first focus) are non\-negotiable requirements.
* Thought leadership in advanced automation trends, system safety and ethics, and enterprise adoption patterns.
* Pharma, healthcare experience is a huge plus
* Prototype, experiment, and rapidly develop functional AI tools and data\-driven solutions. Leverage AI as a core capability to explore and refine experience directions, including user flows, UX copy, stress tests, and lightweight compositional elements.
Location
* This position is based in South San Francisco, CA.
* Relocation Assistance is not available
*The expected salary range for this position based on the primary location of South San Francisco, CA is $185,200 \- $343,900 USD Annual**.*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\#LI\-NN2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28">
      <c r="A28" t="inlineStr">
        <is>
          <t>in-9ed40f2f5fee6f47</t>
        </is>
      </c>
      <c r="B28" t="inlineStr">
        <is>
          <t>Associate Program Manager</t>
        </is>
      </c>
      <c r="C28" t="inlineStr">
        <is>
          <t>BAE Systems USA</t>
        </is>
      </c>
      <c r="D28" t="inlineStr">
        <is>
          <t>indeed</t>
        </is>
      </c>
      <c r="E28">
        <f>HYPERLINK("https://www.indeed.com/viewjob?jk=9ed40f2f5fee6f47", "https://www.indeed.com/viewjob?jk=9ed40f2f5fee6f47")</f>
        <v/>
      </c>
      <c r="F28">
        <f>HYPERLINK("https://jobs.baesystems.com/global/en/job/120424BR", "https://jobs.baesystems.com/global/en/job/120424BR")</f>
        <v/>
      </c>
      <c r="G28" t="inlineStr">
        <is>
          <t>Maple Grove, MN, US</t>
        </is>
      </c>
      <c r="H28" s="2" t="n">
        <v>46044</v>
      </c>
      <c r="I28" t="inlineStr">
        <is>
          <t>**Job Description**  
BAE Systems \- Weapon Systems is seeking an Associate Program Manager to join our team in Minneapolis, MN.  
The successful candidate will support Weapon Systems programs under the Precision Guided Munitions Advanced Development \&amp; Capture directorate, with a focus on:* Delivering exceptional customer satisfaction
* Achieving cost, schedule, and technical performance objectives
* Effectively managing program complexities, including production and product sustainment
Responsibilities:  
The Associate Program Manager will work collaboratively across functional lines to meet program objectives, with primary responsibilities including:* Supporting Program Managers in managing Long Range Precision Fires (LRPF) contracts to ensure on\-time deliveries and project execution
* Developing and maintaining program documentation, such as the Program Plan of Execution, Risk and Opportunity Management Plan, and Life Cycle Management plans
* Coordinating activities across multiple functions to support program objectives
* Assisting in the management of hardware deliverables, shipments, and internal planning and coordination activities
* Developing reports on key program metrics, including on\-time delivery, hardware production, and performance to labor and material budgets
* Supporting recurring status meetings with the program team and customer
**Required Education, Experience, \&amp; Skills**  
* Bachelor's degree and 4\+ years of experience, or equivalent education/experience
* Experience in an engineering, manufacturing, or business environment
* Experience with program scope and cost estimating, including ETC/EAC processes
* Proficiency in Microsoft Office (Word, PowerPoint, Outlook, and Excel)
* Ability to prioritize and coordinate multiple tasks simultaneously
* Strong written and verbal communication skills
* Customer\-focused and able to build strong relationships
**Preferred Education, Experience, \&amp; Skills**  
* Graduate degree (MBA) or professional certification (PMP)
* Experience in manufacturing, assembly, machining, welding, mechanical engineering, or operations management
* Experience in program/project management (EVMS), controls, or coordination
* Experience with Integrated Product Teams (IPT) and cross\-functional teams
* International business experience
* Advanced proficiency in ORACLE, Microsoft Project, or Microsoft Excel applications
**Pay Information**  
Full\-Time Salary Range: $95106 \- $161680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t>
        </is>
      </c>
    </row>
    <row r="29">
      <c r="A29" t="inlineStr">
        <is>
          <t>in-4766e04125594c44</t>
        </is>
      </c>
      <c r="B29" t="inlineStr">
        <is>
          <t>Product Manager, Adv Bio-Signals</t>
        </is>
      </c>
      <c r="C29" t="inlineStr">
        <is>
          <t>Dexcom</t>
        </is>
      </c>
      <c r="D29" t="inlineStr">
        <is>
          <t>indeed</t>
        </is>
      </c>
      <c r="E29">
        <f>HYPERLINK("https://www.indeed.com/viewjob?jk=4766e04125594c44", "https://www.indeed.com/viewjob?jk=4766e04125594c44")</f>
        <v/>
      </c>
      <c r="F29">
        <f>HYPERLINK("https://dexcom.wd1.myworkdayjobs.com/en-US/Dexcom/job/San-Diego-California/Product-Manager--Adv-Bio-Signals_JR116120", "https://dexcom.wd1.myworkdayjobs.com/en-US/Dexcom/job/San-Diego-California/Product-Manager--Adv-Bio-Signals_JR116120")</f>
        <v/>
      </c>
      <c r="G29" t="inlineStr">
        <is>
          <t>San Diego, CA, US</t>
        </is>
      </c>
      <c r="H29" s="2" t="n">
        <v>46044</v>
      </c>
      <c r="I29"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the Role**  
Dexcom is advancing next\-generation sensor technology to deliver a multi\-signal platform that goes beyond glucose—integrating advanced bio\-sensing, new analytes, and expanded biometrics to support insulin, glucose, and behavior management throughout the diabetes journey and beyond. Reporting to the Director of Product Management, Hardware Product and System/Biosensing Solutions, you will drive early\-phase discovery and concept development for breakthrough sensor technologies, with a strong focus on business impact and market success.
**What You’ll Do**
* **Lead early\-phase product discovery** , taking ideas from 0 to 1 and setting a bold vision for next\-generation bio\-sensing platforms.
* **Identify and size market opportunities** , using customer, competitive, and commercial insights to guide prioritization and investment.
* **Translate customer needs and business strategy** into actionable product hypotheses, balancing feasibility with market potential.
* **Drive rapid experimentation and scrappy research** , applying lean startup principles and the Double Diamond framework to validate concepts quickly and efficiently.
* **Author compelling PRFAQs and vision documents** that articulate clear business cases, customer value, and strategic alignment.
* **Define success metrics and prioritization frameworks** for early\-stage concepts, ensuring clarity and focus in ambiguous environments.
* **Collaborate cross\-functionally** with R\&amp;D, Clinical, Marketing, and Commercial teams to evaluate new analytes, biometrics, and sensing modalities, guiding feasibility assessments and proof\-of\-concept studies.
* **Act with speed and urgency** , fostering a culture of disciplined innovation, entrepreneurial thinking, and structured risk\-taking.
**What Makes You Successful**
* **Proven experience in early\-phase product development** , innovation, or incubation roles—ideally in medical devices, health tech, or other regulated industries.
* **Strong business acumen** , with the ability to assess market opportunities, build business cases, and drive commercial success.
* **Customer\-centric mindset** , able to synthesize diverse inputs and make structured decisions that balance user needs, business goals, and technical feasibility.
* **Expertise in lean startup methodologies** , rapid prototyping, and hypothesis\-driven development.
* **Exceptional strategic thinking and storytelling skills** , capable of crafting vision documents and influencing senior stakeholders.
* *(Nice to have)* Experience in bio\-sensing, digital health, or connected medical devices.
* *(Nice to have)* Familiarity with regulatory considerations for novel analytes and emerging technologies.
**What You’ll Get**
* A front\-row seat to next\-generation CGM innovation and the opportunity to shape the future of diabetes care.
* Comprehensive benefits and global growth opportunities.
* Access to career development through in\-house learning programs and tuition reimbursement.
* A dynamic, fast\-paced environment committed to improving lives worldwide.
**Travel Required:** 10–15%  
**Experience \&amp; Education Requirements:**  
Typically requires a Bachelor’s degree and 5\+ years of product management or innovation experience, with a strong background in early\-phase development and cross\-functional collaboration.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$122,500\.00 \- $204,100\.00</t>
        </is>
      </c>
    </row>
    <row r="30">
      <c r="A30" t="inlineStr">
        <is>
          <t>in-f2a150201c8ae1c4</t>
        </is>
      </c>
      <c r="B30" t="inlineStr">
        <is>
          <t>Sr. Enterprise Product Manager (Procurement, AP, Expense)</t>
        </is>
      </c>
      <c r="C30" t="inlineStr">
        <is>
          <t>Snowflake</t>
        </is>
      </c>
      <c r="D30" t="inlineStr">
        <is>
          <t>indeed</t>
        </is>
      </c>
      <c r="E30">
        <f>HYPERLINK("https://www.indeed.com/viewjob?jk=f2a150201c8ae1c4", "https://www.indeed.com/viewjob?jk=f2a150201c8ae1c4")</f>
        <v/>
      </c>
      <c r="F30">
        <f>HYPERLINK("https://careers.snowflake.com/us/en/job/SNCOUS5DE1A3741A9D4B4AB637C52E6B8E1155EXTERNALENUSF373EBF2FDDA473D8DBEC8E1067D6A60/", "https://careers.snowflake.com/us/en/job/SNCOUS5DE1A3741A9D4B4AB637C52E6B8E1155EXTERNALENUSF373EBF2FDDA473D8DBEC8E1067D6A60/")</f>
        <v/>
      </c>
      <c r="G30" t="inlineStr">
        <is>
          <t>Dublin, CA, US</t>
        </is>
      </c>
      <c r="H30" s="2" t="n">
        <v>46044</v>
      </c>
      <c r="I30"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 are looking for a proactive, hands\-on **Sr. Enterprise Product Manager** to drive leading\-edge solutions within our Procure\-to\-Pay (P2P) ecosystem. This role is designed for a problem\-solver who combines deep **Source\-to\-Pay functional knowledge** and the **technical grit** to turn conceptual ideas into reality.
You will work closely with Procurement stakeholders and technical teams to ensure our systems are efficient, accurate, and ahead of the curve. As a key member of the team, you are expected to bring a "can\-do" attitude—willing to pivot when priorities shift and ready to support the broader Finance organization whenever challenges arise.
**KEY RESPONSIBILITIES:**
* **Technical Delivery \&amp; Configuration:** Analyze complex business problems and design automated system solutions. You will be responsible for the hands\-on configuration of our P2P stack.
* **AI Innovation:** Develop and execute roadmaps for leveraging AI to streamline P2P processes
* **Strategic Scoping:** Partner with Procurement and Finance leadership to identify and scope the most impactful requirements in designs, ensuring technical solutions drive measurable business results.
* **Data\-Driven Insights:** Analyze large datasets to derive actionable insights, identifying bottlenecks in the procurement funnel and opportunities for system optimization.
* **SDLC Excellence:** Create and maintain high\-quality documentation throughout the software development lifecycle, ensuring configurations and integrations are scalable and audit\-ready.
* **Flexible Support:** Act as a versatile technical resource, willing to support systems needs across various Finance processes as the organization's needs evolve.
**KNOWLEDGE \&amp; EXPERIENCE REQUIRED:**
* **Experience:** 5\+ years in a hands\-on role focused on enterprise financial application delivery.
* **SaaS Administration (Must\-Have):** Proven experience leading the administration of enterprise SaaS applications. **Workday** and **Zip** experience is highly preferred.
* **P2P Domain Expertise:** Deep functional understanding of Procurement and Accounts Payable business processes.
* **Data Analysis:** Strong knowledge of data modeling and experience analyzing large datasets. **SQL proficiency** and experience with **Snowflake** are preferred.
* **AI Fluency:** A continuous learner who stays on the leading edge of AI developments and knows how to apply them to business application development.
**CORE COMPETENCIES:**
* **Low Ego, High Impact:** A team\-first collaborator who jumps in to support colleagues and stakeholders whenever challenges arise. You don’t complain when asked to help; you see it as an opportunity to drive impact.
* **Architectural Thinking:** The ability to see the "big picture" of how data flows between applications in the P2P landscape, while maintaining the technical credibility to push the envelope on what is possible.
* **Proactive Ownership:** Self\-motivated and takes initiative. You don’t wait for a perfectly defined roadmap—you help build it.
* **Curiosity \&amp; Agility:** You possess a natural curiosity to solve "unsolvable" problems and the flexibility to remain productive in ambiguous situations.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$156,000 \- $204,700\.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31">
      <c r="A31" t="inlineStr">
        <is>
          <t>in-42dafdb18fc6ec78</t>
        </is>
      </c>
      <c r="B31" t="inlineStr">
        <is>
          <t>Sr. Product Manager</t>
        </is>
      </c>
      <c r="C31" t="inlineStr">
        <is>
          <t>Plus One Robotics</t>
        </is>
      </c>
      <c r="D31" t="inlineStr">
        <is>
          <t>indeed</t>
        </is>
      </c>
      <c r="E31">
        <f>HYPERLINK("https://www.indeed.com/viewjob?jk=42dafdb18fc6ec78", "https://www.indeed.com/viewjob?jk=42dafdb18fc6ec78")</f>
        <v/>
      </c>
      <c r="F31">
        <f>HYPERLINK("https://plusonerobotics.bamboohr.com/careers/99?source=indeed&amp;src=indeed&amp;postedDate=2026-01-23", "https://plusonerobotics.bamboohr.com/careers/99?source=indeed&amp;src=indeed&amp;postedDate=2026-01-23")</f>
        <v/>
      </c>
      <c r="G31" t="inlineStr">
        <is>
          <t>San Antonio, TX, US</t>
        </is>
      </c>
      <c r="H31" s="2" t="n">
        <v>46044</v>
      </c>
      <c r="I31" t="inlineStr">
        <is>
          <t>This role is fully in office at our San Antonio HQ.
Plus One Robotics is a tenacious startup that serves logistics and e\-commerce clients. The Sr. Product Manager at Plus One Robotics will inform the pricing, positioning, and roadmap of user\-empowered robotics software products. The Product Manager will work cross\-functionally with engineering, operations, and sales teams through product design, development, and maintenance stages to ensure product objectives are aligned to key results for the company. Additionally, the Product Manager will provide thought leadership on business model creation and monetization strategies to support Plus One Robotics’ product vision.
 **Essential Functions**  
Be a critical part of a growing and diverse team with the following duties:
* Own the product roadmap in partnership with the CTO and product team, aligning technical development with customer and market needs.
* Translate customer insights, competitive data, and business goals into clear product requirements and priorities.
* Engage with customers for beta/pilot systems, including performing all the required sales functions to close initial pilots
* Drive the product lifecycle from concept through launch, ensuring timely delivery and alignment with go\-to\-market goals.
* Serve as the bridge between technical and sales enablement teams, ensuring engineers understand market context and sales understands product capabilities.
* Support market intelligence analysis for supply chain software robotics products. Visit current and prospective customers and perform stakeholder interviews to assess needs. Conduct relevant secondary research as needed to support primary research efforts.
**Qualifications**
* 3\-5 years of experience in logistics and/or warehousing, specifically product development, operations, or engineering.
* At least 5 years of experience (7\-10 preferred) in product management, product marketing, or a hybrid role, ideally within robotics, industrial automation, or warehouse technology.
* Minimum BS/BA degree in Product Management (MBA preferred) or similar function.
* Deep understanding of robotics systems, computer vision, or automation software (hardware \+ software integration experience a plus).
* Proven success launching and managing complex B2B technology products from concept to market.
* Strong communication and storytelling skills — able to make the technical feel accessible and compelling.
* Demonstrated ability to balance strategic thinking with hands\-on execution.
* Experience influencing cross\-functional teams without direct authority.
* Analytical mindset — comfortable using data to inform decisions and measure success.
* Self\-starter who thrives in fast\-paced, startup environments and can operate as a team of one while scaling a function.
* Willingness to relocate to San Antonio, TX.
**Position Type/Expected Hours of Work**  
Full time, 40 hours/week between M\-F, 9:00am\-6:00pm.
 **Travel**  
Occasional travel, up to 20%, outside the local area, including international, may be necessary.
Benefits
Depending on level of experience, this role starts at $140,000 per year and is a bonus eligible position.
Plus One Robotics offers a wide range of employee benefits for our full\-time positions including healthcare benefits, a flexible paid time off plan, professional development opportunities, and a paid parental leave program.
We are not able to provide visa sponsorship for this position.</t>
        </is>
      </c>
    </row>
    <row r="32">
      <c r="A32" t="inlineStr">
        <is>
          <t>in-0e4d4d4d3505da90</t>
        </is>
      </c>
      <c r="B32" t="inlineStr">
        <is>
          <t>Product Owner</t>
        </is>
      </c>
      <c r="C32" t="inlineStr">
        <is>
          <t>Uneekor</t>
        </is>
      </c>
      <c r="D32" t="inlineStr">
        <is>
          <t>indeed</t>
        </is>
      </c>
      <c r="E32">
        <f>HYPERLINK("https://www.indeed.com/viewjob?jk=0e4d4d4d3505da90", "https://www.indeed.com/viewjob?jk=0e4d4d4d3505da90")</f>
        <v/>
      </c>
      <c r="F32">
        <f>HYPERLINK("https://uneekor.bamboohr.com/careers/130?source=indeed&amp;src=indeed&amp;postedDate=2026-01-23", "https://uneekor.bamboohr.com/careers/130?source=indeed&amp;src=indeed&amp;postedDate=2026-01-23")</f>
        <v/>
      </c>
      <c r="G32" t="inlineStr">
        <is>
          <t>Dallas, TX, US</t>
        </is>
      </c>
      <c r="H32" s="2" t="n">
        <v>46044</v>
      </c>
      <c r="I32" t="inlineStr">
        <is>
          <t>**\*\*We offer a highly competitive salary, performance\-based incentives, and a comprehensive benefits package designed to support your health, flexibility, and long\-term success. \*\***
 **Position Summary**
Uneekor, Inc. uses technology and design to connect the world through golf, empowering every golfer to be the best version of themselves on and off the course. We have revolutionized the US golf simulator industry from the commercial golf simulator market success at the global level by offering first\-of\-its\-kind overhead launch monitors in the open technology platform to thousands of individual golfers. Seamlessly combining hardware and simulator software programs, our passion is to create valuable content, products, and services that fulfill millions of golfers’ passion for their love of the game.
As our next Product Owner, you will be driving the vision, prioritization, and execution of our golf simulator hardware and software products. This role sits at the intersection of engineering, UX, QA, sales, and customer experience, translating business and user needs into clear, actionable product requirements. The ideal candidate is highly organized, customer\-focused, data\-driven, and comfortable working with both physical hardware products and software platforms. You will own the product backlog, define user stories, and ensure delivery of high\-quality features that enhance realism, performance, and usability for golfers at every level.
***Your responsibilities:***
* Own and manage the product backlog for Uneekor’s simulator hardware and software platforms.
* Translate the Product Manager’s vision, roadmap, and business objectives into clear, step\-by\-step functional requirements.
* Perform detailed business analysis to define user workflows, edge cases, dependencies, and acceptance criteria.
* Clearly document functional requirements to ensure alignment across product, design, and engineering teams.
* Prioritize features and enhancements based on customer impact, revenue opportunity, technical feasibility, and strategic alignment.
* Develop high\-level and detailed wireframes for new features and enhancements across Uneekor’s software platforms.
* Define user flows and screen\-level requirements for both residential (home golfers) and commercial (facilities, operators, and installers) segments.
* Partner with UI/UX designers to hand off wireframes and requirements for visual refinement and final design execution.
* Ensure wireframes and UX decisions align with product goals, technical constraints, and user needs.
* Lead backlog grooming, sprint planning, and sprint reviews with R\&amp;D and engineering teams.
* Serve as the primary point of clarification for requirements during development cycles.
* Ensure development teams fully understand feature intent, workflows, and success criteria
* Validate completed work against acceptance criteria prior to release.
* Collaborate with QA to ensure software and hardware integrations meet performance, reliability, and usability standards.
* Partner closely with engineering, QA, hardware, and UX/UI teams to deliver cohesive, end\-to\-end solutions.
* Work with sales, marketing, customer support, and training teams to incorporate real\-world feedback into product requirements.
* Support product launches by providing documentation, feature explanations, and internal enablement.
* Gather and analyze feedback from customers, installers, resellers, and internal stakeholders.
* Develop a deep understanding of golfer personas, use cases, and workflows across residential and commercial environments.
* Use data, usage analytics, and customer insights to inform prioritization and requirement definition.
* Monitor competitive offerings and industry trends in golf technology and simulation.
* Continuously refine processes to improve development speed, clarity, and overall product outcomes.
***Qualifications:***
* 3\+ years of experience as a Product Owner or Product Manager in a technology\-driven environment.
* Strong ability to write clear user stories and acceptance criteria.
* Experience working with both software products and physical or embedded hardware.
* Excellent communication and stakeholder management skills.
* Analytical mindset with the ability to balance data, user feedback, and business needs.
* Experience with SaaS platforms, gaming, simulation, or sports technology preferred.
* Familiarity with firmware, sensors, cameras, or hardware/software integration
* Background in B2C and/or B2B products, including reseller or installer ecosystems.
**Physical Demands/Environmental Factors**
* While performing the duties of this job, the employee is regularly required to sit, use hands to finger, handle, or feel; reach with hands and arms; and talk or hear.
* Occasionally required to stand and walk.
* Specific vision abilities required by this job include close vision, distance vision, depth perception, and ability to adjust focus.
This job description is not designed to cover or contain a comprehensive listing of activities, duties or responsibilities that are required of the employee.
Uneekor Inc.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is>
      </c>
    </row>
    <row r="33">
      <c r="A33" t="inlineStr">
        <is>
          <t>in-587075fee1a8c203</t>
        </is>
      </c>
      <c r="B33" t="inlineStr">
        <is>
          <t>Contract Program Manager - CSTR</t>
        </is>
      </c>
      <c r="C33" t="inlineStr">
        <is>
          <t>Nemean Solutions</t>
        </is>
      </c>
      <c r="D33" t="inlineStr">
        <is>
          <t>indeed</t>
        </is>
      </c>
      <c r="E33">
        <f>HYPERLINK("https://www.indeed.com/viewjob?jk=587075fee1a8c203", "https://www.indeed.com/viewjob?jk=587075fee1a8c203")</f>
        <v/>
      </c>
      <c r="F33">
        <f>HYPERLINK("https://recruiting.paylocity.com/recruiting/jobs/Details/3865695/NEMEAN-SOLUTIONS-LLC/Contract-Program-Manager---CSTR?source=Indeed_Feed", "https://recruiting.paylocity.com/recruiting/jobs/Details/3865695/NEMEAN-SOLUTIONS-LLC/Contract-Program-Manager---CSTR?source=Indeed_Feed")</f>
        <v/>
      </c>
      <c r="G33" t="inlineStr">
        <is>
          <t>Lackland AFB, TX, US</t>
        </is>
      </c>
      <c r="H33" s="2" t="n">
        <v>46044</v>
      </c>
      <c r="I33" t="inlineStr">
        <is>
          <t>Description:
Nemean Solutions, headquartered in Sierra Vista, AZ, is a certified SBA 8(a) Native Hawaiian Organization (NHO) and veteran\-operated company providing advanced Military Intelligence, Enterprise and Cloud IT services, Cybersecurity, Special Operations Forces (SOF) Exercise and Training, and niche Program Support and Professional Services to Federal and State Agencies supporting the US Government Defense, Intelligence and Aerospace sectors.
**Job Overview:**
The Contract Program Manager is responsible for overall contract execution, quality control, staffing, and daily operational oversight. This individual serves as the primary point of contact with the Contracting Officer and COR.
**Support Hours:** Applicant shall be available during core work hours as established the Government customer.
**Essential Duties \&amp; Responsibilities:**
* Direct daily contract operations and ensure compliance with the PWS.
* Serve as the designated Contractor Representative to the Government.
* Manage staffing, performance metrics, and quality control processes.
* Ensure timely delivery of all contract deliverables and reports.
* Oversee risk management and OCI compliance.
* Coordinate transition\-in and transition\-out activities.
Requirements:
**Minimum Requirements:**
* 15\+ years of cost analysis or program management experience
* 24 semester hours in math, engineering, or quantitative analysis
* Experience with DoD cost analysis, EVM, and defense data sources
* Strong leadership, communication, and customer\-facing experience
**Security Requirement**:
* Active Secret Security Clearance
**What Nemean Solutions, LLC offers:**
Medical, Dental, and Vision insurance plans, Paid Time Off, sick leave, 401k Retirement Savings plan with company match, and more.
*Nemean Solutions is proud to be a Veteran friendly employer and provides Equal Employment Opportunity (EEO) to all employees and applicants without regard to race, color, religion, sex, sexual orientation, gender identity, national origin, age, disability status, genetic information, marital status, ancestry, protected veteran status, or any other characteristic protected by applicable federal, state, and local laws. Equal Opportunity for VEVRAA Protected Veterans. Nemean Solutions, LLC will not discriminate against employees and job applicants who inquire about, discuss or disclose compensation information.*</t>
        </is>
      </c>
    </row>
    <row r="34">
      <c r="A34" t="inlineStr">
        <is>
          <t>in-f8ef0bb16d109018</t>
        </is>
      </c>
      <c r="B34" t="inlineStr">
        <is>
          <t>Program Manager</t>
        </is>
      </c>
      <c r="C34" t="inlineStr">
        <is>
          <t>CSA</t>
        </is>
      </c>
      <c r="D34" t="inlineStr">
        <is>
          <t>indeed</t>
        </is>
      </c>
      <c r="E34">
        <f>HYPERLINK("https://www.indeed.com/viewjob?jk=f8ef0bb16d109018", "https://www.indeed.com/viewjob?jk=f8ef0bb16d109018")</f>
        <v/>
      </c>
      <c r="F34">
        <f>HYPERLINK("https://recruiting.paylocity.com/recruiting/jobs/Details/3865475/CSA-Global-LLC/Program-Manager?source=Indeed_Feed", "https://recruiting.paylocity.com/recruiting/jobs/Details/3865475/CSA-Global-LLC/Program-Manager?source=Indeed_Feed")</f>
        <v/>
      </c>
      <c r="G34" t="inlineStr">
        <is>
          <t>Millington, TN, US</t>
        </is>
      </c>
      <c r="H34" s="2" t="n">
        <v>46044</v>
      </c>
      <c r="I34" t="inlineStr">
        <is>
          <t>Description:
Client Solution Architects (CSA) is currently seeking an onsite Program Manager in Millington, TN.
For nearly 50 years, CSA has delivered integrated technology and operational support services to meet the defense and federal sector's most complex enterprise needs. Working from operations centers and shipyards to training sites and program offices, CSA deploys experienced teams, innovative tools and proven processes to advance federal missions.
**How Role will make an impact:**
* Utilize Azure DevOps (TFS) for version control, project tracking, and CI/CD pipeline management.
* Administer and support SharePoint for document management, team collaboration, and workflow automation.
* Create and maintain project documentation, workflows, and diagrams using Microsoft Office Suite, including Visio and Project.
* Collaborate with cross\-functional teams to implement and support IT solutions that align with business needs.
* Troubleshoot and resolve issues related to project management and collaboration tools.
**Required Skills and Technologies:**
* Version Control \&amp; Project Management: Azure DevOps (TFS).
* Collaboration Tools: SharePoint.
* Productivity Tools: Microsoft Office Suite (Visio/Project).
Requirements:
**What you’ll need to have to join our award\-winning team:**
* Clearance: Must possess and maintain an active Secret Clearance
* 10 years of relevant experience
* General experience in Project Management, Data Analysis, Organizational Management, and Business Process Improvement</t>
        </is>
      </c>
    </row>
    <row r="35">
      <c r="A35" t="inlineStr">
        <is>
          <t>in-e7e7537dbe0fe159</t>
        </is>
      </c>
      <c r="B35" t="inlineStr">
        <is>
          <t>Training &amp; Development Program Manager</t>
        </is>
      </c>
      <c r="C35" t="inlineStr">
        <is>
          <t>Chicago Jobs Council</t>
        </is>
      </c>
      <c r="D35" t="inlineStr">
        <is>
          <t>indeed</t>
        </is>
      </c>
      <c r="E35">
        <f>HYPERLINK("https://www.indeed.com/viewjob?jk=e7e7537dbe0fe159", "https://www.indeed.com/viewjob?jk=e7e7537dbe0fe159")</f>
        <v/>
      </c>
      <c r="F35">
        <f>HYPERLINK("https://cjc.bamboohr.com/careers/72?source=indeed&amp;src=indeed&amp;postedDate=2026-01-23", "https://cjc.bamboohr.com/careers/72?source=indeed&amp;src=indeed&amp;postedDate=2026-01-23")</f>
        <v/>
      </c>
      <c r="G35" t="inlineStr">
        <is>
          <t>Chicago, IL, US</t>
        </is>
      </c>
      <c r="H35" s="2" t="n">
        <v>46044</v>
      </c>
      <c r="I35" t="inlineStr">
        <is>
          <t>**Chicago Jobs Council (CJC)** is a workforce development intermediary focused on jobseekers. CJC advocates for jobseekers by researching current issues, developing recommendations, and promoting systemic change. We build capacity in the workforce development field through curriculum offered in trainings, cohort learning, and leadership academies based on best practices. CJC also influences policies at the city, state, and federal levels to increase funding for the public workforce system, create equitable pathways, and eliminate employment barriers. **Our Mission:** Together with community and institutional leaders, Chicago Jobs Council is re\-imagining our workforce system so all people can thrive through employment. **Our Vision:** To create an anti\-racist workforce development system and employment equity so everyone can realize their unique pathway out of poverty.
 **Position Scope:** The **Training and Development Program Manager** is a full\-time position focused on designing, implementing, and overseeing comprehensive training programs for workforce development providers. This role includes facilitation and training, curriculum development, project management, technical assistance provision and staff supervision. Note that this position may require occasional travel, including overnight trips. The Training \&amp; Development Program Manager reports to the Director of Community \&amp; Capacity Building.
 **Competitive Compensation:** Full\-time exempt position with an annual starting salary $59,000 \- $65,500
**Location:** Hybrid, 29 E Madison, Suite 1700C, Chicago, IL
**Excellent Benefits:** Health Insurance, 403b, Vacation/Sick/Personal Benefit Time, Hybrid
 **Key Responsibilities**
* **Facilitation:** Design, develop, and implement training programs based on workforce development best practices. Facilitate training sessions for frontline staff and workforce development professionals. Recruit and collaborate with guest speakers, content experts, and external consultants to enhance training delivery.
* **Curriculum Development:** Revise and update existing training curricula to incorporate emerging best practices and stakeholder feedback. Create experiential, hands\-on learning activities tailored to adult learners. Develop written resources, tools, and materials to support training initiatives.
* **Leadership:** Lead and facilitate Communities of Practice. Collaborate with subject matter experts, external facilitators and content providers to align curriculum and programming goals. Recruit and onboard external facilitators who uphold the mission and values of CJC.
* **Supervision**: Supervise program coordinators and fellows/interns, as needed. Provide mentorship and support for other CJC staff who are part of the team responsible for implementing programming. Collaborate with internal teams and external stakeholders to ensure program success.
* **Project Management:** Manage the public, customized and cohort learning training programs, which includes curriculum development, training facilitation, communication coordination, material preparation, and follow\-up; plus creating agendas and preparing for various stakeholder meetings.
* **Technical Assistance:** Provide ongoing technical assistance and support to workforce development providers, administrators and other stakeholders. Respond to information requests and offer guidance on training\-related inquiries.
* **Marketing:** Collaborate with the Strategic Communications Specialist to develop and implement a marketing plan to recruit participants for training programs, including co\-authoring promotional blog posts.
* **Data Collection \&amp; Evaluation:** Design and implement tools for evaluating training effectiveness. Collect and analyze data to monitor and assess training goals and outcomes.
* **Administration:** Responsible for administrative tasks related to programming and delegating appropriate tasks to the program coordinator. Prepare grant reports and other data reporting documentation, as required. Participate in stakeholder meetings to engage stakeholders and partners to learn about what workforce professionals need to build capacity in their role and at their organization.
* **Other duties as assigned.**
**Requirements**
***Personal Qualities***
* Strong commitment to CJC’s mission and a demonstrated dedication to racial equity.
* Passion for continuous improvement and professional development.
* Strong interpersonal skills and the ability to work collaboratively within a team.
* Confidence in leadership roles and a reflective approach to learning from both successes and challenges.
***Skills***
* Proven ability to design and implement effective training programs.
* Excellent communication skills, both written and verbal.
* Strong organizational and time management abilities.
* Creative problem\-solving skills and exceptional critical thinking.
* Ability to analyze and interpret data for diverse audiences.
* Strategic thinking with a keen attention to detail.
* Proficiency with G Suite (Google Docs, Sheets, etc), Microsoft Office Suite (Excel, Word, etc.), Zoom, Asana, web\-based survey tools, online database, and website management.
***Experience***
* In\-depth knowledge of public policies and programs affecting people in poverty, particularly in workforce development.
* 3\-5 years of experience in adult training, teaching, or facilitation, including train\-the\-trainer experience.
* Experience managing workforce development programs or initiatives, including grants management.
* Expertise in curriculum development, including research and writing.
* Successful experience in meeting/event planning and project management.
* Minimum 5\-7 years of related experience.
* Post\-secondary credential preferred; degrees or certifications in education, training, counseling, or social work are highly desirable.
**Application Information**
**To apply for the Training \&amp; Development Program Manager, please submit a cover letter\* and resume to https://cjc.bamboohr.com/careers/72**
* In your cover letter, please provide an example of a time when you were leading a training that a participant offered a profound insight and how that influenced you moving forward.
Applications will be reviewed on a rolling basis until the position is filled.
CHICAGO JOBS COUNCIL IS AN EQUAL OPPORTUNITY EMPLOYER. CJC is committed to building an inclusive staff and strongly encourages applications from individuals of color, people with disabilities, individuals with diverse backgrounds, and those whose life experience is underrepresented in employment programs and policies. Research suggests that qualified women, Black, Indigenous, and Persons of Color (BIPOC) may self\-select out of opportunities if they don't meet 100% of the job requirements. We encourage individuals who believe they have the skills necessary to thrive to apply for this role.
CJC recognizes that systemic, institutional and individual racism creates disparities in the way people of color fare in the labor market. We are continuously working to review and update our practices, policies, and procedures using a racial equity lens in order to achieve more equitable outcomes for *all*.
*Illinois is an at\-will employment state.*</t>
        </is>
      </c>
    </row>
    <row r="36">
      <c r="A36" t="inlineStr">
        <is>
          <t>in-92e69cfc9b17947d</t>
        </is>
      </c>
      <c r="B36" t="inlineStr">
        <is>
          <t>PAMSS - Program Manager</t>
        </is>
      </c>
      <c r="C36" t="inlineStr">
        <is>
          <t>ASRT, Inc.</t>
        </is>
      </c>
      <c r="D36" t="inlineStr">
        <is>
          <t>indeed</t>
        </is>
      </c>
      <c r="E36">
        <f>HYPERLINK("https://www.indeed.com/viewjob?jk=92e69cfc9b17947d", "https://www.indeed.com/viewjob?jk=92e69cfc9b17947d")</f>
        <v/>
      </c>
      <c r="F36">
        <f>HYPERLINK("https://recruiting.paylocity.com/recruiting/jobs/Details/3865595/ASRT-Inc/PAMSS---Program-Manager?source=Indeed_Feed", "https://recruiting.paylocity.com/recruiting/jobs/Details/3865595/ASRT-Inc/PAMSS---Program-Manager?source=Indeed_Feed")</f>
        <v/>
      </c>
      <c r="G36" t="inlineStr">
        <is>
          <t>Idaho Falls, ID, US</t>
        </is>
      </c>
      <c r="H36" s="2" t="n">
        <v>46044</v>
      </c>
      <c r="I36" t="inlineStr">
        <is>
          <t>Description:
**JOB TITLE: Program Manager**
**POSITION NUMBER: 2301\-PM1\-PAMSS**
**POSITION LOCATION: Idaho Falls, ID**
**ANTICIPATED START DATE: Proposal Contingent**
**TRAVEL: As required to fulfill the responsibilities of the position**
ASRT, Inc. provides scientific, information management, management consulting, bioinformatics, and administrative program support to the Centers for Disease Control and Prevention (CDC) and other Federal and private sector clients. The successful candidate will be a full\-time employee of ASRT, Inc. and will be assigned to the U.S. Department of Energy (DOE)
**SCOPE OF WORK**
Serves as the single point of accountability for all PAMSS contract performance. The Program Manager is responsible for task assignment execution, staffing, cost and schedule control, quality assurance, and direct coordination with the DOE Contracting Officer’s Representative. Execution is grounded in PMBOK®\-aligned project management practices.
**MAJOR DUTIES AND RESPONSIBILITIES**
* Direct and oversee all task assignments from intake through closeout.
* Manage staffing, labor mix, and surge support.
* Ensure cost, schedule, and quality compliance.
* Serve as the primary interface with DOE leadership.
* Implement risk management and corrective action processes.
Requirements:
**MINIMUM QUALIFICATIONS**
**Education and Experience:**
* Bachelor’s degree required; Master’s preferred.
* 7–10 years’ management experience within DoD or federal IT operations.
* Proficiency with SharePoint, MS Office, and enterprise reporting tools
**Desirable:**
* Excellent oral and written communication skills
* 10\+ years of progressively responsible federal program or project management experience.
* Experience managing DOE, HHS (CDC/NIH), or DoD advisory and assistance services contracts.
* Experience working with a diverse interdisciplinary team
* Experience with PMBOK®, MS Project, SharePoint, Teams, and cost tracking tools.
**Security Clearance:**
Applicants selected will be subject to Public Trust; they must be able to obtain higher clearance if tasking requires.
**Language Skills:**
* The candidate must possess excellent oral and written English communication skills.
**REQUIREMENT:** Must be a United States citizen or permanent resident or have authorization for employment in the United States.
**SALARY:** Commensurate with qualifications and experience.
**To apply for this position:**
* If you are viewing this position on the ASRT Career page, please click on the "Apply" button.
* If you are viewing this position on a site other than the ASRT Career page, you may use the "click to apply" link, or you may apply by visiting our Career page and searching for the job title and position number listed at the top of this job posting.
* To view all of our open positions and to apply to job openings in which you may be interested, please visit our Career page at https://www.asrtinc.com/careers.
**EEO/vets/disabled**</t>
        </is>
      </c>
    </row>
    <row r="37">
      <c r="A37" t="inlineStr">
        <is>
          <t>in-416fa4255ca34d10</t>
        </is>
      </c>
      <c r="B37" t="inlineStr">
        <is>
          <t>Sr Product Manager - Workday AI</t>
        </is>
      </c>
      <c r="C37" t="inlineStr">
        <is>
          <t>Workday</t>
        </is>
      </c>
      <c r="D37" t="inlineStr">
        <is>
          <t>indeed</t>
        </is>
      </c>
      <c r="E37">
        <f>HYPERLINK("https://www.indeed.com/viewjob?jk=416fa4255ca34d10", "https://www.indeed.com/viewjob?jk=416fa4255ca34d10")</f>
        <v/>
      </c>
      <c r="F37">
        <f>HYPERLINK("https://workday.wd5.myworkdayjobs.com/en-US/Workday/job/USA-WA-Seattle/Sr-Product-Manager---Workday-AI_JR-0102677", "https://workday.wd5.myworkdayjobs.com/en-US/Workday/job/USA-WA-Seattle/Sr-Product-Manager---Workday-AI_JR-0102677")</f>
        <v/>
      </c>
      <c r="G37" t="inlineStr">
        <is>
          <t>Seattle, WA, US</t>
        </is>
      </c>
      <c r="H37" s="2" t="n">
        <v>46044</v>
      </c>
      <c r="I37"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 Product Manager in Agent Factory, you’ll lead the strategy and delivery of AI\-powered agents that are designed to be understood, trusted, and adopted by customers at global scale. You’ll own products across the agent lifecycle—from defining the customer problem and value proposition, to shaping the platforms and frameworks that enable Workday teams to bring agents to market quickly and consistently. Working closely with machine learning, engineering, and domain product leaders, you’ll turn emerging AI capabilities into clear product narratives, scalable solutions, and measurable customer impact. This role calls for strong product judgment, a bias for execution, and deep curiosity about how AI can be translated into differentiated experiences that drive real business outcomes. You’ll help define how Workday positions, builds, and delivers intelligent agents—ensuring innovation lands with clarity, credibility, and purpose.
About You
Basic Qualifications* 8\+ years of product management experience
* 5\+ years of experience with SaaS/B2B
* Experience with AI Agents
* Technically proficient with AI and LLM\-powered technology
Other Qualifications:* Passion and empathy for customers and a proven track record as a customer advocate
* Experience managing stakeholders and working collaboratively and cross functionally with a product portfolio
* Experience bringing new product offerings to market
* Steadfast focus on user\-centric design, data, research, and well\-honed judgment
* Bias for decisions and actions and comfortable making big decisions on the minimal amount of information needed for it.
* Ability to operate successfully across multiple functions, influence senior executives and peers alike, and mediate across various partners
* Good communication and presentation abilities, both written and verbal
* Previous experience at AI centric or data centric companies a plus
You’ll be a great fit (and make sure to highlight these experiences to us) if:* You’ve worked in unstructured, fast\-moving environments like early stage startups, and thrived in it.
* You are passionately following the latest in AI products and emerging technologies and trying them out, exploring possibilities, and have experimented with many of the technologies on your own
* You are driven to action, progress, and decisions and are comfortable pushing on product deliveries with best available incomplete information and get your motivation from building/delivering
* You are organized and capable of tracking dozens of moving pieces and managing the many stakeholders that you work with at a company like Workday
* You excel at learning and understanding customer pain points quickly based on public information, internal information, and customer conversations, and can get up to speed on complex customer pain points in a fraction of the time a typical PM would
* You’re excited to build products that bring the latest AI technology to Workday’s massive customer base.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USA.WA.Seattle  
Primary Location Base Pay Range: $155,400 USD \- $233,100 USD  
Additional US Location(s) Base Pay Range: $140,600 USD \- $248,400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38">
      <c r="A38" t="inlineStr">
        <is>
          <t>in-38843fd0f4217538</t>
        </is>
      </c>
      <c r="B38" t="inlineStr">
        <is>
          <t>Digital Product Manager - New York</t>
        </is>
      </c>
      <c r="C38" t="inlineStr">
        <is>
          <t>Photon</t>
        </is>
      </c>
      <c r="D38" t="inlineStr">
        <is>
          <t>indeed</t>
        </is>
      </c>
      <c r="E38">
        <f>HYPERLINK("https://www.indeed.com/viewjob?jk=38843fd0f4217538", "https://www.indeed.com/viewjob?jk=38843fd0f4217538")</f>
        <v/>
      </c>
      <c r="F38">
        <f>HYPERLINK("https://fa-ertb-saasfaprod1.fa.ocs.oraclecloud.com/hcmUI/CandidateExperience/en/sites/CX_2/requisitions/preview/24942", "https://fa-ertb-saasfaprod1.fa.ocs.oraclecloud.com/hcmUI/CandidateExperience/en/sites/CX_2/requisitions/preview/24942")</f>
        <v/>
      </c>
      <c r="G38" t="inlineStr">
        <is>
          <t>New York, NY, US</t>
        </is>
      </c>
      <c r="H38" s="2" t="n">
        <v>46044</v>
      </c>
      <c r="I38" t="inlineStr">
        <is>
          <t>Key Responsibilities
* Own feature definitions, acceptance criteria, and prioritization for key workflows
* Lead the strategy, development, and lifecycle of **mobile applications** (iOS, Android, and web)
* Translate banker needs into structured product requirements
* Manage MVP \&gt; Phase 2 \&gt; Scale roadmap iterations
* Collaborate cross\-functionally with UX, Engineering, AI, and CRM teams
* Track behavioral metrics and refine the product through data\-driven iteration
Must\-Have Skillsets
* 7 plus; years in digital product management, ideally in financial services or enterprise tools
* Strong understanding of mobile app, CRM, and AI\-enabled workflows
* Ability to write clear requirements and run agile ceremonies
* Analytical mindset with familiarity in usage analytics tools
**Compensation, Benefits and Duration**
Minimum Compensation: USD 52,000
Maximum Compensation: USD 185,000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not available for independent contractors
No applications will be considered if received more than 120 days after the date of this post</t>
        </is>
      </c>
    </row>
    <row r="39">
      <c r="A39" t="inlineStr">
        <is>
          <t>in-31819c7fc6b4ec60</t>
        </is>
      </c>
      <c r="B39" t="inlineStr">
        <is>
          <t>Lead Product Manager, Risk &amp; Protection Domain</t>
        </is>
      </c>
      <c r="C39" t="inlineStr">
        <is>
          <t>Turo</t>
        </is>
      </c>
      <c r="D39" t="inlineStr">
        <is>
          <t>indeed</t>
        </is>
      </c>
      <c r="E39">
        <f>HYPERLINK("https://www.indeed.com/viewjob?jk=31819c7fc6b4ec60", "https://www.indeed.com/viewjob?jk=31819c7fc6b4ec60")</f>
        <v/>
      </c>
      <c r="F39">
        <f>HYPERLINK("https://turo.wd12.myworkdayjobs.com/en-US/Turo_careers/job/San-Francisco/Lead-Product-Manager--Risk---Protection-Domain_R-102446", "https://turo.wd12.myworkdayjobs.com/en-US/Turo_careers/job/San-Francisco/Lead-Product-Manager--Risk---Protection-Domain_R-102446")</f>
        <v/>
      </c>
      <c r="G39" t="inlineStr">
        <is>
          <t>San Francisco, CA, US</t>
        </is>
      </c>
      <c r="H39" s="2" t="n">
        <v>46044</v>
      </c>
      <c r="I39" t="inlineStr">
        <is>
          <t>About the team
At Turo, product managers (PMs) guide the process of prioritizing, building, and shipping world\-class consumer products that further Turo's mission of putting the world's 1\.5\+ billion cars to better use. PMs lead the synthesis of customer feedback, data, and business goals into actionable product roadmaps that they develop and execute with their team. The products that we build enable entrepreneurial hosts to thrive, help guests find their ideal car for every journey, and support them before, during, and after their trip.
What you will do
As the lead product manager for the Risk \&amp; Protection domain, you’ll play a key role in maintaining a trusted and reliable marketplace for both hosts and guests while balancing risk with business performance. You’ll partner closely with Trust \&amp; Safety, Claims, and Marketplace Support teams to deliver meaningful improvements for customers and measurable impact to Turo’s business. Along the way, you’ll have the opportunity to explore and apply the latest technologies and innovations to help achieve these goals.
Your profile* Extensive product management experience delivering user\-facing software. Marketplace experience is a big plus.
* Demonstrated ability to leverage data analysis, experimentation, and quantitative modeling to drive insights, measure performance, and assess business impact.
* Experience leading cross\-functional teams to prioritize, build, and ship world class product experiences.
* Ability to align diverse perspectives, manage competing priorities, and drive consensus across multiple stakeholder groups.
* Clear articulation of product strategy, tradeoffs, and decisions to influence partners at all levels.
* Outstanding judgment and self\-direction, with ability to drive major initiatives in ambiguous, fast\-moving environments.
* Experience with financial, insurance, or platform security products is a plus.
For this role, the target base salary range in San Francisco is $174,000\-$218,000 annually. This role is also eligible for equity and the benefits described below. In general, our ranges reflect the market\-based target for new hire salaries based on the level and location of the role. Within the range, individual pay is determined by objective factors assessed during the application and interview process, such as job\-related skills, experience, and relevant education or training. We encourage you to talk with your recruiter to learn more about the total compensation and benefits available for this role.
Turo highly values having employees working in\-office to foster a collaborative work environment and company culture. This role will be in\-office on a hybrid schedule — Turists will be expected to work in the office 3 days per week on Mondays, Wednesdays, and Thursdays. Your recruiter can share more information about the various in\-office perks Turo offers.
\#LI\-NR1
\#LI\-Hybrid
Benefits* Competitive salary, equity, benefits, and perks for all full\-time employees
* Employer\-paid medical, dental, and vision insurance (Country specific)
* Retirement employer match
* Learning \&amp; Development stipend to invest in your professional development
* Turo host matching program
* Turo travel credit
* Cell phone and internet stipend
* Paid time off to relax and recharge
* Paid holidays, volunteer time off, and parental leave
* For those who are in the office full\-time or hybrid we have in\-office lunch, office snacks, and fun activities
We are committed to building a diverse team. If you are from a background that's underrepresented in tech, we'd love to meet you.
Aside from an award winning work environment and the opportunity to be part of the world’s largest car sharing marketplace, we are also growing the team quickly \- join us! Even if you don't meet every qualification, we are looking for people with enthusiasm for what we do and we will consider you for this and other possibilities.
About Turo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
Discover Turo at https://turo.com, the App Store, and Google Play, and check out our blog, Field Notes.  
Turo is an Equal Opportunity Employer and a participant in the U.S. Federal E\-Verify program. Women, minorities, individuals with disabilities and protected veterans are encouraged to apply. We welcome people of different backgrounds, experiences, abilities and perspectives.
Turo will consider qualified applicants with criminal histories in a manner consistent with the San Francisco Fair Chance Ordinance, as applicable.
We welcome candidates with physical, mental, and/or neurological disabilities. If you require assistance applying for an open position, or need accommodation during the recruiting process due to a disability, please submit a request to People Operations by emailing PeopleOps@turo.com.
Welcome
Welcome to Turo Careers!
About Us
Turo is the world’s largest car sharing marketplace where you can book the perfect car for wherever you’re going from a vibrant community of trusted hosts across the US, UK, Canada, Australia, and France. Whether you're flying in from afar or looking for a car down the street, searching for a rugged truck or something smooth and swanky, Turo puts you in the driver's seat of an extraordinary selection of cars shared by local hosts.</t>
        </is>
      </c>
    </row>
    <row r="40">
      <c r="A40" t="inlineStr">
        <is>
          <t>in-b32478cd43b734d2</t>
        </is>
      </c>
      <c r="B40" t="inlineStr">
        <is>
          <t>Salesforce Product manager, VP / Chicago, IL</t>
        </is>
      </c>
      <c r="C40" t="inlineStr">
        <is>
          <t>BlackRock</t>
        </is>
      </c>
      <c r="D40" t="inlineStr">
        <is>
          <t>indeed</t>
        </is>
      </c>
      <c r="E40">
        <f>HYPERLINK("https://www.indeed.com/viewjob?jk=b32478cd43b734d2", "https://www.indeed.com/viewjob?jk=b32478cd43b734d2")</f>
        <v/>
      </c>
      <c r="F40">
        <f>HYPERLINK("https://careers.blackrock.com/job/chicago/salesforce-product-manager-vp-chicago-il/45831/90966761120", "https://careers.blackrock.com/job/chicago/salesforce-product-manager-vp-chicago-il/45831/90966761120")</f>
        <v/>
      </c>
      <c r="G40" t="inlineStr">
        <is>
          <t>Chicago, IL, US</t>
        </is>
      </c>
      <c r="H40" s="2" t="n">
        <v>46044</v>
      </c>
      <c r="I40" t="inlineStr">
        <is>
          <t>Location:
**Chicago, Illinois**
Team:
**Technology Product**
Job Requisition \#: **R260203**
Date posted: **Jan. 23, 2026**
**Job description**
-------------------
**About this role**
**Job Summary**
As a Salesforce Product manager you will be responsible for capturing actionable functional user stories and running product backlog that drives our Salesforce Platform. The successful candidate will work closely with internal teams to ensure the platform is leveraged to its full capabilities as well as gather requirements, identify enhancements based on feedback and customer needs, troubleshoot, and resolve issues for users, collaborate with internal teams and vendors to design and develop new enhancements, and support implementation and change management efforts. In addition, the role will oversee parts of Salesforce roadmap and play an integral role in growth strategy discussions alongside senior leadership.
**Key Responsibilities**
Salesforce Specific
* Lead requirements gathering sessions and understand business priorities for design and solutioning of applications primarily on the Salesforce platform
* Own and manage Salesforce Platform roadmap, and prioritization of features against business needs
* Document functional business requirements, process flow diagrams, and business cases
* Establish KPI metrics to understand success measures from project inception and tracked throughout its lifecycle
* Design and recommend functional solutions using best practices
Product Management
* Develop medium\-term roadmaps in collaboration with users and senior management
* Develop cross\-functional relationships with business teams to prioritize new features based on business impact
* Gathers user and market data through different methods (interviews, surveys, secondary data sources)
* Builds custom reports to support product decisions in Salesforce
System Requirements, User stories and UAT
* With a focus on Salesforce user experience and workflow, capture business requirements, translate them into system requirements for architects \&amp; developers and prioritize them
* Ensure requirements evolve into user documentation such that they are simultaneously published as features get released
* Drive adoption of new features for systems by working closely with QA engineers along with organizing and participating in user acceptance testing
Data Requirements and documentation
* Ensure data interfaces between all teams is fully documented and agreed
* Provide support to business users by generating ad\-hoc reports, investigating potential issues with data flow, and/or researching the viability of a suggested improvement
**Qualifications**
* Excellent writing and editing skills combined with strong presentation and public speaking skills
* Basic understanding of SaaS platforms and technology systems
* Experience as a SCRUM master or certified agile coach
* Experience with the full software development lifecycle
* Two plus years of related experience working in financial services / technology in business process improvement/engineering/project or product management.
* Product Management, Project Management, Business Analysis experience
* Experience working with systems developers in external vendor organization, preferably in an agile environment
**Requirements \&amp; Professional Experience**
* Salesforce Certified Administrator (\+)
* Experience with Salesforce Sales, Service and / or Financial Services Cloud (\+)
* Experience with databases and writing simple SQL queries (\+)
* Strong verbal and written communication
* Ability to gather, analyze, and present data to different audiences
* Ability to understand a process at a high level, while still drilling into details
* Have a thorough understanding of process mapping, data collection, data analysis, procedure writing, and writing effective requirements documentation
**Education**
* Bachelor's degree in Business, Engineering, or related discipline.
* Additional QA certifications or training preferred.
For Chicago, IL Only the salary range for this position is USD$140,000\.00 \- USD$195,000\.00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BlackRock will consider for employment qualified applicants with arrest or conviction records in a manner consistent with the requirements of the law, including any applicable fair chance law.
**Job Requisition \#**
R260203</t>
        </is>
      </c>
    </row>
    <row r="41">
      <c r="A41" t="inlineStr">
        <is>
          <t>in-d6bf89b22538a688</t>
        </is>
      </c>
      <c r="B41" t="inlineStr">
        <is>
          <t>Product Manager (eCommerce) AO7167687</t>
        </is>
      </c>
      <c r="C41" t="inlineStr">
        <is>
          <t>BTI Solutions</t>
        </is>
      </c>
      <c r="D41" t="inlineStr">
        <is>
          <t>indeed</t>
        </is>
      </c>
      <c r="E41">
        <f>HYPERLINK("https://www.indeed.com/viewjob?jk=d6bf89b22538a688", "https://www.indeed.com/viewjob?jk=d6bf89b22538a688")</f>
        <v/>
      </c>
      <c r="F41">
        <f>HYPERLINK("https://btisolutions.wd12.myworkdayjobs.com/jobPosting/job/Englewood-Cliffs-NJ/Program-Manager--eCommerce-5--years--AO7167687_JR101541", "https://btisolutions.wd12.myworkdayjobs.com/jobPosting/job/Englewood-Cliffs-NJ/Program-Manager--eCommerce-5--years--AO7167687_JR101541")</f>
        <v/>
      </c>
      <c r="G41" t="inlineStr">
        <is>
          <t>Englewood Cliffs, NJ, US</t>
        </is>
      </c>
      <c r="H41" s="2" t="n">
        <v>46042</v>
      </c>
      <c r="I41" t="inlineStr">
        <is>
          <t>**Why work with us?**
=====================
**Proven people.**
==================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
More than anything, the biggest difference with BTI Solutions is the one that matters most: bottom\-line results.
*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Product Manager (eCommerce) AO7167687
 Job Description: Top skills: Program management, attention to detail, experienced executing operational processes  
Schedule: 5 days onsite  
Summary:  
The main function of a product manager is to maximize sales, revenue, market share and profit margins by leading a team to deliver an end product. The typical product manager guides the delivery of a product through its life cycle.  
Job Responsibilities:  
� Responsible for the product planning and execution throughout the product lifecycle, including: gathering and prioritizing product and customer requirements, defining the product vision, and working closely with other company departments to ensure revenue and customer satisfaction goals are met  
� Ensuring that the product supports the company's overall strategy and goals.  
� Managing the entire product line life cycle from strategic planning to tactical activities.  
� Author user stories, acceptance criteria and execute a portion of the testing on projects.  
� Developing and implementing a company\-wide go\-to\-market plan, working with all departments to execute.  
� Ensure product quality expectations are defined and known across the team.  
Skills:  
� Verbal and written communication skills, problem solving skills, attention to detail and interpersonal skills.  
� Ability to work independently and manage one's time.  
� Knowledge of production processes, quality control, costs and other techniques for maximizing the effective manufacture and distribution of goods.  
� Knowledge of business and management principles involved in strategic planning, resource allocation, and production methods.  
Education/Experience:  
� Bachelor's degree in a related field required. MBA or other related advanced degree preferred.  
� 5\-7 years experience required.  
KEY RESPONSIBILITES/REQUIREMENTS:  
This PM position supports business across categorical lines of business (XLOB) in upper funnel pages and experiences. PM will partner closely with varied stakeholders, including Marketing, Customer Experience (CX), agencies, and overseas leadership teams to support LOBs with onboarding product pages, marketing content and customer journey, to help drive site nurturing and eCommerce revenue growth of products and solutions. The goal of the Customer Experience team is to build business \&amp; brand value, while maximizing \&amp; growing S.com/business’s revenue stream and this role will be partnering closely to help with this effort.  
This role will also work closely with the web development and technology teams\- as well as interface with key internal business stakeholders, 3rd party agency partners and production resources on a daily basis.  
Core responsibilities include onboarding content launches and planning updates, CEJ improvements, building out ad\-hoc pages to pass off to Site Ops with tight timelines, managing Jira tickets, managing all communication and organization of tickets in Confluence \&amp; Jira for the CX team to ensure timely and accurate launches.  
Essential Duties \&amp; Responsibilities  
* Take charge of the end\-to\-end lifecycle of product pages on eCommerce page, from initial intake of request, gathering necessary assets and information, collaborating with teams build and launch site experiences and pages and optimize post launch, and optimizing experiences post\-launch
* Demonstrate exceptional attention to detail in every aspect of eCommerce page creation and content \&amp; CEJ enhancement, ensuring that content is accurate and reflects brand standards.
* Maintain clear and effective communication across all levels of the organization, providing regular updates on project status, addressing any issues promptly, and ensuring all stakeholders are aligned throughout the process.
* Manage tight deadlines and complex workstream, prioritizing tasks effectively to ensure product and landing pages are launched accurately and on schedule to meet market launch dates.
* Assist Site Manager with requests while monitoring and tracking progress throughout each stage of the schedule.
* Work closely with Category, LOB and Product teams to coordinate page updates and communicate site changes and hit tight projected timelines
* Develop streamlined ways to manage projects and use strong communication skills to drive a clear roadmap
* Use Smartsheet, Jira \&amp; Confluence daily to keep team and stakeholders organized and informed
* Partner with Site Ops teams on prioritization of projects in queue.
* Partner with Platform and web development teams to identify technical solutions that meet business and CX needs
* Manage stakeholder expectations by proactively identifying problems \&amp; solutions
Requirements:  
* Strong ability to work across a variety of tasks with varying deadlines and priorities. Knows how to manage time and get things done in a very fast\-paced atmosphere.
* Seek to understand the strategic importance of projects in order to be deliver against the customer and business needs. Be strong advocate for the customer journey and experience.
* Experience in project management, product and campaign launches, ecommerce, site merchandising or similar experiences.
* A strategic thinker and decision maker.
* Great organizational skills, attention to detail, and ability to execute flawlessly.
* Identifying an issue and finding ways to solve it
Qualifications:  
* Bachelor’s degree required, degree in Communications, Marketing or similar desired.
* 5\+ years of experience in project or program management with proven track record of successfully developing, planning and executing operational processes in a highly matrixed organization.
* Excellent written and verbal communication skills
* Great organizational skills, attention to detail, and ability to execute flawlessly.
* Proven experience in problem solving. Not afraid to fail, willing to learn and improve.
* Passion for creating great customer experiences.
* Not afraid to work in a fast paced and dynamic environment
* Collaborative, open, learns and grows from working with others. Thrives in a team atmosphere.
* Experience in online retail required. Experience in technology\-focused online retail a real plus.
* Self\-directed, hardworking, and hungry to learn.
* Expertise in Site Usability, A/B Testing, and Optimization
* Proficient in Microsoft Office: Excel, PowerPoint, Word
* Proficient in Jira \&amp; Confluence</t>
        </is>
      </c>
    </row>
    <row r="42">
      <c r="A42" t="inlineStr">
        <is>
          <t>in-4fb4854fff58f456</t>
        </is>
      </c>
      <c r="B42" t="inlineStr">
        <is>
          <t>Service Cloud Product Owner</t>
        </is>
      </c>
      <c r="C42" t="inlineStr">
        <is>
          <t>Concentrix</t>
        </is>
      </c>
      <c r="D42" t="inlineStr">
        <is>
          <t>indeed</t>
        </is>
      </c>
      <c r="E42">
        <f>HYPERLINK("https://www.indeed.com/viewjob?jk=4fb4854fff58f456", "https://www.indeed.com/viewjob?jk=4fb4854fff58f456")</f>
        <v/>
      </c>
      <c r="F42">
        <f>HYPERLINK("https://cnx.wd1.myworkdayjobs.com/external_global/job/MEX-Work-at-Home/Service-Cloud-Project-Manager---Lead--bilingual_R1690784?source=Indeed", "https://cnx.wd1.myworkdayjobs.com/external_global/job/MEX-Work-at-Home/Service-Cloud-Project-Manager---Lead--bilingual_R1690784?source=Indeed")</f>
        <v/>
      </c>
      <c r="G42" t="inlineStr">
        <is>
          <t>WY, US</t>
        </is>
      </c>
      <c r="H42" s="2" t="n">
        <v>46014</v>
      </c>
      <c r="I42"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43">
      <c r="A43" t="inlineStr">
        <is>
          <t>in-1c218a05222de5ca</t>
        </is>
      </c>
      <c r="B43" t="inlineStr">
        <is>
          <t>Service Cloud Product Owner</t>
        </is>
      </c>
      <c r="C43" t="inlineStr">
        <is>
          <t>Concentrix</t>
        </is>
      </c>
      <c r="D43" t="inlineStr">
        <is>
          <t>indeed</t>
        </is>
      </c>
      <c r="E43">
        <f>HYPERLINK("https://www.indeed.com/viewjob?jk=1c218a05222de5ca", "https://www.indeed.com/viewjob?jk=1c218a05222de5ca")</f>
        <v/>
      </c>
      <c r="F43">
        <f>HYPERLINK("https://cnx.wd1.myworkdayjobs.com/external_global/job/MEX-Work-at-Home/Service-Cloud-Project-Manager---Lead--bilingual_R1690784?source=Indeed", "https://cnx.wd1.myworkdayjobs.com/external_global/job/MEX-Work-at-Home/Service-Cloud-Project-Manager---Lead--bilingual_R1690784?source=Indeed")</f>
        <v/>
      </c>
      <c r="G43" t="inlineStr">
        <is>
          <t>IA, US</t>
        </is>
      </c>
      <c r="H43" s="2" t="n">
        <v>46014</v>
      </c>
      <c r="I43"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44">
      <c r="A44" t="inlineStr">
        <is>
          <t>in-dd8b1fd3a3dd216a</t>
        </is>
      </c>
      <c r="B44" t="inlineStr">
        <is>
          <t>Service Cloud Product Owner</t>
        </is>
      </c>
      <c r="C44" t="inlineStr">
        <is>
          <t>Concentrix</t>
        </is>
      </c>
      <c r="D44" t="inlineStr">
        <is>
          <t>indeed</t>
        </is>
      </c>
      <c r="E44">
        <f>HYPERLINK("https://www.indeed.com/viewjob?jk=dd8b1fd3a3dd216a", "https://www.indeed.com/viewjob?jk=dd8b1fd3a3dd216a")</f>
        <v/>
      </c>
      <c r="F44">
        <f>HYPERLINK("https://cnx.wd1.myworkdayjobs.com/external_global/job/MEX-Work-at-Home/Service-Cloud-Project-Manager---Lead--bilingual_R1690784?source=Indeed", "https://cnx.wd1.myworkdayjobs.com/external_global/job/MEX-Work-at-Home/Service-Cloud-Project-Manager---Lead--bilingual_R1690784?source=Indeed")</f>
        <v/>
      </c>
      <c r="G44" t="inlineStr">
        <is>
          <t>AR, US</t>
        </is>
      </c>
      <c r="H44" s="2" t="n">
        <v>46014</v>
      </c>
      <c r="I44"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45">
      <c r="A45" t="inlineStr">
        <is>
          <t>in-4401a0e7f6fb1b66</t>
        </is>
      </c>
      <c r="B45" t="inlineStr">
        <is>
          <t>Service Cloud Product Owner</t>
        </is>
      </c>
      <c r="C45" t="inlineStr">
        <is>
          <t>Concentrix</t>
        </is>
      </c>
      <c r="D45" t="inlineStr">
        <is>
          <t>indeed</t>
        </is>
      </c>
      <c r="E45">
        <f>HYPERLINK("https://www.indeed.com/viewjob?jk=4401a0e7f6fb1b66", "https://www.indeed.com/viewjob?jk=4401a0e7f6fb1b66")</f>
        <v/>
      </c>
      <c r="F45">
        <f>HYPERLINK("https://cnx.wd1.myworkdayjobs.com/external_global/job/MEX-Work-at-Home/Service-Cloud-Project-Manager---Lead--bilingual_R1690784?source=Indeed", "https://cnx.wd1.myworkdayjobs.com/external_global/job/MEX-Work-at-Home/Service-Cloud-Project-Manager---Lead--bilingual_R1690784?source=Indeed")</f>
        <v/>
      </c>
      <c r="G45" t="inlineStr">
        <is>
          <t>VT, US</t>
        </is>
      </c>
      <c r="H45" s="2" t="n">
        <v>46014</v>
      </c>
      <c r="I45"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46">
      <c r="A46" t="inlineStr">
        <is>
          <t>in-3c760823bd23e4a4</t>
        </is>
      </c>
      <c r="B46" t="inlineStr">
        <is>
          <t>Service Cloud Product Owner</t>
        </is>
      </c>
      <c r="C46" t="inlineStr">
        <is>
          <t>Concentrix</t>
        </is>
      </c>
      <c r="D46" t="inlineStr">
        <is>
          <t>indeed</t>
        </is>
      </c>
      <c r="E46">
        <f>HYPERLINK("https://www.indeed.com/viewjob?jk=3c760823bd23e4a4", "https://www.indeed.com/viewjob?jk=3c760823bd23e4a4")</f>
        <v/>
      </c>
      <c r="F46">
        <f>HYPERLINK("https://cnx.wd1.myworkdayjobs.com/external_global/job/MEX-Work-at-Home/Service-Cloud-Project-Manager---Lead--bilingual_R1690784?source=Indeed", "https://cnx.wd1.myworkdayjobs.com/external_global/job/MEX-Work-at-Home/Service-Cloud-Project-Manager---Lead--bilingual_R1690784?source=Indeed")</f>
        <v/>
      </c>
      <c r="G46" t="inlineStr">
        <is>
          <t>OH, US</t>
        </is>
      </c>
      <c r="H46" s="2" t="n">
        <v>46014</v>
      </c>
      <c r="I46"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47">
      <c r="A47" t="inlineStr">
        <is>
          <t>in-8f4986d64b925ec8</t>
        </is>
      </c>
      <c r="B47" t="inlineStr">
        <is>
          <t>Service Cloud Product Owner</t>
        </is>
      </c>
      <c r="C47" t="inlineStr">
        <is>
          <t>Concentrix</t>
        </is>
      </c>
      <c r="D47" t="inlineStr">
        <is>
          <t>indeed</t>
        </is>
      </c>
      <c r="E47">
        <f>HYPERLINK("https://www.indeed.com/viewjob?jk=8f4986d64b925ec8", "https://www.indeed.com/viewjob?jk=8f4986d64b925ec8")</f>
        <v/>
      </c>
      <c r="F47">
        <f>HYPERLINK("https://cnx.wd1.myworkdayjobs.com/external_global/job/MEX-Work-at-Home/Service-Cloud-Project-Manager---Lead--bilingual_R1690784?source=Indeed", "https://cnx.wd1.myworkdayjobs.com/external_global/job/MEX-Work-at-Home/Service-Cloud-Project-Manager---Lead--bilingual_R1690784?source=Indeed")</f>
        <v/>
      </c>
      <c r="G47" t="inlineStr">
        <is>
          <t>SD, US</t>
        </is>
      </c>
      <c r="H47" s="2" t="n">
        <v>46014</v>
      </c>
      <c r="I47"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48">
      <c r="A48" t="inlineStr">
        <is>
          <t>in-cb0ea1e06dde8c4f</t>
        </is>
      </c>
      <c r="B48" t="inlineStr">
        <is>
          <t>Service Cloud Product Owner</t>
        </is>
      </c>
      <c r="C48" t="inlineStr">
        <is>
          <t>Concentrix</t>
        </is>
      </c>
      <c r="D48" t="inlineStr">
        <is>
          <t>indeed</t>
        </is>
      </c>
      <c r="E48">
        <f>HYPERLINK("https://www.indeed.com/viewjob?jk=cb0ea1e06dde8c4f", "https://www.indeed.com/viewjob?jk=cb0ea1e06dde8c4f")</f>
        <v/>
      </c>
      <c r="F48">
        <f>HYPERLINK("https://cnx.wd1.myworkdayjobs.com/external_global/job/MEX-Work-at-Home/Service-Cloud-Project-Manager---Lead--bilingual_R1690784?source=Indeed", "https://cnx.wd1.myworkdayjobs.com/external_global/job/MEX-Work-at-Home/Service-Cloud-Project-Manager---Lead--bilingual_R1690784?source=Indeed")</f>
        <v/>
      </c>
      <c r="G48" t="inlineStr">
        <is>
          <t>ND, US</t>
        </is>
      </c>
      <c r="H48" s="2" t="n">
        <v>46014</v>
      </c>
      <c r="I48"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49">
      <c r="A49" t="inlineStr">
        <is>
          <t>in-2b4b79d9d21024fd</t>
        </is>
      </c>
      <c r="B49" t="inlineStr">
        <is>
          <t>Service Cloud Product Owner</t>
        </is>
      </c>
      <c r="C49" t="inlineStr">
        <is>
          <t>Concentrix</t>
        </is>
      </c>
      <c r="D49" t="inlineStr">
        <is>
          <t>indeed</t>
        </is>
      </c>
      <c r="E49">
        <f>HYPERLINK("https://www.indeed.com/viewjob?jk=2b4b79d9d21024fd", "https://www.indeed.com/viewjob?jk=2b4b79d9d21024fd")</f>
        <v/>
      </c>
      <c r="F49">
        <f>HYPERLINK("https://cnx.wd1.myworkdayjobs.com/external_global/job/MEX-Work-at-Home/Service-Cloud-Project-Manager---Lead--bilingual_R1690784?source=Indeed", "https://cnx.wd1.myworkdayjobs.com/external_global/job/MEX-Work-at-Home/Service-Cloud-Project-Manager---Lead--bilingual_R1690784?source=Indeed")</f>
        <v/>
      </c>
      <c r="G49" t="inlineStr">
        <is>
          <t>NE, US</t>
        </is>
      </c>
      <c r="H49" s="2" t="n">
        <v>46014</v>
      </c>
      <c r="I49"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0">
      <c r="A50" t="inlineStr">
        <is>
          <t>in-bcae96f8bb58f139</t>
        </is>
      </c>
      <c r="B50" t="inlineStr">
        <is>
          <t>Service Cloud Product Owner</t>
        </is>
      </c>
      <c r="C50" t="inlineStr">
        <is>
          <t>Concentrix</t>
        </is>
      </c>
      <c r="D50" t="inlineStr">
        <is>
          <t>indeed</t>
        </is>
      </c>
      <c r="E50">
        <f>HYPERLINK("https://www.indeed.com/viewjob?jk=bcae96f8bb58f139", "https://www.indeed.com/viewjob?jk=bcae96f8bb58f139")</f>
        <v/>
      </c>
      <c r="F50">
        <f>HYPERLINK("https://cnx.wd1.myworkdayjobs.com/external_global/job/MEX-Work-at-Home/Service-Cloud-Project-Manager---Lead--bilingual_R1690784?source=Indeed", "https://cnx.wd1.myworkdayjobs.com/external_global/job/MEX-Work-at-Home/Service-Cloud-Project-Manager---Lead--bilingual_R1690784?source=Indeed")</f>
        <v/>
      </c>
      <c r="G50" t="inlineStr">
        <is>
          <t>ME, US</t>
        </is>
      </c>
      <c r="H50" s="2" t="n">
        <v>46014</v>
      </c>
      <c r="I50"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1">
      <c r="A51" t="inlineStr">
        <is>
          <t>in-4d6c3e3fd35cb988</t>
        </is>
      </c>
      <c r="B51" t="inlineStr">
        <is>
          <t>Service Cloud Product Owner</t>
        </is>
      </c>
      <c r="C51" t="inlineStr">
        <is>
          <t>Concentrix</t>
        </is>
      </c>
      <c r="D51" t="inlineStr">
        <is>
          <t>indeed</t>
        </is>
      </c>
      <c r="E51">
        <f>HYPERLINK("https://www.indeed.com/viewjob?jk=4d6c3e3fd35cb988", "https://www.indeed.com/viewjob?jk=4d6c3e3fd35cb988")</f>
        <v/>
      </c>
      <c r="F51">
        <f>HYPERLINK("https://cnx.wd1.myworkdayjobs.com/external_global/job/MEX-Work-at-Home/Service-Cloud-Project-Manager---Lead--bilingual_R1690784?source=Indeed", "https://cnx.wd1.myworkdayjobs.com/external_global/job/MEX-Work-at-Home/Service-Cloud-Project-Manager---Lead--bilingual_R1690784?source=Indeed")</f>
        <v/>
      </c>
      <c r="G51" t="inlineStr">
        <is>
          <t>LA, US</t>
        </is>
      </c>
      <c r="H51" s="2" t="n">
        <v>46014</v>
      </c>
      <c r="I51"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2">
      <c r="A52" t="inlineStr">
        <is>
          <t>in-476feb6733130b45</t>
        </is>
      </c>
      <c r="B52" t="inlineStr">
        <is>
          <t>Service Cloud Product Owner</t>
        </is>
      </c>
      <c r="C52" t="inlineStr">
        <is>
          <t>Concentrix</t>
        </is>
      </c>
      <c r="D52" t="inlineStr">
        <is>
          <t>indeed</t>
        </is>
      </c>
      <c r="E52">
        <f>HYPERLINK("https://www.indeed.com/viewjob?jk=476feb6733130b45", "https://www.indeed.com/viewjob?jk=476feb6733130b45")</f>
        <v/>
      </c>
      <c r="F52">
        <f>HYPERLINK("https://cnx.wd1.myworkdayjobs.com/external_global/job/MEX-Work-at-Home/Service-Cloud-Project-Manager---Lead--bilingual_R1690784?source=Indeed", "https://cnx.wd1.myworkdayjobs.com/external_global/job/MEX-Work-at-Home/Service-Cloud-Project-Manager---Lead--bilingual_R1690784?source=Indeed")</f>
        <v/>
      </c>
      <c r="G52" t="inlineStr">
        <is>
          <t>AZ, US</t>
        </is>
      </c>
      <c r="H52" s="2" t="n">
        <v>46014</v>
      </c>
      <c r="I52"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3">
      <c r="A53" t="inlineStr">
        <is>
          <t>in-70534627051a982a</t>
        </is>
      </c>
      <c r="B53" t="inlineStr">
        <is>
          <t>Service Cloud Product Owner</t>
        </is>
      </c>
      <c r="C53" t="inlineStr">
        <is>
          <t>Concentrix</t>
        </is>
      </c>
      <c r="D53" t="inlineStr">
        <is>
          <t>indeed</t>
        </is>
      </c>
      <c r="E53">
        <f>HYPERLINK("https://www.indeed.com/viewjob?jk=70534627051a982a", "https://www.indeed.com/viewjob?jk=70534627051a982a")</f>
        <v/>
      </c>
      <c r="F53">
        <f>HYPERLINK("https://cnx.wd1.myworkdayjobs.com/external_global/job/MEX-Work-at-Home/Service-Cloud-Project-Manager---Lead--bilingual_R1690784?source=Indeed", "https://cnx.wd1.myworkdayjobs.com/external_global/job/MEX-Work-at-Home/Service-Cloud-Project-Manager---Lead--bilingual_R1690784?source=Indeed")</f>
        <v/>
      </c>
      <c r="G53" t="inlineStr">
        <is>
          <t>RI, US</t>
        </is>
      </c>
      <c r="H53" s="2" t="n">
        <v>46014</v>
      </c>
      <c r="I53"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4">
      <c r="A54" t="inlineStr">
        <is>
          <t>in-3b596438adee273f</t>
        </is>
      </c>
      <c r="B54" t="inlineStr">
        <is>
          <t>Service Cloud Product Owner</t>
        </is>
      </c>
      <c r="C54" t="inlineStr">
        <is>
          <t>Concentrix</t>
        </is>
      </c>
      <c r="D54" t="inlineStr">
        <is>
          <t>indeed</t>
        </is>
      </c>
      <c r="E54">
        <f>HYPERLINK("https://www.indeed.com/viewjob?jk=3b596438adee273f", "https://www.indeed.com/viewjob?jk=3b596438adee273f")</f>
        <v/>
      </c>
      <c r="F54">
        <f>HYPERLINK("https://cnx.wd1.myworkdayjobs.com/external_global/job/MEX-Work-at-Home/Service-Cloud-Project-Manager---Lead--bilingual_R1690784?source=Indeed", "https://cnx.wd1.myworkdayjobs.com/external_global/job/MEX-Work-at-Home/Service-Cloud-Project-Manager---Lead--bilingual_R1690784?source=Indeed")</f>
        <v/>
      </c>
      <c r="G54" t="inlineStr">
        <is>
          <t>KS, US</t>
        </is>
      </c>
      <c r="H54" s="2" t="n">
        <v>46014</v>
      </c>
      <c r="I54"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5">
      <c r="A55" t="inlineStr">
        <is>
          <t>in-77479aaa8a3b206f</t>
        </is>
      </c>
      <c r="B55" t="inlineStr">
        <is>
          <t>Service Cloud Product Owner</t>
        </is>
      </c>
      <c r="C55" t="inlineStr">
        <is>
          <t>Concentrix</t>
        </is>
      </c>
      <c r="D55" t="inlineStr">
        <is>
          <t>indeed</t>
        </is>
      </c>
      <c r="E55">
        <f>HYPERLINK("https://www.indeed.com/viewjob?jk=77479aaa8a3b206f", "https://www.indeed.com/viewjob?jk=77479aaa8a3b206f")</f>
        <v/>
      </c>
      <c r="F55">
        <f>HYPERLINK("https://cnx.wd1.myworkdayjobs.com/external_global/job/MEX-Work-at-Home/Service-Cloud-Project-Manager---Lead--bilingual_R1690784?source=Indeed", "https://cnx.wd1.myworkdayjobs.com/external_global/job/MEX-Work-at-Home/Service-Cloud-Project-Manager---Lead--bilingual_R1690784?source=Indeed")</f>
        <v/>
      </c>
      <c r="G55" t="inlineStr">
        <is>
          <t>GA, US</t>
        </is>
      </c>
      <c r="H55" s="2" t="n">
        <v>46014</v>
      </c>
      <c r="I55"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6">
      <c r="A56" t="inlineStr">
        <is>
          <t>in-08461b477ec529fb</t>
        </is>
      </c>
      <c r="B56" t="inlineStr">
        <is>
          <t>Service Cloud Product Owner</t>
        </is>
      </c>
      <c r="C56" t="inlineStr">
        <is>
          <t>Concentrix</t>
        </is>
      </c>
      <c r="D56" t="inlineStr">
        <is>
          <t>indeed</t>
        </is>
      </c>
      <c r="E56">
        <f>HYPERLINK("https://www.indeed.com/viewjob?jk=08461b477ec529fb", "https://www.indeed.com/viewjob?jk=08461b477ec529fb")</f>
        <v/>
      </c>
      <c r="F56">
        <f>HYPERLINK("https://cnx.wd1.myworkdayjobs.com/external_global/job/MEX-Work-at-Home/Service-Cloud-Project-Manager---Lead--bilingual_R1690784?source=Indeed", "https://cnx.wd1.myworkdayjobs.com/external_global/job/MEX-Work-at-Home/Service-Cloud-Project-Manager---Lead--bilingual_R1690784?source=Indeed")</f>
        <v/>
      </c>
      <c r="G56" t="inlineStr">
        <is>
          <t>OK, US</t>
        </is>
      </c>
      <c r="H56" s="2" t="n">
        <v>46014</v>
      </c>
      <c r="I56"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7">
      <c r="A57" t="inlineStr">
        <is>
          <t>in-31c4deb13b6808bb</t>
        </is>
      </c>
      <c r="B57" t="inlineStr">
        <is>
          <t>Service Cloud Product Owner</t>
        </is>
      </c>
      <c r="C57" t="inlineStr">
        <is>
          <t>Concentrix</t>
        </is>
      </c>
      <c r="D57" t="inlineStr">
        <is>
          <t>indeed</t>
        </is>
      </c>
      <c r="E57">
        <f>HYPERLINK("https://www.indeed.com/viewjob?jk=31c4deb13b6808bb", "https://www.indeed.com/viewjob?jk=31c4deb13b6808bb")</f>
        <v/>
      </c>
      <c r="F57">
        <f>HYPERLINK("https://cnx.wd1.myworkdayjobs.com/external_global/job/MEX-Work-at-Home/Service-Cloud-Project-Manager---Lead--bilingual_R1690784?source=Indeed", "https://cnx.wd1.myworkdayjobs.com/external_global/job/MEX-Work-at-Home/Service-Cloud-Project-Manager---Lead--bilingual_R1690784?source=Indeed")</f>
        <v/>
      </c>
      <c r="G57" t="inlineStr">
        <is>
          <t>TN, US</t>
        </is>
      </c>
      <c r="H57" s="2" t="n">
        <v>46014</v>
      </c>
      <c r="I57"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8">
      <c r="A58" t="inlineStr">
        <is>
          <t>in-9dcdda604d8c7c73</t>
        </is>
      </c>
      <c r="B58" t="inlineStr">
        <is>
          <t>Service Cloud Product Owner</t>
        </is>
      </c>
      <c r="C58" t="inlineStr">
        <is>
          <t>Concentrix</t>
        </is>
      </c>
      <c r="D58" t="inlineStr">
        <is>
          <t>indeed</t>
        </is>
      </c>
      <c r="E58">
        <f>HYPERLINK("https://www.indeed.com/viewjob?jk=9dcdda604d8c7c73", "https://www.indeed.com/viewjob?jk=9dcdda604d8c7c73")</f>
        <v/>
      </c>
      <c r="F58">
        <f>HYPERLINK("https://cnx.wd1.myworkdayjobs.com/external_global/job/MEX-Work-at-Home/Service-Cloud-Project-Manager---Lead--bilingual_R1690784?source=Indeed", "https://cnx.wd1.myworkdayjobs.com/external_global/job/MEX-Work-at-Home/Service-Cloud-Project-Manager---Lead--bilingual_R1690784?source=Indeed")</f>
        <v/>
      </c>
      <c r="G58" t="inlineStr">
        <is>
          <t>WV, US</t>
        </is>
      </c>
      <c r="H58" s="2" t="n">
        <v>46014</v>
      </c>
      <c r="I58"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59">
      <c r="A59" t="inlineStr">
        <is>
          <t>in-d83af0dc74e4999b</t>
        </is>
      </c>
      <c r="B59" t="inlineStr">
        <is>
          <t>Service Cloud Product Owner</t>
        </is>
      </c>
      <c r="C59" t="inlineStr">
        <is>
          <t>Concentrix</t>
        </is>
      </c>
      <c r="D59" t="inlineStr">
        <is>
          <t>indeed</t>
        </is>
      </c>
      <c r="E59">
        <f>HYPERLINK("https://www.indeed.com/viewjob?jk=d83af0dc74e4999b", "https://www.indeed.com/viewjob?jk=d83af0dc74e4999b")</f>
        <v/>
      </c>
      <c r="F59">
        <f>HYPERLINK("https://cnx.wd1.myworkdayjobs.com/external_global/job/MEX-Work-at-Home/Service-Cloud-Project-Manager---Lead--bilingual_R1690784?source=Indeed", "https://cnx.wd1.myworkdayjobs.com/external_global/job/MEX-Work-at-Home/Service-Cloud-Project-Manager---Lead--bilingual_R1690784?source=Indeed")</f>
        <v/>
      </c>
      <c r="G59" t="inlineStr">
        <is>
          <t>PA, US</t>
        </is>
      </c>
      <c r="H59" s="2" t="n">
        <v>46014</v>
      </c>
      <c r="I59"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0">
      <c r="A60" t="inlineStr">
        <is>
          <t>in-dcc01585e216e9c0</t>
        </is>
      </c>
      <c r="B60" t="inlineStr">
        <is>
          <t>Service Cloud Product Owner</t>
        </is>
      </c>
      <c r="C60" t="inlineStr">
        <is>
          <t>Concentrix</t>
        </is>
      </c>
      <c r="D60" t="inlineStr">
        <is>
          <t>indeed</t>
        </is>
      </c>
      <c r="E60">
        <f>HYPERLINK("https://www.indeed.com/viewjob?jk=dcc01585e216e9c0", "https://www.indeed.com/viewjob?jk=dcc01585e216e9c0")</f>
        <v/>
      </c>
      <c r="F60">
        <f>HYPERLINK("https://cnx.wd1.myworkdayjobs.com/external_global/job/MEX-Work-at-Home/Service-Cloud-Project-Manager---Lead--bilingual_R1690784?source=Indeed", "https://cnx.wd1.myworkdayjobs.com/external_global/job/MEX-Work-at-Home/Service-Cloud-Project-Manager---Lead--bilingual_R1690784?source=Indeed")</f>
        <v/>
      </c>
      <c r="G60" t="inlineStr">
        <is>
          <t>NC, US</t>
        </is>
      </c>
      <c r="H60" s="2" t="n">
        <v>46014</v>
      </c>
      <c r="I60"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1">
      <c r="A61" t="inlineStr">
        <is>
          <t>in-b2e9407a1a01925a</t>
        </is>
      </c>
      <c r="B61" t="inlineStr">
        <is>
          <t>Service Cloud Product Owner</t>
        </is>
      </c>
      <c r="C61" t="inlineStr">
        <is>
          <t>Concentrix</t>
        </is>
      </c>
      <c r="D61" t="inlineStr">
        <is>
          <t>indeed</t>
        </is>
      </c>
      <c r="E61">
        <f>HYPERLINK("https://www.indeed.com/viewjob?jk=b2e9407a1a01925a", "https://www.indeed.com/viewjob?jk=b2e9407a1a01925a")</f>
        <v/>
      </c>
      <c r="F61">
        <f>HYPERLINK("https://cnx.wd1.myworkdayjobs.com/external_global/job/MEX-Work-at-Home/Service-Cloud-Project-Manager---Lead--bilingual_R1690784?source=Indeed", "https://cnx.wd1.myworkdayjobs.com/external_global/job/MEX-Work-at-Home/Service-Cloud-Project-Manager---Lead--bilingual_R1690784?source=Indeed")</f>
        <v/>
      </c>
      <c r="G61" t="inlineStr">
        <is>
          <t>UT, US</t>
        </is>
      </c>
      <c r="H61" s="2" t="n">
        <v>46014</v>
      </c>
      <c r="I61"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2">
      <c r="A62" t="inlineStr">
        <is>
          <t>in-28652a9ffe2efd6f</t>
        </is>
      </c>
      <c r="B62" t="inlineStr">
        <is>
          <t>Service Cloud Product Owner</t>
        </is>
      </c>
      <c r="C62" t="inlineStr">
        <is>
          <t>Concentrix</t>
        </is>
      </c>
      <c r="D62" t="inlineStr">
        <is>
          <t>indeed</t>
        </is>
      </c>
      <c r="E62">
        <f>HYPERLINK("https://www.indeed.com/viewjob?jk=28652a9ffe2efd6f", "https://www.indeed.com/viewjob?jk=28652a9ffe2efd6f")</f>
        <v/>
      </c>
      <c r="F62">
        <f>HYPERLINK("https://cnx.wd1.myworkdayjobs.com/external_global/job/MEX-Work-at-Home/Service-Cloud-Project-Manager---Lead--bilingual_R1690784?source=Indeed", "https://cnx.wd1.myworkdayjobs.com/external_global/job/MEX-Work-at-Home/Service-Cloud-Project-Manager---Lead--bilingual_R1690784?source=Indeed")</f>
        <v/>
      </c>
      <c r="G62" t="inlineStr">
        <is>
          <t>TX, US</t>
        </is>
      </c>
      <c r="H62" s="2" t="n">
        <v>46014</v>
      </c>
      <c r="I62"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3">
      <c r="A63" t="inlineStr">
        <is>
          <t>in-b3a298409a4b6130</t>
        </is>
      </c>
      <c r="B63" t="inlineStr">
        <is>
          <t>Service Cloud Product Owner</t>
        </is>
      </c>
      <c r="C63" t="inlineStr">
        <is>
          <t>Concentrix</t>
        </is>
      </c>
      <c r="D63" t="inlineStr">
        <is>
          <t>indeed</t>
        </is>
      </c>
      <c r="E63">
        <f>HYPERLINK("https://www.indeed.com/viewjob?jk=b3a298409a4b6130", "https://www.indeed.com/viewjob?jk=b3a298409a4b6130")</f>
        <v/>
      </c>
      <c r="F63">
        <f>HYPERLINK("https://cnx.wd1.myworkdayjobs.com/external_global/job/MEX-Work-at-Home/Service-Cloud-Project-Manager---Lead--bilingual_R1690784?source=Indeed", "https://cnx.wd1.myworkdayjobs.com/external_global/job/MEX-Work-at-Home/Service-Cloud-Project-Manager---Lead--bilingual_R1690784?source=Indeed")</f>
        <v/>
      </c>
      <c r="G63" t="inlineStr">
        <is>
          <t>VA, US</t>
        </is>
      </c>
      <c r="H63" s="2" t="n">
        <v>46014</v>
      </c>
      <c r="I63"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4">
      <c r="A64" t="inlineStr">
        <is>
          <t>in-11337f87facafe00</t>
        </is>
      </c>
      <c r="B64" t="inlineStr">
        <is>
          <t>Service Cloud Product Owner</t>
        </is>
      </c>
      <c r="C64" t="inlineStr">
        <is>
          <t>Concentrix</t>
        </is>
      </c>
      <c r="D64" t="inlineStr">
        <is>
          <t>indeed</t>
        </is>
      </c>
      <c r="E64">
        <f>HYPERLINK("https://www.indeed.com/viewjob?jk=11337f87facafe00", "https://www.indeed.com/viewjob?jk=11337f87facafe00")</f>
        <v/>
      </c>
      <c r="F64">
        <f>HYPERLINK("https://cnx.wd1.myworkdayjobs.com/external_global/job/MEX-Work-at-Home/Service-Cloud-Project-Manager---Lead--bilingual_R1690784?source=Indeed", "https://cnx.wd1.myworkdayjobs.com/external_global/job/MEX-Work-at-Home/Service-Cloud-Project-Manager---Lead--bilingual_R1690784?source=Indeed")</f>
        <v/>
      </c>
      <c r="G64" t="inlineStr">
        <is>
          <t>MN, US</t>
        </is>
      </c>
      <c r="H64" s="2" t="n">
        <v>46014</v>
      </c>
      <c r="I64"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5">
      <c r="A65" t="inlineStr">
        <is>
          <t>in-6288c20424e38d78</t>
        </is>
      </c>
      <c r="B65" t="inlineStr">
        <is>
          <t>Service Cloud Product Owner</t>
        </is>
      </c>
      <c r="C65" t="inlineStr">
        <is>
          <t>Concentrix</t>
        </is>
      </c>
      <c r="D65" t="inlineStr">
        <is>
          <t>indeed</t>
        </is>
      </c>
      <c r="E65">
        <f>HYPERLINK("https://www.indeed.com/viewjob?jk=6288c20424e38d78", "https://www.indeed.com/viewjob?jk=6288c20424e38d78")</f>
        <v/>
      </c>
      <c r="F65">
        <f>HYPERLINK("https://cnx.wd1.myworkdayjobs.com/external_global/job/MEX-Work-at-Home/Service-Cloud-Project-Manager---Lead--bilingual_R1690784?source=Indeed", "https://cnx.wd1.myworkdayjobs.com/external_global/job/MEX-Work-at-Home/Service-Cloud-Project-Manager---Lead--bilingual_R1690784?source=Indeed")</f>
        <v/>
      </c>
      <c r="G65" t="inlineStr">
        <is>
          <t>ID, US</t>
        </is>
      </c>
      <c r="H65" s="2" t="n">
        <v>46014</v>
      </c>
      <c r="I65"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6">
      <c r="A66" t="inlineStr">
        <is>
          <t>in-7ab3a87c7a414ea9</t>
        </is>
      </c>
      <c r="B66" t="inlineStr">
        <is>
          <t>Service Cloud Product Owner</t>
        </is>
      </c>
      <c r="C66" t="inlineStr">
        <is>
          <t>Concentrix</t>
        </is>
      </c>
      <c r="D66" t="inlineStr">
        <is>
          <t>indeed</t>
        </is>
      </c>
      <c r="E66">
        <f>HYPERLINK("https://www.indeed.com/viewjob?jk=7ab3a87c7a414ea9", "https://www.indeed.com/viewjob?jk=7ab3a87c7a414ea9")</f>
        <v/>
      </c>
      <c r="F66">
        <f>HYPERLINK("https://cnx.wd1.myworkdayjobs.com/external_global/job/MEX-Work-at-Home/Service-Cloud-Project-Manager---Lead--bilingual_R1690784?source=Indeed", "https://cnx.wd1.myworkdayjobs.com/external_global/job/MEX-Work-at-Home/Service-Cloud-Project-Manager---Lead--bilingual_R1690784?source=Indeed")</f>
        <v/>
      </c>
      <c r="G66" t="inlineStr">
        <is>
          <t>AL, US</t>
        </is>
      </c>
      <c r="H66" s="2" t="n">
        <v>46014</v>
      </c>
      <c r="I66"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7">
      <c r="A67" t="inlineStr">
        <is>
          <t>in-636e5aab4ecc7bca</t>
        </is>
      </c>
      <c r="B67" t="inlineStr">
        <is>
          <t>Service Cloud Product Owner</t>
        </is>
      </c>
      <c r="C67" t="inlineStr">
        <is>
          <t>Concentrix</t>
        </is>
      </c>
      <c r="D67" t="inlineStr">
        <is>
          <t>indeed</t>
        </is>
      </c>
      <c r="E67">
        <f>HYPERLINK("https://www.indeed.com/viewjob?jk=636e5aab4ecc7bca", "https://www.indeed.com/viewjob?jk=636e5aab4ecc7bca")</f>
        <v/>
      </c>
      <c r="F67">
        <f>HYPERLINK("https://cnx.wd1.myworkdayjobs.com/external_global/job/MEX-Work-at-Home/Service-Cloud-Project-Manager---Lead--bilingual_R1690784?source=Indeed", "https://cnx.wd1.myworkdayjobs.com/external_global/job/MEX-Work-at-Home/Service-Cloud-Project-Manager---Lead--bilingual_R1690784?source=Indeed")</f>
        <v/>
      </c>
      <c r="G67" t="inlineStr">
        <is>
          <t>SC, US</t>
        </is>
      </c>
      <c r="H67" s="2" t="n">
        <v>46014</v>
      </c>
      <c r="I67"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8">
      <c r="A68" t="inlineStr">
        <is>
          <t>in-a24ef6b40cff5e92</t>
        </is>
      </c>
      <c r="B68" t="inlineStr">
        <is>
          <t>Service Cloud Product Owner</t>
        </is>
      </c>
      <c r="C68" t="inlineStr">
        <is>
          <t>Concentrix</t>
        </is>
      </c>
      <c r="D68" t="inlineStr">
        <is>
          <t>indeed</t>
        </is>
      </c>
      <c r="E68">
        <f>HYPERLINK("https://www.indeed.com/viewjob?jk=a24ef6b40cff5e92", "https://www.indeed.com/viewjob?jk=a24ef6b40cff5e92")</f>
        <v/>
      </c>
      <c r="F68">
        <f>HYPERLINK("https://cnx.wd1.myworkdayjobs.com/external_global/job/MEX-Work-at-Home/Service-Cloud-Project-Manager---Lead--bilingual_R1690784?source=Indeed", "https://cnx.wd1.myworkdayjobs.com/external_global/job/MEX-Work-at-Home/Service-Cloud-Project-Manager---Lead--bilingual_R1690784?source=Indeed")</f>
        <v/>
      </c>
      <c r="G68" t="inlineStr">
        <is>
          <t>WI, US</t>
        </is>
      </c>
      <c r="H68" s="2" t="n">
        <v>46014</v>
      </c>
      <c r="I68"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69">
      <c r="A69" t="inlineStr">
        <is>
          <t>in-03ee3bbd47a606e3</t>
        </is>
      </c>
      <c r="B69" t="inlineStr">
        <is>
          <t>Service Cloud Product Owner</t>
        </is>
      </c>
      <c r="C69" t="inlineStr">
        <is>
          <t>Concentrix</t>
        </is>
      </c>
      <c r="D69" t="inlineStr">
        <is>
          <t>indeed</t>
        </is>
      </c>
      <c r="E69">
        <f>HYPERLINK("https://www.indeed.com/viewjob?jk=03ee3bbd47a606e3", "https://www.indeed.com/viewjob?jk=03ee3bbd47a606e3")</f>
        <v/>
      </c>
      <c r="F69">
        <f>HYPERLINK("https://cnx.wd1.myworkdayjobs.com/external_global/job/MEX-Work-at-Home/Service-Cloud-Project-Manager---Lead--bilingual_R1690784?source=Indeed", "https://cnx.wd1.myworkdayjobs.com/external_global/job/MEX-Work-at-Home/Service-Cloud-Project-Manager---Lead--bilingual_R1690784?source=Indeed")</f>
        <v/>
      </c>
      <c r="G69" t="inlineStr">
        <is>
          <t>MO, US</t>
        </is>
      </c>
      <c r="H69" s="2" t="n">
        <v>46014</v>
      </c>
      <c r="I69"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0">
      <c r="A70" t="inlineStr">
        <is>
          <t>in-668b5eb6bdcb45c9</t>
        </is>
      </c>
      <c r="B70" t="inlineStr">
        <is>
          <t>Service Cloud Product Owner</t>
        </is>
      </c>
      <c r="C70" t="inlineStr">
        <is>
          <t>Concentrix</t>
        </is>
      </c>
      <c r="D70" t="inlineStr">
        <is>
          <t>indeed</t>
        </is>
      </c>
      <c r="E70">
        <f>HYPERLINK("https://www.indeed.com/viewjob?jk=668b5eb6bdcb45c9", "https://www.indeed.com/viewjob?jk=668b5eb6bdcb45c9")</f>
        <v/>
      </c>
      <c r="F70">
        <f>HYPERLINK("https://cnx.wd1.myworkdayjobs.com/external_global/job/MEX-Work-at-Home/Service-Cloud-Project-Manager---Lead--bilingual_R1690784?source=Indeed", "https://cnx.wd1.myworkdayjobs.com/external_global/job/MEX-Work-at-Home/Service-Cloud-Project-Manager---Lead--bilingual_R1690784?source=Indeed")</f>
        <v/>
      </c>
      <c r="G70" t="inlineStr">
        <is>
          <t>FL, US</t>
        </is>
      </c>
      <c r="H70" s="2" t="n">
        <v>46014</v>
      </c>
      <c r="I70"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1">
      <c r="A71" t="inlineStr">
        <is>
          <t>in-d19ad6248c5aee90</t>
        </is>
      </c>
      <c r="B71" t="inlineStr">
        <is>
          <t>Service Cloud Product Owner</t>
        </is>
      </c>
      <c r="C71" t="inlineStr">
        <is>
          <t>Concentrix</t>
        </is>
      </c>
      <c r="D71" t="inlineStr">
        <is>
          <t>indeed</t>
        </is>
      </c>
      <c r="E71">
        <f>HYPERLINK("https://www.indeed.com/viewjob?jk=d19ad6248c5aee90", "https://www.indeed.com/viewjob?jk=d19ad6248c5aee90")</f>
        <v/>
      </c>
      <c r="F71">
        <f>HYPERLINK("https://cnx.wd1.myworkdayjobs.com/external_global/job/MEX-Work-at-Home/Service-Cloud-Project-Manager---Lead--bilingual_R1690784?source=Indeed", "https://cnx.wd1.myworkdayjobs.com/external_global/job/MEX-Work-at-Home/Service-Cloud-Project-Manager---Lead--bilingual_R1690784?source=Indeed")</f>
        <v/>
      </c>
      <c r="G71" t="inlineStr">
        <is>
          <t>CO, US</t>
        </is>
      </c>
      <c r="H71" s="2" t="n">
        <v>46014</v>
      </c>
      <c r="I71"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2">
      <c r="A72" t="inlineStr">
        <is>
          <t>in-bc93a5e515b5cacc</t>
        </is>
      </c>
      <c r="B72" t="inlineStr">
        <is>
          <t>Service Cloud Product Owner</t>
        </is>
      </c>
      <c r="C72" t="inlineStr">
        <is>
          <t>Concentrix</t>
        </is>
      </c>
      <c r="D72" t="inlineStr">
        <is>
          <t>indeed</t>
        </is>
      </c>
      <c r="E72">
        <f>HYPERLINK("https://www.indeed.com/viewjob?jk=bc93a5e515b5cacc", "https://www.indeed.com/viewjob?jk=bc93a5e515b5cacc")</f>
        <v/>
      </c>
      <c r="F72">
        <f>HYPERLINK("https://cnx.wd1.myworkdayjobs.com/external_global/job/MEX-Work-at-Home/Service-Cloud-Project-Manager---Lead--bilingual_R1690784?source=Indeed", "https://cnx.wd1.myworkdayjobs.com/external_global/job/MEX-Work-at-Home/Service-Cloud-Project-Manager---Lead--bilingual_R1690784?source=Indeed")</f>
        <v/>
      </c>
      <c r="G72" t="inlineStr">
        <is>
          <t>NV, US</t>
        </is>
      </c>
      <c r="H72" s="2" t="n">
        <v>46014</v>
      </c>
      <c r="I72"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3">
      <c r="A73" t="inlineStr">
        <is>
          <t>in-38d3f5cbe1c09f8d</t>
        </is>
      </c>
      <c r="B73" t="inlineStr">
        <is>
          <t>Service Cloud Product Owner</t>
        </is>
      </c>
      <c r="C73" t="inlineStr">
        <is>
          <t>Concentrix</t>
        </is>
      </c>
      <c r="D73" t="inlineStr">
        <is>
          <t>indeed</t>
        </is>
      </c>
      <c r="E73">
        <f>HYPERLINK("https://www.indeed.com/viewjob?jk=38d3f5cbe1c09f8d", "https://www.indeed.com/viewjob?jk=38d3f5cbe1c09f8d")</f>
        <v/>
      </c>
      <c r="F73">
        <f>HYPERLINK("https://cnx.wd1.myworkdayjobs.com/external_global/job/MEX-Work-at-Home/Service-Cloud-Project-Manager---Lead--bilingual_R1690784?source=Indeed", "https://cnx.wd1.myworkdayjobs.com/external_global/job/MEX-Work-at-Home/Service-Cloud-Project-Manager---Lead--bilingual_R1690784?source=Indeed")</f>
        <v/>
      </c>
      <c r="G73" t="inlineStr">
        <is>
          <t>IN, US</t>
        </is>
      </c>
      <c r="H73" s="2" t="n">
        <v>46014</v>
      </c>
      <c r="I73"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4">
      <c r="A74" t="inlineStr">
        <is>
          <t>in-ba1ef955578890d3</t>
        </is>
      </c>
      <c r="B74" t="inlineStr">
        <is>
          <t>Service Cloud Product Owner</t>
        </is>
      </c>
      <c r="C74" t="inlineStr">
        <is>
          <t>Concentrix</t>
        </is>
      </c>
      <c r="D74" t="inlineStr">
        <is>
          <t>indeed</t>
        </is>
      </c>
      <c r="E74">
        <f>HYPERLINK("https://www.indeed.com/viewjob?jk=ba1ef955578890d3", "https://www.indeed.com/viewjob?jk=ba1ef955578890d3")</f>
        <v/>
      </c>
      <c r="F74">
        <f>HYPERLINK("https://cnx.wd1.myworkdayjobs.com/external_global/job/MEX-Work-at-Home/Service-Cloud-Project-Manager---Lead--bilingual_R1690784?source=Indeed", "https://cnx.wd1.myworkdayjobs.com/external_global/job/MEX-Work-at-Home/Service-Cloud-Project-Manager---Lead--bilingual_R1690784?source=Indeed")</f>
        <v/>
      </c>
      <c r="G74" t="inlineStr">
        <is>
          <t>NM, US</t>
        </is>
      </c>
      <c r="H74" s="2" t="n">
        <v>46014</v>
      </c>
      <c r="I74"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5">
      <c r="A75" t="inlineStr">
        <is>
          <t>in-f26750affcfe8298</t>
        </is>
      </c>
      <c r="B75" t="inlineStr">
        <is>
          <t>Service Cloud Product Owner</t>
        </is>
      </c>
      <c r="C75" t="inlineStr">
        <is>
          <t>Concentrix</t>
        </is>
      </c>
      <c r="D75" t="inlineStr">
        <is>
          <t>indeed</t>
        </is>
      </c>
      <c r="E75">
        <f>HYPERLINK("https://www.indeed.com/viewjob?jk=f26750affcfe8298", "https://www.indeed.com/viewjob?jk=f26750affcfe8298")</f>
        <v/>
      </c>
      <c r="F75">
        <f>HYPERLINK("https://cnx.wd1.myworkdayjobs.com/external_global/job/MEX-Work-at-Home/Service-Cloud-Project-Manager---Lead--bilingual_R1690784?source=Indeed", "https://cnx.wd1.myworkdayjobs.com/external_global/job/MEX-Work-at-Home/Service-Cloud-Project-Manager---Lead--bilingual_R1690784?source=Indeed")</f>
        <v/>
      </c>
      <c r="G75" t="inlineStr">
        <is>
          <t>KY, US</t>
        </is>
      </c>
      <c r="H75" s="2" t="n">
        <v>46014</v>
      </c>
      <c r="I75"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6">
      <c r="A76" t="inlineStr">
        <is>
          <t>in-e4989d5a64251dce</t>
        </is>
      </c>
      <c r="B76" t="inlineStr">
        <is>
          <t>Service Cloud Product Owner</t>
        </is>
      </c>
      <c r="C76" t="inlineStr">
        <is>
          <t>Concentrix</t>
        </is>
      </c>
      <c r="D76" t="inlineStr">
        <is>
          <t>indeed</t>
        </is>
      </c>
      <c r="E76">
        <f>HYPERLINK("https://www.indeed.com/viewjob?jk=e4989d5a64251dce", "https://www.indeed.com/viewjob?jk=e4989d5a64251dce")</f>
        <v/>
      </c>
      <c r="F76">
        <f>HYPERLINK("https://cnx.wd1.myworkdayjobs.com/external_global/job/MEX-Work-at-Home/Service-Cloud-Project-Manager---Lead--bilingual_R1690784?source=Indeed", "https://cnx.wd1.myworkdayjobs.com/external_global/job/MEX-Work-at-Home/Service-Cloud-Project-Manager---Lead--bilingual_R1690784?source=Indeed")</f>
        <v/>
      </c>
      <c r="G76" t="inlineStr">
        <is>
          <t>MS, US</t>
        </is>
      </c>
      <c r="H76" s="2" t="n">
        <v>46014</v>
      </c>
      <c r="I76"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7">
      <c r="A77" t="inlineStr">
        <is>
          <t>in-2d8bf6896922bee5</t>
        </is>
      </c>
      <c r="B77" t="inlineStr">
        <is>
          <t>Service Cloud Product Owner</t>
        </is>
      </c>
      <c r="C77" t="inlineStr">
        <is>
          <t>Concentrix</t>
        </is>
      </c>
      <c r="D77" t="inlineStr">
        <is>
          <t>indeed</t>
        </is>
      </c>
      <c r="E77">
        <f>HYPERLINK("https://www.indeed.com/viewjob?jk=2d8bf6896922bee5", "https://www.indeed.com/viewjob?jk=2d8bf6896922bee5")</f>
        <v/>
      </c>
      <c r="F77">
        <f>HYPERLINK("https://cnx.wd1.myworkdayjobs.com/external_global/job/MEX-Work-at-Home/Service-Cloud-Project-Manager---Lead--bilingual_R1690784?source=Indeed", "https://cnx.wd1.myworkdayjobs.com/external_global/job/MEX-Work-at-Home/Service-Cloud-Project-Manager---Lead--bilingual_R1690784?source=Indeed")</f>
        <v/>
      </c>
      <c r="G77" t="inlineStr">
        <is>
          <t>MI, US</t>
        </is>
      </c>
      <c r="H77" s="2" t="n">
        <v>46014</v>
      </c>
      <c r="I77" t="inlineStr">
        <is>
          <t>The Project Manager (PM) for the Service Delivery Team is responsible for planning, coordinating, and delivering projects that enhance customer service operations across Salesforce Service Cloud, call center technologies, and associated enterprise systems. This role ensures projects are executed on time, within scope, and within budget while supporting stakeholders across Service, IT, and operations.
The PM oversees project planning, delivery governance, issue/risk management, cross\-team coordination, and ensures alignment between business outcomes and technical execution. Experience with call center environments and Salesforce Service Cloud is essential.
**Key Responsibilities**
**Project Planning \&amp; Governance**
* Develop and maintain detailed project plans, timelines, milestones, and RAID logs (Risks, Assumptions, Issues, Dependencies).
* Define project scope, objectives, and success criteria in collaboration with business and technical leaders.
* Create and manage resource plans, sprint plans, and dependency schedules across teams.
**Delivery Management**
* Coordinate delivery teams including admins/developers, architects, QA, call center operations, and external vendors.
* Ensure alignment between business requirements and technical implementation.
* Track progress against milestones and provide delivery oversight to ensure projects remain on schedule.
* Facilitate standups, status meetings, sprint ceremonies (as needed), and cross\-team checkpoints.
**Stakeholder Communication**
* Serve as a primary point of contact for Service, IT, leadership, and vendor stakeholders.
* Prepare and deliver project status reports, dashboards, and executive updates.
* Communicate scope changes, risks, blockers, and mitigation strategies promptly and transparently.
**Salesforce Service Cloud \&amp; Call Center Coordination**
* Oversee projects involving:
	+ Case Management enhancements
	+ Omni\-Channel routing and configuration
	+ Knowledge base improvements
	+ CTI/Telephony integrations
	+ Digital service channel deployment (chat, SMS, email\-to\-case)
	+ Agentforce AI, bots, automation, macros
	+ Reporting and dashboard enablement
* Work closely with call center supervisors to understand operational impacts and schedule testing, rollout, and training activities.
**Cross\-Functional Collaboration**
* Coordinate with leads across multiple teams including Salesforce Platform, Call Center Ops, QA, Training, and Change Management.
* Ensure technical decisions are aligned with business needs and platform constraints.
* Organize cross\-team to clarify processes, data flows, and decision points.
**Risk, Issue \&amp; Dependency Management**
* Identify risks early and maintain a mitigation/contingency plan.
* Monitor and escalate project issues that impact scope, timelines, or budget.
* Track dependencies (e.g., telephony provider updates, Service Cloud features, data integrations) that affect overall delivery.
**Testing \&amp; Deployment Support**
* Coordinate UAT cycles, testing schedules, and defect triage with QA and business testers.
* Ensure all deployment readiness tasks—training, documentation, release notes, support models—are completed before go\-live.
* Work with technical teams to verify production launch plans, rollback strategies, and post\-deployment validation.
**Change Management \&amp; Adoption**
* Partner with Training and Change Management teams to prepare end users for new functionality.
* Ensure communication plans, job aids, and knowledge articles are delivered ahead of launch.
**Qualifications**
**Required**
* 4\+ years of project management experience in IT, CRM, or customer service systems.
* Proven track record delivering projects in environments using Salesforce Service Cloud or similar CRM/service platforms.
* Strong knowledge of call center operations, service workflows, and telephony/CTI systems.
* Experience managing cross\-functional technical teams.
* Solid command of project management methodologies.
* Excellent communication, facilitation, and leadership skills.
**Preferred**
* Salesforce certifications (Administrator, Service Cloud, or Business Analyst) a strong plus.
* Experience with:
	+ Agentforce or AI\-driven service capabilities
	+ Workforce management tools
	+ Knowledge\-centered support (KCS)
	+ Nonprofit or healthcare customer service operations
* PMP, CSM, PMI\-ACP, or similar certifications.
**Role Attributes**
* Highly organized and detail\-oriented.
* Strong facilitator with excellent follow\-up discipline.
* Able to translate business needs into actionable project plans.
* Comfortable managing multiple workstreams simultaneously.
\#ProjectManager \#SalesforceServiceCloud \#Salesforce \#CustomerExperience \#CallCenter \#CRM \#Agile \#RemoteJobs \#LATAM
Track post\-launch adoption and escalate needs for enhancements or support.</t>
        </is>
      </c>
    </row>
    <row r="78">
      <c r="A78" t="inlineStr">
        <is>
          <t>in-6e0b246c422ab448</t>
        </is>
      </c>
      <c r="B78" t="inlineStr">
        <is>
          <t>Technical Product Owner (TPO) – Health Care Compliance Data, Intelligence &amp; Automation</t>
        </is>
      </c>
      <c r="C78" t="inlineStr">
        <is>
          <t>Johnson &amp; Johnson</t>
        </is>
      </c>
      <c r="D78" t="inlineStr">
        <is>
          <t>indeed</t>
        </is>
      </c>
      <c r="E78">
        <f>HYPERLINK("https://www.indeed.com/viewjob?jk=6e0b246c422ab448", "https://www.indeed.com/viewjob?jk=6e0b246c422ab448")</f>
        <v/>
      </c>
      <c r="F78">
        <f>HYPERLINK("https://www.careers.jnj.com/en/jobs/r-053626/technical-product-owner-tpo-health-care-compliance-data-intelligence-automation/", "https://www.careers.jnj.com/en/jobs/r-053626/technical-product-owner-tpo-health-care-compliance-data-intelligence-automation/")</f>
        <v/>
      </c>
      <c r="G78" t="inlineStr">
        <is>
          <t>New Brunswick, NJ, US</t>
        </is>
      </c>
      <c r="H78" s="2" t="n">
        <v>46044</v>
      </c>
      <c r="I78"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Technology Product \&amp; Platform Management**Job Sub Function:**
Technical Product Management**Job Category:**
People Leader**All Job Posting Locations:**
New Brunswick, New Jersey, United States of America**Job Description:**
We are looking for a proactive and results\-oriented Technical Product Owner (TPO) according to the High\-Performance Team (HPT) model to spearhead the end\-to\-end execution of Health Care Compliance (HCC) Data, Intelligent Automation, and Artificial Intelligence products and platforms as part of the Data, Intelligence \&amp; Automation (DI\&amp;A) team. As Lead for HCC Data, Intelligence \&amp; Automation, you will be accountable for building and sustaining a High\-Performance Team (HPT) culture. You will drive strategic vision, execution, and transformation for Risk Function’s Data, Intelligent Automation, and AI initiatives, ensuring that HPT principles—such as trust, collaboration, accountability, continuous improvement, and business value results are embedded in every aspect of team and product delivery.
**Key Responsibilities:**
* Act as the TPO for HCC products and platforms, driving the vision and strategy to meet stakeholder needs.
* Collaborate with cross\-functional teams, including the business, functional product groups, technology services, and HPT chapter expert services to gather requirements, prioritize features, and deliver comprehensive analytics solutions.
* Define and manage the product backlog, ensuring that user stories and acceptance criteria are clear and actionable.
* Translate business requirements into technical specifications, working closely with data engineers and developers to ensure timely delivery of enhancements and features.
* Monitor platform performance, identify areas for improvement, and recommend enhancements to support informed decision\-making.
* Conduct regular QBR’s/stakeholder reviews and gather feedback to continuously enhance the product/platform's capabilities and user experience.
* Stay informed about industry trends and best practices in data, advanced analytics, artificial intelligence and intelligent automation assessing new technologies as appropriate.
* Lead training sessions and workshops for users to promote platform adoption and maximize its potential.
* Create a compelling value proposition to secure development budget, demonstrating a clear understanding of the project benefits and key results.
* Responsible for maintaining portfolio information in Nexus, Assess Management, Lean IX, ITSM and IAM.
**Education:**
* A minimum of a bachelor’s degree in information technology, Management Information Systems, Data Science or a related field is required.
**Experience \&amp; Skills:**
* A minimum of 1 \- 2 years in roles that create a tangible business impact through Data, Intelligent Automation, and Artificial Intelligence (Data Science, Machine Language, GenAI, etc.) is required.
* A minimum of 3 years of IT\-related experience is required.
* Proven experience in digital product management, preferably in a data analytics environment, along with strong analytical skills to analyze, and evaluate data and to drive appropriate recommendations and decisions for senior leaders and sponsors.
* A strong understanding of Risk processes and systems where relevant, along with experience in Healthcare \&amp; Compliance, Global Brand Protection, Engineering \&amp; Property Services, Global Security, etc., would be considered valuable assets.
* Excellent communication and interpersonal skills, capable of engaging effectively with stakeholders at all levels.
* Experience with High Performance Teams and Agile methodologies and tools (e.g., Scrum, JIRA) is strongly recommended.
* Experience with several of the following technologies: Microsoft Azure Databricks, OpenAI’s GPT, Neo4j Alation, Commando, PostgreSQL, Visualization \&amp; Reporting tools (Cognos, Tableau, Power BI), Microsoft CoPilot and other agentic AI tools – strongly recommended.
**AI Knowledge and Experience**
* **Proven experience leveraging Artificial Intelligence (AI) technologies** to enhance product capabilities, improve user experience, and drive business outcomes.
* **Understanding AI concepts and frameworks**, including agentic AI, with the ability to translate technical capabilities into product strategies.
* **Experience integrating AI\-driven features** into digital products or platforms, ensuring alignment with customer needs and organizational goals.
* **Ability to collaborate with data science and engineering teams** to define AI requirements, evaluate feasibility, and prioritize AI\-enabled functionality.
* **Awareness of ethical considerations and responsible AI practices**, ensuring compliance with industry standards and organizational policies.
\#JNJTECH
\#LI\-Hybrid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
Agile Product Development, Analytical Reasoning, Coaching, Collaborating, Competitive Landscape Analysis, Critical Thinking, Customer Alignment, Demand Forecasting, Human\-Computer Interaction (HCI), Organizing, Product Development, Product Improvements, Product Strategies, Requirements Analysis, Research and Development, Software Development Life Cycle (SDLC), Software Development Management, Stakeholder Management, Technical Credibility, Technical Writing, Technologically Savvy**The anticipated base pay range for this position is :**
The anticipated base pay range for this position is: $102,000\- $177,100
Additional Description for Pay Transparency: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t>
        </is>
      </c>
    </row>
    <row r="79">
      <c r="A79" t="inlineStr">
        <is>
          <t>in-c81a3cddb65c4715</t>
        </is>
      </c>
      <c r="B79" t="inlineStr">
        <is>
          <t>GDI - AI Program Manager</t>
        </is>
      </c>
      <c r="C79" t="inlineStr">
        <is>
          <t>Oracle</t>
        </is>
      </c>
      <c r="D79" t="inlineStr">
        <is>
          <t>indeed</t>
        </is>
      </c>
      <c r="E79">
        <f>HYPERLINK("https://www.indeed.com/viewjob?jk=c81a3cddb65c4715", "https://www.indeed.com/viewjob?jk=c81a3cddb65c4715")</f>
        <v/>
      </c>
      <c r="F79">
        <f>HYPERLINK("https://eeho.fa.us2.oraclecloud.com/hcmUI/CandidateExperience/en/sites/CX_1/job/324133", "https://eeho.fa.us2.oraclecloud.com/hcmUI/CandidateExperience/en/sites/CX_1/job/324133")</f>
        <v/>
      </c>
      <c r="G79" t="inlineStr">
        <is>
          <t>VA, US</t>
        </is>
      </c>
      <c r="H79" s="2" t="n">
        <v>46044</v>
      </c>
      <c r="I79" t="inlineStr">
        <is>
          <t>**US Citizenship required**  
**Must Possess: Active SECRET Clearance**
Job Summary:  
Oracle Consulting is seeking an experienced AI Program Manager to lead complex AI/ML delivery efforts for DoD customers focused on next\-generation command and control, edge computing, and mission\-driven analytics. This role is accountable for end\-to\-end program execution, integrating cloud, AI/ML, data, and edge computing capabilities into cohesive, operational solutions.
The AI Program Manager will coordinate cross\-functional teams of cloud architects, data scientists, AI engineers, and security professionals to deliver scalable, secure AI capabilities hosted on Oracle Cloud Infrastructure and deployed to tactical edge environments. The role requires close collaboration with government stakeholders, industry partners, and technical teams to manage schedules, risks, and deliverables across phased MVP\-driven programs.
Key Responsibilities:
* Provide overall program leadership for AI/ML initiatives supporting DoD cloud and edge use cases.
* Plan and manage phased delivery of AI capabilities, including MVP definition, execution milestones, and demonstration events.
* Coordinate development and hosting of AI/ML platforms, model repositories, model gardens, and emulation environments on Oracle Cloud Infrastructure.
* Lead integration of multi\-cloud architectures supporting AI workloads across OCI and other government\-approved environments.
* Manage cross\-functional delivery teams, including cloud engineers, AI/ML practitioners, data engineers, and cybersecurity personnel.
* Oversee program schedule, budget, staffing, and risk management across multiple workstreams.
* Facilitate working groups, sprints, technical exchanges, and executive readouts with government and industry stakeholders.
* Ensure AI solutions are aligned with operational constraints such as limited bandwidth, contested electromagnetic spectrum, and size, weight, and power (SWaP) limitations at the tactical edge.
* Coordinate with security and compliance teams to ensure adherence to DoD cybersecurity, RMF, and accreditation requirements.
* Provide executive\-level reporting, recommendations, and decision support to senior government and Oracle leadership.
**Required Qualifications:**
* Bachelor’s degree in Engineering, Computer Science, Data Science, Information Systems, or a related field.
* 10\+ years of experience managing complex IT, analytics, or advanced technology programs.
* Demonstrated experience managing AI/ML, data, or advanced analytics programs for DoD or other federal customers.
* Strong understanding of AI/ML lifecycle concepts, including model development, training, deployment, and inference.
* Experience managing cloud\-based programs, preferably involving Oracle Cloud Infrastructure or comparable platforms.
* Proven ability to manage multi\-vendor, multi\-disciplinary teams in a highly regulated environment.
* Strong leadership, communication, and stakeholder management skills.
* Experience delivering programs using phased, MVP\-driven or agile delivery approaches.
Preferred Qualifications:
* Experience supporting AI programs involving edge computing, tactical systems, or degraded/denied environments.
* Familiarity with multi\-cloud architectures and AI workload portability.
* Experience supporting programs aligned to Army, Joint, or DoD C2 modernization initiatives.
* Understanding of infrastructure requirements for AI workloads, including GPU\-based compute and high\-performance networking.
* Experience coordinating demonstrations, pilots, and operational evaluations of AI capabilities.
* Prior experience working within an OEM or large systems integrator delivering DoD solutions.
* PMP, PgMP, Agile, or AI/ML\-related certifications preferred.</t>
        </is>
      </c>
    </row>
    <row r="80">
      <c r="A80" t="inlineStr">
        <is>
          <t>in-ce7dd3bbaf092d03</t>
        </is>
      </c>
      <c r="B80" t="inlineStr">
        <is>
          <t>Senior Product Manager, Data Platform</t>
        </is>
      </c>
      <c r="C80" t="inlineStr">
        <is>
          <t>Spotify</t>
        </is>
      </c>
      <c r="D80" t="inlineStr">
        <is>
          <t>indeed</t>
        </is>
      </c>
      <c r="E80">
        <f>HYPERLINK("https://www.indeed.com/viewjob?jk=ce7dd3bbaf092d03", "https://www.indeed.com/viewjob?jk=ce7dd3bbaf092d03")</f>
        <v/>
      </c>
      <c r="F80">
        <f>HYPERLINK("https://www.lifeatspotify.com/jobs/senior-product-manager-data-platform-2", "https://www.lifeatspotify.com/jobs/senior-product-manager-data-platform-2")</f>
        <v/>
      </c>
      <c r="G80" t="inlineStr">
        <is>
          <t>New York, NY, US</t>
        </is>
      </c>
      <c r="H80" s="2" t="n">
        <v>46044</v>
      </c>
      <c r="I80" t="inlineStr">
        <is>
          <t>Product
Permanent
New York
We are looking for a passionate and experienced Product Manager to join Spotify’s Data Platform Studio. Data Platform’s mission:“Data is a means to an end, and Spotify extracts value from data through application. The Data Platform Studio impacts Spotify's success by enabling the application of data in an intuitive and efficient manner that aligns with standard methodologies.  
This position involves leading the Product function for two teams that are shaping the developer experience for data engineers and anyone working with data at the company. Due to the swift progress of AI and agents, this emerges as an incredibly captivating field.  
As the product manager, you’ll drive the strategy and roadmap to improve the experience developers in the data community in this new AI and Agentic world. This may involve building, buying, and integrating tools, as well as guiding users to use the best tool for their job. This is a high\-impact role focused on enabling speed and quality for one of Spotify’s most exciting technical domains. With rapid advances in AI and other technologies redefining this space, you’ll help shape Spotify’s vision for how next\-generation tools are integrated and how our practices adapt.
What You'll Do
* Diagnose and understand the needs of the data developer community, identifying and prioritising the most impactful opportunities and problems to solve.
* Evaluate and deliver solutions \- whether through building, buying, or integrating third\-party tools \- that improve the data developer experience.
* Craft and own the vision, strategy, roadmap and execution for data developer experience teams in the Data Platform studio.
* Track adoption and define critical metrics that reflect your strategy and cultivate a loop of incremental impact and learning.
* Influence and encourage. Sell that vision to your teams, the rest of the studio and our partners.
* Build strong, ongoing relationships with internal product and data teams to deeply understand their needs, champion feedback loops, and co\-evolve tooling and solutions.
* Collaborate and align with other platform teams to shape the broader developer experience and AI tooling across all R\&amp;D domains.
* Partner closely with product, engineering, design, and data science teams to build and deliver solutions that our users love.
* Find opportunities to modernize and automate through emerging AI capabilities and tools.
* Stay updated on trends and standard methodologies in the developer experience and more specifically the data engineering space. Serve as a champion for data tooling within Spotify.
Who You Are
* You have 5\+ years of product management experience. Bonus points if you have experience working in the Data Platform or Developer Experience domains.
* You have a technical background \- a degree in Computer Science/Engineering or 2\+ years engineering experience in industry.
* You’re an excellent story\-teller and collaborator, able to inspire, influence and align partners across mutiple subject areas and levels of technical expertise.
* You’re proficient in modern product development practices, and have a deep empathy for individuals and teams who work with data.
* You bring a strong systems\-thinking approach and can connect dots across platforms, workflows, and business needs.
* You’re excited about how AI will simplify and supercharge products, and you have a track record of evaluating or applying new technologies.
* You lead with humility \- supporting, mentoring, and amplifying your team’s success while driving momentum and clarity.
Where You'll Be
* This role is based in New York
* We offer you the flexibility to work where you work best! There will be some in person meetings, but still allows for flexibility to work from home.
Learn about life at Spotify
The United States base range for this position is $142,203\-$203,147 plus equity. The benefits available for this position include health insurance, six month paid parental leave, 401(k) retirement plan, monthly meal allowance, 23 paid days off, 13 paid flexible holidays. These ranges may be modified in the future.  
Our global benefits
Extensive learning opportunities, through our dedicated team, GreenHouse.
Flexible share incentives letting you choose how you share in our success.
Global parental leave, six months off \- for all new parents.
All The Feels, our employee assistance program and self\-care hub.
Flexible public holidays, swap days off according to your values and beliefs.</t>
        </is>
      </c>
    </row>
    <row r="81">
      <c r="A81" t="inlineStr">
        <is>
          <t>in-ddc68fab5a77a5c7</t>
        </is>
      </c>
      <c r="B81" t="inlineStr">
        <is>
          <t>Digital Business Program Manager</t>
        </is>
      </c>
      <c r="C81" t="inlineStr">
        <is>
          <t>Generac Power Systems</t>
        </is>
      </c>
      <c r="D81" t="inlineStr">
        <is>
          <t>indeed</t>
        </is>
      </c>
      <c r="E81">
        <f>HYPERLINK("https://www.indeed.com/viewjob?jk=ddc68fab5a77a5c7", "https://www.indeed.com/viewjob?jk=ddc68fab5a77a5c7")</f>
        <v/>
      </c>
      <c r="F81">
        <f>HYPERLINK("https://generac.wd5.myworkdayjobs.com/en-US/External/job/Waukesha-WI---USA/Digital-Business-Program-Manager_JR12078-1", "https://generac.wd5.myworkdayjobs.com/en-US/External/job/Waukesha-WI---USA/Digital-Business-Program-Manager_JR12078-1")</f>
        <v/>
      </c>
      <c r="G81" t="inlineStr">
        <is>
          <t>Waukesha, WI, US</t>
        </is>
      </c>
      <c r="H81" s="2" t="n">
        <v>46044</v>
      </c>
      <c r="I81" t="inlineStr">
        <is>
          <t>**We are Generac, a leading energy technology company committed to powering a smarter world.**
Over the 60 plus years of Generac’s history, we’ve been dedicated to energy innovation. From creating the home standby generator market category, to our current evolution into an energy technology solutions company, we continue to push new boundaries.
In the role of **Digital Business Program Manager** working onsite in Waukesha, Wisconsin you will be part of the Digital Business Office team.
The Digital Business Program Manager is responsible for managing multiple medium to large scale IT projects across the organization through cross functional coordination to ensure quality delivery of projects in an on\-time, on\-budget manner. This individual will create and communicate project plans to all project stakeholders and will manage the relationships with project team and stakeholders. This individual will also be expected to contribute to the development of the Project Management Methodology.
**Major Responsibilities**
* Work with various project stakeholders to define project scope, requirements and deliverable objectives. Manage the relationship with project team and stakeholders. Coordinate cross functional teams – including software developers, business owners, security experts, and external resources – and orchestrate their resources together to meet project goals. Ensure program/project management tasks are planned and deliverable appropriately.
* Assist with planning and execution of testing sessions as needed. Maintain timelines and target dates of projects to ensure successful completion of assigned project phases within the budgeted time and cost constraints; makes certain that deadlines are met, and milestones are properly set and communicated. Ensure resource availability and allocation.
* Measure project performance using appropriate systems, tools and techniques. Use appropriate verification techniques to manage changes in project scope, schedule and costs. Create and maintain comprehensive project documentation.
* Create, manage and communicate effective project plans, and deliver clear objectives and updates to all project stakeholders. Contribute to the ongoing development of Project Management Methodology. Report and escalate to management as needed.
**Minimum Job Requirements**
**Education**
* Bachelor’s Degree in Information Systems or related field, or equivalent work experience.
**Work Experience**
* 5 years of large\-scale project and program management.
**Knowledge / Skills / Abilities**
* Proven track record of successfully planning and leading global team test sessions.
* Working Knowledge of Waterfall and Agile Life Cycles methodologies.
* Demonstrated ability to deliver results while working on multiple projects simultaneously, balancing resources, timing and quality of outcomes.
* Demonstrated success in influencing people and teams who are not all direct reports.
* Strong verbal/written communication skills.
* Confident and self\-motivated individual with a dedicated approach.
* Strong ability to prioritize and multi\-task in a high\-paced environment.
* Ability to learn new technology applications and process techniques quickly.
**Preferred Job Requirements**
**Education** 
* Leadership training
**Certification / License** 
* PMP Preferred or Scrum Master Certificate
**Work Experience**
* Experience in building and managing a project schedule in Jira or similar project management tool.
* Experience with training material development and delivering of training.
* Experience with mapping out business process flows.
* Experience with leading Customer Experience End to End Journey Mapping.
* Experience with large Data and Integration Projects.
**Knowledge / Skills / Abilities**
* Knowledge of CDP – Customer Data Platform
* Ability to read and provide insight to journey maps
**Physical Demands** :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\- 50 pounds. Specific conditions of this job are typical of frequent and continuous computer\-based work requiring periods of sitting, close vision and ability to adjust focus. Occasional travel.
*“We are an equal opportunity employer and all qualified applicants will receive consideration for employment without regard to race, color, religion, sex, sexual orientation, national origin, disability status, protected veteran status, or any other characteristic protected by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li-4365621526</t>
        </is>
      </c>
      <c r="B2" t="inlineStr">
        <is>
          <t>Product Manager</t>
        </is>
      </c>
      <c r="C2" t="inlineStr">
        <is>
          <t>eCapital Corp.</t>
        </is>
      </c>
      <c r="D2" t="inlineStr">
        <is>
          <t>linkedin</t>
        </is>
      </c>
      <c r="E2">
        <f>HYPERLINK("https://www.linkedin.com/jobs/view/4365621526", "https://www.linkedin.com/jobs/view/4365621526")</f>
        <v/>
      </c>
      <c r="F2" t="inlineStr"/>
      <c r="G2" t="inlineStr"/>
      <c r="H2" t="inlineStr"/>
      <c r="I2" t="inlineStr">
        <is>
          <t>**About Us:**
 At eCapital, we are on a mission to ignite growth and empower businesses across North America and the U.K. by accelerating their access to capital. Our expertise and forward\-thinking technology create customized, cutting\-edge solutions for clients in over 80 industries. We are proud to have been named to the prestigious Inc. 5000 Fastest Growing Company list in 2024, recognized as a ‘Great Place to Work’ by the Secured Finance Network, and celebrated as a ‘Most Innovative Company’ by ABF Journal; all thanks to our dynamic team who are the cornerstone of our success. Are you ready to make an impact and help us shape the future of finance?
**The Opportunity:**
 eCapital is seeking a Product Manager to drive the success of our fintech products through deep customer insight, data\-driven decisions, and hands\-on execution. This role is designed for a builder, someone who thrives at the intersection of business, technology, and customer experience. You’ll work cross\-functionally with engineering, delivery, and operations to define, develop, and launch features and products that create measurable business and customer value.
 We hold ourselves to an exceptionally high standard, driven by our relentless pursuit of excellence and innovation. Joining our team means becoming part of a culture that values audacious goals, challenges conventional thinking, and consistently pushes the boundaries of what’s possible. Every individual who joins us contributes to shaping solutions that empower businesses and redefine industry standards.
 As a Product Manager, you’ll own the roadmap and execution for one or more product areas, ensuring initiatives align with business goals, deliver customer impact, and scale effectively across our platform.
**Key Responsibilities:**
* Define and deliver the product roadmap for your area, ensuring alignment with business goals, customer needs, and strategic priorities
* Act as the voice of the customer, using data, feedback, and market research to identify opportunities, prioritize features, and define success metrics
* Translate complex business problems into clear, actionable product requirements (PR/FAQs, user stories, acceptance criteria)
* Collaborate cross\-functionally with engineering, delivery, design, and operations to deliver high\-quality features on time and within scope
* Drive execution from concept to launch, including stakeholder alignment, sprint planning, release readiness, and post\-launch analysis
* Measure performance through usage data, feedback loops, and key performance indicators to guide continuous improvement
* Facilitate clear communication, documenting and presenting updates to stakeholders at multiple levels
* Contribute to process improvement, refining how the product team plans, delivers, and measures success
* Champion eCapital’s leadership principles, earning trust, thinking big, delivering results, and maintaining a bias for action
**Required Qualifications:**
* Bachelor’s degree in Computer Science, Finance, Business, or a related field
* 4\+ years of experience in product management, preferably in SaaS, fintech, or financial services
* Proven ability to deliver customer\-facing products or platform capabilities from concept to launch
* Strong understanding of APIs, SaaS architectures, and data\-driven decision\-making
* Excellent communication and documentation skills — able to translate between technical and business audiences
* Demonstrated ability to balance competing priorities, manage ambiguity, and make data\-informed trade\-offs
* Experience working in an agile or iterative development environment
**Preferred Qualifications:**
* Background in lending technology, embedded finance, or payment systems
* Experience with data analytics, AI/ML features, or automation\-driven products
* Familiarity with financial regulations, compliance, or underwriting workflows
* Track record of improving customer satisfaction, efficiency, or adoption metrics
**We Bring:**
* $125,000 \- $155,000 Annually
* Annual Bonus Incentives
* PTO
* Health, Dental, and Life Benefits
* 401(K) Matching
* Abundant professional development opportunities at a growing and thriving Fintech company!
**eCapital Culture:**
 At eCapital, we're not just a funding provider—we're a strategic partner built for what's next. Our culture is defined by innovation, scalability, and personalized service. We value:
* Agility: We adapt quickly to changing market conditions and customer needs
* Relationships: We put our clients' needs at the center of everything we do, and we believe the best results come from diverse teams working together
* Accountability: We hold ourselves to the highest standards in all aspects of our work
* Innovation: We constantly push boundaries to create better solutions for our clients
 We offer a dynamic work environment where you'll have the opportunity to make a significant impact on our business and the SMBs we serve. Join us in revolutionizing how businesses access and manage capital in the digital age.
 eCapital values diverse experiences and backgrounds. We encourage all qualified candidates to apply, regardless of race, color, religion, gender, sexual orientation, national origin, genetics, disability, age, or veteran status.
**AI Statement**
 eCapital uses AI\-enabled tools within our applicant tracking system to support resume screening by comparing qualifications to job requirements. Final hiring decisions and resume reviews are always conducted by our recruiters.
**Vacancy Type:** 
 Addition
 Powered by JazzHR
 ZrQqIaCBxf</t>
        </is>
      </c>
    </row>
    <row r="3">
      <c r="A3" t="inlineStr">
        <is>
          <t>li-4363416728</t>
        </is>
      </c>
      <c r="B3" t="inlineStr">
        <is>
          <t>Product Manager, Principal</t>
        </is>
      </c>
      <c r="C3" t="inlineStr">
        <is>
          <t>Strategy</t>
        </is>
      </c>
      <c r="D3" t="inlineStr">
        <is>
          <t>linkedin</t>
        </is>
      </c>
      <c r="E3">
        <f>HYPERLINK("https://www.linkedin.com/jobs/view/4363416728", "https://www.linkedin.com/jobs/view/4363416728")</f>
        <v/>
      </c>
      <c r="F3" t="inlineStr"/>
      <c r="G3" t="inlineStr">
        <is>
          <t>Tysons Corner, VA</t>
        </is>
      </c>
      <c r="H3" t="inlineStr"/>
      <c r="I3" t="inlineStr">
        <is>
          <t>**Company Description**
**Strategy (Nasdaq: MSTR)** 
 is at the forefront of transforming organizations into intelligent enterprises through data\-driven innovation. We don't just follow trends—we set them and drive change. As a market leader in enterprise analytics and mobility software, we've pioneered the BI and analytics space, empowering people to make better decisions and revolutionizing how businesses operate.
 But that's not all. Strategy is also leading a groundbreaking shift in how companies approach their treasury reserve strategy, boldly adopting Bitcoin as a key asset. This visionary move is reshaping the financial landscape and solidifying our position as a forward\-thinking, innovative force in the market. Four years after adopting the Bitcoin Standard, Strategy's stock has outperformed every company in the S\&amp;P 500\.
 Our people are the core of our success. At Strategy, you'll join a team of smart, creative minds working on dynamic projects with cutting\-edge technologies. We thrive on curiosity, innovation, and a relentless pursuit of excellence.
 Our corporate values—bold, agile, engaged, impactful, and united—are the foundation of our culture. As we lead the charge into the new era of AI and financial innovation, we foster an environment where every employee's contributions are recognized and valued.
 Join us and be part of an organization that lives and breathes innovation every day. At Strategy, you're not just another employee, you're a crucial part of a mission to push the boundaries of analytics and redefine financial investment
**Job Description**
**The Role**
 The Product Management team at Strategy sits at the intersection of customer need, market opportunity, and technological innovation, directly shaping our product vision and continuous evolution. As a Product Manager, your focus will span from understanding customer challenges and market dynamics to defining solutions, driving adoption, and achieving measurable business outcomes.
 You'll thrive in a dynamic, fast\-paced environment where no two days look alike. Leveraging your customer empathy and market insights, you'll identify high\-impact capabilities and enhancements, translating them into strategic product initiatives. Your success will be measured by the tangible impact your products deliver—driving adoption, customer value, and incremental revenue growth.
 You'll operate as part of a collaborative pod, partnering closely with Design, Engineering, and customer\-facing teams, reporting directly to a VP of Product Management.
**Your Focus**
* Discovery \&amp; Strategy: Engage deeply with customers, leveraging qualitative and quantitative data to understand pain points and opportunities.
* Roadmap \&amp; Prioritization: Own and continuously refine your product backlog, ensuring alignment with customer value, strategic vision, and revenue goals.
* Execution \&amp; Delivery: Collaborate daily with Engineering and Design teams in agile environments, managing priorities, trade\-offs, and timelines effectively.
* Adoption \&amp; Outcomes: Define clear success metrics, instrument analytics, and partner cross\-functionally to drive customer adoption and measure post\-launch impact.
* Continuous Improvement: Regularly assess performance, solicit customer feedback, and conduct competitive analyses to inform iterative enhancements.
**Required Experience \&amp; Skills**
* 5\-8 years of experience in Product Management or an adjacent role delivering B2B data, analytics, or software products.
* Strong understanding of data concepts including SQL based application, cloud data platforms (e.g., Snowflake, BigQuery, Redshift), AI/ML fundamentals, and data governance.
* Demonstrated ability to translate complex customer and market insights into clear product strategies and measurable business outcomes.
* Excellent communication skills, capable of effectively engaging diverse stakeholders from engineering teams to executive leadership.
**You Should Also Bring the Following**
* Experience in data virtualization, analytics, or related fields, particularly familiarity with platforms such as Denodo, Starburst, AtScale, or Dremio are a plus.
* Hands\-on familiarity with industry\-leading BI tools like Power BI, Tableau, Qlik, ThoughtSpot, or similar.
* Exposure to different pricing models and packaging.
* A collaborative, customer\-centric working style combined with an ability to drive projects forward with urgency and precision.
**Location:** 
 This role is based at our Tysons Corner, VA headquarters, requiring in\-person attendance four days a week, with limited travel for customer meetings and industry conferences.
**Additional Information**
 Strategy is an equal opportunity employer. All applicants will receive consideration for employment without regard to race, creed, color, religion, national origin, gender, sex, sexual orientation, gender identity, disability, veteran status, age, genetic information, or any other legally\-protected basis.
 Strategy provides reasonable accommodation for qualified individuals with disabilities in the hiring process. If you have any difficulty using our online system and you need an accommodation due to a disability, you may contact us about your interest in employment at application\_accommodations@strategy.com.
 Visit Strategy’s Careers page for additional information.</t>
        </is>
      </c>
    </row>
    <row r="4">
      <c r="A4" t="inlineStr">
        <is>
          <t>li-4365622014</t>
        </is>
      </c>
      <c r="B4" t="inlineStr">
        <is>
          <t>Senior Product Manager, LinkedIn Learning</t>
        </is>
      </c>
      <c r="C4" t="inlineStr">
        <is>
          <t>LinkedIn</t>
        </is>
      </c>
      <c r="D4" t="inlineStr">
        <is>
          <t>linkedin</t>
        </is>
      </c>
      <c r="E4">
        <f>HYPERLINK("https://www.linkedin.com/jobs/view/4365622014", "https://www.linkedin.com/jobs/view/4365622014")</f>
        <v/>
      </c>
      <c r="F4" t="inlineStr"/>
      <c r="G4" t="inlineStr">
        <is>
          <t>Sunnyvale, CA</t>
        </is>
      </c>
      <c r="H4" t="inlineStr"/>
      <c r="I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Sunnyvale / Mountain View, or San Francisco,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LinkedIn’s mission is to create economic opportunity for every member of the global workforce. The key to unlocking economic opportunity is skills. AI is reshaping roles faster than ever, with at least 65% of today’s workforce skills expected to be replaced or updated in the next 5 years. Companies must now up\-skill and re\-skill their employees faster than ever to meet evolving business needs. LinkedIn Learning empowers organizations to develop and retain critical talent by connecting their internal job and skill architecture with real\-time insights from over a billion careers, personalized AI learning experiences, and expert\-led content.
 We are looking for a passionate, user\-obsessed Senior Product Manager who will have end\-to\-end ownership of the LinkedIn Learning career experience for both our members and enterprise users. This person will cultivate a deep understanding of how to onboard and guide users to explore and achieve career development milestones aligned with their career goals. You will leverage LinkedIn’s economic graph and cutting\-edge technology to drive step changes in repeat engagement and user value.
 Searching for your dream job? At LinkedIn, we strive to help our employees find passion and purpose. Join us in changing the way the world works.
**Responsibilities**
* Own the vision, strategy, roadmap, and execution for the LinkedIn Learning Careers user experience
* Deeply understand employee and member needs and motivations to develop a comprehensive and innovative Career strategy
* Cross\-functional team leadership including stakeholder alignment and excellent communication with technical and non\-technical audiences across R\&amp;D, Go\-to\-market, and Sales
* Data\-driven PM that can analyze user behaviors, user pain points, and product metrics to determine the right set of product experiences to deliver member and employee value
* Partner with product teams across LinkedIn to ensure seamless user experiences that align with our broader LinkedIn Talent ecosystem
* Generate buy\-in and excitement with key stakeholders and executives across LinkedIn
* Build and foster a team culture with deep user empathy and impact\-focused execution
**Qualifications**
**Basic Qualifications**
* BS/BA Degree in a technology related field OR equivalent experience
* 4\+ years of experience in product management or equivalent role
**Preferred Qualifications**
* 6\+ years of experience in product management or equivalent role
* Strong understanding of building and scaling personalized and customized product flows, utilizing GenAI technologies
* Experience building user\-facing software products with a demonstrated ability to drive product strategy, planning, development and launch
* Experience defining, articulating, and operationalizing product ROI
* Experience in operating in a fast\-paced and quickly evolving environment, navigating large organizations to achieve business impact
* Proficiency in user research methodologies to identify and prioritize new product opportunities
**Suggested Skills**
* Product Development
* Product Strategy
* Data Analysis
* Cross\-functional team leadership
*LinkedIn is committed to fair and equitable compensation practices.*
*The pay range for this role is $151,000 to $* 
*246,000\.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
      <c r="A5" t="inlineStr">
        <is>
          <t>li-4365648069</t>
        </is>
      </c>
      <c r="B5" t="inlineStr">
        <is>
          <t>Senior Product Manager</t>
        </is>
      </c>
      <c r="C5" t="inlineStr">
        <is>
          <t>Luna Physical Therapy</t>
        </is>
      </c>
      <c r="D5" t="inlineStr">
        <is>
          <t>linkedin</t>
        </is>
      </c>
      <c r="E5">
        <f>HYPERLINK("https://www.linkedin.com/jobs/view/4365648069", "https://www.linkedin.com/jobs/view/4365648069")</f>
        <v/>
      </c>
      <c r="F5" t="inlineStr"/>
      <c r="G5" t="inlineStr"/>
      <c r="H5" t="inlineStr"/>
      <c r="I5" t="inlineStr">
        <is>
          <t>**About Luna:** 
 Founded in 2018, Luna has become the leading tech\-enabled in\-home physical therapy platform, revolutionizing patient care by offering personalized therapy sessions at scale. Luna also provides physical therapists with a flexible and efficient platform, empowering over 3000 professionals to manage their careers effectively and avoid burnout. Partnering with esteemed organizations like Emory Health, UCLA, and more, Luna is dedicated to reshaping the landscape of physical therapy and fostering renewed hope in the delivery of healthcare.
 \~ \#3 Best Employer in Healthcare (Forbes, 2025\)
 \~ \#1 Best Company in MSK Care (Forbes, 2025\)
 \~ \#13 World's Most Innovative Companies in Healthcare (Fast Company, 2024\)
 \~ Exceptional Performance Designation (Medicare/CMS MIPS, 2022, 2023, 2024\)
 \~ Gold Indigo Design Award for mobile app design excellence 2020
**Job Summary:** 
 We seek a motivated and fast\-moving Product Manager to own and evolve Luna’s ops\-focused Platform and Web applications. Reporting to the Head of Product, you will collaborate closely with Engineering and key stakeholders across the business to plan, release, and iterate on platform services, workflow enhancements, third\-party systems, and automations that drive impact, efficiency, and scalability. This position and company emphasizes attention to detail and fast turnarounds, keeping in mind that an improvement is just a release away. Your expertise and leadership will be critical in shaping our technology and driving innovation within the team.
**Responsibilities include and are not limited to:** 
* **Product Management** 
 : Manage Luna’s Platform and Web applications that support scheduling, billing / claims processing, and other operational workflows.
* **Product Planning** 
 : Identify, plan, and shepherd the release of new features and enhancements with a focus on scale, reliability, and support for new customer experiences.
* **User Research and Measurement** 
 : Conduct ongoing user research, including interviews and usability testing. Define and track success metrics such as workflow automation, cost optimization, and feature effectiveness to measure impact and guide prioritization.
* **Execution and Delivery** 
 : Closely support Engineering by clearly communicating requirements and product decisions, monitor the status of in\-progress development, engage in Quality Assurance processes, and partner with the Engineering Manager in sprint planning, execution, and reviews.
* **Platform Evolution** 
 : Partner with Engineering to enhance APIs, data models, and shared services that support multiple applications and enable consistent, scalable development across teams.
**Job Qualifications:** 
* Bachelor’s degree preferred, or additional experience in lieu of a degree
* 5\-8 years of professional working experience
* 4\+ years of experience within a product management function, with a focus on platforms and Web applications
* Strong understanding of platform architecture, data integrations, and service design principles, with the ability to translate technical complexity into user and business value.
* Previous experience in Engineering or Customer Success preferred.​​
* Digital / two\-sided marketplace and B2C experience strongly preferred.
* Experience working closely with Design and Engineering teams to ensure efficient planning and effective execution of new features and functionality.
* Excellent written and verbal communication skills with the ability to interact and empathize across technical and non\-technical teams.
* Excellent organizational, analytical, and problem\-solving skills.
* Ability to quickly adapt within a fast\-paced high\-growth environment with new systems, software, and processes. This position and company emphasizes fast turnarounds, knowing an improvement is just a release away.
* Take ownership and joy in working on projects to successful completion involving a wide variety of challenges, users, technologies, and systems.
* Enjoy working with a diverse group of people with different expertise, including Design, Engineering, Clinical, Billing, and Success teams.
* A learning mindset, regardless of level or experience
**90\-Day Expectations:** 
 Independently writing and shepherding product plans through the review process.
 Have delivered multiple new features or enhancements.
 Managing your products’ backlogs through stakeholder engagement and curation in support of roadmapping, establishing and revising product documentation, supporting Engineering’s execution of your product plans, and participating in the team’s quarterly goals.
 Build foundational understanding of Luna’s data architecture and cross\-system dependencies that influence your product areas.
**Travel Demands:** 
 Some travel may be required in support of the position, particularly to spend time with internal users and teams for planning, research, and testing purposes.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for extended periods of time, and may occasionally be required to lift/carry equipment up to 30 lbs.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li-4365635076</t>
        </is>
      </c>
      <c r="B6" t="inlineStr">
        <is>
          <t>Product Manager, RCM</t>
        </is>
      </c>
      <c r="C6" t="inlineStr">
        <is>
          <t>Verse Medical</t>
        </is>
      </c>
      <c r="D6" t="inlineStr">
        <is>
          <t>linkedin</t>
        </is>
      </c>
      <c r="E6">
        <f>HYPERLINK("https://www.linkedin.com/jobs/view/4365635076", "https://www.linkedin.com/jobs/view/4365635076")</f>
        <v/>
      </c>
      <c r="F6">
        <f>HYPERLINK("https://jobs.ashbyhq.com/versemedical/9eee806b-8259-4c07-a5f9-ece492095364/application?utm_source=7anKz8owmx&amp;urlHash=hfaE", "https://jobs.ashbyhq.com/versemedical/9eee806b-8259-4c07-a5f9-ece492095364/application?utm_source=7anKz8owmx&amp;urlHash=hfaE")</f>
        <v/>
      </c>
      <c r="G6" t="inlineStr">
        <is>
          <t>New York, NY</t>
        </is>
      </c>
      <c r="H6" t="inlineStr"/>
      <c r="I6" t="inlineStr">
        <is>
          <t>****Our Mission:** 
 Hospital\-Quality Care, Everywhere.**
 The healthcare industry still relies on faxes and phone tag to coordinate critical care for patients at home. We think patients and the clinicians who serve them deserve better than a system stuck in 1995\.
 Verse Medical is building the modern software infrastructure to make it happen. We're a well\-funded Series C company (backed by General Catalyst, SignalFire, and Sapphire Ventures) on a mission to heal a fragmented system. Our platform connects the dots between providers, payors, and patients, ensuring people get the high\-quality care they need, reliably and right where they live.
 **We’re growing fast and looking for people who are driven by this mission to join us!**
****Our Values:** 
 The Principles That Guide Us**
 Our values are the operating system for how we work together and with our partners. They aren't just words on a wall; they are the principles we bring to every decision, every day.
* We are transparent, upfront and direct. We operate with honesty and clarity. We share information openly, the good and the bad, and believe that direct, respectful feedback is the foundation of trust and progress.
* We value speed of iteration. We are building something new, which means we learn by doing. We prioritize rapid iteration and getting solutions into the hands of users, believing that progress is more valuable than perfection.
* We give 110% effort, 30% of the time. We are passionate about our mission, and there are moments that require us to go the extra mile. We believe in focused intensity when it counts, balanced by a sustainable pace that keeps our team energized for the long run.
* We empathize with customers to a fault. When our users face a problem, we own it. Instead of asking them to change, we ask ourselves, "How can we make this better?" We believe true innovation comes from deep empathy and a relentless focus on solving the real\-world challenges of healthcare.
****Your Impact:** 
 How You'll Help Us Heal a Broken System**
 This isn’t a standard PM role and we don’t want a standard PM. At Verse, engineers are deeply product\-oriented, and product managers are expected to be analytical, execution\-focused leaders who can deeply understand the problems we solve. You’ll work shoulder\-to\-shoulder with a strong team of engineers, designers and clinical operators who all share a bias for action and a deep sense of mission.
 In this role, you’ll have end\-to\-end ownership of several high\-priority product areas, including building enterprise\-grade tools for provider organizations, expanding into entirely new product categories, launching strategic initiatives with payors, and improving core experiences across our clinic\-facing software. If you thrive in high\-ownership environments, and want to build real systems that improve real lives, this is the place.
****What You'll Achieve:** 
 A Glimpse into Your Contributions**
 Within your first year, you will have the opportunity to:
* Work cross\-functionally with engineering, design, business operations and legal to deliver impactful and intuitive features at scale.
* Develop product strategy aligned with company goals and market opportunities.
* Conduct market research to identify user needs and market trends.
* Define and prioritize product roadmaps.
* Create product requirements and user stories.
* Lead product lifecycle from concept to launch.
* Perform user and stakeholder analysis.
* Develop and track product KPIs, conduct A/B tests and iterate on features to optimize user experiences. Continuously optimize user experiences by developing and tracking product KPIs, and iterating on features informed by A/B test results.
* Drive product innovation by staying informed about trends in the healthtech sector, competitor products, and emerging technologies.
* Operate autonomously in a fast\-paced environment with a high level of ambiguity and visibility.
* Work independently amidst a high degree of ambiguity and visibility in a fast\-paced environment.
****What You'll Bring:** 
 The Skills and Experience You’ll Leverage**
 We believe that diverse experiences and backgrounds lead to better solutions. While we have an idea of what will help someone succeed in this role, we are open to being convinced by your unique story and skills. If you believe you can achieve the outcomes above, we encourage you to apply.
**Core Skills \&amp; Experience:**
* 3 \- 7 years of Product Management experience preferably in a healthcare environment or digital health.
* Deep understanding of product management practices, including market research, ideation, user testing, and agile development.
* Experience working directly with engineers, designers, data analysts/scientists to solve multi\-faceted problems to drive business value for internal and external stakeholders.
* Passion for delivering exceptional user experiences that improve the lives of in\-home patients and support healthcare partners.
* Working knowledge of user\-centered design principles and best practices.
* Strong empathy, communication, and stakeholder management skills.
* Strong strategic thinking, research and analytical skills to inform product decisions.
* Preferred: experience with SQL, design tools, ticketing tools (Jira, Linear), A/B testing, and prototyping.
****The Rewards \&amp; Reality:** 
 Compensation, Benefits \&amp; Logistics**
 We believe in taking care of our team, both professionally and personally. Here’s what we offer:
* Meaningful Compensation: $140,000 \- $200,000 base salary \+ equity
* Comprehensive Health \&amp; Wellness: We cover 100% of your health insurance premium and provide access to high\-quality dental and vision insurance plans for you and your dependents.
* Plan for the Future: We offer a 401(k) plan to help you save for your future. At this time, the company does not offer a 401(k) match.
* Career Growth: You'll have opportunities for rapid career advancement in a company that's at a major inflection point. We want you to grow with us.
**Work Environment \&amp; Location:**
* This role is based in our New York City office in Chelsea. We have a hybrid model, with a requirement of 4 days per week in the office to foster collaboration and innovation.
****Our Pledge for an Equitable Future****
 At Verse Medical, our mission is to deliver equitable, hospital\-quality care to everyone, regardless of their background or where they live. We can only achieve this if our own team reflects the diversity of the patients we serve. We are committed to building a workplace where everyone feels a sense of belonging, where their contributions are valued, and where they can do their best work. We embrace diversity of all kinds: race, gender, age, religion, identity, experience. We are actively working to build a more inclusive and equitable world, starting from within our own walls. We are an equal opportunity employer.
 We are also committed to providing a positive and accessible interview experience. If you require any accommodations to participate in our process, please contact us at recruiting@versemedical.com.
 Compensation Range: $140K \- $200K</t>
        </is>
      </c>
    </row>
    <row r="7">
      <c r="A7" t="inlineStr">
        <is>
          <t>li-4365620613</t>
        </is>
      </c>
      <c r="B7" t="inlineStr">
        <is>
          <t>Principal Product Manager, Consumer Innovation</t>
        </is>
      </c>
      <c r="C7" t="inlineStr">
        <is>
          <t>Instacart</t>
        </is>
      </c>
      <c r="D7" t="inlineStr">
        <is>
          <t>linkedin</t>
        </is>
      </c>
      <c r="E7">
        <f>HYPERLINK("https://www.linkedin.com/jobs/view/4365620613", "https://www.linkedin.com/jobs/view/4365620613")</f>
        <v/>
      </c>
      <c r="F7" t="inlineStr"/>
      <c r="G7" t="inlineStr"/>
      <c r="H7" t="inlineStr"/>
      <c r="I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effortless for people to discover, plan, and shop the food that fuels their lives. We’re building intuitive, trustworthy experiences that help customers find inspiration, make healthier choices, and get from idea to checkout with confidence.
 We’re looking for a Principal Product Manager to lead our Meals \&amp; Health product area. In this role, you will shape the vision, strategy, and roadmap for how Instacart helps customers plan meals, honor dietary needs and preferences, and discover better\-for\-you options—all within a seamless shopping journey used by millions of customers every week.
 You’ll partner closely with design, research, engineering, data science, and go\-to\-market teams to translate deep user empathy into delightful, impactful products. This is a highly visible, zero\-to\-one opportunity—ideal for someone who thrives in ambiguity, rolls up their sleeves to execute, and loves building startupy products within the scale of Instacart.
**About The Job**
* Own the end\-to\-end product strategy and roadmap for Meals \&amp; Health within Shopping Experience, driving zero\-to\-one bets from discovery through scaled launch and iteration.
* Partner with design and research to deeply understand customer needs across inspiration, meal planning, dietary filters, and health\-forward discovery; translate insights into simple, elegant product experiences.
* Define success metrics and run a rigorous experimentation program (A/B tests, multivariate tests) to improve core outcomes such as engagement, conversion, retention, and basket healthfulness.
* Work cross\-functionally with engineering, data science, operations, partnerships, legal, and privacy to deliver responsibly built features at scale, balancing speed with quality and compliance considerations.
* Build alignment across diverse stakeholders, communicate tradeoffs and decisions with clarity, and ruthlessly prioritize to maximize customer and business impact in a fast\-paced environment.
**About You**
 Minimum Qualifications
* 8\+ years of product management experience building consumer products, including ownership of end\-to\-end user experiences from discovery through launch and iteration.
* Proven track record shipping zero\-to\-one products with measurable impact (for example: improved conversion, retention, or engagement) and scaling them to broad adoption.
* Hands\-on experience collaborating with product design and user research to convert insights into clear PRDs, prototypes, and shipped features.
* Data fluency with experimentation and analytics (for example: defining success metrics, partnering on A/B tests, interpreting results; SQL proficiency or equivalent analytics tooling experience).
* Experience operating in highly cross\-functional environments, influencing without authority, and aligning multiple stakeholder groups to a clear roadmap.
* Bachelor’s degree in a relevant field (such as Computer Science, Engineering, Design, Business, or a related discipline) or equivalent practical experience.
**Preferred Qualifications**
* Experience in health, nutrition, wellness, or other regulated consumer product spaces.
* Background in e\-commerce, marketplaces, personalization/recommendation systems, search, or content experiences.
* Startup or “startup within a startup” experience leading products from zero\-to\-one in high\-ambiguity, fast\-moving environments.
* Familiarity with third\-party integrations relevant to meals and health (for example: recipes, nutrition data, or health data platforms).
* Exceptional storytelling and communication skills, including the ability to drive alignment across executive and cross\-functional audiences.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$250,000—$264,000 USD
 WA
 $239,000—$252,500 USD
 OR, DE, ME, MA, MD, NH, RI, VT, DC, PA, VA, CO, TX, IL, HI
 $230,000—$242,500 USD
 All other states
 $209,000—$220,500 USD</t>
        </is>
      </c>
    </row>
    <row r="8">
      <c r="A8" t="inlineStr">
        <is>
          <t>li-4354281737</t>
        </is>
      </c>
      <c r="B8" t="inlineStr">
        <is>
          <t>Technical Product Manager - GenAI Healthcare</t>
        </is>
      </c>
      <c r="C8" t="inlineStr">
        <is>
          <t>Qualified Health</t>
        </is>
      </c>
      <c r="D8" t="inlineStr">
        <is>
          <t>linkedin</t>
        </is>
      </c>
      <c r="E8">
        <f>HYPERLINK("https://www.linkedin.com/jobs/view/4354281737", "https://www.linkedin.com/jobs/view/4354281737")</f>
        <v/>
      </c>
      <c r="F8" t="inlineStr"/>
      <c r="G8" t="inlineStr">
        <is>
          <t>Palo Alto, CA</t>
        </is>
      </c>
      <c r="H8" t="inlineStr"/>
      <c r="I8" t="inlineStr">
        <is>
          <t>**Transform healthcare with us.**
 At Qualified Health, we’re redefining what’s possible with Generative AI in healthcare. Our infrastructure provides the guardrails for safe AI governance, healthcare\-specific agent creation, and real\-time algorithm monitoring—working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Qualified Health is seeking a Technical Product Manager to help us build and scale GenAI\-powered solutions for health systems. You'll work at the intersection of cutting\-edge AI technology and real\-world healthcare challenges, translating complex technical capabilities into products that meaningfully improve patient care and operational efficiency.
**Key Responsibilities:**
* Own and manage product roadmap and strategy for our GenAI healthcare solutions, balancing customer needs, technical feasibility, and business priorities
* Work closely with design and engineering teams to define requirements, prioritize features, and ship products that meet the unique compliance and security needs of health systems
* Define success metrics and use data to drive product decisions and iterations
* Partner with sales and customer success to support deals, gather feedback, and ensure successful implementations
* Stay on top of GenAI advancements and identify opportunities to leverage new capabilities for healthcare use cases
* Create clear product specs, user stories, and documentation that help engineering teams build the right thing
* Navigate the complexities of healthcare regulations (HIPAA, data privacy, clinical safety) and ensure our products meet industry standards
* Within the first 12 months success will be measured across the following areas:
+ Shipping features and products that customers actually use and love
+ Building strong relationships with customer success, design and engineering teams and being a trusted partner in delivery
+ Making data\-driven decisions that move key product and business metrics
+ Balancing speed with quality in a startup environment where timelines matter
**Required Qualifications:**
* Bachelors Degree in Engineering, Computer Science, Business or a related field
* 5\+ years of product management experience, preferably with 2\+ years in B2B SaaS or healthcare technology
* Strong technical background \- you should be comfortable discussing AI/ML concepts, APIs, data pipelines, and system architecture with engineers
* Experience shipping products in regulated environments (healthcare, finance, or similar) is a big plus
* Track record of working collaboratively with customer success, design and engineering teams in fast\-paced environments and delivering to tight timelines
* Ability to break down complex problems, prioritize ruthlessly, and ship incrementally
* Excellent communication skills \- you can explain technical concepts to non\-technical stakeholders and vice versa
* Customer\-obsessed mindset with experience gathering requirements and validating solutions with users
* Comfort with ambiguity and ability to make decisions with incomplete information
* Able to work onsite in Palo Alto 3 days/week
* Bonus: Understanding of healthcare operations,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$160,000 and $210,000, and will depend on your skills, qualifications, experience, and location. This role is also eligible for equity and benefits.
***Join our mission to revolutionize healthcare with AI.***
 To apply, please send your resume through the application below.</t>
        </is>
      </c>
    </row>
    <row r="9">
      <c r="A9" t="inlineStr">
        <is>
          <t>li-4365616562</t>
        </is>
      </c>
      <c r="B9" t="inlineStr">
        <is>
          <t>Entry Level Product Manager: 2026</t>
        </is>
      </c>
      <c r="C9" t="inlineStr">
        <is>
          <t>Lensa</t>
        </is>
      </c>
      <c r="D9" t="inlineStr">
        <is>
          <t>linkedin</t>
        </is>
      </c>
      <c r="E9">
        <f>HYPERLINK("https://www.linkedin.com/jobs/view/4365616562", "https://www.linkedin.com/jobs/view/4365616562")</f>
        <v/>
      </c>
      <c r="F9">
        <f>HYPERLINK("https://lensa.com/cgw/6e118b2bb66441fbafe62002587fb910tjo1?jpsi=directemployers_no_redirect&amp;publisher_preference=easier_apply&amp;utm_campaign=Other%20Management%20Occupations&amp;utm_medium=slot&amp;utm_source=linkedin&amp;utm_term=jse&amp;urlHash=mo7Z", "https://lensa.com/cgw/6e118b2bb66441fbafe62002587fb910tjo1?jpsi=directemployers_no_redirect&amp;publisher_preference=easier_apply&amp;utm_campaign=Other%20Management%20Occupations&amp;utm_medium=slot&amp;utm_source=linkedin&amp;utm_term=jse&amp;urlHash=mo7Z")</f>
        <v/>
      </c>
      <c r="G9" t="inlineStr">
        <is>
          <t>San Jose, CA</t>
        </is>
      </c>
      <c r="H9" t="inlineStr"/>
      <c r="I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0">
      <c r="A10" t="inlineStr">
        <is>
          <t>li-4365621804</t>
        </is>
      </c>
      <c r="B10" t="inlineStr">
        <is>
          <t>Product Manager (eCommerce - Shopify)</t>
        </is>
      </c>
      <c r="C10" t="inlineStr">
        <is>
          <t>Homera Health</t>
        </is>
      </c>
      <c r="D10" t="inlineStr">
        <is>
          <t>linkedin</t>
        </is>
      </c>
      <c r="E10">
        <f>HYPERLINK("https://www.linkedin.com/jobs/view/4365621804", "https://www.linkedin.com/jobs/view/4365621804")</f>
        <v/>
      </c>
      <c r="F10" t="inlineStr"/>
      <c r="G10" t="inlineStr"/>
      <c r="H10" t="inlineStr"/>
      <c r="I10" t="inlineStr">
        <is>
          <t>**About Homera Health**
 Homera Health comes from the team building the technology, marketing, and growth engine powering some of today’s most successful telehealth brands. As we expand into new verticals, including an upcoming men's health platform, we’re hiring world\-class talent across product design, front\-end and back\-end engineering, digital marketing, and operations management to join us early and help build the next generation of virtual healthcare experiences.
**About The Role**
 We’re hiring a
 **Product Manager** 
 to own and lead our Shopify ecommerce business end to end. This role sits at the center of our next phase of growth and is responsible for the performance, scalability, and evolution of our Shopify storefront—along with the team, systems, and processes behind it.
 We currently sell prescription\-based products and are actively expanding our product lineup into non\-prescription wellness, including supplements and skincare. This position will play a key role in bringing those products to life, scaling the store, and building a world\-class ecommerce experience.
 This is a senior, hands\-on role for someone who has actually run a Shopify business—managing complex catalogs with multiple SKUs, bundles, subscriptions, and compliance requirements—while working cross\-functionally and leading teams. You’ll start as a hands\-on owner and grow into overseeing and building an ecommerce team as sales scale.
 You’ll work closely with marketing, operations,engineering and leadership to launch new products, improve performance, and build a scalable ecommerce engine designed for growth.
**Your Responsibilities**
**Shopify \&amp; Ecommerce Operations**
* Own the Shopify store end to end, including:
+ Product setup (multiple SKUs, bundles, subscriptions)
+ Pricing, promotions, and product lifecycle management
+ App ecosystem (subscriptions, reviews, analytics, fulfillment, tax tools)
* Ensure site stability, performance, and conversion optimization
* Manage storefront updates, launches, and ongoing improvements
* Own ecommerce performance metrics, including conversion rate, AOV, retention, and revenue growth
**Product \&amp; Catalog Management**
* Lead the creation and maintenance of product pages for supplements and skincare
* Own SKU strategy, bundles, upsells, cross\-sells, and subscription logic
* Partner with marketing and operations on launches, promotions, and experiments
* Maintain clean product data, taxonomy, and reporting
**Sales Tax, Compliance \&amp; Ecommerce Infrastructure**
* Oversee Shopify sales tax setup and compliance
* Partner with finance and legal to ensure ecommerce compliance
* Ensure operational readiness across regions, SKUs, and fulfillment flows
**Cross\-Functional Leadership**
* Act as the bridge between marketing, operations, product, and leadership
* Translate business goals into clear ecommerce execution
* Collaborate on funnel optimization, promotions, and lifecycle strategy
* Support planning for future hires and team expansion
**Strategy \&amp; Growth**
* Use data to identify opportunities for conversion, retention, and growth
* Help shape ecommerce and product strategy alongside leadership
* Bring best practices from high\-growth ecommerce environments
* Prepare the foundation for scaling product lines and team structure
* Build, lead, and scale the ecommerce team over time as sales grow
* Coach, mentor, and develop team members by setting clear expectations, providing feedback, and raising the bar on execution quality
**Who You Are**
* 5–7 years of experience in product management, project management, or ecommerce leadership
* Deep, hands\-on experience owning and operating a live Shopify store
* Experience in subscription\-based ecommerce is an asset
* Experience launching new product lines or expanding an ecommerce catalog
* Background in supplements, skincare, wellness, apparel, or other applicable consumer products strongly preferred
* Proven experience leading and growing teams, or readiness to step into that role
* Comfortable being hands\-on today and strategic as the business scales
* Clear, confident communicator across teams and leadership
* Experience managing, coaching, or mentoring others
**What’s in it for you?**
 As full\-time member of our team, you’ll enjoy:
* Flexible working hours
* Work wherever you choose.
* Unlimited Paid Time off
* Paid non\-working holidays per country of residence.
* Fun and casual work environment.
* We are a diverse, global team!
***Equal Employment Opportunity***
***Homera Health is an equal opportunity employer. We are committed to providing fair and equitable employment opportunities to all qualified individuals, regardless of race, color, religion, sex, gender identity or expression, sexual orientation, pregnancy, age, national origin, disability (physical or mental), military or veteran status, genetic information, or any other legally protected status.***
***This commitment applies to every aspect of employment, including recruitment, hiring, training, promotion, demotion, transfers, leaves of absence, and termination. Homera Health takes all reports of discrimination, harassment, or retaliation seriously and investigates such matters promptly and thoroughly.***</t>
        </is>
      </c>
    </row>
    <row r="11">
      <c r="A11" t="inlineStr">
        <is>
          <t>li-4321384034</t>
        </is>
      </c>
      <c r="B11" t="inlineStr">
        <is>
          <t>Product Manager</t>
        </is>
      </c>
      <c r="C11" t="inlineStr">
        <is>
          <t>Recharge</t>
        </is>
      </c>
      <c r="D11" t="inlineStr">
        <is>
          <t>linkedin</t>
        </is>
      </c>
      <c r="E11">
        <f>HYPERLINK("https://www.linkedin.com/jobs/view/4321384034", "https://www.linkedin.com/jobs/view/4321384034")</f>
        <v/>
      </c>
      <c r="F11" t="inlineStr"/>
      <c r="G11" t="inlineStr"/>
      <c r="H11" t="inlineStr"/>
      <c r="I11" t="inlineStr">
        <is>
          <t>**Who We Are**
 Recharge is the subscription platform for the world’s fastest\-growing and most innovative brands. Shopify’s premier subscription solution, Recharge is on a mission to build the future of commerce around customer retention.
 Known for its relentless product innovation and focus on ease of use, Recharge helps merchants deliver seamless customer experiences that drive customer retention and revenue growth. The Recharge platform leverages data from over 100 million shoppers to help brands more successfully set up, manage, and grow their subscription businesses.
 Recharge is a hands\-on partner to over 20,000 brands globally — including quip, Dr. Squatch, Blueland, Estrid, Oats Overnight, Bobbie, and more.
 Learn more at: getrecharge.com
**Overview**
 The role: We are hiring a Product Manager to join Recharge’s product team, working alongside a Group Product Manager to explore new product opportunities in ambiguous problem spaces while also owning and evolving core parts of the merchant and end customer experience. You will also work closely with Recharge’s co\-founders, who are actively involved in shaping strategy and high\-impact product bets. This is a high impact role with real ownership. You will help shape product direction from first principles, move fast through ambiguity, and turn learning into shipped value. Your work will directly influence company strategy, revenue growth, and how Recharge partners with its merchants.
 Team overview: This team focuses on early validation, experimentation, and finding the next meaningful growth bets for Recharge. The work is highly visible, tightly connected to senior leadership priorities, and grounded in real merchant problems. Success here shapes what Recharge builds next.
 Location: Canada or United States (remote)
 What you’ll do
* Lead product discovery, validation, and delivery for early stage product initiatives from idea to launch
* Partner closely with the Group Product Manager to define product vision, strategy, and priorities
* Own product decisions within defined problem spaces, aligning with the Group Product Manager on strategic direction and tradeoffs
* Make informed bets, learn quickly from outcomes, and adjust direction when experiments do not succeed
* Translate ambiguous problems into clear problem statements, hypotheses, and testable solutions
* Own end to end execution including PRDs, experiment design, rollout plans, and iteration
* Work directly with senior leaders to align on goals, tradeoffs, and outcomes
* Engage closely with merchants and partners to deeply understand needs and validate direction
* Own early adoption by partnering with PMM to shape go to market strategy, positioning, and launch execution for new product bets
* Live by and champion our values: Accountability, Collaboration, Iteration, and Details
 What you’ll bring
* 2\+ years experience as a Product Manager, ideally in SaaS or platform products
* Proven experience working in early stage or ambiguous problem spaces
* Strong product judgment and ability to balance speed with thoughtful decision making
* Comfort partnering directly with executives and influencing without authority
* Experience working closely with design and engineering in fast moving environments
* Strong written and verbal communication skills, including with external customers
* Curiosity, resilience, and a bias toward learning through shipping
**Preferred Experience**
* Experience working with Shopify, ecommerce platforms, or merchant facing products
* Technical fluency through prior work or education, such as experience collaborating closely with engineers, working with APIs or data models, or building software adjacent products (coding not required)
**Interview recording \&amp; AI notetakers**
 To protect privacy, legal compliance, and interviewer/candidate experience, recording, transcribing, or using AI notetaker tools during interviews is not permitted without our prior written consent. Handwritten notes are welcome. If you need an accommodation (e.g., captions), email recruiting@getrecharge.com before your interview—we’ll arrange an approved solution.
**Compensation**
 Recharge’s compensation offerings are grounded in a pay\-for\-performance philosophy that recognizes exceptional individual and team performance. Salary ranges are designed to be competitive and aligned with country specific practices, while individual compensation is determined by skills, qualifications, and experience. The compensation listed is not inclusive of any equity and benefits that might exist in your total compensation package.
* Hiring range in the US $134,000 \- $168,000 USD
* Hiring range in Canada $113,000 CAD \- $142,000 CAD
 Application window anticipated to close: 03/02/2026\. If you’re interested in this opportunity, please submit an application as soon as possible.
 Benefits at a Glance
* Medical, dental and vision plans
* Retirement plan with employer contribution
* Flexible Time Off
* Paid Parental Leave
* Monthly Remote Life and Merchant stipends
 Recharge \| Instagram \| Twitter \| Facebook
*Recharge Payments is an equal opportunity employer. In addition to EEO being the law, it is a policy that is fully consistent with our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Recharge Payments prohibits any form of workplace harassment.*
 T
 **ransparency in Coverage**
*This link leads to the Anthem Blue Cross machine\-readable files that are made available in response to the federal Transparency in Coverage Rule and includes network negotiated rates for all items and services; allowed amounts for OON items, services and prescription drugs; and negotiated rates and historical prices for network prescription drugs (delayed). EIN 80\-6245138\. This link leads to the Kaiser machine\-readable files.*</t>
        </is>
      </c>
    </row>
    <row r="12">
      <c r="A12" t="inlineStr">
        <is>
          <t>li-4321335499</t>
        </is>
      </c>
      <c r="B12" t="inlineStr">
        <is>
          <t>Product Owner</t>
        </is>
      </c>
      <c r="C12" t="inlineStr">
        <is>
          <t>Recharge</t>
        </is>
      </c>
      <c r="D12" t="inlineStr">
        <is>
          <t>linkedin</t>
        </is>
      </c>
      <c r="E12">
        <f>HYPERLINK("https://www.linkedin.com/jobs/view/4321335499", "https://www.linkedin.com/jobs/view/4321335499")</f>
        <v/>
      </c>
      <c r="F12" t="inlineStr"/>
      <c r="G12" t="inlineStr"/>
      <c r="H12" t="inlineStr"/>
      <c r="I12" t="inlineStr">
        <is>
          <t>**Who We Are**
 Recharge is the subscription platform for the world’s fastest\-growing and most innovative brands. Shopify’s premier subscription solution, Recharge is on a mission to build the future of commerce around customer retention.
 Known for its relentless product innovation and focus on ease of use, Recharge helps merchants deliver seamless customer experiences that drive customer retention and revenue growth. The Recharge platform leverages data from over 100 million shoppers to help brands more successfully set up, manage, and grow their subscription businesses.
 Recharge is a hands\-on partner to over 20,000 brands globally — including quip, Dr. Squatch, Blueland, Estrid, Oats Overnight, Bobbie, and more.
 Learn more at: getrecharge.com
**Overview**
 The role: We are hiring a Product Owner to join Recharge’s product team, working closely with Senior and Group Product Managers and engineering partners on early stage, experimental initiatives. This is a hands\-on role for someone who wants real responsibility early, thrives in fast moving environments, and is motivated to grow into a Product Manager role over time. You will help turn ideas into execution, learning directly from customer feedback, experiments, and shipped work. High ownership, high exposure, and a steep learning curve.
 Team overview: This team operates at the intersection of exploration and execution. We both explore new product opportunities before they are proven and own core parts of the merchant and end customer experience. The work spans early experimentation, iteration, and maintaining high quality foundations that customers rely on every day. This is a high impact team with visibility across the company. It is a proving ground for future PMs and the place where new product bets are shaped alongside meaningful improvements to core experiences.
 Location: Canada (remote)
 What you’ll do
* Partner closely with PMs, engineers, and designers to deliver early stage product work
* Own backlog management, ticket quality, and day to day execution
* Own day to day product execution decisions within defined problem spaces, escalating tradeoffs and directional questions to PMs as needed
* Translate high level product direction into clear requirements and acceptance criteria
* Actively participate in discovery through customer calls, feedback synthesis, and experiment analysis, bringing insights back into delivery decisions
* Help run experiments, track outcomes, and feed learnings back into product decisions
* Ensure momentum is maintained across fast moving, iterative workstreams
* Operate with urgency, balancing speed with quality and learning
* Support early adoption by partnering with PMM on launch execution, early customer feedback loops, and iteration post launch
* Live by and champion our values: Accountability, Collaboration, Iteration, and Details
 What you’ll bring
* 1 to 4 years experience in a Product Owner, Associate PM, or adjacent role
* Strong interest in product management and building products from zero to one
* High ownership mindset and strong bias toward action
* Comfort working in ambiguity and changing priorities
* Clear written and verbal communication skills
* Strong organisational skills and attention to detail
* Curiosity, drive, and ambition to grow into a Product Manager role
**Preferred Experience**
* Experience working with Shopify, ecommerce platforms, or merchant facing products
* Technical fluency through prior work or education, such as experience collaborating closely with engineers, working with APIs or data models, or building software adjacent products (coding not required)
**Interview recording \&amp; AI notetakers**
 To protect privacy, legal compliance, and interviewer/candidate experience, recording, transcribing, or using AI notetaker tools during interviews is not permitted without our prior written consent. Handwritten notes are welcome. If you need an accommodation (e.g., captions), email recruiting@getrecharge.com before your interview—we’ll arrange an approved solution.
**Compensation**
 Recharge’s compensation offerings are grounded in a pay\-for\-performance philosophy that recognizes exceptional individual and team performance. Salary ranges are designed to be competitive and aligned with country specific practices, while individual compensation is determined by skills, qualifications, and experience. The compensation listed is not inclusive of any equity and benefits that might exist in your total compensation package.
* Hiring range in Canada $98,000\-$123,000 CAD
 Application window anticipated to close: 03/02/2026\. If you’re interested in this opportunity, please submit an application as soon as possible.
 Benefits at a Glance
* Medical, dental and vision plans
* Retirement plan with employer contribution
* Flexible Time Off
* Paid Parental Leave
* Monthly Remote Life and Merchant stipends
 Recharge \| Instagram \| Twitter \| Facebook
*Recharge Payments is an equal opportunity employer. In addition to EEO being the law, it is a policy that is fully consistent with our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Recharge Payments prohibits any form of workplace harassment.*
 T
 **ransparency in Coverage**
*This link leads to the Anthem Blue Cross machine\-readable files that are made available in response to the federal Transparency in Coverage Rule and includes network negotiated rates for all items and services; allowed amounts for OON items, services and prescription drugs; and negotiated rates and historical prices for network prescription drugs (delayed). EIN 80\-6245138\. This link leads to the Kaiser machine\-readable files.*</t>
        </is>
      </c>
    </row>
    <row r="13">
      <c r="A13" t="inlineStr">
        <is>
          <t>li-4363396784</t>
        </is>
      </c>
      <c r="B13" t="inlineStr">
        <is>
          <t>Sr. Product Manager</t>
        </is>
      </c>
      <c r="C13" t="inlineStr">
        <is>
          <t>UpKeep</t>
        </is>
      </c>
      <c r="D13" t="inlineStr">
        <is>
          <t>linkedin</t>
        </is>
      </c>
      <c r="E13">
        <f>HYPERLINK("https://www.linkedin.com/jobs/view/4363396784", "https://www.linkedin.com/jobs/view/4363396784")</f>
        <v/>
      </c>
      <c r="F13">
        <f>HYPERLINK("https://job-boards.greenhouse.io/upkeep/jobs/5059430008&amp;urlHash=zJP2", "https://job-boards.greenhouse.io/upkeep/jobs/5059430008&amp;urlHash=zJP2")</f>
        <v/>
      </c>
      <c r="G13" t="inlineStr"/>
      <c r="H13" t="inlineStr"/>
      <c r="I13" t="inlineStr">
        <is>
          <t>**We’re building the AI\-powered future of maintenance.**
 UpKeep is on a mission to reinvent how the physical world runs—starting with the frontline teams who maintain it. We’re the creators of the world’s first
 **AI\-first CMMS** 
 (Computerized Maintenance Management System), equipping technicians and facilities teams with automation, machine learning, and predictive insights that drive operational speed, safety, and efficiency.
 What started as a garage\-built prototype is now a fast\-scaling SaaS company, backed by Insight Partners, Emergence Capital, and Y Combinator. Over 4,000 companies—including Shell, Yamaha, Unilever, and Marriott—run on UpKeep to modernize their asset operations. We’re leading the $30B category shift toward
 **Asset Operations Management** 
 , where uptime, intelligence, and AI converge.
**Why Join Us**
* Own the AI\-first transformation of an entire industry. Every feature we ship leverages AI—from predictive work orders to sensor\-driven automations. You’re not just iterating—you’re pioneering how data reshapes physical operations.
* Real traction, real scale. Recognized as Gartner’s \#1 Facility Management solution and G2’s top\-rated CMMS, we’ve earned market leadership through product, not puff.
* A company where builders thrive. We move fast, optimize for outcomes, and give high\-agency operators the autonomy to ship big things. Our culture rewards bold thinking, not bureaucracy.
* Global team, local energy. With 100\+ employees across the world, we support remote\-first work with deep investment in our LA HQ—where certain roles and leadership converge for rapid innovation.
* Equity and upside, not just a paycheck. Competitive comp, meaningful ownership, and benefits that support your health, focus, and long\-term growth.
 If you’re driven by impact, energized by AI, and hungry to transform a legacy industry—we’re hiring!
**Position Summary**
 We’re looking for a Senior Product Manager to own the strategy, roadmap, and delivery for a core product area. You will partner closely with Engineering, Design, Data, Customer Success, and Go\-to\-Market teams to build products customers love and that drive measurable business outcomes. In a Series B environment, you’ll thrive in ambiguity, move from insight to execution quickly, and make smart tradeoffs to ship value consistently.
**Essential Functions And Responsibilities**
* Own product strategy and roadmap for a defined product domain, translating company goals into clear outcomes and milestones.
* Lead product discovery: deeply understand customer problems through research, data analysis, and direct user engagement, then validate solutions through prototypes and experiments.
* Drive product delivery: write crisp requirements, align cross\-functional stakeholders, and partner with Engineering and Design to ship high\-quality releases on predictable cadences.
* Prioritize ruthlessly: balance customer value, revenue impact, operational needs, and technical investments (platform, reliability, performance, and debt).
* Define and track success metrics (adoption, retention, conversion, revenue, quality), and use insights to iterate post\-launch.
* Coordinate experiments (e.g., A/B tests) and ensure learnings are captured and shared.
* Manage dependencies across teams and communicate timelines, risks, and tradeoffs clearly to executives and partners.
* Champion product quality and usability, ensuring consistency across experiences and touchpoints.
**Experience**
* 6\+ years of product management experience building B2B SaaS or technology\-enabled products.
* Proven ability to lead cross\-functional product teams from discovery to delivery, with a strong bias toward action.
* Strong product judgment: you can make decisions with incomplete information and adjust quickly as you learn.
* Fluency with data: comfortable working with raw datasets and analytics tools to generate actionable insights.
* Excellent written and verbal communication. You can tell a persuasive story and influence without authority.
* Experience working with agile development teams and modern product delivery practices (backlog management, sprint planning, iterative releases).
* Comfort collaborating with distributed teams and managing cross\-time\-zone execution.
**KNOWLEDGE**
* Comfortable working with raw data sets to develop actionable insights
* Ability to tell a persuasive story and convey information in a digestible format
* Ability to see the big picture while maintaining close attention to detail
* Proactive, entrepreneurial mindset, with a record of success in a high\-growth context
* Excellent verbal and written communication skills
* Experience in a high\-growth startup (Series A\-C) where you owned outcomes end\-to\-end.
* Experience building AI\-enabled features or shipping products that incorporate machine learning responsibly.
* Experience partnering closely with Sales/Marketing on pricing, packaging, and go\-to\-market execution.
**DESIRED BEHAVIORS**
* Receptive to change – is flexible. Seeks and adopts improved approaches and processes.
* Initiates action – is results oriented. Takes responsibility for actions and outcomes. Meets commitments and strives for high performance.
* Manages the workload \- makes timely decisions, prioritizes effectively, solves problems, monitors results, and takes remedial action where necessary.
* Technically proficient – able to apply the technical knowledge and skills required in the job role and responsibilities in order to achieve the expected outputs.
* Takes responsibility for own learning \- knows personal strengths, recognizes development needs, and takes action to improve. Is open to feedback and always seeks to learn.
* Communicates ideas – respectfully exchanges information and proposes a way forward. Listen to views of colleagues and take in diverse perspectives.
* Works collaboratively – shares knowledge and information, fosters teamwork, and contributes to a positive work environment where people want to come to work.
* Display ethical character and competence \- acts with integrity and intent, is accountable for own actions, behaves according to the company values.
* Act as a good citizen of UpKeep.
**Compensation**
 This role will receive a competitive base salary \+ annual bonus \+ benefits \+ equity. A variety of factors are considered when determining someone’s compensation–including a candidate’s professional background, experience, and location. Final offer amounts may vary from the amounts listed below.
 The pay range for this role is $150,000 \- $165,000 USD per year.
**Company History \&amp; Product**
 UpKeep started in a garage, where our founder Ryan taught himself to code and built the first mobile\-first maintenance app. The idea was simple but powerful: put modern software in the hands of frontline technicians—and transform how maintenance gets done.
 Today, UpKeep is the leading cloud\-native
 **Asset Operations Management** 
 platform, serving over 4,000 businesses worldwide across manufacturing, utilities, healthcare, and beyond. Our Industrial IoT and AI\-first software helps maintenance and facilities teams streamline work, predict failures, and act faster—with real\-time insights and automation at their fingertips.
 We’re building for the
 **deskless workforce** 
 —the essential workers who keep our physical world running—and arming them with the tools they deserve. In a world re\-shoring manufacturing, accelerating automation, and embracing AI at scale, we’re riding the next macro wave—and leading the transformation of legacy maintenance into intelligent operations.
 Backed by $50 million from Insight Partners, Emergence Capital, Mucker, and Y Combinator, we're not just building software. We're defining a new category for the built world.
**Learn More!**
 www.upkeep.com
 www.upkeep.com/careers
 At UpKeep, we celebrate and support our differences. We know employing a team rich in diverse thoughts, experiences, and opinions allows our employees, our products, and our community to flourish. UpKeep is honored to be an equal opportunity workplace. We are dedicated to equal employment opportunities regardless of race, color, ancestry, religion, sex, national orientation, age, citizenship, marital status, disability, gender identity, sexual orientation or Veteran status.</t>
        </is>
      </c>
    </row>
    <row r="14">
      <c r="A14" t="inlineStr">
        <is>
          <t>li-4329634693</t>
        </is>
      </c>
      <c r="B14" t="inlineStr">
        <is>
          <t>Product Manager</t>
        </is>
      </c>
      <c r="C14" t="inlineStr">
        <is>
          <t>EllieMD</t>
        </is>
      </c>
      <c r="D14" t="inlineStr">
        <is>
          <t>linkedin</t>
        </is>
      </c>
      <c r="E14">
        <f>HYPERLINK("https://www.linkedin.com/jobs/view/4329634693", "https://www.linkedin.com/jobs/view/4329634693")</f>
        <v/>
      </c>
      <c r="F14" t="inlineStr"/>
      <c r="G14" t="inlineStr">
        <is>
          <t>Jersey City, NJ</t>
        </is>
      </c>
      <c r="H14" t="inlineStr"/>
      <c r="I14" t="inlineStr">
        <is>
          <t>**Palo Alto, CA – In\-Person** 
**Compensation: $170,000\-$190,000 (based on experience)** 
**About EllieMD** 
 EllieMD is on a mission to revolutionize healthcare by empowering individuals with pharmaceutical\-grade products and a network of dedicated brand partners. We believe healthcare should be accessible, transparent, and built on trust. Inspired by the wisdom, strength, and nurturing nature of elephants, our name reflects our commitment to care, integrity, and empowerment—ensuring that our customers, partners, and community feel supported, valued, and protected.
 As a member of our team, you’ll help bring this mission to life by upholding our values of accountability, collaboration, and excellence. We’re looking for individuals who take pride in delivering high\-quality experiences and who thrive in a fast\-moving, innovative environment.
**Position Overview** 
 EllieMD is seeking a Product Manager to build and ship products that drive the evolution of our healthcare platform. In this high\-impact, in\-person role, you will partner closely with cross\-functional leaders to translate strategic vision into tangible products that deliver measurable results. You'll be responsible for deeply understanding the needs of both our customers and Brand Partners, prioritizing initiatives, and collaborating with Design, Engineering, Data, and Operations teams to ship high\-quality products that solve real problems at scale.
 This is an individual contributor role with high visibility and broad organizational collaboration. You'll own products from concept through launch and beyond \- ensuring alignment across teams, driving toward clear success metrics, and continuously iterating based on user feedback and data. You'll thrive in ambiguity, move quickly, and bring both strategic thinking and hands\-on execution to ship products that make a real impact.
**What You’ll Do** 
* Partner directly with the leadership team to translate strategic vision into products that customers and Brand Partners love.
* Deeply understand and embody the voice of our Brand Partners and customers in everything you build.
* Define success metrics, prioritize product problems, and ship solutions that achieve measurable business goals.
* Own and drive one or more products from concept through launch and beyond, maintaining accountability for outcomes and continuous improvement.
* Work closely with Design, Engineering, Data, and Operations to learn quickly, iterate rapidly, and ship high\-quality products.
* Build and maintain product backlogs that balance quick wins with long\-term strategic initiatives, driving progress against milestones and resolving blockers while maintaining team health.
* Gather and analyze user research, product insights, and market analysis to inform what you build and how you prioritize.
* Create structured product documentation, including PRDs, user stories, and technical specifications, to guide implementation and ensure team alignment.
* Coordinate effectively across all functions to ship products that work seamlessly across the customer journey.
* Communicate clearly on what you're building, why it matters, progress updates, and key learnings.
* Identify gaps and interdependencies across systems and proactively ship solutions that enhance organizational efficiency.
* Facilitate brainstorming and strategy sessions, distilling complexity into products that solve real problems.
**Required Qualifications** 
* 5\+ years of experience in product management, with proven ability to build and scale products from early stages.
* Bachelor's degree required.
* Strong track record of balancing user experience and technical scalability in products you've built.
* Data\-driven approach: skilled at digging into data, defining clear goals, and driving teams to ship products that deliver measurable impact.
* Proven ability to translate strategic vision into products that customers use and love.
* Exceptional written and verbal communication skills, with ability to synthesize complex concepts for diverse audiences.
* Experience facilitating cross\-functional collaboration and influencing without direct authority.
* Ability to work in\-person in Palo Alto, CA.
**Preferred Qualifications** 
* Experience in startups, healthcare, health\-tech, or wellness industries.
* Experience with e\-commerce, subscription systems, or marketplace platforms.
* Familiarity with direct sales, MLM, or affiliate/partner network models.
* Experience working with regulated industries (HIPAA, FDA, healthcare compliance).
* Proficiency with product management and collaboration tools (Linear, Figma, Miro, etc.).
* Technical background or strong fluency in working with engineering teams.
 While these are not required, they reflect the technical direction of the company and are valuable as EllieMD scales.
**Who You Are** 
* A builder who thrives at the intersection of vision, systems, and execution—and ships products that prove it.
* Someone who can think strategically while remaining hands\-on in shipping and iterating on products.
* Deeply customer\-focused and obsessed with understanding user needs and building products that solve real pain points.
* Highly organized, self\-directed, and a resourceful problem\-solver who drives products from concept to launch.
* Strong communicator who creates clarity and alignment across diverse stakeholders to ship products efficiently.
* Comfortable working side\-by\-side with executive leadership and cross\-functional teams to build great products.
* Passionate about improving healthcare experiences and building technology products that support both customers and partners.
* Aligned with EllieMD's core values: Accountability, Collaboration, Excellence, Integrity, and Care.
**Compensation \&amp; Structure** 
* **Contract Role:** 
 Starting as a 1099 contractor.
* **Future Conversion:** 
 Planned transition to full\-time W2 in 2026\.
* **Compensation:** 
 $170,000\-$190,000 (commensurate with experience)
* **Benefits:** 
 Planned upon full\-time conversion.
 ﻿
**Equal Opportunity Statement** 
 EllieMD is an equal opportunity employer. We celebrate diversity and are committed to fostering an inclusive environment for all employees. We welcome applicants from all backgrounds, identities, and levels of experience.</t>
        </is>
      </c>
    </row>
    <row r="15">
      <c r="A15" t="inlineStr">
        <is>
          <t>li-4321057359</t>
        </is>
      </c>
      <c r="B15" t="inlineStr">
        <is>
          <t>Senior Product Manager</t>
        </is>
      </c>
      <c r="C15" t="inlineStr">
        <is>
          <t>Hitachi Energy</t>
        </is>
      </c>
      <c r="D15" t="inlineStr">
        <is>
          <t>linkedin</t>
        </is>
      </c>
      <c r="E15">
        <f>HYPERLINK("https://www.linkedin.com/jobs/view/4321057359", "https://www.linkedin.com/jobs/view/4321057359")</f>
        <v/>
      </c>
      <c r="F15" t="inlineStr"/>
      <c r="G15" t="inlineStr"/>
      <c r="H15" t="inlineStr"/>
      <c r="I15" t="inlineStr">
        <is>
          <t>Are you a strategic thinker with a passion for product innovation and market growth? Join
 **Hitachi Energy** 
 as our
 **Product Manager – Transformer Components** 
 and take the lead in shaping the future of our Insulation and Components portfolio across North America. In this role, you’ll drive product strategy, identify market opportunities, and collaborate with cross\-functional teams to develop and launch offerings that meet evolving customer needs. Your insights will guide the product lifecycle and ensure our solutions remain competitive and impactful.
**Responsible to ensure compliance with applicable external and internal regulations, procedures and guidelines.** 
**How You’ll Make an Impact** 
* Conduct market research to identify new product opportunities and improvements
* Develop product strategies aligned with business goals, including pricing and positioning
* Collaborate with sales, marketing, and engineering to launch new offerings
* Monitor product performance and use data to inform decisions
* Prepare and deliver technical presentations to customers and prospects
* Coordinate product lifecycle activities with global product management
* Represent the voice of the North American market in global product discussions
* Stay informed on industry trends, competitors, and emerging technologies
**Your Background** 
* Bachelor’s degree in Business, Marketing, Engineering, or related field
* Minimum 8 years of experience in product management, preferably in transformer services
* Strong understanding of transformer components and customer needs
* Excellent communication, negotiation, and presentation skills
* Proven ability to work effectively with cross\-functional teams
* Willingness to travel domestically and internationally up to 30%
**More About Us** 
* At Hitachi Energy, we’re committed to powering a sustainable future through innovation and collaboration
* We offer global career growth, continuous learning, and a culture that values integrity, safety, and inclusion
* Join a team where your expertise drives real\-world impact and product excellence</t>
        </is>
      </c>
    </row>
    <row r="16">
      <c r="A16" t="inlineStr">
        <is>
          <t>li-4365612588</t>
        </is>
      </c>
      <c r="B16" t="inlineStr">
        <is>
          <t>Product Owner - Remote</t>
        </is>
      </c>
      <c r="C16" t="inlineStr">
        <is>
          <t>Lensa</t>
        </is>
      </c>
      <c r="D16" t="inlineStr">
        <is>
          <t>linkedin</t>
        </is>
      </c>
      <c r="E16">
        <f>HYPERLINK("https://www.linkedin.com/jobs/view/4365612588", "https://www.linkedin.com/jobs/view/4365612588")</f>
        <v/>
      </c>
      <c r="F16">
        <f>HYPERLINK("https://lensa.com/cgw/46526a03d4b3499d9099f66e052ff5aetjo1?jpsi=directemployers&amp;publisher_preference=easier_apply&amp;utm_campaign=Computer%20Occupations&amp;utm_medium=slot&amp;utm_source=linkedin&amp;utm_term=jse&amp;urlHash=xxcP", "https://lensa.com/cgw/46526a03d4b3499d9099f66e052ff5aetjo1?jpsi=directemployers&amp;publisher_preference=easier_apply&amp;utm_campaign=Computer%20Occupations&amp;utm_medium=slot&amp;utm_source=linkedin&amp;utm_term=jse&amp;urlHash=xxcP")</f>
        <v/>
      </c>
      <c r="G16" t="inlineStr">
        <is>
          <t>Hartford, CT</t>
        </is>
      </c>
      <c r="H16" t="inlineStr"/>
      <c r="I1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Our Healthcare Insurance client is looking for a Product Owner for a remote work from home 1 year contract. We are looking for a Product Owner that has a strong background working with Web and Mobile Development Teams, identity \&amp; access management, Multi\-Factor Authentication for a external customer facing web and mobile. This team supports the non\-member (brokers, employers, providers, Medicaid, supplemental insurance, etc.) population of a large insurance companies flagship member portal.
 As a Product Owner you will work in a fast\-paced environment and will carry the responsibility to manage an important part of a digital services and data platform. This role focuses on identity and access management. These are largely API\-based services, so a technical background is highly desired.
 You will be guiding scrum teams with representation from architecture, engineering, product management and others. This role affords you the opportunity to expand your skills by working alongside talented and passionate teammates from diverse backgrounds. You will be contributing to building identity capabilities that are a critical part of our health care platform.
**Key Responsibilities**
* Understand customer needs to define product direction and articulate user stories and features
* Decompose high\-level requirements into user stories and tasks, manage and prioritize the product backlog, participate in scrums and meta\-scrums, and validate delivered solution designs
* Lead quarterly Product Increment planning for your scrum team(s)
* Understand, assess and critique the defined architecture and ensure that the scrum team delivery is aligned to that architecture
* Partner with engineering team to define, track and test user stories in an agile software development life cycle
* Provide product subject matter expertise and leadership
* Work with program management to track schedule against the roadmap and escalate risks and issues
**Background/Experience**
* 3\+ years of professional work experience with a least a couple years working with back\-end systems and APIs
* 1\+ year experience working with identity and access management products
* Technical aptitude and preferably experience managing or using API\-based products
* Demonstrated collaborative style, with ability to lead and influence diverse teams
* Demonstrated experience driving agile product development
* Passion for health and wellness
 Skills/Competencies
* Outstanding verbal and written communication skills
* Ability to thrive in a SAFe Agile development environment
* Experience using Rally to manage user requirements
 EDUCATION Bachelor's degree or equivalent experience.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3\+ years as a Product Owner
 Experience working with Web and Mobile Development Teams
 Experience working in Healthcare Insurance companies
 SAFe Agile
 Multi\-Factor Authentication
 Identity \&amp; Access Management
 experience working on an external member portal (web \&amp; mobile)
 If you have questions about this posting, please contact support@lensa.com</t>
        </is>
      </c>
    </row>
    <row r="17">
      <c r="A17" t="inlineStr">
        <is>
          <t>li-4365608399</t>
        </is>
      </c>
      <c r="B17" t="inlineStr">
        <is>
          <t>Product Manager</t>
        </is>
      </c>
      <c r="C17" t="inlineStr">
        <is>
          <t>SoloPoint Solutions</t>
        </is>
      </c>
      <c r="D17" t="inlineStr">
        <is>
          <t>linkedin</t>
        </is>
      </c>
      <c r="E17">
        <f>HYPERLINK("https://www.linkedin.com/jobs/view/4365608399", "https://www.linkedin.com/jobs/view/4365608399")</f>
        <v/>
      </c>
      <c r="F17" t="inlineStr"/>
      <c r="G17" t="inlineStr">
        <is>
          <t>Boston, MA</t>
        </is>
      </c>
      <c r="H17" t="inlineStr"/>
      <c r="I17" t="inlineStr">
        <is>
          <t>Technical Product Manager
 Qualifications:
* Bachelor of Science degree in a relevant technical discipline (e.g., Electrical Engineering, Mechanical Engineering, Materials Science).
* Advanced degree, particularly a Master of Business Administration (MBA), is preferred.
* Minimum 2\+ years in product development or application engineering for advanced high\-purity processing systems or specialized substrate preparation/handling solutions.
* Minimum 2 years of dedicated experience in Product Management for complex capital equipment.
* Ideal candidate possesses a deep understanding of advanced electronic device manufacturing (e.g., Compound Semiconductors, LED, or Data Storage), especially relating to material deposition environments and complex system integration.
* Proven history with equipment involving high\-vacuum automation, precision motion control, and contamination mitigation
* Demonstrated success guiding sophisticated technical products through the full commercialization cycle, converting market needs into detailed technical and software requirements.
* Experience developing market\-driven portfolio strategies, performing competitive analysis, and defining executable long\-term product roadmaps.
* Ability to travel up to 20% internationally and domestically to interface with key customers and global technology partners.
 Key Responsibilities:
* Drive the end\-to\-end NPI process for complex, high\-reliability equipment.
* Partner with internal engineering, sales, and operations teams to define market problems, validate system requirements, and articulate the unique value proposition.
* Systematically gather user feedback and synthesize Market Intelligence (MI) to shape future product generations.
* Define and manage the product portfolio roadmap, aligning it with corporate strategic goals, total addressable market (TAM) analysis, and customer long\-term plans.
* Work closely with engineering and support groups to oversee the full product lifecycle, including establishing maintenance/service strategies, managing feature enhancements, setting competitive pricing, and planning for product sunset/obsolescence (Legacy Planning).
* Develop compelling product positioning, messaging, and successful launch plans.
* Create customer\-facing technical and marketing materials that clearly convey product capabilities and benefits.
* Ensure the technical depth and competitive advantages of the product line are clearly and accurately conveyed in all communications and messaging.</t>
        </is>
      </c>
    </row>
    <row r="18">
      <c r="A18" t="inlineStr">
        <is>
          <t>li-4365620876</t>
        </is>
      </c>
      <c r="B18" t="inlineStr">
        <is>
          <t>Product Manager</t>
        </is>
      </c>
      <c r="C18" t="inlineStr">
        <is>
          <t>Respondology</t>
        </is>
      </c>
      <c r="D18" t="inlineStr">
        <is>
          <t>linkedin</t>
        </is>
      </c>
      <c r="E18">
        <f>HYPERLINK("https://www.linkedin.com/jobs/view/4365620876", "https://www.linkedin.com/jobs/view/4365620876")</f>
        <v/>
      </c>
      <c r="F18" t="inlineStr"/>
      <c r="G18" t="inlineStr">
        <is>
          <t>Boulder, CO</t>
        </is>
      </c>
      <c r="H18" t="inlineStr"/>
      <c r="I18" t="inlineStr">
        <is>
          <t>Respondology is building the leading social engagement platform helping the world’s most recognizable brands protect, understand, and engage with their social audiences at scale using AI. With over 500 brands on its platform reaching 2 billion people per month, Respondology is modernizing social marketing.
 We are seeking a Product Manager to own and evolve our products. This role is for someone who wants real product ownership, meaningful customer impact, and the opportunity to shape how organizations understand and act on social conversation data. You will play a central role in translating customer needs, business priorities, and product strategy into clear, high\-impact product improvements.
 We are looking for an innovative product thinker who is equal parts idea generator and builder. The Product Manager should be fluent in social media ecosystems, translating AI capabilities into real customer value, and turning insights into shipped products. You thrive in fast\-moving, collaborative environments, enjoy prototyping and validating ideas early, and take pride in owning products from concept through delivery.
 If you naturally ask “What if?”, balance long\-term vision with near\-term execution, and want to help shape both the product and product culture at Respondology, this role is built for you!
**The Ideal Candidate**
* Social\-native and deeply familiar with the world of social media marketing, including organic, paid, and creator ecosystems
* AI\-native with hands\-on experience building or evolving AI\-powered products, and a practical understanding of how to translate AI capabilities into real customer value
* A strong entrepreneurial spirit, ability to innovate and true passion for Respondology’s mission
* A track record of launching successful products and features
* A builder mentality with the ability to quickly translate ideas into wireframes, mockups, and prototypes to communicate and validate solutions
* Has a deep understanding of user needs and behavior, and can translate those into actionable product requirements
* Ability to prioritize and scope product requests balancing long term vision and short\-term pain points
* Highly motivated and resourceful, able to navigate complex issues independently
* Extremely strong communication and organizational skills, with the ability to keep complex initiatives clear, structured, and moving forward
**A Day In The Life**
* Translate customer needs, business priorities, and product strategy into clear, actionable product improvements
* Partner closely with Engineering, Design, Data, Product Marketing, Customer Success, and Leadership to define goals, success metrics, and delivery plans
* Engage directly with customers and internal teams to inform product decisions and validate direction
* Ideate and communicate product concepts through wireframes, workflows, and prototypes using Figma
* Own and maintain the product roadmap, aligning priorities and timelines with business goals
* Write clear product requirements and acceptance criteria to guide engineering execution
* Track project progress, manage dependencies, and ensure delivery using tools such as Notion
* Review in\-progress work and provide timely product feedback
* Communicate product direction, changes, decisions, and performance to internal stakeholders
* Contribute to building strong product practices, processes, and culture
**Here's What You Need To Get Our Attention**
* 3\-4 years of proven B2B SaaS product management experience with ownership of real product features or product areas
* A track record of shipping product improvements from concept through delivery
* Strong product judgment and the ability to prioritize effectively in ambiguous environments
* Experience translating customer, business, and technical inputs into clear product direction
* Excellent written and verbal communication skills
* Bachelor’s in Product Management, Business, UX/UI design, Engineering or related degree \- or equivalent work experience: If you have a four\-year degree, that's great; we care more about your past experience and ability to do the job, so please apply even if you don't have a degree
**Here's What Will Make Us Call You, For Sure**
* Experience launching a 0–1 product or major product capability through to commercial availability and customer adoption
* Previous experience in software designed for marketers in the social, moderation or analytics space.
* Proven ability to use modern AI tools to accelerate product development, including building and iterating on functional prototypes with AI\-assisted coding tools such as Claude Code, OpenAI Codex, or similar
**Compensation**
 $85\-$115k DOE plus equity
 Location:
 This is a hybrid position based in Boulder, CO, with team members in the office 2–3 days per week. If you do not live in our beautiful state of Colorado, we are open to 100% remote candidates in other states.
 And if we haven't convinced you yet, here is why you'll want to be part of our team:
* We have top\-notch product \&amp; engineering culture with team members who have your back!
* Our product is making the world a better place—you will make an impact.
* Everyone is an owner—equity is included for all employees.
* 100% remote or you may come into our beautiful offices if you’re near Boulder, CO—dogs welcome (our in\-house happy hours are always fun).
* Twice yearly off\-sites to enjoy time together as a team.
* Flex PTO plan, generous holidays and off\-week between Christmas and New Years.
* Multiple healthcare options, including plans with FSA and HSA
* Matching traditional and Roth 401k—immediately vested
* Family and paternity leave
* Life Insurance
 COME AS YOU ARE: your gender, your gods, your sex life, your skin color or your big shot uncle don't make a difference here. Respondology is a progressive and open\-minded meritocracy. If you're smart and good at what you do, come as you are.</t>
        </is>
      </c>
    </row>
    <row r="19">
      <c r="A19" t="inlineStr">
        <is>
          <t>li-4365608961</t>
        </is>
      </c>
      <c r="B19" t="inlineStr">
        <is>
          <t>Product Manager, Digital Forecasting Systems</t>
        </is>
      </c>
      <c r="C19" t="inlineStr">
        <is>
          <t>AccuWeather</t>
        </is>
      </c>
      <c r="D19" t="inlineStr">
        <is>
          <t>linkedin</t>
        </is>
      </c>
      <c r="E19">
        <f>HYPERLINK("https://www.linkedin.com/jobs/view/4365608961", "https://www.linkedin.com/jobs/view/4365608961")</f>
        <v/>
      </c>
      <c r="F19" t="inlineStr"/>
      <c r="G19" t="inlineStr">
        <is>
          <t>State College, PA</t>
        </is>
      </c>
      <c r="H19" t="inlineStr"/>
      <c r="I19" t="inlineStr">
        <is>
          <t>The Product Manager, Digital Forecasting Systems owns the strategy, development, and ongoing improvement of AccuWeather’s digital forecasting platforms, with primary responsibility for the Unified Forecast Database (UFDB) and related forecast products. This role ensures forecasts are accurate, actionable, consistent, and aligned with AccuWeather philosophy across all digital outputs.
 This role leads prioritization and delivery of system enhancements that improve forecast accuracy, operational efficiency, automation, and product innovation. It serves as a central point of coordination between forecasting leadership, engineering, design, and external partners to identify quality issues, define requirements, and deliver solutions from concept through launch and post\-launch evaluation.
 The role also establishes and enforces standards for forecast communication, supports training and process improvement, and ensures forecasting systems and products effectively represent AccuWeather’s mission, brand, and commitment to Superior Accuracy™.
**Key Responsibilities** 
* Lead work on our Digital Forecasting Database, UFDB, to ensure forecasts are conveying accurate and actionable forecasts that follow AccuWeather philosophy.
* Continually prioritize and ensure on\-time delivery of an ongoing set of enhancements to the UFDB system bringing benefits of improved accuracy, greater forecast preparation efficiency, process automation and new features.
* Identify concerns and enhancements to our forecast systems and displays (UFDB, MinuteCast, WinterCast, etc) and work with the appropriate teams to being them to fruition.
+ As a key component of this responsibility, develop and continually monitor process to identify operational weather data related quality concerns within AccuWeather products such that the root cause of such issues are quickly understood and corrected.
* Ensure the AccuWeather Philosophy is kept up to date through a continuous review process and that training is held for pertinent parts of the organization so all of our communications are properly in line with our standards.
* Oversee creation and maintenance of products and forecasting systems for the Forecasting Operational team.
* Work with Forecasting leadership to ensure department runs effectively in producing forecasts and communications that positively represent the company, its mission and standards.
* Establish, refine and execute a process for new products and changes to ensure philosophy is followed and best practices in weather displays and weather communications are utilized. Engage early in the development process and provide feedback toward these goals.
* Work with third parties, strategic partners, and cross functional internal teams to further AccuWeather’s reach and feature set.
* Manage the development sprints; prioritize product enhancements, while simultaneously crushing technical debt.
* Lead a scrum team comprising of engineers and product designers to execute against your plans quickly.
* Produce and review product requirement documents to the highest of standards.
* Own the end\-to\-end success of projects from requirements definition through design, development, launch, and post\-launch analysis.
* Work with subject matter experts for your products, capabilities and services.
* Develop a strategy and make creative recommendations to expand our product vision across the portfolio.
* Performs other duties as assigned.
**Qualifications**
* Bachelor’s degree with 4\-6 years' experience in product management
* As this is a function works closely with our Forecasting systems and the meteorological teams; a B.S. in Meteorology or Atmospheric Sciences is preferred.
* Experience working with web and app platforms and frameworks
* Demonstrated superior knowledge of digitally distributed products and technology
* Experience writing detailed requirements for products, such as wire frames, criteria, and business cases
* Ability to interact and communicate with product, design, and development teams of all levels, backgrounds and distributed staffing models
* Demonstrated ability to be meticulous detailed with high\-quality attention to detail and focus on a broad, strategic orientation
* Comfortable prioritizing pipelines of work based on a strategic evaluation of goals and implications
* Proven leadership experience, including showing that you can effectively communicate to your team and to upper management
* Exceptional communication skills
* Driving collective decisions, while being comfortable making independent decisions and thinking through all product ramifications
* Highly creative and curious with ability to work within practical boundaries
* Flexibility and adaptability to rapidly changing environment
**About Accuweather**
*AccuWeather, recognized and documented as the most accurate and most used source of weather forecasts and warnings in the world, has saved over 12,000 lives, prevented injury to over 100,000 people, and saved companies tens of billions of dollars through better planning and decision\-making.*
*Billions of people around the world rely on AccuWeather’s proven Superior Accuracy™ across our consumer digital platforms. AccuWeather.com is the \#1 weather destination and one of the top 100 most\-visited websites in the world, and our award\-winning AccuWeather app delivers detailed real\-time forecasts to millions of smartphones.*
*AccuWeather forecasts also appear on digital signage, in 700 newspapers, are heard on over 400 radio stations, and viewed on 100 television stations. The AccuWeather Network and AccuWeather NOW® reach an audience of over 125 million on cable and streaming platforms including DirecTV, Charter Communications \- Spectrum, Verizon, Philo, Frndly TV, Comcast’s Xfinity X1 and Xfinity Stream, Roku, Xumo, Rockbot, LG, and Amazon Freevee.*
*AccuWeather For Business serves more than half of the Fortune 500 companies and thousands of other businesses and government agencies globally.*
*Dr. Joel Myers, Founder and Executive Chairman, established AccuWeather in 1962 and is considered the “father of modern commercial meteorology.” Myers, a leading creative thinker and visionary, has been called “the most accurate man in weather” by The New York Times and has been recognized as one of the top entrepreneurs in American history by Entrepreneur’s Encyclopedia of Entrepreneurs.*
**COMMITMENT TO DIVERSITY \&amp; INCLUSION**
 AccuWeather is proud to be an Equal Opportunity/Affirmative Action Employer.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AccuWeather is committed to working with and providing reasonable accommodations to individuals with disabilities. If you need a reasonable accommodation because of a disability for any part of the employment process, please send an e\-mail to human.resources@accuweather.com and let us know the nature of your request and your contact information.</t>
        </is>
      </c>
    </row>
    <row r="20">
      <c r="A20" t="inlineStr">
        <is>
          <t>li-4365610692</t>
        </is>
      </c>
      <c r="B20" t="inlineStr">
        <is>
          <t>Product Manager</t>
        </is>
      </c>
      <c r="C20" t="inlineStr">
        <is>
          <t>Lensa</t>
        </is>
      </c>
      <c r="D20" t="inlineStr">
        <is>
          <t>linkedin</t>
        </is>
      </c>
      <c r="E20">
        <f>HYPERLINK("https://www.linkedin.com/jobs/view/4365610692", "https://www.linkedin.com/jobs/view/4365610692")</f>
        <v/>
      </c>
      <c r="F20" t="inlineStr"/>
      <c r="G20" t="inlineStr">
        <is>
          <t>Plano, TX</t>
        </is>
      </c>
      <c r="H20" t="inlineStr"/>
      <c r="I2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Autodesk. Clicking "Apply Now" or "Read more" on Lensa redirects you to the job board/employer site. Any information collected there is subject to their terms and privacy notice.
**Job Requisition ID \#**
 26WD94762
**Job Title:** 
 Senior Product Manager, Generative AI
**Position Overview**
 Want to make an impact and shape the future of design and construction? Autodesk is leading the transformation of the AEC industry, integrating AI technology into our products. We're enhancing our applications with cloud\-native capabilities, including data at scale, edge computing, AI\-based solutions, and advanced 3D modeling and graphics. This innovation is happening across our flagship products—AutoCAD, Revit, and Construction Cloud—and Forma, our new Industry Cloud.
 As a Senior Product Manager for the AEC Solutions group, you will lead the exploration and development of cutting\-edge Generative AI capabilities for the AEC industry cloud, Forma. You will work with AI Researchers, Machine Learning Engineers, Software Developers, and User Experience Researchers. You will define system requirements, set milestones, and lead the exploration of how to apply the latest foundation models and other AI\-driven technologies to the AEC domain.
**Report:** 
 You will report to the Senior AI/ML Development Manager in the Architecture, Engineering, and Construction (AEC) Solutions Team. You may manage a team of contractors in this role.
**Location:** 
 We support hybrid work, and you work near our Boston, Massachusetts or Toronto, Canada offices.
**Responsibilities**
* Apply your understanding of AEC workflows and AEC data models to develop a comprehensive strategy for the exploration and development of AI foundation models for AEC.
* Collaborate with customers, partners, and internal Experience and Strategy teams to understand pain points and requirements. Translate these insights into target use cases and workflows that address customer needs and prioritize the team's work.
* Communicate system updates and strategy to partners, including executives and other company leaders.
* Work with a diverse Research and Engineering team to explore AI algorithms, models, and technologies that can empower workflows in the AEC industry cloud, Forma.
* Track project progress and technical specifications ensuring they continue to be accurate, up\-to\-date, and easily accessible to teams across the company.
* Help the AI researchers and ML engineers prioritize their backlog
**Minimum Qualifications**
* 5\+ years of experience in software product management roles, with at least 2 years of experience managing commercially available solutions.
* Bachelor’s degree in Architecture or a related field (i.e., Engineering, or Construction).
* Deep understanding of Generative AI and Machine Learning concepts and practices.
* Experience managing teams with a collaborative and empowering approach.
* Experience engaging with customers, executives, and cross\-organizational teams.
**Other Qualifications**
* Familiarity with SVPG or other high\-quality product management training programs.
* Deep experience in AI technology and practices, with a focus on how to apply AI in commercialized professional products.
* Previous professional work in Architecture or related fields, with an understanding of the AEC industry workflows and customer problems.
* Have a business degree.
**Ideal Candidate**
* You have prior experience leading a product through initial research to a commercially available offering.
* You understand AEC customer problems because of previous experience in the AEC industry.
* You know how to guide teams to achieve their goals.
* You are curious and passionate about solving complex problems in new domains.
* You are adaptable, customer\-focused, and seek new ways to solve hard problems.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$134,000 and $216,700\.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
 If you have questions about this posting, please contact support@lensa.com</t>
        </is>
      </c>
    </row>
    <row r="21">
      <c r="A21" t="inlineStr">
        <is>
          <t>li-4365604668</t>
        </is>
      </c>
      <c r="B21" t="inlineStr">
        <is>
          <t>Product Manager, HealthTech</t>
        </is>
      </c>
      <c r="C21" t="inlineStr">
        <is>
          <t>Star</t>
        </is>
      </c>
      <c r="D21" t="inlineStr">
        <is>
          <t>linkedin</t>
        </is>
      </c>
      <c r="E21">
        <f>HYPERLINK("https://www.linkedin.com/jobs/view/4365604668", "https://www.linkedin.com/jobs/view/4365604668")</f>
        <v/>
      </c>
      <c r="F21" t="inlineStr"/>
      <c r="G21" t="inlineStr"/>
      <c r="H21" t="inlineStr"/>
      <c r="I21" t="inlineStr">
        <is>
          <t>**We are looking for you!**
 We are looking for an exceptionally self\-motivated problem solver with a positive attitude and the ability to work well in a team.
 As our Principal Product Manager, you will be a part of the community that builds innovative solutions for real users and businesses and work with the latest technologies and frameworks. We've been working with a number of companies over the years, from startups to huge corporations and everything in between.
**Skills and experience you can bring to this role!**
**Product Champion** 
 . You are passionate about building products that customers love. New Healthtech challenges do not slow you down; rather, you dive into them with a healthy “challenge accepted” attitude.
**Facilitator.** 
 You easily capture business and product requirements for complex products where user experience, business processes, hardware constraints, and software integrations unite. Your exceptional soft skills, complemented by advanced communication techniques and advanced English, eliminate all barriers with international stakeholders and SMEs.
**Consultant.** 
 The ability to explain domain complexity, challenges, and opportunities to stakeholders with different backgrounds is crucial. You are sharp\-eyed for logical gaps and unpolished design but know how to develop optimal solutions relevant to business situations.
**Entrepreneur.** 
 You are commercially minded and have a strong sense of use cases that lead to commercial success. That allows you to find a “golden middle” between long\-term vision and immediate business value, which is so important for evolving products and transforming businesses.
*Qualifications and experience:*
* 5\+ years of hands\-on professional experience in consultancy or product management delivering healthcare software solutions, preferably regulated SaMD and interoperable healthcare products on US, UK, or EU markets;
* Solid understanding of the Healthcare domain: latest trends, technologies, priority clinical areas, and challenges;
* Hands\-on experience in performing clinical and patient workflow analysis. Working with healthcare institutions and medical personnel;
* General knowledge of healthcare, data privacy, and security regulations (e.g., HIPAA, GDPR, ISO27k) and the ability to find gaps and ensure product compliance.
*Nice\-to\-have:*
* Experience with interoperability standards (HL7 v2\.x, FHIR, work with FHIR profiles, SMART on FHIR, CDA, DICOM) and medical data codification systems (SNOMED, LOINC);
* Experience with electronic health records (EHR, see Epic, Cerner, Meditech, Allscripts) systems and Healthcare Integration Engines (see Iguana, Mirth, Epic, Cerner, Allscripts).
**What Impact You’ll Make**
* Pre\-Sales and Discovery
+ Active involvement in pre\-sales, discovery, and customer development activities
+ Working with pre\-sales teams on solution definition, preparing solution proposals, and WBS
+ Delivering and pitching solution proposals to client stakeholders
* Product Development:
+ Collaboration with the key stakeholders to understand their needs and ensure complete alignment on product vision, goals, priorities, and quality expectations of all involved parties
+ Ownership of the product development roadmap
+ Backlog management (incl. clarification, prioritization, and estimation)
+ Work closely with designers and engineers on the best UX
+ Definition of business success metrics and KPIs for new features
+ Facilitate product research needed for high\-quality decisions
* Expertise Leadership:
+ Gain deep domain expertise and product\-specific knowledge and ensure effective information sharing within the project team
+ Proactive contribution to the domain expertise on the corporate level (Industrial Expertise Teams, Product Community, PMO)
+ Be a product ambassador at professional meetups, business development activities (incl. presales), and corporate events.
**What You’ll Get**
 Regardless of your position or role, we have in place a wide array of benefits, including flexible working (hybrid/remote models) and generous time\-off policies (unlimited vacations, sick and parental leaves) to make it easier for all people to thrive and succeed at Star. On top of that, we offer an extensive reward and compensation package, intellectually and creatively stimulating space, health insurance and unique travel opportunities.
 Your holistic well\-being is central at Star. You'll join a warm and vibrant multinational environment filled with impactful projects, career development opportunities, mentorship and training programs, fun sports activities, workshops, networking and outdoor meet\-ups.</t>
        </is>
      </c>
    </row>
    <row r="22">
      <c r="A22" t="inlineStr">
        <is>
          <t>li-4365625985</t>
        </is>
      </c>
      <c r="B22" t="inlineStr">
        <is>
          <t>Casino Product Manager</t>
        </is>
      </c>
      <c r="C22" t="inlineStr">
        <is>
          <t>Bellota Labs</t>
        </is>
      </c>
      <c r="D22" t="inlineStr">
        <is>
          <t>linkedin</t>
        </is>
      </c>
      <c r="E22">
        <f>HYPERLINK("https://www.linkedin.com/jobs/view/4365625985", "https://www.linkedin.com/jobs/view/4365625985")</f>
        <v/>
      </c>
      <c r="F22" t="inlineStr"/>
      <c r="G22" t="inlineStr">
        <is>
          <t>Redwood City, CA</t>
        </is>
      </c>
      <c r="H22" t="inlineStr"/>
      <c r="I22" t="inlineStr">
        <is>
          <t>Bellota Labs is the team behind
 **ClubWPT Gold** 
 , the flagship subscription poker and casino platform of the World Poker Tour. We’re building the next generation of digital gaming experiences, blending world\-class poker with exciting casino offerings.
 We’re looking for a
 **Casino Manager** 
 who can take full ownership of the online casino product — from shaping strategy to driving day\-to\-day operations. If you thrive at the intersection of product, operations, and customer experience, this role is for you.
**What You’ll Do** 
* **End\-to\-End Casino Product Ownership**
* Manage the full lifecycle of the casino offering across the United States and Canada
* Identify and integrate the right content aggregators and suppliers for each market
* Ensure compliance with jurisdictional requirements
* **Casino Operations \&amp; Promotions**
* Build and execute promotions, CRM campaigns, and player bonusing strategies
* Monitor performance metrics and optimize campaigns to drive engagement and retention
* Partner with marketing to align casino offerings with brand strategy
* **Product Experience (UI/UX)**
* Own the casino lobby, game presentation, and user flows
* Provide feedback and direction to design and engineering teams to continuously improve player experience
* Stay on top of market trends and competitor offerings to maintain a best\-in\-class product
* **Performance \&amp; Insights**
* Track KPIs across acquisition, retention, revenue, and game performance
* Generate actionable insights and report to leadership on business health and opportunities
* Conduct regular market and player analysis to inform strategy
* **Cross\-Functional Leadership**
* Collaborate with product, engineering, design, compliance, and marketing teams
* Serve as the subject matter expert on online casino within the organization
* Build strong relationships with external vendors and partners
**What We’re Looking For** 
* 4\+ years of experience in online casino management, operations, or product roles
* Strong understanding of casino content providers, aggregators, and platform integrations
* Proven track record of running promotions, CRM, and bonusing programs
* Analytical mindset with the ability to interpret data and make informed decisions
* Excellent communication skills and ability to work cross\-functionally
* Passion for gaming and creating exceptional player experiences
**Bonus Points** 
* Experience working in regulated gaming markets
* Familiarity with poker and cross\-sell strategies between casino and poker
* Previous work in subscription or membership\-based gaming models
**Why Join Bellota Labs?** 
* Be part of a team shaping the future of online poker and casino gaming
* Work with a global team of passionate gaming professionals
* Opportunity to take true ownership of a product with massive reach
 If you are excited to be part of a fast\-growing team that is redefining the online gaming experience, we would love to hear from you. Join us at Bellota Labs and help shape the future of gaming innovation!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
      <c r="A23" t="inlineStr">
        <is>
          <t>li-4321343298</t>
        </is>
      </c>
      <c r="B23" t="inlineStr">
        <is>
          <t>Senior Product Manager</t>
        </is>
      </c>
      <c r="C23" t="inlineStr">
        <is>
          <t>Press Ganey</t>
        </is>
      </c>
      <c r="D23" t="inlineStr">
        <is>
          <t>linkedin</t>
        </is>
      </c>
      <c r="E23">
        <f>HYPERLINK("https://www.linkedin.com/jobs/view/4321343298", "https://www.linkedin.com/jobs/view/4321343298")</f>
        <v/>
      </c>
      <c r="F23" t="inlineStr"/>
      <c r="G23" t="inlineStr"/>
      <c r="H23" t="inlineStr"/>
      <c r="I23" t="inlineStr">
        <is>
          <t>**Company Description**
 PG Forsta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As a Senior Product Manager, you’ll be working directly with the Member Experience team, with a particular focus on developing and growing products/solutions that are primarily focused on the health insurance market. You will be part of a dynamic and collaborative environment where you will work with cross\-functional teams to design, build, and bring to market our products.
 We are seeking a candidate who is passionate about understanding our users and customers, and who loves creating amazing user experiences.
 This role will focus specifically on designing and building products for the payvider market. A
 **payvider** 
 is an integrated healthcare organization that both delivers medical care and operates a health insurance plan, aligning provider services and payer functions under a single system to improve cost, quality, and care coordination.
**Duties \&amp; Responsibilities**
* Gain a deep understanding of the market, competitive landscape, and client experiences.
* Develop, document, and maintain product strategy by analyzing product performance, identifying and filling product gaps, and generating new ideas that grow market share, improve client experience, and drive growth.
* Generate product consensus with key stakeholders through product demos and presentations, and act as a product evangelist to build awareness and understanding. Be the central point of communication around your product.
* Translate product strategy into the product roadmap containing new product development, as well as product enhancements \&amp; refinements. Design, scope, and prioritize requirements based on business and client impact, and create product specifications for engineering.
* Provide some cross\-functional project management oversight for product development initiatives, including pilot projects, product enhancements, and new product development.
* Drive product launches by working closely with operational, marketing, educational services, talent development, and other key stakeholders.
* Work closely with …
+ Executives and leadership to gain a stronger understanding of the business needs and priorities.
+ Clients to solicit feedback on products and services, and to better understand their problems and pain points.
+ The design team to make sure that user experience is integrated from day one for accessible products which are attractive, intuitive, and efficient.
+ The Engineering team to ensure the product is brought to market according to business requirements and client expectations.
+ The marketing and sales teams to develop positioning and promotional plans that are aligned with product strategy.
+ The client services teams to respond to requests and questions, plus assisting in ROI reporting to the clients.
* May require occasional travel a few times a year.
**Qualifications**
* Bachelor’s degree in a related field is required, MBA/MHA preferred
* 5\+ years of SaaS product management experience, preferably within healthcare
* Experience working with payers and/or understanding landscape of the US Healthcare Insurance marketplace strongly preferred
* Survey/ Market Research or Voice of Customer experience preferred but not required.
* Self\-starter with a bias toward action and a proven track record of results, who can think strategically, prioritize ruthlessly, and execute methodically.
* Experience working in agile product development methodology
* Have a passion for user experience, getting to the root of user problems, and solving them creatively while still balancing the needs of the business
* Experience soliciting user and industry feedback: interviewing customers and non\-customers, leading focus groups for product design/development
* Understanding of key technologies and ability to converse at a technical level; can understand work effort and trade\-offs with technical solutions
* Think and build products with a platform mindset, specifically how features fit into the overall platform, how they scale, etc.
* Experience with customer/client management, and managing the tension between customers’ wants and needs as part of the broader product/portfolio strategy
* Proven ability to develop product and marketing strategies, including managing all aspects of a successful product through its lifecycle
* Excellent strategic thinking, analytical and critical thinking skills
* Superior project management, time management, and organizational skills, and the ability to quickly adapt to multiple priorities
* Outstanding written and verbal communication skills
**Don’t meet every single requirement?** 
 Studies have shown that women and people of color are less likely to apply to jobs unless they meet every single qualification. At PG Forsta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The expected salary for this position ranges from $140,000 to $155,000\.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24">
      <c r="A24" t="inlineStr">
        <is>
          <t>li-4365621577</t>
        </is>
      </c>
      <c r="B24" t="inlineStr">
        <is>
          <t>Product Manager</t>
        </is>
      </c>
      <c r="C24" t="inlineStr">
        <is>
          <t>Semtech</t>
        </is>
      </c>
      <c r="D24" t="inlineStr">
        <is>
          <t>linkedin</t>
        </is>
      </c>
      <c r="E24">
        <f>HYPERLINK("https://www.linkedin.com/jobs/view/4365621577", "https://www.linkedin.com/jobs/view/4365621577")</f>
        <v/>
      </c>
      <c r="F24" t="inlineStr"/>
      <c r="G24" t="inlineStr">
        <is>
          <t>San Diego, CA</t>
        </is>
      </c>
      <c r="H24" t="inlineStr"/>
      <c r="I24" t="inlineStr">
        <is>
          <t>**Location:** 
 Richmond, BC, Canada or San Diego, California
**Our Team**
 We are looking for an enthusiastic and collaborative individual to join the Networking Solutions product management team. This team is responsible for our AirLink networking solutions, including advanced network management and cloud services. We are focused on providing mission\-critical connectivity solutions in mobility and industrial market verticals. We are building solutions that enable our customers in the transformation to a smarter and more sustainable planet.
**Job Summary**
 The Product Manager for Networking Solutions will drive the product strategy, roadmap, and execution for Semtech's AirLink networking portfolio, including edge routers, gateways, and associated software solutions. This role requires a strategic thinker with deep technical expertise in cellular networking, IoT connectivity, and edge computing who can translate market needs into compelling product offerings that drive revenue growth and market leadership.
**Responsibilities**
**Product Strategy \&amp; Vision**
* Define and communicate the product vision and strategy for the networking solutions portfolio
* Conduct market analysis, competitive intelligence, and customer research
* Develop and maintain a 3\-year product roadmap
* Drive product positioning and differentiation strategies
**Product Planning \&amp; Execution**
* Translate customer requirements into detailed product specifications
* Collaborate with engineering teams on features and release schedules
* Prioritize features and manage product backlog
* Monitor development progress and ensure on\-time delivery
* Define and track key product metrics and KPIs
**Go\-to\-Market \&amp; Business Development**
* Partner with marketing on product messaging and launch strategies
* Support sales teams with training and competitive positioning
* Engage with key customers and partners for feedback
* Contribute to pricing strategies and business cases
* Represent products at industry events and conferences
**Cross\-functional Leadership**
* Lead cross\-functional teams across engineering, sales, and marketing
* Drive stakeholder alignment on product priorities
* Facilitate communication between technical and business teams
**Minimum Qualifications**
* 3\+ years product management experience in networking/IoT/telecommunications
* Bachelor’s degree in Business Management, Marketing, Science, or Engineering
* Knowledge of wireless networking technologies and ecosystem (customers, carriers, partners)
* Demonstrated ability to influence outcomes in a cross\-functional, multi\-disciplined team
* Excellent presentation, written and verbal communication skills
* Self\-motivated and able to work independently to develop key concepts and execute them
* Required travel will be up to 15%
**Desired Qualifications**
* Experience in public safety, utilities, or transportation markets
* Proven track record launching B2B technology products
* Familiarity with edge AI/ML applications
* Previous experience at networking/IoT companies
* A business degree such as an MBA is desired but not necessary
*The intent of this job description is to describe the major duties and responsibilities performed by incumbents of this job. Incumbents may be required to perform job\-related tasks other than those specifically included in this description.*
*All duties and responsibilities are essential job functions and requirements and are subject to possible modification to reasonably accommodate individuals with disabilities.*
*We are proud to be an EEO employer M/F/D/V. We maintain a drug\-free workplace.*
 A reasonable estimate of the pay range for this position is CAD $95,000 \- $111,000 or USD $68,000 \- $80,000\. There are several factors taken into consideration in determining base salary, including but not limited to: job\-related qualifications, skills, education and experience, as well as job location and the value of other elements of an employee’s total compensation package.</t>
        </is>
      </c>
    </row>
    <row r="25">
      <c r="A25" t="inlineStr">
        <is>
          <t>li-4365618542</t>
        </is>
      </c>
      <c r="B25" t="inlineStr">
        <is>
          <t>Senior Vice President, Product Manager</t>
        </is>
      </c>
      <c r="C25" t="inlineStr">
        <is>
          <t>Lensa</t>
        </is>
      </c>
      <c r="D25" t="inlineStr">
        <is>
          <t>linkedin</t>
        </is>
      </c>
      <c r="E25">
        <f>HYPERLINK("https://www.linkedin.com/jobs/view/4365618542", "https://www.linkedin.com/jobs/view/4365618542")</f>
        <v/>
      </c>
      <c r="F25">
        <f>HYPERLINK("https://lensa.com/cgw/2f4a14dd55aa4c1895aad9d33db675ddtjo1?jpsi=directemployers&amp;publisher_preference=easier_apply&amp;utm_campaign=Other%20Management%20Occupations&amp;utm_medium=slot&amp;utm_source=linkedin&amp;utm_term=jse&amp;urlHash=QBZN", "https://lensa.com/cgw/2f4a14dd55aa4c1895aad9d33db675ddtjo1?jpsi=directemployers&amp;publisher_preference=easier_apply&amp;utm_campaign=Other%20Management%20Occupations&amp;utm_medium=slot&amp;utm_source=linkedin&amp;utm_term=jse&amp;urlHash=QBZN")</f>
        <v/>
      </c>
      <c r="G25" t="inlineStr">
        <is>
          <t>Carrollton, TX</t>
        </is>
      </c>
      <c r="H25" t="inlineStr"/>
      <c r="I2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PennyMac. Clicking "Apply Now" or "Read more" on Lensa redirects you to the job board/employer site. Any information collected there is subject to their terms and privacy notice.
 PENNYMAC
 Pennymac is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SVP, Product Manager is adept at translating complex business needs into detailed technical requirements, understanding system architecture, data flows, and integration points, and acting as the critical bridge between business stakeholders and engineering teams. This role is responsible for defining what we build and why, ensuring our technical products are robust, scalable, secure, and effectively enable our business objectives and customer experiences. The SVP, Product Manager will guide, mentor, and empower your team of Product Owners to achieve their product goals.
**The SVP, Product Manager Will**
* Lead, manage, coach, and mentor a team of Product Owners. Foster their professional growth, set clear performance expectations, and cultivate a collaborative, high\-performing product culture within your group
* Define, articulate, and champion a clear, overarching vision and strategy for your collective technical product domain, ensuring alignment with company goals. Guide your Product Owners in developing individual product strategies and roadmaps that contribute to this larger vision
* Oversee the development and aggregation of roadmaps across your teams. Drive strategic prioritization at a group level, managing dependencies and making complex trade\-off decisions that impact multiple product areas
* Provide expert technical guidance to your POs and act as an escalation point for complex technical product decisions. Ensure deep understanding of underlying systems, data, and architecture informs requirements
* Represent your teams' work and strategy, translating complex technical concepts effectively. Ensure seamless collaboration between your POs, their engineering teams, and other dependent groups
* Oversee the end\-to\-end product lifecycle across your teams' products, ensuring best practices are followed from ideation through launch and iteration, with a focus on technical execution, quality, and consistency
* Engage with and influence senior leadership and key stakeholders across the organization. Effectively communicate the collective vision, progress, risks, and strategic direction of your product portfolio
 What You’ll Bring
* Bachelor's degree in Computer Science, Engineering, Information Systems, Business Administration, or a related field
* 10\+ years of progressive experience in product management, business systems analysis, or technical program management, with significant focus on highly technical products (e.g., platforms, APIs, infrastructure, complex backend systems)
* Proven experience (e.g., 3\-5\+ years) directly managing, coaching, and developing a team of Product Managers or Product Owners
* Demonstrable ability to not only perform but also lead and standardize the elicitation, analysis, specification, and validation of complex technical requirements across multiple teams
* Solid understanding of SDLC, Agile methodologies, system architecture, databases, API design, cloud technologies, and integration patterns. Ability to guide technical discussions and decisions
* Excellent analytical, strategic thinking, and problem\-solving skills
* Exceptional communication, presentation, and interpersonal skills, capable of influencing at all levels, including senior executives
* Proven ability to lead, inspire, and manage teams of product professionals in a complex, fast\-paced environment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 We value the hard work and dedication of our employees. In addition to a competitive salary, positions may offer bonus opportunities.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$140,000 \- $175,000
 Work Model
 OFFICE
 If you have questions about this posting, please contact support@lensa.com</t>
        </is>
      </c>
    </row>
    <row r="26">
      <c r="A26" t="inlineStr">
        <is>
          <t>li-4321363229</t>
        </is>
      </c>
      <c r="B26" t="inlineStr">
        <is>
          <t>Associate Product Manager</t>
        </is>
      </c>
      <c r="C26" t="inlineStr">
        <is>
          <t>Fuel Cycle</t>
        </is>
      </c>
      <c r="D26" t="inlineStr">
        <is>
          <t>linkedin</t>
        </is>
      </c>
      <c r="E26">
        <f>HYPERLINK("https://www.linkedin.com/jobs/view/4321363229", "https://www.linkedin.com/jobs/view/4321363229")</f>
        <v/>
      </c>
      <c r="F26">
        <f>HYPERLINK("https://fuelcycle.com/careers/?ashby_jid=2a6fd5ac-9276-461d-a22d-584049a6b7c6&amp;urlHash=7QV5", "https://fuelcycle.com/careers/?ashby_jid=2a6fd5ac-9276-461d-a22d-584049a6b7c6&amp;urlHash=7QV5")</f>
        <v/>
      </c>
      <c r="G26" t="inlineStr">
        <is>
          <t>Los Angeles, CA</t>
        </is>
      </c>
      <c r="H26" t="inlineStr"/>
      <c r="I26" t="inlineStr">
        <is>
          <t>**About Fuel Cycle** 
 :
 Fuel Cycle empowers leading organizations with agile research solutions that deliver decision\-ready insights — fast, flexible, and fully integrated. As a market research disruptor, our AI\-powered Insights Platform is built for speed, precision, and scale. With cutting\-edge tools and seamless audience connectivity, we help brands ditch the guesswork and make smarter, customer\-led decisions at lightning speed.
**Why work at Fuel Cycle?** 
 Join a high\-growth team where curiosity is valued, ownership is encouraged, and your work drives real\-world impact. Whether you’re based at our Los Angeles HQ, New York City hub, working remotely across the U.S., or part of our global team in India, you’ll help shape the future of decision intelligence for some of the world’s most iconic brands.
**Overview:** 
 The Associate Product Manager is a key role within a software development team responsible for helping to drive the development and success of a product or a set of products. As an Associate Product Manager, you will collaborate closely with stakeholders, customers, and the development team to define and prioritize product features, create, and maintain the product backlog, and ensure the timely delivery of high\-quality software products. You will serve as the development team’s primary point of contact for day\-to\-day product\-related matters and play a crucial role in ensuring the product meets the needs of the users and aligns with the business objectives.
**Location:** 
 Los Angeles
**Work Arrangement:** 
 This is an
 **onsite** 
 role requiring four days per week in the office, with one flexible remote day each week based on team needs.
**Key Responsibilities:** 
**Product Strategy \&amp; Backlog Ownership** 
* Translate the product roadmap into epics, features, and user stories.
* Define, refine, and prioritize product requirements aligned with business and user needs.
* Maintain a clear, organized, and continuously updated product backlog.
* Make informed decisions about scope, trade\-offs, and priorities throughout development cycles.
* Partner closely with engineering in an Agile/Scrum environment.
* Serve as the development team’s day\-to\-day point of contact for all product\-related questions.
**User Insight, Feedback, \&amp; Iteration** 
* Collaborate with stakeholders and customers to gather feedback and validate concepts.
* Conduct or support user testing to inform product decisions.
* Analyze user feedback and identify opportunities for enhancements or new features.
* Incorporate insights into iterative product improvements and future roadmap planning.
**Prototyping, BI \&amp; Workflow Improvements** 
* Monitor product performance and usage trends.
* Use AI tools like Figma Make or Replit to develop early stage prototypes
* Identify and implement opportunities to automate or improve the working process
* Generate dashboards to measure performance and usage using no/low\-code tools (we use Superblocks)
**Your Success Metrics:** 
* **Development Productivity:** 
 Efficient and productive development cadence.
* **Product Adoption:** 
 Growth in user engagement and feature utilization rates.
* **Customer Satisfaction:** 
 Positive feedback and high Net Promoter Scores (NPS).
* **Innovation:** 
 Implementation of new ideas that drive competitive differentiation.
**Who you’ll work with?** 
* VP of Product Management
* Other Product Managers and Product Owners
* UX Designers
* Engineering Leaders and Engineers
* Fuel Cycle Research, Customer Support teams, Sales team
**Core Skills, Competencies \&amp; Attributes:** 
* **Customer\-Centric Mindset:** 
 Deep understanding of user needs to inform feature development and prioritize improvements.
* **Technical Acumen:** 
 Familiarity with SaaS platforms, UI/UX design principles, and engineering workflows.
* **Collaboration:** 
 Skilled at working across diverse stakeholder groups.
* **Project Management:** 
 Basic organizational skills to manage timelines, resources, and deliverables effectively.
* **Communication:** 
 Demonstrated ability to present ideas, create documentation, and engage stakeholders.
* **Problem\-Solving:** 
 Keen attention to detail and a proactive approach to overcoming challenges.
**What you’ll bring:** 
* Minimum 1\-3 years of experience as an Associate Product Manager, Product Owner, or similar role, preferably in a software development environment.
* Familiarity of Agile development methodologies (e.g., Scrum) and product management principles.
* Strong communication, negotiation, and stakeholder management skills.
* Analytical mindset with the ability to make data\-driven decisions.
* Strong organizational and prioritization skills to manage multiple competing priorities.
* Familiarity of software development processes, technologies, and trends.
* Familiarity with some product management and collaboration tools (e.g., Productboard, Jira, Confluence, Asana).
**Benefits \&amp; Perks:** 
 Fuel Cycle is committed to supporting the well\-being, flexibility, and growth of our team. We offer a competitive and inclusive benefits package that includes:
* **Comprehensive Health Coverage** 
 : Medical, dental, and vision insurance plans
* **401(k) with Company Match** 
 : Plan for your future with our retirement savings program
* **Equity Purchase Option** 
 : Participate in Fuel Cycle’s long\-term success
* **Flexible Work Schedule** 
 : Empowering you to balance life and work
* **Generous Time Off** 
 :
* 15 vacation days and 7 sick days per year
* 12 company holidays
* 4 floating holidays/recharge days to rest or celebrate what matters to you
* **Paid Parental Leave** 
 : Time to bond with your growing family
* **Monthly Internet \&amp; Phone Stipend** 
 : Support for remote work setup
* **Wellness \&amp; Lifestyle Perks** 
 : Access to tools like
 **Rightway (healthcare navigation), Headspace (mental wellness)** 
 ,
 **Peloton (health \&amp; fitness),** 
 and more
* **Team Connection Perks** 
 :
* **Weekly community lunches** 
 , refreshments, and snacks at our LA \&amp; NY headquarters
* **Pet\-friendly office environments**
**Compensation Overview:** 
 The expected starting salary range for this position is
 **$85,000 \- $95,000\.** 
 This range represents the typical starting compensation offered to candidates hired into this role. Final base salary will be determined based on a variety of factors, including location, work experience, skills, knowledge, education, and certifications.
 In addition to base salary, this role is eligible for a discretionary bonus with a target of 4% of base salary. Actual bonus amounts, if any, are determined at the company’s sole discretion and may vary based on individual performance, company performance, and market conditions. This role may also be eligible for an equity grant or purchase option. These components make up your total compensation package, which will be reviewed in greater detail during your initial recruiter conversation.
**Commitment to Diversity, Equity, and Equal Opportunity:** 
 At Fuel Cycle, we embrace the values of diversity, equity, and inclusion and are committed to fostering an inclusive company culture. We believe that everyone, regardless of their background or identity, should have equal access to opportunities for growth and advancement. Our selection processes and career pathways are designed to be fair, transparent, and free from bias. We value the unique perspectives and contributions of each team member, knowing that this diverse range of experiences strengthens our team. Fuel Cycle stands firmly against discrimination based on disability, sex, race, gender identity, sexual orientation, religion, national origin, age, veteran status, or any other protected status under the law.
 Fuel Cycle is an equal opportunity employer and fully comply with the Americans with Disabilities Act (ADA). We will provide reasonable accommodations for qualified applicants and employees with disabilities, as needed, to enable them to perform the essential functions of their job and participate in the application and interview process. If you require accommodations during any part of the application process, please contact us at hr@fuelcycle.com to discuss your needs.</t>
        </is>
      </c>
    </row>
    <row r="27">
      <c r="A27" t="inlineStr">
        <is>
          <t>li-4355511668</t>
        </is>
      </c>
      <c r="B27" t="inlineStr">
        <is>
          <t>Senior Product Manager</t>
        </is>
      </c>
      <c r="C27" t="inlineStr">
        <is>
          <t>Global Recruiters of Moon Valley (GRN)</t>
        </is>
      </c>
      <c r="D27" t="inlineStr">
        <is>
          <t>linkedin</t>
        </is>
      </c>
      <c r="E27">
        <f>HYPERLINK("https://www.linkedin.com/jobs/view/4355511668", "https://www.linkedin.com/jobs/view/4355511668")</f>
        <v/>
      </c>
      <c r="F27" t="inlineStr"/>
      <c r="G27" t="inlineStr"/>
      <c r="H27" t="inlineStr"/>
      <c r="I27" t="inlineStr">
        <is>
          <t>Product Manager – Food \&amp; Thermal Systems
 POSITION SUMMARY
 A confidential global organization within the engineered systems and capital equipment space is seeking an experienced Product Manager to lead product strategy, development, and lifecycle management for a defined business segment. This role owns products across international markets and plays a critical role in translating customer, market, and business needs into commercially successful solutions.
 This is a highly cross\-functional position working closely with engineering, commercial, and operational teams. The role requires strong strategic thinking, technical acumen, and the ability to lead through influence in a global matrix environment.
 KEY RESPONSIBILITIES
 Strategy Planning \&amp; Execution
* Identify target markets, quantify opportunities, and evaluate commercial viability
* Analyze macro\-level trends including regulatory shifts, industry dynamics, geopolitical factors, and emerging technologies
* Collaborate cross\-functionally to align product strategy with broader business objectives
 Market Intelligence
* Assess total addressable market and competitive positioning across multiple regions
* Monitor competitor offerings, announcements, and industry activity; synthesize insights into actionable intelligence
* Conduct periodic SWOT and portfolio assessments to evaluate segment positioning
* Attend industry trade shows and remain current with relevant publications and market developments
 Product Pipeline \&amp; Portfolio Management
* Build and maintain a balanced product pipeline combining near\-term opportunities and longer\-term strategic initiatives
* Manage the active product portfolio to ensure alignment with customer needs, market relevance, and business goals
* Lead new product development initiatives, ensuring strong project charters, financial justification, and return metrics
* Develop Market Requirements Documents (MRDs) and Product Requirements Documents (PRDs) to define opportunities and solutions
* Oversee intellectual property elements including trademarks, as applicable
 Project Management
* Lead cross\-functional teams through structured stage\-gate development processes
* Develop and manage project schedules to ensure timely product launches and revenue realization
* Partner with functional leaders to ensure project deliverables, milestones, and quality standards are met
 Performance Measurement
* Monitor internal performance metrics including margins, cost of poor quality, and material productivity; recommend corrective actions
* Incorporate customer\-facing data such as VOC, market research, and Net Promoter Scores into strategy development
* Ensure timelines, deliverables, and launch commitments are achieved
 Market Leadership
* Serve as a subject\-matter expert and internal representative for product and market knowledge
* Establish credibility with key customers through technical insight, market understanding, and innovative solution development
 REQUIRED EXPERIENCE \&amp; QUALIFICATIONS
* 10\+ years of experience in product management or a closely related role, preferably within machinery, capital equipment, or engineered systems
* Significant experience managing products within food processing, thermal systems, or adjacent technologies
* Proven success leading new product development through a structured stage\-gate process
* Strong organizational, leadership, and communication skills
* Demonstrated ability to drive innovation and deliver measurable business results
* Experience working across cultures and supporting international markets
 CORE COMPETENCIES
* Ability to lead globally through influence rather than authority
* Agile learner with intellectual curiosity
* Self\-directed, proactive, and results\-oriented
* Comfortable operating in ambiguous, evolving environments
* Strong project management capabilities (PMP certification preferred)
 EDUCATION
* Bachelor’s degree in Engineering, Marketing, or a related field
* MBA or advanced degree preferred
 TRAVEL
* Up to 40% domestic and international travel
 ADDITIONAL INFORMATION
 This position description reflects the general nature of the role and is not intended to be an exhaustive list of responsibilities. Duties and priorities may evolve based on business needs.</t>
        </is>
      </c>
    </row>
    <row r="28">
      <c r="A28" t="inlineStr">
        <is>
          <t>li-4365632251</t>
        </is>
      </c>
      <c r="B28" t="inlineStr">
        <is>
          <t>Senior Product Manager — Media2</t>
        </is>
      </c>
      <c r="C28" t="inlineStr">
        <is>
          <t>NVIDIA</t>
        </is>
      </c>
      <c r="D28" t="inlineStr">
        <is>
          <t>linkedin</t>
        </is>
      </c>
      <c r="E28">
        <f>HYPERLINK("https://www.linkedin.com/jobs/view/4365632251", "https://www.linkedin.com/jobs/view/4365632251")</f>
        <v/>
      </c>
      <c r="F28">
        <f>HYPERLINK("https://nvidia.wd5.myworkdayjobs.com/NVIDIAExternalCareerSite/job/US-CA-Santa-Clara/Senior-Product-Manager\u002d\u002d-Media2_JR2011633?source=jobboardlinkedin&amp;urlHash=oDYy", "https://nvidia.wd5.myworkdayjobs.com/NVIDIAExternalCareerSite/job/US-CA-Santa-Clara/Senior-Product-Manager\u002d\u002d-Media2_JR2011633?source=jobboardlinkedin&amp;urlHash=oDYy")</f>
        <v/>
      </c>
      <c r="G28" t="inlineStr">
        <is>
          <t>Santa Clara, CA</t>
        </is>
      </c>
      <c r="H28" t="inlineStr"/>
      <c r="I28" t="inlineStr">
        <is>
          <t>Are you ready to join a team that's pushing the boundaries of AI and media? NVIDIA is at the forefront of redefining the next era of computing, and our Media2 Product Management team is leading the charge. As a Senior Product Manager, you’ll play a critical role in bringing GPU accelerated AI to live sports. This is an outstanding opportunity to build the future of AI in live sports media, working alongside world\-class engineers, key customers, and partners to achieve flawless execution!
**What You'll Be Doing**
* Assisting in shaping the AI platform vision \&amp; roadmap for Media2, outlining strategy, success indicators, and multi\-release schedules that align with NVIDIA’s AI and accelerated computing strategy.
* Translating customer workflows into product specifications by gathering requirements from industry collaborators, studios, and enterprise media teams, and writing concise PRDs with actionable MVP steps.
* Partnering closely with engineering to define specifications for AI model requirements.
* Crafting go\-to\-market positioning, licensing/pricing, early\-access programs, and launch plans; enabling field, GSI/ISV partners, and key lighthouse customers; driving platform activation and usage growth.
* Collaborating with standards bodies, partners, and integrators to ensure compatibility with enterprise hardware, storage, and security/compliance requirements.
* Championing continuous improvement by defining requirements for latency, efficiency, reliability, time\-to\-first\-frame, and cost per channel. Analyzing telemetry and usage data and iterating quickly to improve developer experience and operational robustness.
**What We Need To See**
* BS/MS/PhD or equivalent experience
* 12\+ years of product management experience and a proven track record of shipping successful software.
* Familiarity with AI/ML concepts, including LLMs, VLMs, and real\-time inference, with an ability to reason about model performance, latency/efficiency trade\-offs, and containerized deployment of AI services.
* Highly technical expertise, including knowledge of Linux, containerized workflows (Kubernetes), distributed systems, and GPU\-accelerated and real\-time software.
* Strong communication and leadership, with the ability to write and present clearly and influence key collaborators internally and externally.
**Ways To Stand Out From The Crowd**
* Experience with sports media analytics platforms and their application in global sports engagements.
* Demonstrated success in shipping AI\-for\-media features with measurable improvements in accuracy and cost, and experience applying AI to virtual production and broadcast use cases.
* Experience with NVIDIA’s development platforms including CUDA, NIM, NVAIE, NeMo, and Blueprints.
* Solid understanding of broadcast and live sports media workflows, including ST 2110, Virtual Production, production control, and live/near\-live workflows.
* A developer\-first platform approach with strong instincts around NIM/SDKs/APIs, sample apps, and reference workflows that delight system integrators and development partners.
 Your base salary will be determined based on your location, experience, and the pay of employees in similar positions. The base salary range is 208,000 USD \- 327,750 USD for Level 5, and 240,000 USD \- 379,500 USD for Level 6\.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JR2011633</t>
        </is>
      </c>
    </row>
    <row r="29">
      <c r="A29" t="inlineStr">
        <is>
          <t>li-4365607989</t>
        </is>
      </c>
      <c r="B29" t="inlineStr">
        <is>
          <t>Product Manager, Mapping and Weather Visualization</t>
        </is>
      </c>
      <c r="C29" t="inlineStr">
        <is>
          <t>AccuWeather</t>
        </is>
      </c>
      <c r="D29" t="inlineStr">
        <is>
          <t>linkedin</t>
        </is>
      </c>
      <c r="E29">
        <f>HYPERLINK("https://www.linkedin.com/jobs/view/4365607989", "https://www.linkedin.com/jobs/view/4365607989")</f>
        <v/>
      </c>
      <c r="F29" t="inlineStr"/>
      <c r="G29" t="inlineStr">
        <is>
          <t>State College, PA</t>
        </is>
      </c>
      <c r="H29" t="inlineStr"/>
      <c r="I29" t="inlineStr">
        <is>
          <t>The Product Manager, Mapping and Weather Visualization leads efforts related to how we visually represent information on AccuWeather’s web, app, and B2B properties. This role is at the forefront of the company’s innovation and an influential leader charged with shaping key features within our consumer and business products. Reporting to the SVP, Digital Strategy, this position is an exciting opportunity to translate your vision into an impactful strategy while also defining features, designing experiences and driving execution from start to finish.
 To succeed in this role, you should be a perceptive and creative leader with sound communication skills, exceptional solution\-crafting capabilities and have a healthy addiction to the displaying geospatial information. This role is perfectly suited for a junior to mid\-level product manager with a passion for science, technology, and leveraging data to improve people’s lives.
**Key Responsibilities**
* Develop solutions for existing and future visualizations that drive user engagement and audience growth.
* Facilitate communication across the organization, collecting and analyzing feedback from customers, stakeholders, and other teams to shape requirements; communicate to stakeholders regularly.
* Create exceptional user experiences through collaboration with product experience team – UX/UI/Interaction – while also maximizing revenue by supporting monetization efforts.
* Work with third parties, strategic partners, and cross functional internal teams to further AccuWeather’s reach and feature set.
* Understand the ins \&amp; outs of your audience – who they are, the features they use and enhancements they want.
* Monitor your products, ensuring optimal performance, and being on top of any challenges that may arise.
* Manage the development sprints; prioritize product enhancements, while simultaneously crushing technical debt.
* Lead a scrum team comprising of engineers and product designers to execute against your plans quickly.
* Manage data integrity to ensure accuracy and relevancy; from data source through to display.
* Produce and review product requirement documents to the highest of standards.
* Own the end\-to\-end success of projects from requirements definition through design, development, launch, and post\-launch analysis.
* Work with subject matter experts for your products, capabilities and services.
* Develop a strategy and make creative recommendations to expand our product vision across the portfolio.
* Performs other duties as assigned.
**Qualifications**
* Bachelor’s degree with 4\-6 years' experience in product management
* Experience working with web and app platforms and frameworks
* Demonstrated superior knowledge of digitally distributed products and technology
* Experience writing detailed requirements for products, such as wire frames, criteria, and business cases
* Ability to interact and communicate with product, design, and development teams of all levels, backgrounds and distributed staffing models
* Demonstrated ability to be meticulous detailed with high\-quality attention to detail and focus on a broad, strategic orientation
* Comfortable prioritizing pipelines of work based on a strategic evaluation of goals and implications
* Proven leadership experience, including showing that you can effectively communicate to your team and to upper management
* Exceptional communication skills
* Driving collective decisions, while being comfortable making independent decisions and thinking through all product ramifications
* Highly creative and curious with ability to work within practical boundaries
* Flexibility and adaptability to rapidly changing environment
**About Accuweather**
*AccuWeather, recognized and documented as the most accurate and most used source of weather forecasts and warnings in the world, has saved over 12,000 lives, prevented injury to over 100,000 people, and saved companies tens of billions of dollars through better planning and decision\-making.*
*Billions of people around the world rely on AccuWeather’s proven Superior Accuracy™ across our consumer digital platforms. AccuWeather.com is the \#1 weather destination and one of the top 100 most\-visited websites in the world, and our award\-winning AccuWeather app delivers detailed real\-time forecasts to millions of smartphones.*
*AccuWeather forecasts also appear on digital signage, in 700 newspapers, are heard on over 400 radio stations, and viewed on 100 television stations. The AccuWeather Network and AccuWeather NOW® reach an audience of over 125 million on cable and streaming platforms including DirecTV, Charter Communications \- Spectrum, Verizon, Philo, Frndly TV, Comcast’s Xfinity X1 and Xfinity Stream, Roku, Xumo, Rockbot, LG, and Amazon Freevee.*
*AccuWeather For Business serves more than half of the Fortune 500 companies and thousands of other businesses and government agencies globally.*
*Dr. Joel Myers, Founder and Executive Chairman, established AccuWeather in 1962 and is considered the “father of modern commercial meteorology.” Myers, a leading creative thinker and visionary, has been called “the most accurate man in weather” by The New York Times and has been recognized as one of the top entrepreneurs in American history by Entrepreneur’s Encyclopedia of Entrepreneurs.*
**COMMITMENT TO DIVERSITY \&amp; INCLUSION**
 AccuWeather is proud to be an Equal Opportunity/Affirmative Action Employer.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AccuWeather is committed to working with and providing reasonable accommodations to individuals with disabilities. If you need a reasonable accommodation because of a disability for any part of the employment process, please send an e\-mail to human.resources@accuweather.com and let us know the nature of your request and your contact information.</t>
        </is>
      </c>
    </row>
    <row r="30">
      <c r="A30" t="inlineStr">
        <is>
          <t>li-4355368242</t>
        </is>
      </c>
      <c r="B30" t="inlineStr">
        <is>
          <t>Product Manager - Conversational AI Platform</t>
        </is>
      </c>
      <c r="C30" t="inlineStr">
        <is>
          <t>Concentrix</t>
        </is>
      </c>
      <c r="D30" t="inlineStr">
        <is>
          <t>linkedin</t>
        </is>
      </c>
      <c r="E30">
        <f>HYPERLINK("https://www.linkedin.com/jobs/view/4355368242", "https://www.linkedin.com/jobs/view/4355368242")</f>
        <v/>
      </c>
      <c r="F30" t="inlineStr"/>
      <c r="G30" t="inlineStr">
        <is>
          <t>Austin, TX</t>
        </is>
      </c>
      <c r="H30" t="inlineStr"/>
      <c r="I30" t="inlineStr">
        <is>
          <t>**Transform Enterprise Customer Service with AI\-Powered Automation**
 Concentrix is looking for a technically\-minded Product Manager with deep enterprise software experience to lead our conversational AI platform. If you have an engineering background and have built AI products that actually solve real business problems, we'd love to talk.
**About The Role**
 You'll be the product leader for a sophisticated conversational AI platform that helps enterprises automate customer interactions across voice, chat, and messaging channels. This isn't just another chatbot – we're building intelligent, context\-aware systems that handle complex, multi\-turn conversations at enterprise scale.
 Our platform combines advanced natural language understanding with seamless integrations into existing enterprise infrastructure. You'll work directly with Fortune 500 customers who depend on our technology to handle millions of customer interactions while maintaining the quality and compliance standards their businesses require.
**What You'll Do**
**Strategic Product Leadership**
* Product Strategy: Define the technical roadmap for our AI platform, balancing cutting\-edge capabilities with enterprise reliability requirements
* Market Analysis: Research competitive AI solutions and emerging technologies (including agentic AI approaches) to inform product direction
* Technical Decision Making: Partner with engineering leadership to make architectural decisions that impact scalability, performance, and customer outcomes
* Stakeholder Alignment: Translate complex AI capabilities into clear business value propositions for executive stakeholders
**Cross\-Team Technical Coordination**
**You'll Orchestrate Product Development Across Four Specialized Engineering Teams**
* Orchestration Team: Conversation flow engine, intent routing, and session state management
* Integration Team: Enterprise connectors (Salesforce, ServiceNow, CCaaS platforms), API design, and webhook infrastructure
* Reporting Team: Real\-time analytics, observability tools, and customer\-facing dashboards
* Channel Gateway Team: Voice processing, webchat widgets, SMS/messaging, and new channel development
 This role requires deep technical understanding to manage complex dependencies, coordinate releases, and ensure system\-wide performance and reliability.
**Enterprise Customer Engagement**
* Technical Discovery: Lead customer technical evaluations, understanding integration requirements and enterprise constraints
* Requirements Engineering: Transform customer use cases into detailed technical specifications and user stories
* Solution Architecture: Collaborate with customers' technical teams on implementation approaches and system design
* Post\-Launch Optimization: Analyze performance data and customer feedback to drive continuous product improvements
**Required Background**
**What We're Looking For**
* Engineering Foundation: Computer Science, Software Engineering, or equivalent technical degree preferred
* Enterprise Software Experience: 3\-5 years in product management for complex B2B software with multi\-stakeholder sales cycles ($100K\+ ACV)
* AI/ML Product Experience: Hands\-on experience building and launching AI\-powered products, with understanding of model training, deployment, and monitoring
* Technical Product Management: Experience writing technical specifications, managing API roadmaps, and working closely with engineering teams on architecture decisions
* Platform Experience: Understanding of microservices, cloud infrastructure, and enterprise integration patterns
**Strongly Preferred**
* Agentic AI Experience: Experience with AI systems that can take actions, maintain context, and handle complex multi\-step workflows
* Conversational AI Background: Previous work on chatbots, voice assistants, or dialogue systems
* Enterprise Integration Expertise: Deep knowledge of CRM/ERP integrations, telephony systems, or contact center technologies
* Technical Leadership: Experience leading technical product decisions in complex, multi\-team environments
**Technical Skills**
* API and Integration Design: Understanding of RESTful APIs, webhooks, and enterprise integration patterns
* AI/ML Fundamentals: Knowledge of NLP, machine learning model deployment, and AI system reliability
* Cloud Platforms: Familiarity with AWS/Azure/GCP services and enterprise deployment models
* Data and Analytics: Experience with product analytics, A/B testing, and performance monitoring
* Telephony Knowledge (Bonus): Understanding of SIP protocols, IVR systems, or contact center infrastructure
**Leadership Qualities**
* Technical Communication: Ability to discuss complex AI concepts with both technical and business stakeholders
* Cross\-Functional Influence: Experience driving alignment across engineering, sales, and customer success teams
* Problem\-Solving Mindset: Approach challenges with first\-principles thinking and technical depth
* Customer\-Centric: Direct experience working with enterprise customers on technical implementations
**Why This Role Stands Out**
* Real AI Impact: Work on production AI systems handling millions of customer interactions for major enterprises
* Technical Depth: Solve complex technical challenges while building products that customers love
* Emerging Technology: Get hands\-on with the latest advances in conversational AI and agentic systems
* Enterprise Scale: See your product decisions impact how Fortune 500 companies serve their customers
* Growth Opportunity: Join during a pivotal moment in AI adoption with significant room for career advancement
**Ideal Candidate Profile**
**We're Specifically Looking For Someone Who Has**
* Built AI products from concept to production deployment
* Worked directly with enterprise engineering teams on complex integrations
* Experience with either conversational AI, agentic AI systems, or similar AI\-powered automation tools
* A technical background that allows for deep collaboration with our engineering teams
* Track record of successful product launches in enterprise software environments
**Ready to build the future of enterprise AI?** 
 If you're excited about combining deep technical knowledge with customer\-focused product strategy, we'd love to hear from you.
 At Concentrix, we provide customer experience solutions that may involve handling sensitive data. As part of our hiring process, all candidates must undergo a background check in accordance with applicable law, which will include identity verification and employment eligibility.
 The base salary for this position is $106,087\-$180,000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The deadline to apply for this position is: 02/02/2026
 \#WFH</t>
        </is>
      </c>
    </row>
    <row r="31">
      <c r="A31" t="inlineStr">
        <is>
          <t>li-4321057804</t>
        </is>
      </c>
      <c r="B31" t="inlineStr">
        <is>
          <t>Product Manager, Revenue Platform</t>
        </is>
      </c>
      <c r="C31" t="inlineStr">
        <is>
          <t>Anthropic</t>
        </is>
      </c>
      <c r="D31" t="inlineStr">
        <is>
          <t>linkedin</t>
        </is>
      </c>
      <c r="E31">
        <f>HYPERLINK("https://www.linkedin.com/jobs/view/4321057804", "https://www.linkedin.com/jobs/view/4321057804")</f>
        <v/>
      </c>
      <c r="F31" t="inlineStr"/>
      <c r="G31" t="inlineStr"/>
      <c r="H31" t="inlineStr"/>
      <c r="I3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in the Internal Products and Technologies organization, you'll partner with Engineering, Product, GTM, Finance, Legal, Operations, and Support to build our Revenue Platform—spanning monetization infrastructure (pricing, packaging, billing) and commercial infrastructure (enterprise contracts, deal automation, marketplace integrations) that's as ambitious as our AI:
* We own an expansive mix of platform, infrastructure, and product problems at the heart of Anthropic's commercial operations—building systems that support enterprise scale, global expansion, and robust financial controls.
* Your work touches every dollar that flows through Anthropic: pricing, usage billing, seat subscriptions, enterprise contracts, cloud marketplace integrations, and global multi\-entity operations.
* You'll drive the evolution of our revenue platform to support diverse monetization models, increasingly complex enterprise needs, and the operational rigor required for a global business.
* This means owning strategy and roadmap across pricing capabilities, commercial constructs, enterprise contract automation and platform capabilities that let product teams ship pricing changes with confidence and speed and GTM teams close deals with flexibility and speed.
**Responsibilities**
* Deeply understand both internal and external customers across multiple business domains—from product, internal finance, and GTM teams to enterprise customers with complex billing needs.
* Partnering with engineering leads to design billing capabilities and abstractions that prevent logic leakage and enable platform velocity.
* Drive product strategy and roadmap across monetization capabilities and commercial capabilities.
* Synthesize competing stakeholder needs and communicate prioritization clearly to senior leadership.
**You May Be a Good Fit If You Have**
* 7\+ years of product management experience, with deep exposure to billing systems
* Experience taking technical software products from infancy to scale—you've built something from the ground up and grown it
* Track record of building platform products that balance the needs of multiple users and stakeholders—you're comfortable making prioritization tradeoffs and communicating them clearly
* Ability to internalize an entire cross\-functional business and translate that into a comprehensive product vision
* Fluent across functions—you're equally credible discussing technical architecture with engineers, financial controls with auditors, or deal mechanics with GTM leads
* Strong instinct for connecting technical decisions to business outcomes and revenue impact
* Scrappy and resourceful—you do what it takes to get things done
**Strong Candidates May Have**
* Built or scaled pricing/packaging capabilities that support multiple monetization models (seats, usage, credits, subscriptions) and enterprise contract complexity.
* Quote\-to\-cash and ERP integration knowledge, including Salesforce/CPQ.
* Scaled through hypergrowth (10x\+ revenue)
* Compliance expertise (SOC 2, PCI, GDPR, tax/VAT)
* Experience transforming legacy systems into next\-generation platforms
 The annual compensation range for this role is listed below.
 For sales roles, the range provided is the role’s On Target Earnings ("OTE") range, meaning that the range includes both the sales commissions/sales bonuses target and annual base salary for the role.
**Annual Salary**
 $305,000—$385,000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2">
      <c r="A32" t="inlineStr">
        <is>
          <t>li-4321363669</t>
        </is>
      </c>
      <c r="B32" t="inlineStr">
        <is>
          <t>Product Manager, Revenue Platform</t>
        </is>
      </c>
      <c r="C32" t="inlineStr">
        <is>
          <t>Anthropic</t>
        </is>
      </c>
      <c r="D32" t="inlineStr">
        <is>
          <t>linkedin</t>
        </is>
      </c>
      <c r="E32">
        <f>HYPERLINK("https://www.linkedin.com/jobs/view/4321363669", "https://www.linkedin.com/jobs/view/4321363669")</f>
        <v/>
      </c>
      <c r="F32" t="inlineStr"/>
      <c r="G32" t="inlineStr">
        <is>
          <t>San Francisco, CA</t>
        </is>
      </c>
      <c r="H32" t="inlineStr"/>
      <c r="I3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in the Internal Products and Technologies organization, you'll partner with Engineering, Product, GTM, Finance, Legal, Operations, and Support to build our Revenue Platform—spanning monetization infrastructure (pricing, packaging, billing) and commercial infrastructure (enterprise contracts, deal automation, marketplace integrations) that's as ambitious as our AI:
* We own an expansive mix of platform, infrastructure, and product problems at the heart of Anthropic's commercial operations—building systems that support enterprise scale, global expansion, and robust financial controls.
* Your work touches every dollar that flows through Anthropic: pricing, usage billing, seat subscriptions, enterprise contracts, cloud marketplace integrations, and global multi\-entity operations.
* You'll drive the evolution of our revenue platform to support diverse monetization models, increasingly complex enterprise needs, and the operational rigor required for a global business.
* This means owning strategy and roadmap across pricing capabilities, commercial constructs, enterprise contract automation and platform capabilities that let product teams ship pricing changes with confidence and speed and GTM teams close deals with flexibility and speed.
**Responsibilities**
* Deeply understand both internal and external customers across multiple business domains—from product, internal finance, and GTM teams to enterprise customers with complex billing needs.
* Partnering with engineering leads to design billing capabilities and abstractions that prevent logic leakage and enable platform velocity.
* Drive product strategy and roadmap across monetization capabilities and commercial capabilities.
* Synthesize competing stakeholder needs and communicate prioritization clearly to senior leadership.
**You May Be a Good Fit If You Have**
* 7\+ years of product management experience, with deep exposure to billing systems
* Experience taking technical software products from infancy to scale—you've built something from the ground up and grown it
* Track record of building platform products that balance the needs of multiple users and stakeholders—you're comfortable making prioritization tradeoffs and communicating them clearly
* Ability to internalize an entire cross\-functional business and translate that into a comprehensive product vision
* Fluent across functions—you're equally credible discussing technical architecture with engineers, financial controls with auditors, or deal mechanics with GTM leads
* Strong instinct for connecting technical decisions to business outcomes and revenue impact
* Scrappy and resourceful—you do what it takes to get things done
**Strong Candidates May Have**
* Built or scaled pricing/packaging capabilities that support multiple monetization models (seats, usage, credits, subscriptions) and enterprise contract complexity.
* Quote\-to\-cash and ERP integration knowledge, including Salesforce/CPQ.
* Scaled through hypergrowth (10x\+ revenue)
* Compliance expertise (SOC 2, PCI, GDPR, tax/VAT)
* Experience transforming legacy systems into next\-generation platforms
 The annual compensation range for this role is listed below.
 For sales roles, the range provided is the role’s On Target Earnings ("OTE") range, meaning that the range includes both the sales commissions/sales bonuses target and annual base salary for the role.
**Annual Salary**
 $305,000—$385,000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3">
      <c r="A33" t="inlineStr">
        <is>
          <t>li-4365632786</t>
        </is>
      </c>
      <c r="B33" t="inlineStr">
        <is>
          <t>Senior Product Manager – Hardware &amp;amp; Software</t>
        </is>
      </c>
      <c r="C33" t="inlineStr">
        <is>
          <t>WingXpand</t>
        </is>
      </c>
      <c r="D33" t="inlineStr">
        <is>
          <t>linkedin</t>
        </is>
      </c>
      <c r="E33">
        <f>HYPERLINK("https://www.linkedin.com/jobs/view/4365632786", "https://www.linkedin.com/jobs/view/4365632786")</f>
        <v/>
      </c>
      <c r="F33" t="inlineStr"/>
      <c r="G33" t="inlineStr">
        <is>
          <t>Schaumburg, IL</t>
        </is>
      </c>
      <c r="H33" t="inlineStr"/>
      <c r="I33" t="inlineStr">
        <is>
          <t>Senior Product Manager – Hardware \&amp; Software
**Aerospace, Robotics \&amp; Engineering Hiring** 
 At
 *WingXpand®*
**Locations:**
 Chicago (Schaumburg), IL
**‍Type**
 Full\-time
**About WingXpand**
 WingXpand is
 **Expanding What’s Possible™ with Autonomous Systems** 
 , building long\-endurance, backpackable smart plane drones that support
 **defense, public safety, disaster response, and commercial missions** 
 .Our platforms operate across
 **air, ground, and maritime domains** 
 , integrating
 **autonomy, AI\-powered sensing, edge computing, and networked systems** 
 to deliver real\-world intelligence and threat detection. We design, build, and deploy complete systems — hardware, software, and data — and we move fast.As WingXpand scales, we are seeking a
 **Director of Engineering** 
 to lead and grow our engineering organization and drive execution of our most critical autonomous systems programs.
**Position Description**
 WingXpand is seeking a Senior Product Manager – Hardware \&amp; Software to lead execution across multi\-disciplinary engineering teams, including hardware, software, and electrical engineering. This role is ideal for a technically grounded product leader who thrives in fast\-paced environments, enjoys solving hard problems, and can move seamlessly between strategy, execution, and customer engagement. You will work hands\-on with engineers, executives, and customers to deliver WingXpand’s core products, meet contract milestones, and shape future product roadmaps. This is a high\-ownership role with direct visibility to leadership and real impact on fielded autonomous systems.
**Key Responsibilities**
**Qualifications:**
**Additional Qualifications**
**What Else You Need to Know**
 To conform to U.S. Government aerospace technology export regulations, applicant
 **must be** 
 a 'U.S. Person' (U.S. Citizen or a Permanent Resident/Green Card Holder).
 If you are a self\-motivated, results\-driven individual with a passion for innovation and technology, we want to hear from you!
 Apply with your resume and a brief summary of your
 **technical recruiting experience** 
 , including the types of engineering or technical roles you have hired.</t>
        </is>
      </c>
    </row>
    <row r="34">
      <c r="A34" t="inlineStr">
        <is>
          <t>li-4362587285</t>
        </is>
      </c>
      <c r="B34" t="inlineStr">
        <is>
          <t>Senior Product Owner - Supply Chain &amp; Operations (Fortune 100Co Direct Hire)</t>
        </is>
      </c>
      <c r="C34" t="inlineStr">
        <is>
          <t>Confidential</t>
        </is>
      </c>
      <c r="D34" t="inlineStr">
        <is>
          <t>linkedin</t>
        </is>
      </c>
      <c r="E34">
        <f>HYPERLINK("https://www.linkedin.com/jobs/view/4362587285", "https://www.linkedin.com/jobs/view/4362587285")</f>
        <v/>
      </c>
      <c r="F34" t="inlineStr"/>
      <c r="G34" t="inlineStr">
        <is>
          <t>Houston, TX</t>
        </is>
      </c>
      <c r="H34" t="inlineStr"/>
      <c r="I34" t="inlineStr">
        <is>
          <t>The Product Owner – Business Intelligence is responsible for defining, prioritizing, and delivering high\-impact digital products that enable data\-driven decision\-making across global supply chain operations. This role sits at the intersection of supply chain strategy, analytics, and technology, translating complex business needs into scalable BI and data products that improve visibility, efficiency, resilience, and cost performance.
 You will partner closely with Supply Chain, Operations, Finance, Data Engineering, and Technology teams to own the product vision, roadmap, and backlog for analytics platforms, dashboards, and advanced reporting solutions used by executive and operational stakeholders.
 Key Responsibilities
 Product Strategy \&amp; Ownership
* Own the product vision, roadmap, and backlog for supply chain BI and analytics products
* Define product outcomes aligned to enterprise supply chain strategy (e.g., service, cost, inventory, resiliency)
* Translate business needs into clear epics, features, and user stories with measurable value
* Prioritize initiatives based on business impact, feasibility, and strategic alignment
 Supply Chain Analytics \&amp; BI
* Lead development of dashboards, reports, and self\-service analytics across areas such as:
* Demand \&amp; supply planning
* Inventory \&amp; working capital
* Logistics \&amp; transportation
* Manufacturing \&amp; operations performance
* Supplier performance \&amp; risk
* Ensure data products provide trusted, actionable insights for both executive and operational users
* Champion data governance, metric standardization, and single\-source\-of\-truth principles
 Agile Delivery \&amp; Cross\-Functional Leadership
* Serve as Product Owner within Agile teams; lead backlog refinement, sprint planning, and reviews
* Partner with Data Engineering, BI Developers, and Architects to ensure scalable, high\-quality solutions
* Collaborate with stakeholders across Supply Chain, Finance, IT, and Digital teams globally
* Balance near\-term delivery with long\-term platform and capability development
 Stakeholder \&amp; Executive Engagement
* Act as a trusted thought partner to senior supply chain leaders
* Communicate product vision, roadmap progress, and value realization to executives
* Drive adoption and change management for analytics products across the organization
 Qualifications
 Required
* Bachelor’s degree in Business, Supply Chain, Information Systems, Analytics, or related field
* 7\+ years of experience in Product Ownership, Product Management, or Business Analysis
* Strong experience in supply chain analytics, BI, or data products
* Hands\-on experience working in Agile/Scrum environments as a Product Owner
* Proven ability to translate complex business problems into data and analytics solutions
* Strong stakeholder management and executive communication skills
 Preferred
* Experience in a large, complex, global enterprise (Fortune 500/Fortune 100 preferred)
* Deep understanding of supply chain processes and KPIs
* Experience with modern BI and data platforms (e.g., Power BI, Tableau, Looker, Snowflake, Databricks, etc.)
* Familiarity with advanced analytics, forecasting, or optimization use cases
* CSPO, SAFe POPM, or similar Agile certification
 Key Competencies
* Strategic thinking with strong execution focus
* Data\-driven decision\-making
* Ability to influence without authority
* Comfort operating in ambiguity and complex matrixed environments
* Strong storytelling skills with data
 What Success Looks Like
* Supply chain leaders rely on your products for critical decisions
* Analytics products are widely adopted, trusted, and scalable
* Measurable improvements in supply chain performance, visibility, and efficiency
* Clear linkage between analytics investments and business outcomes</t>
        </is>
      </c>
    </row>
    <row r="35">
      <c r="A35" t="inlineStr">
        <is>
          <t>li-4337962946</t>
        </is>
      </c>
      <c r="B35" t="inlineStr">
        <is>
          <t>Product Manager</t>
        </is>
      </c>
      <c r="C35" t="inlineStr">
        <is>
          <t>The Institutes</t>
        </is>
      </c>
      <c r="D35" t="inlineStr">
        <is>
          <t>linkedin</t>
        </is>
      </c>
      <c r="E35">
        <f>HYPERLINK("https://www.linkedin.com/jobs/view/4337962946", "https://www.linkedin.com/jobs/view/4337962946")</f>
        <v/>
      </c>
      <c r="F35">
        <f>HYPERLINK("https://recruiting.ultipro.com/INS1024THIS/JobBoard/e8be8675-31c5-4168-8470-afc197b5602a/OpportunityDetail?opportunityId=58aecbc0-7c6e-4d49-91f1-91173b5ba75a&amp;source=LinkedIn&amp;urlHash=Kwws", "https://recruiting.ultipro.com/INS1024THIS/JobBoard/e8be8675-31c5-4168-8470-afc197b5602a/OpportunityDetail?opportunityId=58aecbc0-7c6e-4d49-91f1-91173b5ba75a&amp;source=LinkedIn&amp;urlHash=Kwws")</f>
        <v/>
      </c>
      <c r="G35" t="inlineStr">
        <is>
          <t>Malvern, PA</t>
        </is>
      </c>
      <c r="H35" t="inlineStr"/>
      <c r="I35" t="inlineStr">
        <is>
          <t>**About The Institutes**
*Located in beautiful Malvern, Pennsylvania, The Institutes® are a not\-for\-profit comprised of diverse affiliates that educate, elevate, and connect people in the essential disciplines of risk management and insurance. Through products and services offered by our nearly 20 affiliated business units, people and organizations are empowered to help those in need with a focus on understanding, predicting, and preventing losses to create a more resilient world.*
*Additionally, we understand the importance of work\-life balance—in 2025 Philly.com named us a Top Workplace for the tenth year and USA Today named us a USA Top Workplace for the third year. We provide excellent benefits and a friendly, team\-focused work environment to drive employee engagement.*
**Product Manager**
 The Product Manager is responsible for helping design insurance technology products by serving as a key point of contact for enterprise customers, understanding their needs, and ensuring their voices are reflected in product development. This role involves regular interaction with clients, presenting solutions, gathering feedback, and building lasting relationships to drive product adoption and satisfaction. In addition to product development, the Product Manager will lead customer meetings, product demos, and presentations, acting as a trusted advisor to both existing and prospective clients.
 Key additional responsibilities include providing quantitative analysis; developing reports; developing marketing content; making business recommendations; conducting market research, presenting analyses and research; and developing strategies to demonstrate value to RiskStream members. The RiskStream Product Manager reports to the Senior Director of Product Operations, but also works closely with the President of RiskStream, the broader Product management team, the Sales team, and the Operations team.
**What You’ll Do**
* Serve as a primary liaison between RiskStream and its customers, ensuring their requirements and feedback are central to product strategy.
* Lead customer meetings, product demos, and presentations to communicate product value and gather insights.
* Has a holistic viewpoint across all use cases and products.
* Effectively communicates with key stakeholders influencing them to support proposed strategies, process improvements and operational decisions.
* Maintains documentation regarding various projects, processes, and operations.
* Assesses market competition by comparing the company's product to competitors' products based on an analysis of the size of the market, the piece of the market that our products satisfy, etc.
* Provides information for management by preparing short\-term and long\-term product sales forecasts using industry data; preparing special reports and analyses, answering questions and requests.
* Works with Product Management Team to gather, review and analyze business and industry data to create a market analysis.
* Assesses product market data by calling on customers with relationship managers and evaluating results.
* Helps RiskStream attract new members by working closely with RiskStream staff to create return\-on\-investment analyses, conduct market outreach, and participate in sales discussions.
* Maintains professional and technical knowledge by attending educational workshops; reviewing professional publications; establishing personal networks; participating in professional societies.
* Contributes to team effort by accomplishing related results as needed.
* Works with Sales to support product\-sales and membership discussions.
* Establishes and manages partnerships with external solution providers to enhance product offerings.
**What We’re Looking For**
* Bachelor’s degree.
* Previous experience in a customer\-facing role (e.g., account management, client services, sales engineering, or consulting) is highly desirable.
* Showcases analytical ability, but also impressive aptitude for understanding business problems, quantifying solutions and writing research reports.
* Ability to interact with all levels within the organization and work in a fast\-paced environment with many initiatives.
* Ability to manage a variety of research projects. Both product\-oriented projects, and occasionally business\-oriented projects.
* Ability to work independently and make sound decisions with minimal supervision and direction.
* Demonstrate initiative and ability to advance projects while managing multiple initiatives.
* Capability to influence and instill credibility in sponsors, peers and subordinates by meeting project milestones, deadlines, and budget.
* Resourcefulness and ability to devise creative solutions to problems.
* Excellent working experience with Microsoft Office Suite, SharePoint, and Visio. Experience with analytical tools, like Tableau or R, is a plus.
* Experience testing and mapping various business processes and protocols.
* Familiarity with industry technology systems to gather data and problem solve.
* Excellent oral and written communication, problem solving and leadership skills.
**Key Competencies**
* Exceptional customer service orientation and ability to build rapport with diverse stakeholders.
* Strong verbal and written communication skills, with experience presenting to external audiences.
* Familiarity with data
* Research Skills
* Writing skills
* Problem solving skills
* Interpersonal Communication
* Business Understanding
* Product Management Skills
* Presentation Skills
* Vendor Management
* Presentation Skills
**The Best Part? The Benefits!**
 To enforce the importance of work\-life balance, employees enjoy excellent benefits, including:
* 401(k) plan with company contribution up to 16%
* Generous time off package that includes paid vacation, personal, sick, and holidays
* Paid maternity and parental leave
* Tuition reimbursement
* Medical, dental, vision, and prescription coverage
* On our Malvern campus: Free lunch every day when working on campus, onsite fitness center, and a beautiful 1\.25\-mile walking path!</t>
        </is>
      </c>
    </row>
    <row r="36">
      <c r="A36" t="inlineStr">
        <is>
          <t>li-4363487506</t>
        </is>
      </c>
      <c r="B36" t="inlineStr">
        <is>
          <t>Staff Product Owner, AI Products</t>
        </is>
      </c>
      <c r="C36" t="inlineStr">
        <is>
          <t>EchoStar Corporation</t>
        </is>
      </c>
      <c r="D36" t="inlineStr">
        <is>
          <t>linkedin</t>
        </is>
      </c>
      <c r="E36">
        <f>HYPERLINK("https://www.linkedin.com/jobs/view/4363487506", "https://www.linkedin.com/jobs/view/4363487506")</f>
        <v/>
      </c>
      <c r="F36" t="inlineStr"/>
      <c r="G36" t="inlineStr">
        <is>
          <t>San Mateo, CA</t>
        </is>
      </c>
      <c r="H36" t="inlineStr"/>
      <c r="I36"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DISH is looking for an accomplished and adaptable Product Owner to join our AI Office team. In this role, you will play a crucial part in driving the development of data\-driven AI products, ensuring alignment with business objectives and stakeholder needs. Your expertise in data science will be instrumental in facilitating effective communication between technical teams and stakeholders, ultimately enabling the delivery of high\-quality solutions that meet business needs.
**Key Responsibilities**
* Partner with stakeholders to define business needs and translate them into clear AI solution requirements and product outcomes
* Own and prioritize the AI product backlog based on value, strategic goals, capacity, and ROI, with emphasis on paired data scientist\-engineer delivery
* Manage the AI initiative pipeline, balancing near\-term wins with long\-term roadmap objectives and promoting early, continuous production integration
* Author and accept Epics as the primary unit of value, collaborating with teams on effective User Story decomposition and acceptance criteria
* Communicate and maintain the product vision and roadmap, highlighting how paired programming accelerates deployment, quality, and maintainability
* Track product performance and ROI using data\-driven insights, manage stakeholder expectations, and continuously optimize delivery speed, feasibility, and value realization
**Skills, Experience And Requirements**
**Education \&amp; Experience:**
* Bachelor’s degree in computer science, Information Systems, or a related field
* Certification in agile methodologies such as Certified Scrum Product Owner (CSPO) preferred
* Advanced degree (Master’s or higher) in computer science, Information Systems, or a related field preferred
* 6\+ years in product management, focusing on data\-driven/AI/ML solutions, ideally in agile
**Skills And Qualifications**
* Strong understanding of agile/scrum, including paired programming principles
* Proven ability to manage stakeholders and communicate effectively with technical and business teams
* Experience managing product backlogs and delivering value via prioritized, paired development
* Ability to make data\-driven decisions and analyze performance metrics, including code quality/deployment efficiency
* Experience with cloud stack (AWS, GCP or Azure) preferred
 Visa sponsorship not available for this role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37">
      <c r="A37" t="inlineStr">
        <is>
          <t>li-4363407481</t>
        </is>
      </c>
      <c r="B37" t="inlineStr">
        <is>
          <t>Staff Product Owner, AI Products</t>
        </is>
      </c>
      <c r="C37" t="inlineStr">
        <is>
          <t>EchoStar Corporation</t>
        </is>
      </c>
      <c r="D37" t="inlineStr">
        <is>
          <t>linkedin</t>
        </is>
      </c>
      <c r="E37">
        <f>HYPERLINK("https://www.linkedin.com/jobs/view/4363407481", "https://www.linkedin.com/jobs/view/4363407481")</f>
        <v/>
      </c>
      <c r="F37" t="inlineStr"/>
      <c r="G37" t="inlineStr">
        <is>
          <t>Englewood, CO</t>
        </is>
      </c>
      <c r="H37" t="inlineStr"/>
      <c r="I37"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DISH is looking for an accomplished and adaptable Product Owner to join our AI Office team. In this role, you will play a crucial part in driving the development of data\-driven AI products, ensuring alignment with business objectives and stakeholder needs. Your expertise in data science will be instrumental in facilitating effective communication between technical teams and stakeholders, ultimately enabling the delivery of high\-quality solutions that meet business needs.
**Key Responsibilities**
* Partner with stakeholders to define business needs and translate them into clear AI solution requirements and product outcomes
* Own and prioritize the AI product backlog based on value, strategic goals, capacity, and ROI, with emphasis on paired data scientist\-engineer delivery
* Manage the AI initiative pipeline, balancing near\-term wins with long\-term roadmap objectives and promoting early, continuous production integration
* Author and accept Epics as the primary unit of value, collaborating with teams on effective User Story decomposition and acceptance criteria
* Communicate and maintain the product vision and roadmap, highlighting how paired programming accelerates deployment, quality, and maintainability
* Track product performance and ROI using data\-driven insights, manage stakeholder expectations, and continuously optimize delivery speed, feasibility, and value realization
**Skills, Experience And Requirements**
**Education \&amp; Experience:**
* Bachelor’s degree in computer science, Information Systems, or a related field
* Certification in agile methodologies such as Certified Scrum Product Owner (CSPO) preferred
* Advanced degree (Master’s or higher) in computer science, Information Systems, or a related field preferred
* 6\+ years in product management, focusing on data\-driven/AI/ML solutions, ideally in agile
**Skills And Qualifications**
* Strong understanding of agile/scrum, including paired programming principles
* Proven ability to manage stakeholders and communicate effectively with technical and business teams
* Experience managing product backlogs and delivering value via prioritized, paired development
* Ability to make data\-driven decisions and analyze performance metrics, including code quality/deployment efficiency
* Experience with cloud stack (AWS, GCP or Azure) preferred
 Visa sponsorship not available for this role
**Salary Ranges**
 Compensation: $96,250\.00/Year \- $137,500\.00/Year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38">
      <c r="A38" t="inlineStr">
        <is>
          <t>li-4365612840</t>
        </is>
      </c>
      <c r="B38" t="inlineStr">
        <is>
          <t>Senior Business Product Manager, Content Agentic AI Applications</t>
        </is>
      </c>
      <c r="C38" t="inlineStr">
        <is>
          <t>Genentech</t>
        </is>
      </c>
      <c r="D38" t="inlineStr">
        <is>
          <t>linkedin</t>
        </is>
      </c>
      <c r="E38">
        <f>HYPERLINK("https://www.linkedin.com/jobs/view/4365612840", "https://www.linkedin.com/jobs/view/4365612840")</f>
        <v/>
      </c>
      <c r="F38" t="inlineStr"/>
      <c r="G38" t="inlineStr">
        <is>
          <t>South San Francisco, CA</t>
        </is>
      </c>
      <c r="H38" t="inlineStr"/>
      <c r="I38" t="inlineStr">
        <is>
          <t>The Position
 Why Genentech
 We’re passionate about delivering on Our Promise to improve the lives of patients and create healthier communities for all. We foster a culture of inclusivity, integrity and creativity while boldly pursuing answers to the world’s most complex health challenges and transforming society.
 Who We Are
 Digital Experience is shaping the future of how Genentech connects with our patients and customers by harnessing the power of digital innovation and human\-centered design. As healthcare evolves, we are bold in our approach – leveraging cutting edge AI, advanced digital engagement, end\-to\-end content management, and omnichannel technologies and operations to create seamless, personalized, and meaningful experiences for our patients and customers. This is your opportunity to lead transformative change, integrating advanced technology with strategic vision to drive impact at scale. If you are passionate about redefining the healthcare experiences and building something extraordinary, we want you on this journey. Let’s redefine what’s possible together!
 This combined team, in collaboration with key partners, builds solutions to serve Marketing, Customer Engagement, Medical Affairs, Public Affairs \&amp; Access (“CMG”), and other patient\- and customer\-facing teams across CMG to shape and drive a seamless, consistent, meaningful, and compliant experience for patients and customers across our interactions. The team is specifically accountable for:
* Defining omnichannel solutions, shaping engagement strategies, designing, operationalizing, and producing seamless, consistent \&amp; meaningful patient and customer experiences.
* Accelerating, connecting, and enabling the development of digital solutions that enhance the patient and customer experience across CMG.
* Advancing the mission of seamless, consistent \&amp; meaningful patient and customer experiences that maximize patient impact while keeping compliance at the forefront.
 The Opportunity
 Genentech/Roche is looking to redefine the customer experience by leveraging advanced AI solutions across the commercial value chain, including for marketing and sales, medical and government affairs and access. We are seeking an exceptional Senior Business Product Manager to define and lead the business needs and deliver on orchestrating a multi\-agent system. The solution will orchestrate across different specialized agents or tools including content creation and review platforms, content management systems, (CMS), Digital Asset Management (DAM) platforms, CRM, Omnichannel delivery systems etc. You will define the business needs, translate into requirements and work with SMEs and Technical teams to build the core capabilities that accelerate time\-to\-market while achieving zero critical regulatory errors, regardless of the underlying tools. For a Product leader who thrives on business impact with systems thinking and breaking silos across the enterprise, this is the chance to connect users, tools and data into a connected ecosystem.
 The Impact You'll Make
 Reporting to the Senior Director, Content Authoring \&amp; Assembly, the Senior Business Product Manager, Agentic AI will own the strategy and roadmap for content lifecycle orchestration leveraging multi agents, ensuring it drives compliant, autonomous workflow automation from creation in CMS/DAM to deployment.
 Strategy and Vision
* Define and articulate the long\-term vision and strategy for orchestration of content across commercial, medical, access, physicians and patients leveraging multi agent systems.
* Build the business case and define the business impact in measurable terms for eg improved efficiency and turn around times and track these metrics
* Define the north star and roadmap to get there by making trade off decisions and leveraging prioritization frameworks
* Lead the decomposition of complex workflows (e.g., content versioning, MLR submission) into distinct, system\-agnostic tasks that can be efficiently delegated to specialized Agentic Modules within any connected CMS or DAM platform.
* Own the product strategy and roadmap for core orchestration features, including connectivity to tools, platforms, AI agents with unified context shared across all stakeholders.
* Identify and prioritize opportunities where Master Orchestration can reduce bottlenecks and compliance risk across the entire content value chain.
 Execution and Delivery
* Define the detailed requirements for the orchestration layer working closely with business stakeholders across commercial, medical, and access teams
* Define data grounding and context sharing requirements to ensure the Master Layer and its modules only operate based on validated, current, and compliant sources, regardless of which CMS/DAM holds the source data.
* Translate workflow requirements into detailed product specifications for underlying logic and orchestration, balancing speed and efficiency with the high bar for accuracy and auditability required by MLR.
* Partner with Engineering and Data Science to build robust, scalable, and observable platform components that allow for transparent tracking of every automated action across all integrated systems and scalability across the enterprise
* Prototype and test new functionality with SMEs, ensuring compliance and operational viability across platforms.
 People and Collaboration
* Champion the "Autonomous Enterprise" mindset, defining the new operating model where human teams collaborate seamlessly with automated systems residing in any platform.
* Facilitate deep technical and business collaboration across IT, CMLR, Legal,and Global teams to secure governance for the Master Platform and standardize the inputs/outputs of all Agentic Modules, regardless of the vendor.
* Engage deeply with internal stakeholders (Content Strategists, MLR Reviewers) to understand trust boundaries and design escalation paths that maintain confidence in automated execution.
* Influence adjacent product teams (e.g., teams owning CRM,OMNICHANEL, or other CMS/DAM systems) on the technical requirements needed for their modules to interface with and be governed by the Master Layer.
**Qualifications**
 Core Experience \&amp; Skills
* 6\+ years of enterprise software Product Management experience, with at least 5 years in SaaS; Data platform or advanced automation experience strongly preferred.
* Strong understanding of the technical challenges in integrating and coordinating workflows across multiple enterprise systems (CMS, DAM, CRM) via API layers.
* Hands on experience designing and building multi agent solutions
* Mandatory expertise in building, designing, or defining complex Multi\-System or Multi\-Component Orchestration layer or high\-scale workflow automation platforms.
* Experience working and building for complex enterprise personas (Administrators, Power Users, Auditors).
* Strong understanding of the role of high\-quality data in automation development, quality, governance, and how it impacts business outcomes.
* Proven collaborator with exceptional organizational effectiveness, able to drive consensus and execution across highly matrixed, technical teams.
* A proven 0→1 builder with a deep focus on customer needs, comfortable quickly transitioning from initial problem framing to a live product.
* Strong AI product fluency and curiosity about emerging, state\-of\-the\-art tech, with an understanding of modern AI capabilities, their limitations, and how to productize them responsibly.
**Preferred (Domain\-Specific) Qualifications**
* Practical familiarity with Content Management Systems (CMS) and Digital Asset Management (DAM) platforms, including their API architectures.
* Experience in content lifecycle management (creation, review, publishing) in a regulated environment is highly valued.
* Prior experience designing products where trust, auditability, and output validation (quality\-first focus) are non\-negotiable requirements.
* Thought leadership in advanced automation trends, system safety and ethics, and enterprise adoption patterns.
* Pharma, healthcare experience is a huge plus
* Prototype, experiment, and rapidly develop functional AI tools and data\-driven solutions. Leverage AI as a core capability to explore and refine experience directions, including user flows, UX copy, stress tests, and lightweight compositional elements.
 Location
* This position is based in South San Francisco, CA.
* Relocation Assistance is not available
*The expected salary range for this position based on the primary location of South San Francisco, CA is $185,200 \- $343,900 USD Annual
 *.*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39">
      <c r="A39" t="inlineStr">
        <is>
          <t>li-4365624175</t>
        </is>
      </c>
      <c r="B39" t="inlineStr">
        <is>
          <t>Global Product Manager - Fremont, CA or Portland, OR</t>
        </is>
      </c>
      <c r="C39" t="inlineStr">
        <is>
          <t>Lensa</t>
        </is>
      </c>
      <c r="D39" t="inlineStr">
        <is>
          <t>linkedin</t>
        </is>
      </c>
      <c r="E39">
        <f>HYPERLINK("https://www.linkedin.com/jobs/view/4365624175", "https://www.linkedin.com/jobs/view/4365624175")</f>
        <v/>
      </c>
      <c r="F39">
        <f>HYPERLINK("https://lensa.com/cgw/6592a2a23eb34ec287323d826875ce37tjo1?jpsi=directemployers&amp;publisher_preference=easier_apply&amp;utm_campaign=Other%20Management%20Occupations&amp;utm_medium=slot&amp;utm_source=linkedin&amp;utm_term=jse&amp;urlHash=KwHK", "https://lensa.com/cgw/6592a2a23eb34ec287323d826875ce37tjo1?jpsi=directemployers&amp;publisher_preference=easier_apply&amp;utm_campaign=Other%20Management%20Occupations&amp;utm_medium=slot&amp;utm_source=linkedin&amp;utm_term=jse&amp;urlHash=KwHK")</f>
        <v/>
      </c>
      <c r="G39" t="inlineStr">
        <is>
          <t>Portland, OR</t>
        </is>
      </c>
      <c r="H39" t="inlineStr"/>
      <c r="I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ECMS \- BASF Environmental Catalyst and Metal Solutions Division. Clicking "Apply Now" or "Read more" on Lensa redirects you to the job board/employer site. Any information collected there is subject to their terms and privacy notice.
 Global Product Manager \- Fremont, CA or Portland, OR
 Fremont, CA, US, 94538Portland, OR, US, 97222
 Leveraging its deep expertise as the global leader in catalysis and precious metals, BASF Environmental Catalyst and Metal Solutions (ECMS) serves customers in many industries including automotive, aerospace, indoor air quality, semiconductors and hydrogen economy, and provides full loop services with its precious metals trading and recycling offering. With a focus on circular solutions and sustainability, ECMS is committed to helping our customers create a cleaner, more sustainable world. Protecting our elements of life is our purpose and this inspires us to ever\-new solutions.
 ECMS operates globally in 15 countries with approximately 20 production sites and over 4,000 employees.
**As the Global Product Manager, Temperature Sensing (TS) you will LEAD by……….**
 Focusing on driving revenue growth and profitability margin expansion primarily by collaborating with different functions such as Sales, Application Technology, Product Development, Manufacturing, Operations, Controlling through partnership to (1\) gain profitable market share, (2\) develop and implement pricing strategies, (3\) develop new products that meets customer needs and enables us to capture additional value, (4\) end\-to\-end profit and operational analysis for optimal business performance for PGM (Platinum Group Metal products) and non\-PGM elements of our business, etc.
 Success is measured by effective business management of the existing line, and development and implementation of a profitable growth strategies in all regions globally focusing on external and internal measures.
 The incumbent is a key member of the TS leadership team, and partners with members to develop and implement the overall business plan.
 In this role you will manage the key business flows:
**Margin Management**
* Responsible for the margin management of the TS portfolio globally
* Ownership of pricing and pricing process
* Initiates activities to reduce costs from the system, including overall end\-to\-end PGM (Platinum Group Metals) and non\-PGM activities
* Customer bids
* Cost and complexity optimization of the TS portfolio by optimizing end\-to\-end activities
**Portfolio Management**
* Responsible for product portfolio strategy per market segments
* Monitors competitive landscape; identifies business opportunities, risks, and unmet needs
* Supports product development and product launch activities
* Coordinates growth projects cross\-business functions and within ECMS.
* Actively participates and decides on product related topics on supply chain, planning, quality, regulatory, product allocation, etc.
* Value chain optimization and capital projects
**Contract Management**
* Partners with Sales for 3rd party agreements
* Partners with Technology Manager to optimize tollers and / or suppliers
**Forecast and short\-term budget process**
* Business financial forecasting in collaboration with Sales, Controlling, Operations, etc.
* Responsible to develop the short\-term plan
**Your elements for success……**
* BA/BS required: a degree in Engineering, or extensive experience in relevant raw materials and markets. MBA Preferred
* Minimum 6 years’ experience in sales, marketing, product management, procurement.
* Demonstrated analytical, organizational, reporting and communication skills plus business acumen are required.
* Knowledge of pricing, business planning, budgeting and forecasting methodology is required.
* Experienced in working in complex, interdisciplinary and cross\-functional teams with ability to build organizational alignment cross\-functionally through collaboration and trust
* Proven track record of achieving short\-term financial results while developing and implementing long\-term measures
* Understanding of PGMs, and/or semiconductor/industrial glass is a plus but not needed
* Must be willing and able to travel 20% of the time, including internationally
***You @ BASF ECMS***
 At BASF ECMS you get more than just compensation, Medical \&amp; Dental. Our total offer includes a wide range of elements you need to be your best in every stage of your life.
* Flexible Work Arrangements whenever possible
* Retirement Benefits with company contributions
* Competitive Medical and Dental Plan Options
* Disability and Life Insurance Programs
* Wellness Programs
* Maternity/Paternity Leave, Infertility \&amp; Adoption reimbursement
* Mentoring \&amp; Development Programs
* Employee Discounts
* Pet insurance
***What are you waiting for? Click Apply now to BELONG@BASF!!***
 BASF ECMS takes security \&amp; data privacy very seriously. We will never request financial information of any kind via email, private text message or direct message on any social medial platform or job board. Furthermore, we will never send a candidate a check for equipment or request any type of payment during the job application process. If you have experienced any of the above, please contact HR4U.US@basf\-catalystsmetals.com to report fraud. BASF is committed to pay transparency practices. The competitive Pay Range for this role is$115k\-$135kannually. Actual pay will be determine based on education, certifications, experience, and other job\-related factor permitted by law.
**All qualified applicants will receive consideration for employment without regard to race, color, religion, sex, sexual orientation, gender identity, national origin, disability, veteran status.**
**Nearest Major Market:** 
 San Francisco
**Nearest Secondary Market:** 
 Oakland
 If you have questions about this posting, please contact support@lensa.com</t>
        </is>
      </c>
    </row>
    <row r="40">
      <c r="A40" t="inlineStr">
        <is>
          <t>li-4365626771</t>
        </is>
      </c>
      <c r="B40" t="inlineStr">
        <is>
          <t>Technical Product Manager, Terminals</t>
        </is>
      </c>
      <c r="C40" t="inlineStr">
        <is>
          <t>Viasat</t>
        </is>
      </c>
      <c r="D40" t="inlineStr">
        <is>
          <t>linkedin</t>
        </is>
      </c>
      <c r="E40">
        <f>HYPERLINK("https://www.linkedin.com/jobs/view/4365626771", "https://www.linkedin.com/jobs/view/4365626771")</f>
        <v/>
      </c>
      <c r="F40" t="inlineStr"/>
      <c r="G40" t="inlineStr">
        <is>
          <t>Germantown, MD</t>
        </is>
      </c>
      <c r="H40" t="inlineStr"/>
      <c r="I40"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thrilled to announce an exciting opportunity for an onsite Technical Product Manager, Terminals to join our dynamic team in Carlsbad, CA!
 You will provide strategic direction and leadership for the planning and definition of satellite terminal products (Ka\-band, L\-band, 5G). These terminals are located at the customer venues (aircraft, ships, homes, enterprises), for use on Viasat’s networks, delivering connectivity to consumers. You will collaborate with all Viasat markets and with the broad set of engineering teams, on their needs and find the best solution to meet market needs including schedule, TCO, performance, and reliability.
**The day\-to\-day**
* Create and deliver OKRs, business cases, roadmaps, and reduction of technical debt working with Business PdMs, engineering teams, and other Tech PdMs across engineering.
* Ensure Access Edge terminals engineering teams have clarity of requirements, and acceptance criteria.
* Drive product roadmaps, and lifecycles to increase ROI (technology reuse, platform convergence), and decrease TCO (quality, diagnostics, supportability, EOL, simpler business process).
* Focus on the customer experience, optimizing every detail from installation to reliable operation.
* Use your technical knowledge to make tradeoffs, estimates, feasibility assessments on your own, and review these with the engineering teams rather than depending on them for every ask.
* Ensure price/performance of the products match the needs of each business.
* Track and monitor technology advancements in the market, and industry standards.
* Identify potential partnerships, help make Build vs Buy decisions.
* Travel up to 20%
**What You'll Need**
* 10\+ years of progressive experience in relevant areas and a track record of success.
* 4\+ years of experience in a technical product management role.
* Demonstrated success managing connectivity products used directly by a customer (e.g., modems, antennas, mobile phones). Products must have delivered B2C connectivity experiences to consumers (e.g., passengers, crew, mobile user).
* Proven ability working with global, cross\-functional teams to successfully define and manage complex technology products.
* Must have been a hands\-on engineer with success building software and/or hardware for terminal/modem/mobile phone products. You will use this knowledge and experience to make the decisions/tradeoffs/assessments in the day\-to\-day life of a Technical Product Manager.
* Technical expertise in embedded software, terminal/modem/phone hardware, satellite technologies, wireless interfaces and waveforms, WiFi, 3GPP/5G/NTN.
* Strong analytical skills and the ability to evaluate product performance metrics effectively to inform strategic decisions and future improvements.
* Excellent communication and presentation skills, with experience conveying complex technical concepts to non\-technical stakeholders and senior leadership.
**What Will Help You On The Job**
* Demonstrated track record of delivering cross\-functional, customer\-facing products to ensure a world\-class customer experience.
**Salary range**
 $145,500\.00 \- $230,000\.00 / annually. For specific work locations within San Jose, the San Francisco Bay area and New York City metropolitan area, the base pay range for this role is $181,000\.00\- $271,000\.00/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41">
      <c r="A41" t="inlineStr">
        <is>
          <t>li-4365615530</t>
        </is>
      </c>
      <c r="B41" t="inlineStr">
        <is>
          <t>Global Product Manager - Fremont, CA or Portland, OR</t>
        </is>
      </c>
      <c r="C41" t="inlineStr">
        <is>
          <t>Lensa</t>
        </is>
      </c>
      <c r="D41" t="inlineStr">
        <is>
          <t>linkedin</t>
        </is>
      </c>
      <c r="E41">
        <f>HYPERLINK("https://www.linkedin.com/jobs/view/4365615530", "https://www.linkedin.com/jobs/view/4365615530")</f>
        <v/>
      </c>
      <c r="F41">
        <f>HYPERLINK("https://lensa.com/cgw/ff00a783973449358ad92b6ccca72042tjo1?jpsi=directemployers&amp;publisher_preference=easier_apply&amp;utm_campaign=Other%20Management%20Occupations&amp;utm_medium=slot&amp;utm_source=linkedin&amp;utm_term=jse&amp;urlHash=5vt_", "https://lensa.com/cgw/ff00a783973449358ad92b6ccca72042tjo1?jpsi=directemployers&amp;publisher_preference=easier_apply&amp;utm_campaign=Other%20Management%20Occupations&amp;utm_medium=slot&amp;utm_source=linkedin&amp;utm_term=jse&amp;urlHash=5vt_")</f>
        <v/>
      </c>
      <c r="G41" t="inlineStr">
        <is>
          <t>Fremont, CA</t>
        </is>
      </c>
      <c r="H41" t="inlineStr"/>
      <c r="I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ECMS \- BASF Environmental Catalyst and Metal Solutions Division. Clicking "Apply Now" or "Read more" on Lensa redirects you to the job board/employer site. Any information collected there is subject to their terms and privacy notice.
 Global Product Manager \- Fremont, CA or Portland, OR
 Fremont, CA, US, 94538Portland, OR, US, 97222
 Leveraging its deep expertise as the global leader in catalysis and precious metals, BASF Environmental Catalyst and Metal Solutions (ECMS) serves customers in many industries including automotive, aerospace, indoor air quality, semiconductors and hydrogen economy, and provides full loop services with its precious metals trading and recycling offering. With a focus on circular solutions and sustainability, ECMS is committed to helping our customers create a cleaner, more sustainable world. Protecting our elements of life is our purpose and this inspires us to ever\-new solutions.
 ECMS operates globally in 15 countries with approximately 20 production sites and over 4,000 employees.
**As the Global Product Manager, Temperature Sensing (TS) you will LEAD by……….**
 Focusing on driving revenue growth and profitability margin expansion primarily by collaborating with different functions such as Sales, Application Technology, Product Development, Manufacturing, Operations, Controlling through partnership to (1\) gain profitable market share, (2\) develop and implement pricing strategies, (3\) develop new products that meets customer needs and enables us to capture additional value, (4\) end\-to\-end profit and operational analysis for optimal business performance for PGM (Platinum Group Metal products) and non\-PGM elements of our business, etc.
 Success is measured by effective business management of the existing line, and development and implementation of a profitable growth strategies in all regions globally focusing on external and internal measures.
 The incumbent is a key member of the TS leadership team, and partners with members to develop and implement the overall business plan.
 In this role you will manage the key business flows:
**Margin Management**
* Responsible for the margin management of the TS portfolio globally
* Ownership of pricing and pricing process
* Initiates activities to reduce costs from the system, including overall end\-to\-end PGM (Platinum Group Metals) and non\-PGM activities
* Customer bids
* Cost and complexity optimization of the TS portfolio by optimizing end\-to\-end activities
**Portfolio Management**
* Responsible for product portfolio strategy per market segments
* Monitors competitive landscape; identifies business opportunities, risks, and unmet needs
* Supports product development and product launch activities
* Coordinates growth projects cross\-business functions and within ECMS.
* Actively participates and decides on product related topics on supply chain, planning, quality, regulatory, product allocation, etc.
* Value chain optimization and capital projects
**Contract Management**
* Partners with Sales for 3rd party agreements
* Partners with Technology Manager to optimize tollers and / or suppliers
**Forecast and short\-term budget process**
* Business financial forecasting in collaboration with Sales, Controlling, Operations, etc.
* Responsible to develop the short\-term plan
**Your elements for success……**
* BA/BS required: a degree in Engineering, or extensive experience in relevant raw materials and markets. MBA Preferred
* Minimum 6 years’ experience in sales, marketing, product management, procurement.
* Demonstrated analytical, organizational, reporting and communication skills plus business acumen are required.
* Knowledge of pricing, business planning, budgeting and forecasting methodology is required.
* Experienced in working in complex, interdisciplinary and cross\-functional teams with ability to build organizational alignment cross\-functionally through collaboration and trust
* Proven track record of achieving short\-term financial results while developing and implementing long\-term measures
* Understanding of PGMs, and/or semiconductor/industrial glass is a plus but not needed
* Must be willing and able to travel 20% of the time, including internationally
***You @ BASF ECMS***
 At BASF ECMS you get more than just compensation, Medical \&amp; Dental. Our total offer includes a wide range of elements you need to be your best in every stage of your life.
* Flexible Work Arrangements whenever possible
* Retirement Benefits with company contributions
* Competitive Medical and Dental Plan Options
* Disability and Life Insurance Programs
* Wellness Programs
* Maternity/Paternity Leave, Infertility \&amp; Adoption reimbursement
* Mentoring \&amp; Development Programs
* Employee Discounts
* Pet insurance
***What are you waiting for? Click Apply now to BELONG@BASF!!***
 BASF ECMS takes security \&amp; data privacy very seriously. We will never request financial information of any kind via email, private text message or direct message on any social medial platform or job board. Furthermore, we will never send a candidate a check for equipment or request any type of payment during the job application process. If you have experienced any of the above, please contact HR4U.US@basf\-catalystsmetals.com to report fraud. BASF is committed to pay transparency practices. The competitive Pay Range for this role is$115k\-$135kannually. Actual pay will be determine based on education, certifications, experience, and other job\-related factor permitted by law.
**All qualified applicants will receive consideration for employment without regard to race, color, religion, sex, sexual orientation, gender identity, national origin, disability, veteran status.**
**Nearest Major Market:** 
 San Francisco
**Nearest Secondary Market:** 
 Oakland
 If you have questions about this posting, please contact support@lensa.com</t>
        </is>
      </c>
    </row>
    <row r="42">
      <c r="A42" t="inlineStr">
        <is>
          <t>li-4365645322</t>
        </is>
      </c>
      <c r="B42" t="inlineStr">
        <is>
          <t>Senior Product Manager - QuickBooks Accounting Automation</t>
        </is>
      </c>
      <c r="C42" t="inlineStr">
        <is>
          <t>Intuit</t>
        </is>
      </c>
      <c r="D42" t="inlineStr">
        <is>
          <t>linkedin</t>
        </is>
      </c>
      <c r="E42">
        <f>HYPERLINK("https://www.linkedin.com/jobs/view/4365645322", "https://www.linkedin.com/jobs/view/4365645322")</f>
        <v/>
      </c>
      <c r="F42">
        <f>HYPERLINK("https://dsp.prng.co/ygSwvWb&amp;urlHash=3Ttg", "https://dsp.prng.co/ygSwvWb&amp;urlHash=3Ttg")</f>
        <v/>
      </c>
      <c r="G42" t="inlineStr">
        <is>
          <t>Mountain View, CA</t>
        </is>
      </c>
      <c r="H42" t="inlineStr"/>
      <c r="I42" t="inlineStr">
        <is>
          <t>**Overview**
 Come join the core of the QuickBooks Online ecosystem as a Senior Product Manager on the QuickBooks Accounting Automation team. Our mission is to automate accounting for over 6 million small businesses around the world, allowing them to spend their time on managing and growing their business, not tedious bookkeeping. We deliver confidently compliant books with a “done for you” accounting solution powered by the AI\-driven Accounting Agent.
 We are looking for a Senior Product Manager to lead critical product innovations that will delight small businesses and the accountants who serve them. Build deep customer empathy for our customers who are looking for a better way to manage their business finances. Define and deliver AI solutions to get new customers setup and personalize their accounting to fuel our ability to provide a done\-for\-you experience. Power the growth of GBSG providing modern and intelligent accounting capabilities leveraged by virtually all GBSG teams.
**Responsibilities**
* Develop and execute impactful product strategies that align with business objectives and customer needs
* Survey the state of the industry and technology advances in AI/ML to identify the next wave of accounting innovations relevant to Intuit
* Translate product strategy into an actionable roadmap to deliver measurable outcomes
* Lead a cross\-functional team including engineering, design, and product functions to build innovative product experiences that delight customers
* Ruthlessly prioritize your team’s backlog and work across teams to drive work in dependent areas
* Partner extensively across business units to define and execute against plans. Drive decision making, role clarity, alignment and escalations as necessary
* Identify key hypotheses which need to be tested and define the appropriate testing methodology, experiments, and success criteria. Align with teams, document the learning plan and execute experiments with speed
* Take a data driven approach in defining success metrics, prioritizing requirements, and communicating plans, progress and success
* Proactively communicate frequently and clearly with other teams, stakeholders, and leaders
**Qualifications**
* Demonstrated track record in SaaS product management delivering experiences that solve core customer needs
* User focused mindset, drawing out deep customer insights, combined with data to fuel product vision and direction
* Ability to uncover customer needs and leverage the latest technologies, including Artificial Intelligence and Machine Learning, to create innovative solutions
* Can fluidly operate at multiple levels, from distilling insights and presenting to leadership as well as getting involved at the ground level and sweating the details
* Excited by the prospect of innovating within the core of the QuickBooks ecosystem \- where partnering and prioritizing across many stakeholders is the norm
* Experience working in complex environments and comfortable navigating ambiguity with a strong bias for action
* Comfortable working in a highly collaborative and customer\-obsessed work environment
* Skilled at cross functional collaboration; strong at influencing and negotiating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43">
      <c r="A43" t="inlineStr">
        <is>
          <t>li-4321324601</t>
        </is>
      </c>
      <c r="B43" t="inlineStr">
        <is>
          <t>Senior Product Manager, Hotels.com</t>
        </is>
      </c>
      <c r="C43" t="inlineStr">
        <is>
          <t>Expedia Group</t>
        </is>
      </c>
      <c r="D43" t="inlineStr">
        <is>
          <t>linkedin</t>
        </is>
      </c>
      <c r="E43">
        <f>HYPERLINK("https://www.linkedin.com/jobs/view/4321324601", "https://www.linkedin.com/jobs/view/4321324601")</f>
        <v/>
      </c>
      <c r="F43" t="inlineStr"/>
      <c r="G43" t="inlineStr">
        <is>
          <t>Chicago, IL</t>
        </is>
      </c>
      <c r="H43" t="inlineStr"/>
      <c r="I43"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Join Expedia Group as a Senior Product Manager for Hotels.com. In this role, you'll lead the end\-to\-end product lifecycle for a key area within Hotels.com’s portfolio — this could include driving the future of hotels distribution technologies, tailoring the experience to new customer types and geographies, or gamifying our experience to drive deeper customer engagement. This role will be instrumental in shaping the future of travel experiences for millions of customers and hoteliers worldwide.
 As a Senior Product Manager, you'll bring curiosity and drive to innovate and optimize on behalf of our users while delivering business impact. This position offers an exciting opportunity to tackle complex challenges in the travel industry, applying cutting\-edge technologies and data\-driven insights to create seamless, personalized travel experiences. You'll be at the forefront of innovation, influencing product strategy not just for your domain, but across the broader Expedia Group ecosystem.
**In This Role, You Will**
* Champion the User: Represent the voice of the customer and champion to internal teams and partners. Identify organizational, technical, product, design, and data gaps to unlock step change\-improvements.
* Shape Product Vision \&amp; Strategy: Develop and leverage deep knowledge of the user and the competitive landscape to shape a long\-term vision
* Drive Product Execution: Build, prioritize, and manage a product roadmap – turning vision into clear requirements and then working across multiple teams in the design and development
* Provide Leadership \&amp; Influence: Demonstrate the grit and resilience to align and influence stakeholders inside and outside the product team. Contribute to setting a department\-wide culture of inclusivity.
* Communicate with Clarity: Craft clear, concise, and organized communication to effectively convey complex product concepts and strategies. A
* Apply Technology Acumen: Work with engineering and data science leaders to drive improvements using the latest technologies
* Leverage Data \&amp; Metrics: Leverage a deep understanding of data analytics, predictive modeling, and machine learning to identify opportunities to enhance customer experience.
**Experience And Qualifications**
* You have 7\+ years of product management experience, with a proven track record of delivering complex, high\-impact products
* You have demonstrated ability to set and align long\-term vision for products cutting across multiple workstreams
* You have a deep understanding of technology trends, including AI/ML applications in product development
* You have strong business acumen with experience in financial modeling and driving product profitability
* You have strong analytical skills, with the ability to leverage data to drive decision\-making and strategy
* You have excellent communication skills, including the ability to present complex ideas to both technical and non\-technical audiences
* You have a Bachelor's degree in a related field, or equivalent professional experience
* You are kind and curious
 The total cash range for this position in Chicago is $161,000\.00 to $225,500\.00\. Employees in this role have the potential to increase their pay up to $257,500\.00,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row>
    <row r="44">
      <c r="A44" t="inlineStr">
        <is>
          <t>li-4365626391</t>
        </is>
      </c>
      <c r="B44" t="inlineStr">
        <is>
          <t>Senior Product Manager, Hardware Devices</t>
        </is>
      </c>
      <c r="C44" t="inlineStr">
        <is>
          <t>Tools for Humanity</t>
        </is>
      </c>
      <c r="D44" t="inlineStr">
        <is>
          <t>linkedin</t>
        </is>
      </c>
      <c r="E44">
        <f>HYPERLINK("https://www.linkedin.com/jobs/view/4365626391", "https://www.linkedin.com/jobs/view/4365626391")</f>
        <v/>
      </c>
      <c r="F44" t="inlineStr"/>
      <c r="G44" t="inlineStr">
        <is>
          <t>San Francisco, CA</t>
        </is>
      </c>
      <c r="H44" t="inlineStr"/>
      <c r="I44" t="inlineStr">
        <is>
          <t>**About the Company:**
 World is building a real human network designed to accelerate people in the age of AI. As bots and autonomous agents reshape the internet, people, institutions, and applications need a trusted way to confirm who is a real human while preserving privacy. Our products make this possible: the Orb verifies real people, World ID proves it privately, and World App enables and distributes the new applications made possible by this technology. Together, they form a new layer for AI internet.
 We’re one of the fastest\-growing networks in tech. More than 17 million people across 160 countries have verified with World ID, and we complete over 350,000 verifications each week. World App is already among the most used wallets globally. Developers are integrating World ID to build safer online experiences and create spaces where real people can participate, earn, and be recognized in ways AI simply can’t replicate.
 World was founded in 2019 and launched globally in 2023\. We are more than 400 people across hardware, software, AI, cryptography, mobile engineering, and global operations. Our teams come from OpenAI, Tesla, SpaceX, Apple, Google, Stripe, Meta, Coinbase, Palantir and MIT Media Lab. We’re backed by leading investors, including a16z, Khosla Ventures, Bain Capital Crypto, Blockchain Capital, Variant, Tiger Global, and Coinbase Ventures, as well as prominent operators and founders across fintech and AI.
 World has been featured on the cover of TIME Magazine, highlighted in Fast Company’s Next 5 in Fintech, and explored in a Bloomberg deep dive. The New York Times, Bankless and TechCrunch have all recognized our progress in identity, cryptography, AI, and global\-scale hardware deployment. Our leadership is also named to the Time AI 100\. Learn more about the newest product launches from our Unwrapped event.
****About the Team:****
 The Devices team at Tools for Humanity is responsible for next\-generation hardware devices that enable global proof\-of\-human verification and expand the possibilities of human\-centric blockchain systems. This role will be instrumental in scaling our current hardware solutions worldwide, exploring new form factors, and identifying new product opportunities that create unique value in decentralized ecosystems.
 This is a high\-impact, strategic role that requires a mix of hardware product vision, business acumen, deep technical fluency, and user\-centric thinking. You will work cross\-functionally with engineering, design and operation. Additionally, you will partner with industry leading peers in areas such as on\-device machine learning, novel cryptographic research, and economists.
 Our hardware products reach billions of people globally. We offer competitive compensation, professional development opportunities, and a collaborative work environment.
**Job Opportunity:**
 As a Senior Product Manager with Tools for Humanity, you will:
* Identify new form factors and emerging technologies that enhance our existing hardware product portfolio.
* Explore and validate new hardware concepts that create novel use cases in a decentralized system.
* Work closely with hardware leads, industrial designers, software teams, and blockchain engineers to imagine and launch new products.
* Drive the product lifecycle from concept and prototyping to mass production and global deployment.
* Partner with manufacturing, compliance, and supply chain teams to ensure scalable, cost\-effective production.
* Define and prioritize features, specifications, and design trade\-offs.
* Gather and analyze user feedback to refine product iterations.
* Identify and overcome challenges in scaling hardware products to international markets, considering logistics, compliance, and regional requirements.
* Collaborate with business and marketing teams to define go\-to\-market strategies and adoption plans.
* Implement program tracking tools and dashboards to communicate status and risks to stakeholders.
**Core Responsibilities:**
* Define the long\-term vision, strategy, and roadmap for new hardware products that support proof\-of\-human verification.
* Lead complex hardware projects from conception through to production, ensuring they meet strict timelines, budget requirements, and quality standards.
* Stay at the forefront of hardware authentication, biometrics, blockchain\-based identity solutions, and cryptographic security.
* Work with external partners and startups to identify opportunities and innovations for future devices.
* Lead the delivery of strategic cross\-functional products from concept to shipment.
* Help to resolve engineering challenges hands\-on and by leveraging supplier relationships.
**About You:**
* 5\+ years of experience in hardware product management, consumer electronics, or IoT devices.
* A Bachelor’s degree in Engineering or equivalent professional experience.
* A natural ability to operate autonomously across multiple teams in situations of extreme ambiguity, with only high\-level direction
* Experience taking hardware products from concept to mass production in global markets.
 Understanding of blockchain technology, cryptographic identity, or decentralized systems is a plus.
* Experience with industrial design, manufacturing processes, and supply chain logistics.
* Excellent ability to translate user needs into compelling hardware solutions.
* Strong cross\-functional leadership skills—ability to work across engineering, design, operations, and business teams.
* Data\-driven decision\-maker with experience in user research, competitive analysis, and business modeling.
* Familiarity with regulatory compliance, certification processes, and security standards for hardware devices is a plus.
* Comfortable working in fast\-paced, high\-growth environments with evolving priorities.
* Fluency in English is a must. German language skills are a plus.
**What we offer in San Francisco:**
* An open and collaborative office space in downtown SF
* Unlimited PTO
* Monthly Phone Reimbursement or a company device
* Top\-tier medical, dental, vision insurance
* 401k \+ employer match program
 By submitting your application, you consent to the processing and internal sharing of your CV within the company, in compliance with the GDPR
 Pay transparency statement (for CA and NY based roles):
 The reasonably estimated salary for this role at TFH ranges from $200,000 \- $245,000, plus a competitive long term incentive package. Actual compensation is based on factors such as the candidate's skills, qualifications, and experience. In addition, TFH offers a wide range of best in class, comprehensive and inclusive employee benefits for this role including healthcare, dental, vision, a 401(k) plan and match, life insurance, flexible time off, commuter benefits, professional development stipend and much more!</t>
        </is>
      </c>
    </row>
    <row r="45">
      <c r="A45" t="inlineStr">
        <is>
          <t>li-4365641223</t>
        </is>
      </c>
      <c r="B45" t="inlineStr">
        <is>
          <t>Lead Product Manager, GL</t>
        </is>
      </c>
      <c r="C45" t="inlineStr">
        <is>
          <t>WEX</t>
        </is>
      </c>
      <c r="D45" t="inlineStr">
        <is>
          <t>linkedin</t>
        </is>
      </c>
      <c r="E45">
        <f>HYPERLINK("https://www.linkedin.com/jobs/view/4365641223", "https://www.linkedin.com/jobs/view/4365641223")</f>
        <v/>
      </c>
      <c r="F45" t="inlineStr"/>
      <c r="G45" t="inlineStr">
        <is>
          <t>Maine, United States</t>
        </is>
      </c>
      <c r="H45" t="inlineStr"/>
      <c r="I45" t="inlineStr">
        <is>
          <t>Lead Product Manager, Finance and Corporate Systems
 WEX is an innovative payments and technology company helping our customers simplify the business of running a business in a rapidly changing environment; freeing them to spend more time, with less worry, on the things they love. As we lean into our mission to “simplify the business of running a business”, WEX is focused on simplifying and reimagining experiences for both our customers and employees. We are looking for a Lead Product Manager to own the execution and delivery of the Customer and Enterprise team’s financial and corporate systems product roadmap. In this role, you will collaborate across the business to build the roadmap with an emphasis on creating simple and integrated experiences that solve key pain points for WEX in the billing and financial functions. The Lead Product Manager will own end\-to\-end experiences and define and drive various workstreams; collaborating and aligning across lines of business with Finance, Receivables and HR.
**About The Team**
 Come and join the Customer and Enterprise Team as we work to transform our company. We aren’t just changing the way customers engage with us, we are transforming and re\-imagining our business from within, by focusing on the individual user. Our team promotes an agile, collaborative, supportive environment where diverse thinking, innovative design, and experimentation is welcomed and encouraged.
**What You’ll Do**
* Modernize and unify our financial systems end\-to end by developing business models, defining and analyzing success metrics, and managing strategic projects
* Deliver best in class experiences and enable capabilities that delight employees and help WEX win in the market
* Deeply understand WEX and our employee needs to define and prioritize the problems to be solved and inspire the broader team
* Build the billing and finance roadmap, define users, and drive tradeoff decisions
* Lead 1\-2 scrum teams to align on mission and deliver great results iteratively
* Leverage qualitative and quantitative data to measure results, inform roadmaps and achieve benefit, adoption and financial results
* Cross collaborate with product management, analytics, UX, sales/commercial on product research to come up with better and disruptive solutions
* Engage in technical discussions with senior engineers to define product strategy, create value, and impact the direction of products and the business
* Be a trusted partner that can present effectively to high\-level stakeholders, set clear priorities and direction, and build bridges across groups
**How You’ll Engage**
* Strategic Mindset: Seek to understand WEX’s corporate strategy, the competitive environment and market trends and how our products can create value
* Customer Obsessed: Deeply understand our customers’ needs through customer empathy, data and prioritize work
* Results Focused: Leverage data to understand how the product is performing and prioritize work
* Insights Driven: Use qualitative and quantitative insights to drive decisions, define experiments and prioritize roadmap
* Trusted Partner: Appreciate and comprehend different points of view and share information clearly and transparently with strong collaboration while knowing when to escalate
* Relevant Expertise: Brings a deep understanding of the market, applied technologies and domain expertise, with a curiosity and learning mindset
**What You’ll Bring**
* 10 \- 15 years of specific product management leader experience (mandatory), ideally with an emphasis on financial, HR and data systems.
* Proven methodologies and demonstrated experience developing great products and processes in finance, including customer driven innovation, rapid experimentation, prototyping, customer journey mapping, and measuring outcomes
* Clarity on how features (micro) interface with overall product vision (macro) and the ability to clearly articulate that vision to all levels of the organization
* Proven track record of leading multiple highly successful cross\-functional teams and delivering different initiatives in parallel that drive value across an organization
* Comfort navigating through ambiguity and changing business environments
* Strong ability to think through unifying elements and common denominators; develop efficient and effective workflows and interfaces with a focus on automation leveraging AI capabilities
* Deep experience with big data frameworks
* Data driven approach for everything you do, understanding your customers, roadmap prioritization and measuring success.
* Ability to work in an agile fashion with your teams; go broad or narrow; build, test, iterate
* Undergraduate degree required, advanced degree is a plus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$161,300\.00 \- $183,000\.00</t>
        </is>
      </c>
    </row>
    <row r="46">
      <c r="A46" t="inlineStr">
        <is>
          <t>li-4365627276</t>
        </is>
      </c>
      <c r="B46" t="inlineStr">
        <is>
          <t>Program Manager</t>
        </is>
      </c>
      <c r="C46" t="inlineStr">
        <is>
          <t>LightFeather</t>
        </is>
      </c>
      <c r="D46" t="inlineStr">
        <is>
          <t>linkedin</t>
        </is>
      </c>
      <c r="E46">
        <f>HYPERLINK("https://www.linkedin.com/jobs/view/4365627276", "https://www.linkedin.com/jobs/view/4365627276")</f>
        <v/>
      </c>
      <c r="F46" t="inlineStr"/>
      <c r="G46" t="inlineStr"/>
      <c r="H46" t="inlineStr"/>
      <c r="I46" t="inlineStr">
        <is>
          <t>LightFeather is seeking an experienced
 **IT Program Manager** 
 to lead the delivery of federal technology modernization projects. The Program Manager will serve as the primary point of coordination between federal stakeholders, technical teams, and LightFeather leadership, ensuring projects are delivered on time, within scope, and compliant with federal standards. This role focuses on driving cloud migration, DevSecOps implementation, database modernization, and platform transformation initiatives that deliver measurable value to government agencies. The ideal candidate will excel in agile environments and have deep experience managing complex technical implementations in federal settings.
**Location:** 
 Remote (Candidates in the DC Metro area preferred)
**Job Type:** 
 Full\-time
**Citizenship:** 
 U.S. Citizenship Required
**Clearance Requirement:** 
 Active Public Trust clearance or higher required
**Key Responsibilities**
* Lead program delivery for federal IT modernization initiatives, serving as primary client interface and coordinating with stakeholders to translate business requirements into technical roadmaps.
* Implement and facilitate agile methodologies including Scrum ceremonies, sprint planning, demos, and retrospectives to ensure iterative value delivery and continuous improvement.
* Coordinate development activities across cloud infrastructure, DevSecOps pipelines, database modernization, application development, and support functions, aligning resources with mission priorities.
* Oversee platform reliability and performance including system uptime requirements (typically \&gt;99%), monitoring, maintenance procedures, and proactive issue resolution.
* Manage compliance and quality assurance including development of Quality Control Plans, federal security standards (FISMA, FedRAMP, Section 508\), and assessment activities such as POA\&amp;Ms and vulnerability management.
* Lead project kickoff sessions, stakeholder meetings, and technical status updates, ensuring risks, dependencies, and issues are tracked, communicated, and resolved appropriately.
* Prepare and deliver monthly progress reports and executive briefings summarizing accomplishments, metrics, issues, and upcoming milestones for government leadership.
* Coordinate helpdesk and user support services managing user cases, system bugs, and service requests while maintaining high customer satisfaction standards.
* Oversee cloud migration and modernization efforts including infrastructure transformation, legacy system updates, data migration, and integration activities.
* Manage PIV card compliance and personnel security requirements, coordinating Assessment and Authorization (A\&amp;A) activities and security documentation.
* Maintain project documentation including management plans, technical specifications, user stories, and lessons learned throughout the project lifecycle.
* Serve as the primary point of contact for client leadership, providing clear communication on progress, risks, resolutions, and strategic recommendations.
**Required Qualifications**
* U.S. Citizenship required.
* Active Public Trust clearance or higher.
* Active PMP Certification.
* 5\+ years of program or project management experience in federal IT environments with demonstrated success leading complex technical projects.
* Proven experience with agile methodologies including hands\-on facilitation of Scrum events and managing development teams in government contracting environments.
* Strong understanding of cloud platforms and modern architecture patterns with experience in cloud migration, DevSecOps practices, and database modernization projects.
* Knowledge of federal compliance frameworks including FISMA, FedRAMP, Section 508 accessibility requirements, and security standards.
* Excellent communication skills with ability to present to executive audiences, translate technical concepts, and build relationships with diverse stakeholder groups.
* Experience managing technical teams and subcontractors with strong organizational and time management skills to oversee multiple priorities.
* Proven track record preparing project plans, reports, and management documentation for federal clients and audit requirements.
**Preferred Skills**
* CSM, SAFe, or equivalent agile certifications.
* Experience with federal platforms serving large user bases and complex data requirements.
* Familiarity with modern development tools such as JIRA, Confluence, and project management platforms.
* Background in DevSecOps pipelines, CI/CD practices, and automated testing environments.
* Knowledge of database modernization including cloud\-native databases, data governance, and migration strategies.
* Understanding of enterprise architecture and technology alignment with federal standards.
* Experience with transition\-in or transition\-out activities and contract management processes.
**Why Join LightFeather?**
 You'll be part of a team dedicated to meaningful impact, working on solutions that address mission\-critical needs. Experience variety, fulfillment, and the opportunity to work with some of the best in the industry.</t>
        </is>
      </c>
    </row>
    <row r="47">
      <c r="A47" t="inlineStr">
        <is>
          <t>li-4355452381</t>
        </is>
      </c>
      <c r="B47" t="inlineStr">
        <is>
          <t>Product Manager, AI Powered Messaging</t>
        </is>
      </c>
      <c r="C47" t="inlineStr">
        <is>
          <t>Jerry</t>
        </is>
      </c>
      <c r="D47" t="inlineStr">
        <is>
          <t>linkedin</t>
        </is>
      </c>
      <c r="E47">
        <f>HYPERLINK("https://www.linkedin.com/jobs/view/4355452381", "https://www.linkedin.com/jobs/view/4355452381")</f>
        <v/>
      </c>
      <c r="F47">
        <f>HYPERLINK("https://jobs.ashbyhq.com/Jerry.ai/87cc3c1d-fa99-45ae-8526-22d3a988aa5e?utm_source=6Vdva5VPyD&amp;urlHash=uDID", "https://jobs.ashbyhq.com/Jerry.ai/87cc3c1d-fa99-45ae-8526-22d3a988aa5e?utm_source=6Vdva5VPyD&amp;urlHash=uDID")</f>
        <v/>
      </c>
      <c r="G47" t="inlineStr">
        <is>
          <t>Miami, FL</t>
        </is>
      </c>
      <c r="H47" t="inlineStr"/>
      <c r="I4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48">
      <c r="A48" t="inlineStr">
        <is>
          <t>li-4363377069</t>
        </is>
      </c>
      <c r="B48" t="inlineStr">
        <is>
          <t>Product Owner</t>
        </is>
      </c>
      <c r="C48" t="inlineStr">
        <is>
          <t>Jobs via Dice</t>
        </is>
      </c>
      <c r="D48" t="inlineStr">
        <is>
          <t>linkedin</t>
        </is>
      </c>
      <c r="E48">
        <f>HYPERLINK("https://www.linkedin.com/jobs/view/4363377069", "https://www.linkedin.com/jobs/view/4363377069")</f>
        <v/>
      </c>
      <c r="F48" t="inlineStr"/>
      <c r="G48" t="inlineStr">
        <is>
          <t>New York, NY</t>
        </is>
      </c>
      <c r="H48" t="inlineStr"/>
      <c r="I48" t="inlineStr">
        <is>
          <t>Dice is the leading career destination for tech experts at every stage of their careers. Our client, Synkriom, is seeking the following. Apply via Dice today!
**Position : Product Owner/Manager**
**Location : New York, NY**
**Mode of Hire: Contract**
**Job Description :** 
 Title: Product Owner/Manager with SQL (Data) experience \- 8\-12 years experience with highly driven Data Product Owner / Product Manager with strong SQL and data\-domain expertise to lead the end\-to\-end delivery of data\-focused products and solutions. \- Strong SQL skills (ability to write complex queries, validate data, perform reconciliation, etc.). \- Use SQL to query datasets, verify requirements, validate results, and troubleshoot issues. \- Perform hands\-on validation of delivered features, including SQL\-based data validation and sign\-off. \- Experience working with data engineering, or analytics teams. \- Excellent communication and presentation skills, including experience communicating to senior leadership. \- Demonstrated ability to lead cross\-functional teams and drive projects from concept to launch. \- Serve as the primary product owner for data\-focused initiatives and agile delivery teams. \- Gather, analyze, and refine business requirements, ensuring clarity and alignment with organizational goals. \- Translate business needs into detailed user stories, feature definitions, and acceptance criteria for development teams. \- Prioritize product backlog based on business value, dependencies, and strategic objectives. \- Work closely with data engineers, architects, and analytics teams to design and deliver data products such as data pipelines, data models, dashboards, and APIs.</t>
        </is>
      </c>
    </row>
    <row r="49">
      <c r="A49" t="inlineStr">
        <is>
          <t>li-4355482294</t>
        </is>
      </c>
      <c r="B49" t="inlineStr">
        <is>
          <t>Product Manager, Marketplace Growth</t>
        </is>
      </c>
      <c r="C49" t="inlineStr">
        <is>
          <t>Jerry</t>
        </is>
      </c>
      <c r="D49" t="inlineStr">
        <is>
          <t>linkedin</t>
        </is>
      </c>
      <c r="E49">
        <f>HYPERLINK("https://www.linkedin.com/jobs/view/4355482294", "https://www.linkedin.com/jobs/view/4355482294")</f>
        <v/>
      </c>
      <c r="F49">
        <f>HYPERLINK("https://jobs.ashbyhq.com/Jerry.ai/9dd1eb0a-2130-4cfe-938c-80e727c9c8e6?utm_source=6Vdva5VPyD&amp;urlHash=9JXH", "https://jobs.ashbyhq.com/Jerry.ai/9dd1eb0a-2130-4cfe-938c-80e727c9c8e6?utm_source=6Vdva5VPyD&amp;urlHash=9JXH")</f>
        <v/>
      </c>
      <c r="G49" t="inlineStr">
        <is>
          <t>Nashville, TN</t>
        </is>
      </c>
      <c r="H49" t="inlineStr"/>
      <c r="I4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0">
      <c r="A50" t="inlineStr">
        <is>
          <t>li-4355384279</t>
        </is>
      </c>
      <c r="B50" t="inlineStr">
        <is>
          <t>Product Launch Program Manager</t>
        </is>
      </c>
      <c r="C50" t="inlineStr">
        <is>
          <t>Litera</t>
        </is>
      </c>
      <c r="D50" t="inlineStr">
        <is>
          <t>linkedin</t>
        </is>
      </c>
      <c r="E50">
        <f>HYPERLINK("https://www.linkedin.com/jobs/view/4355384279", "https://www.linkedin.com/jobs/view/4355384279")</f>
        <v/>
      </c>
      <c r="F50">
        <f>HYPERLINK("https://litera.wd12.myworkdayjobs.com/Litera_Careers/job/Chicago-IL/Product-Launch-Program-Manager_R-500996-1?source=LinkedIn&amp;urlHash=A6In", "https://litera.wd12.myworkdayjobs.com/Litera_Careers/job/Chicago-IL/Product-Launch-Program-Manager_R-500996-1?source=LinkedIn&amp;urlHash=A6In")</f>
        <v/>
      </c>
      <c r="G50" t="inlineStr">
        <is>
          <t>Boston, MA</t>
        </is>
      </c>
      <c r="H50" t="inlineStr"/>
      <c r="I50"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any of our North American office locations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Austin \| Boston \| Chicago \| Denver \| New Jersey \| New York City \| Philadelphia \| Raleigh \| Toronto**
**Overview:** 
 As a Product Launch Program Manager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The Product Launch Program Manager is responsible for orchestrating the planning and execution of product launches across the organization. This role ensures cross\-functional alignment, drives operational excellence, and maintains a consistent rhythm of business to support go\-to\-market success.
 As the company enters a phase of accelerated growth and product expansion, the Product Launch Program Manager will play a pivotal role in ensuring that every launch is executed with precision, cross\-functional alignment, and strategic impact. This role is not just about managing timelines; it’s about enabling scale.
 The candidate successful in this role will be the central orchestrator of launch activities, connecting dots across Product, Marketing, Sales, Enablement, and Customer Success to ensure readiness and momentum while also helping Litera leadership stay focused, make timely decisions, and maintain accountability. This role will directly influence how quickly and effectively we bring value to market, making this role essential to our ability to scale with confidence and clarity.
**Key Responsibilities:**
* Go\-To\-Market Execution
+ Own the end\-to\-end planning and execution of product launches.
+ Lead launch readiness reviews and war games to validate GTM preparedness, and own coordinating remediation of any identified gaps.
+ Manage the product launch calendar and ensure visibility across teams.
+ Coordinate cross\-functional stakeholders including Product, Marketing, Revenue, Customer Success, Finance, and Enablement.
+ Track launch KPIs and post\-launch retrospectives to drive continuous improvement.
* Rhythm of Business
+ Facilitate recurring forums (e.g., PAGs, launch reviews, GTM syncs, leadership updates).
+ Maintain agendas, capture decisions, and ensure follow\-through on action items.
+ Drive accountability and clarity across teams by documenting and communicating key outcomes for identified success metrics.
+ Align launch milestones with broader strategic initiatives.
**Qualifications:**
* 5\+ years of experience in program management, product operations, or GTM roles.
* Proven ability to manage complex cross\-functional initiatives.
* Strong communication and facilitation skills.
* Experience with launch planning tools and frameworks.
* Comfortable operating in fast\-paced, ambiguous environments.
**Nice to Have**
* Six Sigma Certification (Green Belt or higher) for process optimization and operational rigor.
* PMP or PMI\-ACP Certification for structured program management and agile delivery.
* Change Management Certification (Prosci, etc) or equivalent experience to support organizational readiness and adoption.
* Experience with KPI / OKR frameworks and performance tracking tools.
* Familiarity with JIRA, Asana, Smartsheet, or similar tools for project tracking and collaboration.
* Background in SaaS product launches for enterprise software.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**Pay Transparency Notice for Colorado Applicants:**
 The annual salary range for this position is $90,000 to $115,500\. Actual compensation is determined by factors including education, work experience, certifications, and other relevant qualifications. Litera offers a comprehensive benefits package including health, dental, and vision insurance, 401(k) with company contribution, and incentive and recognition programs. All benefits are subject to eligibility requirements.
 Litera is an equal opportunity employer. We celebrate diversity and are committed to creating an inclusive environment for all employees.</t>
        </is>
      </c>
    </row>
    <row r="51">
      <c r="A51" t="inlineStr">
        <is>
          <t>li-4321323937</t>
        </is>
      </c>
      <c r="B51" t="inlineStr">
        <is>
          <t>Staff Product Manager, Buyer Experience &amp; Storefront</t>
        </is>
      </c>
      <c r="C51" t="inlineStr">
        <is>
          <t>Xometry</t>
        </is>
      </c>
      <c r="D51" t="inlineStr">
        <is>
          <t>linkedin</t>
        </is>
      </c>
      <c r="E51">
        <f>HYPERLINK("https://www.linkedin.com/jobs/view/4321323937", "https://www.linkedin.com/jobs/view/4321323937")</f>
        <v/>
      </c>
      <c r="F51" t="inlineStr"/>
      <c r="G51" t="inlineStr">
        <is>
          <t>Waltham, MA</t>
        </is>
      </c>
      <c r="H51" t="inlineStr"/>
      <c r="I51"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looking for a driven and customer\-focused
 **Staff Product Manager** 
 to significantly enhance the buyer journey on our marketplace. In this role, you will be crucial in optimizing the user experience and driving engagement and conversion within the storefront and key interactions of mechanical engineers and procurement managers (buyers) looking to get an instant quote for manufacturing their parts. You will play a vital part in shaping and executing the product vision for a seamless, intuitive, and efficient buyer experience. Collaborating closely with design and engineering teams, you will optimize buyer interactions from discovery through checkout, ensuring maximum value at each stage. This position demands a strong understanding of buyer needs and marketplace dynamics, combined with solid product management expertise. You will contribute to product strategy, foster cross\-functional collaboration, and deliver customer\-centric solutions aligned with Xometry’s mission and growth objectives.
**Responsibilities:**
* Product Strategy \&amp; Roadmap: Define and execute the product strategy for the Buyer Experience and Storefront, ensuring alignment with Xometry’s business goals and contributing to a low\-friction buyer journey across all touchpoints.
* Cross\-Functional Collaboration: Partner closely with engineering, marketing, sales, design, user research and data science teams to ensure alignment on product priorities, roadmaps, and successful execution, launch and user adoption of new capabilities.
* Data\-Driven Decisions: Utilize data, market insights, and customer feedback to inform product decisions. Define and monitor key performance metrics (KPIs) to track initiative success and adjust strategies as needed.
* Customer Advocacy: Champion the buyer’s experience, leveraging customer insights to create exceptional digital experiences that meet the evolving needs of our diverse buyer base within the storefront and key buyer journey stages.
* Feature Development \&amp; Optimization: Drive continuous improvements to the marketplace, focusing on removing friction points and streamlining the path to purchase within the storefront and critical buyer flows.
* Communication: Act as a key point of contact for stakeholders, presenting updates, insights, and product opportunities related to your domain.
* Leverage Cutting\-Edge Build Technology: You will leverage advanced genAI tools across the development stack, from ideation to prototyping empowering you and your team to build and execute faster.
**Outcomes You Will Influence:**
 As a
 **Staff Product Manager, Buyer Experience \&amp; Storefront** 
 , you will directly impact Xometry's growth by driving measurable improvements across key aspects of the buyer's journey and storefront. Success will be defined by:
* Growth \&amp; Category Adoption: Contributing to the expansion of Xometry's marketplace by simplifying the adoption of new manufacturing processes and categories and increasing buyer engagement and repeat purchases.
* Buyer Acquisition \&amp; Engagement: Optimizing landing page experiences and pre\-purchase flows to enhance buyer acquisition and conversion rates.
* Purchase Flow Optimization: Improving the core purchase flow to minimize buyer effort, leading to a measurable increase in conversion rates and enhanced speed of quoting and purchasing interactions.
* Strategic Integrations: Supporting successful integrations with "neighborhood products" (e.g., CAD software) by ensuring a seamless and intuitive quoting and buying experience.
**Qualifications:**
* 7\+ years of experience in product management with a proven track record of delivering successful digital products.
* Bachelor's degree in Business, Computer Science, or a related field.
* Strong understanding of digital marketplaces, particularly in B2B, e\-commerce, or SaaS environments, with a focus on optimizing the buyer experience and enhancing user engagement.
* Demonstrated ability to leverage data and analytics to inform decision\-making and drive product performance.
* Experience working effectively across functional areas, including engineering, design, data science, marketing, and customer success, with a collaborative approach.
* Excellent verbal and written communication skills, capable of articulating complex concepts to diverse stakeholders.
* Strong strategic thinking and analytical skills, with the ability to contribute to product vision and deliver results that drive company growth and customer satisfaction.
* Proven ability to contribute to and drive change within a fast\-paced, scaling organization, with comfort in ambiguity and adaptability.
 The estimated base salary range for new hires into this role is $180,000 \- 234,000 annually \+ commission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52">
      <c r="A52" t="inlineStr">
        <is>
          <t>li-4355433008</t>
        </is>
      </c>
      <c r="B52" t="inlineStr">
        <is>
          <t>Product Manager, AI Powered Messaging</t>
        </is>
      </c>
      <c r="C52" t="inlineStr">
        <is>
          <t>Jerry</t>
        </is>
      </c>
      <c r="D52" t="inlineStr">
        <is>
          <t>linkedin</t>
        </is>
      </c>
      <c r="E52">
        <f>HYPERLINK("https://www.linkedin.com/jobs/view/4355433008", "https://www.linkedin.com/jobs/view/4355433008")</f>
        <v/>
      </c>
      <c r="F52" t="inlineStr"/>
      <c r="G52" t="inlineStr">
        <is>
          <t>Salt Lake City, UT</t>
        </is>
      </c>
      <c r="H52" t="inlineStr"/>
      <c r="I5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3">
      <c r="A53" t="inlineStr">
        <is>
          <t>li-4355540898</t>
        </is>
      </c>
      <c r="B53" t="inlineStr">
        <is>
          <t>Product Launch Program Manager</t>
        </is>
      </c>
      <c r="C53" t="inlineStr">
        <is>
          <t>Litera</t>
        </is>
      </c>
      <c r="D53" t="inlineStr">
        <is>
          <t>linkedin</t>
        </is>
      </c>
      <c r="E53">
        <f>HYPERLINK("https://www.linkedin.com/jobs/view/4355540898", "https://www.linkedin.com/jobs/view/4355540898")</f>
        <v/>
      </c>
      <c r="F53">
        <f>HYPERLINK("https://litera.wd12.myworkdayjobs.com/Litera_Careers/job/Chicago-IL/Product-Launch-Program-Manager_R-500996-1?source=LinkedIn&amp;urlHash=A6In", "https://litera.wd12.myworkdayjobs.com/Litera_Careers/job/Chicago-IL/Product-Launch-Program-Manager_R-500996-1?source=LinkedIn&amp;urlHash=A6In")</f>
        <v/>
      </c>
      <c r="G53" t="inlineStr">
        <is>
          <t>Austin, TX</t>
        </is>
      </c>
      <c r="H53" t="inlineStr"/>
      <c r="I53"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any of our North American office locations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Austin \| Boston \| Chicago \| Denver \| New Jersey \| New York City \| Philadelphia \| Raleigh \| Toronto**
**Overview:** 
 As a Product Launch Program Manager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The Product Launch Program Manager is responsible for orchestrating the planning and execution of product launches across the organization. This role ensures cross\-functional alignment, drives operational excellence, and maintains a consistent rhythm of business to support go\-to\-market success.
 As the company enters a phase of accelerated growth and product expansion, the Product Launch Program Manager will play a pivotal role in ensuring that every launch is executed with precision, cross\-functional alignment, and strategic impact. This role is not just about managing timelines; it’s about enabling scale.
 The candidate successful in this role will be the central orchestrator of launch activities, connecting dots across Product, Marketing, Sales, Enablement, and Customer Success to ensure readiness and momentum while also helping Litera leadership stay focused, make timely decisions, and maintain accountability. This role will directly influence how quickly and effectively we bring value to market, making this role essential to our ability to scale with confidence and clarity.
**Key Responsibilities:**
* Go\-To\-Market Execution
+ Own the end\-to\-end planning and execution of product launches.
+ Lead launch readiness reviews and war games to validate GTM preparedness, and own coordinating remediation of any identified gaps.
+ Manage the product launch calendar and ensure visibility across teams.
+ Coordinate cross\-functional stakeholders including Product, Marketing, Revenue, Customer Success, Finance, and Enablement.
+ Track launch KPIs and post\-launch retrospectives to drive continuous improvement.
* Rhythm of Business
+ Facilitate recurring forums (e.g., PAGs, launch reviews, GTM syncs, leadership updates).
+ Maintain agendas, capture decisions, and ensure follow\-through on action items.
+ Drive accountability and clarity across teams by documenting and communicating key outcomes for identified success metrics.
+ Align launch milestones with broader strategic initiatives.
**Qualifications:**
* 5\+ years of experience in program management, product operations, or GTM roles.
* Proven ability to manage complex cross\-functional initiatives.
* Strong communication and facilitation skills.
* Experience with launch planning tools and frameworks.
* Comfortable operating in fast\-paced, ambiguous environments.
**Nice to Have**
* Six Sigma Certification (Green Belt or higher) for process optimization and operational rigor.
* PMP or PMI\-ACP Certification for structured program management and agile delivery.
* Change Management Certification (Prosci, etc) or equivalent experience to support organizational readiness and adoption.
* Experience with KPI / OKR frameworks and performance tracking tools.
* Familiarity with JIRA, Asana, Smartsheet, or similar tools for project tracking and collaboration.
* Background in SaaS product launches for enterprise software.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**Pay Transparency Notice for Colorado Applicants:**
 The annual salary range for this position is $90,000 to $115,500\. Actual compensation is determined by factors including education, work experience, certifications, and other relevant qualifications. Litera offers a comprehensive benefits package including health, dental, and vision insurance, 401(k) with company contribution, and incentive and recognition programs. All benefits are subject to eligibility requirements.
 Litera is an equal opportunity employer. We celebrate diversity and are committed to creating an inclusive environment for all employees.</t>
        </is>
      </c>
    </row>
    <row r="54">
      <c r="A54" t="inlineStr">
        <is>
          <t>li-4355347487</t>
        </is>
      </c>
      <c r="B54" t="inlineStr">
        <is>
          <t>Product Manager, Marketplace Growth</t>
        </is>
      </c>
      <c r="C54" t="inlineStr">
        <is>
          <t>Jerry</t>
        </is>
      </c>
      <c r="D54" t="inlineStr">
        <is>
          <t>linkedin</t>
        </is>
      </c>
      <c r="E54">
        <f>HYPERLINK("https://www.linkedin.com/jobs/view/4355347487", "https://www.linkedin.com/jobs/view/4355347487")</f>
        <v/>
      </c>
      <c r="F54">
        <f>HYPERLINK("https://jobs.ashbyhq.com/Jerry.ai/9dd1eb0a-2130-4cfe-938c-80e727c9c8e6?utm_source=6Vdva5VPyD&amp;urlHash=9JXH", "https://jobs.ashbyhq.com/Jerry.ai/9dd1eb0a-2130-4cfe-938c-80e727c9c8e6?utm_source=6Vdva5VPyD&amp;urlHash=9JXH")</f>
        <v/>
      </c>
      <c r="G54" t="inlineStr">
        <is>
          <t>Richmond, VA</t>
        </is>
      </c>
      <c r="H54" t="inlineStr"/>
      <c r="I5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5">
      <c r="A55" t="inlineStr">
        <is>
          <t>li-4355482290</t>
        </is>
      </c>
      <c r="B55" t="inlineStr">
        <is>
          <t>Technical Program Manager III - iCasino</t>
        </is>
      </c>
      <c r="C55" t="inlineStr">
        <is>
          <t>Fanatics</t>
        </is>
      </c>
      <c r="D55" t="inlineStr">
        <is>
          <t>linkedin</t>
        </is>
      </c>
      <c r="E55">
        <f>HYPERLINK("https://www.linkedin.com/jobs/view/4355482290", "https://www.linkedin.com/jobs/view/4355482290")</f>
        <v/>
      </c>
      <c r="F55" t="inlineStr"/>
      <c r="G55" t="inlineStr"/>
      <c r="H55" t="inlineStr"/>
      <c r="I55" t="inlineStr">
        <is>
          <t>**Overview**
**JOB DESCRIPTION**
 As a Technical Program Manager III at Fanatics Betting \&amp; Gaming FBG, focused on our iCasino product space, you will be a vital part of a Lean TPM Organization committed to serving as force multipliers across the company. The Technical Program Manager is a technologist with experience collaborating with diverse teams to influence outcomes and uphold the highest quality standards for our customer\-facing products and internal platforms. As part of our enablement function, you will support our best\-in\-class Engineering organization as they continue to build scalable, distributed systems that are high\-quality, reliable, and inclusive by design.
**Responsibilities**
* Lead complex, cross\-functional technical and product programs using a context\-driven approach grounded in Fanatics Betting \&amp; Gaming’s strategic goals and desired outcomes. Develop,
* communicate, and execute data\-driven program strategies, operating models, and roadmaps to address technical program management needs.
* Build strong, inclusive relationships with internal stakeholders, both within and outside of Engineering, and collaborate with leaders to prioritize technical efforts while providing input on program features and capabilities.
* Stay current on emerging technologies, trends, and best practices across engineering disciplines.
* Be open to occasional travel to Fanatics Betting \&amp; Gaming offices and other locations for conferences, events, meetings, and team\-building activities, fostering connections across diverse teams.
**Qualifications**
* 3\+ years of experience as a Technical Program Manager.
* 5\+ years of direct experience working with Software Engineering teams.
* Proven ability to interface and communicate effectively with Development and QA teams, Product Managers, Marketing Technology, and Customer Support organizations. Demonstrated ability to leverage technical understanding for improved outcomes in planning, delivery and operational aspects of an engineering domain.
* Experience collaborating with cross\-functional stakeholders to gather requirements and working closely with engineering teams to define, evaluate, and prioritize program scope and implementation plans, fostering an environment of inclusion and shared success.
* Experience managing large scale development efforts using various delivery tracking tools.
* Must be able to work independently with limited general supervision while managing multiple workstreams.
* Proven results\-oriented person with a focus on delivery
* Thrive on turning ambiguity into clarity
* Experience working across multiple SDLC methodologies (Agile, Scrum, Kanban, etc.).
**Preferred Experience**
* Experience with working across large tech organizations with multiple P\&amp;L Verticals and shared services domains (I.e. Amazon and within Amazon Music needing to utilize a shared payment services)
* Experience with microservice\-based architectures and distributed systems.
* Experience in a Scaled Agile environment that utilizes Scrum Methodology.
* Comfort working in fast\-paced, dynamic environments with shifting priorities.
* Strong analytical skills and experience with data\-driven reporting and KPIs.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$121,600 \- $200,000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This is a remote position.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56">
      <c r="A56" t="inlineStr">
        <is>
          <t>li-4355413797</t>
        </is>
      </c>
      <c r="B56" t="inlineStr">
        <is>
          <t>Senior Product Manager, AI Powered Messaging</t>
        </is>
      </c>
      <c r="C56" t="inlineStr">
        <is>
          <t>Jerry</t>
        </is>
      </c>
      <c r="D56" t="inlineStr">
        <is>
          <t>linkedin</t>
        </is>
      </c>
      <c r="E56">
        <f>HYPERLINK("https://www.linkedin.com/jobs/view/4355413797", "https://www.linkedin.com/jobs/view/4355413797")</f>
        <v/>
      </c>
      <c r="F56">
        <f>HYPERLINK("https://jobs.ashbyhq.com/Jerry.ai/91eee3fc-a328-4cb8-93fd-1aafcee00ab2?utm_source=6Vdva5VPyD&amp;urlHash=7u7v", "https://jobs.ashbyhq.com/Jerry.ai/91eee3fc-a328-4cb8-93fd-1aafcee00ab2?utm_source=6Vdva5VPyD&amp;urlHash=7u7v")</f>
        <v/>
      </c>
      <c r="G56" t="inlineStr">
        <is>
          <t>Arlington, VA</t>
        </is>
      </c>
      <c r="H56" t="inlineStr"/>
      <c r="I5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7">
      <c r="A57" t="inlineStr">
        <is>
          <t>li-4355570109</t>
        </is>
      </c>
      <c r="B57" t="inlineStr">
        <is>
          <t>Sr. Program Manager, Data for Good</t>
        </is>
      </c>
      <c r="C57" t="inlineStr">
        <is>
          <t>Databricks</t>
        </is>
      </c>
      <c r="D57" t="inlineStr">
        <is>
          <t>linkedin</t>
        </is>
      </c>
      <c r="E57">
        <f>HYPERLINK("https://www.linkedin.com/jobs/view/4355570109", "https://www.linkedin.com/jobs/view/4355570109")</f>
        <v/>
      </c>
      <c r="F57" t="inlineStr"/>
      <c r="G57" t="inlineStr">
        <is>
          <t>Seattle, WA</t>
        </is>
      </c>
      <c r="H57" t="inlineStr"/>
      <c r="I57" t="inlineStr">
        <is>
          <t>RDQ427R179
 Are you a mission\-driven leader with a passion for how data and AI can play a meaningful role in addressing global challenges? Do you enjoy shaping narratives, building programs, and translating complex work into stories that inspire action?
 As the Lead for Databricks for Good, you will own Databricks’ social impact initiative end to end. You will work closely with Databricks teams and with nonprofits, universities, and public\-interest organizations to design and scale programs that apply data and AI to real\-world challenges.
 You will set the vision for Databricks for Good and ensure it delivers real, lasting impact, while clearly articulating how that impact is created and why it matters.
**About Databricks For Good**
 At Databricks, we believe data and AI can be a force for positive change. Databricks for Good exists to ensure our platform empowers organizations working on humanity’s most pressing challenges, including responding to crises, advancing education, improving health outcomes, and accelerating climate action.
 This role is an opportunity to define and lead that mission and shape how Databricks shows up in the world through meaningful, real\-world impact.
**What You’ll Do**
 Your responsibilities will span program design and management, storytelling, and owning execution across Databricks and its partners.
* Build and lead Databricks for Good from the ground up, defining its mission, success metrics, execution strategy, and long\-term vision.
* Design and run high\-impact programs such as social impact partnerships, hackathons, student and university initiatives, and nonprofit enablement programs.
* Serve as a public\-facing representative for Databricks for Good by hosting events, delivering talks, moderating panels, and representing Databricks in global social impact forums.
* Own the partnership funnel for Databricks for Good technical engagements, with the goal of helping nonprofits apply Databricks to real\-world challenges.
* Create compelling content \- case studies, talks, blogs, and learning resources \- that highlight how data and AI can be used for social good.
* Work cross\-functionally with Field Engineering, Developer Relations, Marketing, Legal, and Sales to ensure social impact initiatives are scalable, technically sound, and aligned with company priorities.
* Act as a trusted internal advisor on social impact use cases, helping teams understand the needs, constraints, and operating realities of mission\-driven organizations.
* Gather feedback from both internal and external collaborators to continuously improve programs and inform program direction.
**The impact you will have**
* Establish Databricks for Good as a credible, respected, and scalable social impact initiative throughout the tech industry.
* Enable nonprofits, universities, and public\-sector organizations to unlock insights and outcomes that are uniquely possible with data and AI.
* Build durable partnerships that align Databricks’ strengths with real\-world societal needs.
* Inspire employees, customers, and students to contribute their skills toward meaningful causes.
* Influence how Databricks technologies are used, taught, and evolved for public good.
* Help define what “data and AI for good” looks like at enterprise scale.
**What We Look For**
* 7\+ years of experience in social impact programs, developer relations, partnerships, technical program management, or a related field.
* Proven ability to build and scale programs from zero to one, with ownership over strategy, execution, and outcomes.
* Experience working with nonprofits, universities, NGOs, public\-sector institutions, or mission\-driven organizations.
* High\-level technical understanding of Databricks’ product\-market fit, enabling robust direction of partnerships and engagement selection.
* Exceptional communication and storytelling skills, with comfort presenting to both technical and non\-technical audiences.
* Demonstrated ability to convene communities and stakeholders across sectors and geographies.
* High empathy, strong judgment, and the ability to navigate ambiguity while driving clarity and momentum.
* A collaborative mindset and a track record of working cross\-functionally to turn ideas into execution.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$102,500—$143,525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58">
      <c r="A58" t="inlineStr">
        <is>
          <t>li-4355550413</t>
        </is>
      </c>
      <c r="B58" t="inlineStr">
        <is>
          <t>Senior Product Manager, AI Powered Messaging</t>
        </is>
      </c>
      <c r="C58" t="inlineStr">
        <is>
          <t>Jerry</t>
        </is>
      </c>
      <c r="D58" t="inlineStr">
        <is>
          <t>linkedin</t>
        </is>
      </c>
      <c r="E58">
        <f>HYPERLINK("https://www.linkedin.com/jobs/view/4355550413", "https://www.linkedin.com/jobs/view/4355550413")</f>
        <v/>
      </c>
      <c r="F58" t="inlineStr"/>
      <c r="G58" t="inlineStr">
        <is>
          <t>Raleigh, NC</t>
        </is>
      </c>
      <c r="H58" t="inlineStr"/>
      <c r="I5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59">
      <c r="A59" t="inlineStr">
        <is>
          <t>li-4363456946</t>
        </is>
      </c>
      <c r="B59" t="inlineStr">
        <is>
          <t>ServiceNow Product Manager</t>
        </is>
      </c>
      <c r="C59" t="inlineStr">
        <is>
          <t>Jobs via Dice</t>
        </is>
      </c>
      <c r="D59" t="inlineStr">
        <is>
          <t>linkedin</t>
        </is>
      </c>
      <c r="E59">
        <f>HYPERLINK("https://www.linkedin.com/jobs/view/4363456946", "https://www.linkedin.com/jobs/view/4363456946")</f>
        <v/>
      </c>
      <c r="F59">
        <f>HYPERLINK("https://click.appcast.io/t/3G9voEmthXk3dUtzF7kucNaiuBGRjemJg5Am8Z5foyw=&amp;urlHash=Uu2a", "https://click.appcast.io/t/3G9voEmthXk3dUtzF7kucNaiuBGRjemJg5Am8Z5foyw=&amp;urlHash=Uu2a")</f>
        <v/>
      </c>
      <c r="G59" t="inlineStr"/>
      <c r="H59" t="inlineStr"/>
      <c r="I59" t="inlineStr">
        <is>
          <t>**Role** 
 : ServiceNow Product Manager
**Location** 
 : Remote
**Experience** 
 : 10\+
**About The Role**
 As a ServiceNow Product Manager / Sr. Product Manager, you will lead the design, development, and lifecycle of digital products built on the ServiceNow platform. This role focuses on translating complex business needs into scalable solutions while collaborating with engineers, designers, and business stakeholders.
**Key Responsibilities**
* Define and manage product roadmaps aligned with business goals.
* Identify and prioritize advanced product features and enhancements.
* Ensure products meet end‑user expectations.
* Lead Agile ceremonies including scrum, demos, and testing.
* Define user stories and acceptance criteria and communicate requirements.
* Provide team supervision, mentoring, and performance evaluations.
* Coordinate team activities, schedules, and cross‑training.
* Deliver regular stakeholder updates.
* Identify and resolve technical and operational challenges.
* Improve processes, methods, and standards.
**Required Qualifications**
* Bachelor’s degree preferred with 5–8 years experience.
* ServiceNow expertise is mandatory.
* Experience in staffing, coaching, and team performance management.
* Ability to manage complex and sensitive information.
* Proficiency in Microsoft Office and strong organizational skills.
**Preferred Skills**
* Strong problem‑solving and analytical mindset.
* Leadership ability to motivate teams.
* Ability to collaborate with senior designers, engineers, and business professionals.</t>
        </is>
      </c>
    </row>
    <row r="60">
      <c r="A60" t="inlineStr">
        <is>
          <t>li-4355366133</t>
        </is>
      </c>
      <c r="B60" t="inlineStr">
        <is>
          <t>Senior Product Manager, Marketplace Growth</t>
        </is>
      </c>
      <c r="C60" t="inlineStr">
        <is>
          <t>Jerry</t>
        </is>
      </c>
      <c r="D60" t="inlineStr">
        <is>
          <t>linkedin</t>
        </is>
      </c>
      <c r="E60">
        <f>HYPERLINK("https://www.linkedin.com/jobs/view/4355366133", "https://www.linkedin.com/jobs/view/4355366133")</f>
        <v/>
      </c>
      <c r="F60" t="inlineStr"/>
      <c r="G60" t="inlineStr">
        <is>
          <t>Reno, NV</t>
        </is>
      </c>
      <c r="H60" t="inlineStr"/>
      <c r="I6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61">
      <c r="A61" t="inlineStr">
        <is>
          <t>li-4365365707</t>
        </is>
      </c>
      <c r="B61" t="inlineStr">
        <is>
          <t>Program Manager, Business Operations</t>
        </is>
      </c>
      <c r="C61" t="inlineStr">
        <is>
          <t>MGT Insurance</t>
        </is>
      </c>
      <c r="D61" t="inlineStr">
        <is>
          <t>linkedin</t>
        </is>
      </c>
      <c r="E61">
        <f>HYPERLINK("https://www.linkedin.com/jobs/view/4365365707", "https://www.linkedin.com/jobs/view/4365365707")</f>
        <v/>
      </c>
      <c r="F61" t="inlineStr"/>
      <c r="G61" t="inlineStr"/>
      <c r="H61" t="inlineStr"/>
      <c r="I61" t="inlineStr">
        <is>
          <t>**About the job** 
 MGT is the first AI\-driven, neo\-insurer focused on evolving commercial P\&amp;C insurance for the brokers and small business owners. By combining the expertise of industry veterans with state\-of\-the\-art technology, we are ushering in the next evolution of commercial insurance and working to move the industry forward through the use of modern technology, better processes, and a rock\-star team. We seek visionary leaders who thrive in dynamic, entrepreneurial settings, and excel in autonomous roles.
 We’re hiring a Program Manager to help us scale how the business runs. This is a startup\-style, high\-ownership role that blends cross\-functional program management, business operations, and basic business intelligence and reporting.
 The core function of this role is to act as a
 **builder, operator, and organizer** 
 , taking ownership of critical initiatives across our Product, Operations, Billing, Service, and Technology teams. You will manage projects from
 **concept to launch (0 → 1\)** 
 and drive their subsequent
 **iteration and growth (1 → n)** 
 . A key focus will be collaborating closely with the Operations and Service teams to enhance execution quality, elevate the customer experience, and boost internal efficiency.
 This position is ideal for an individual who thrives in ambiguity and has a proven track record of taking ideas and making them a reality.
**Responsibilities** 
* Own cross\-functional programs end\-to\-end: define goals, scope, milestones, owners, and timelines—then drive delivery through launch and beyond.
* Act as the “glue” between Ops, Service, Product, Billing, and Tech, ensuring the work is aligned, unblocked, and moving.
* Turn messy problems into structured plans: write project briefs, simplify decisions, coordinate stakeholders, and push work forward.
* Partner closely with Operations and Service teams to identify bottlenecks, improve workflows, and build scalable processes.
* Support launches by coordinating readiness across teams (process changes, training, internal comms, reporting, issue tracking).
* Build simple BI reporting and dashboards to track KPIs, measure program impact, and surface trends (often using spreadsheets \+ basic analytics tools).
* Drive continuous improvement: document processes, refine handoffs, reduce repeat issues, and implement tools/systems that scale.
* Communicate clearly and consistently: communication is tight, proactive, and structured.
**Qualifications** 
* 5\+ years in business operations, program management, operations strategy, consulting, or similar roles in fast\-paced environments.
* Proven track record driving cross\-functional projects from concept → execution → launch.
* Strong project management fundamentals (scoping, planning, prioritization, risk mgmt, stakeholder alignment).
* Comfortable creating basic BI reporting: KPIs, trends, dashboards, operational metrics, and performance tracking.
* Excellent communication skills—able to simplify complexity and drive decisions quickly
* High ownership mindset: you don’t wait for perfect clarity, you create it.
* Strong judgment and ability to balance speed vs. quality in a startup context.
**Nice To Have** 
* Experience supporting Operations and/or Service teams directly
* Familiarity with Insurance industry is a big plus
* Familiarity with billing workflows, customer experience ops, or internal tooling launches
* Experience with BI tools (Looker, Tableau, Power BI) or modern data stacks
**Traits We Value in This Role** 
* *Builder energy*
 : enjoys creating systems where none exist
* *Operator mindset:*
 focused on outcomes, not just deliverables
* ***Process\-oriented:*
 build lightweight processes that bring structure and speed**
* *Cross\-functional leadership:*
 aligns teams without formal authority
* *Metrics\-driven:*
 knows what “good” looks like and measures impact
**Please note:** 
 MGT does not accept unsolicited resumes from staffing vendors, including recruitment agencies and/or search firms. Please do not forward resumes to our jobs alias, MGT employees, or any other company location. Any submittals without a prior signed agreement will become property of MGT.</t>
        </is>
      </c>
    </row>
    <row r="62">
      <c r="A62" t="inlineStr">
        <is>
          <t>li-4363417901</t>
        </is>
      </c>
      <c r="B62" t="inlineStr">
        <is>
          <t>Hardware Technical Program Manager, Battery</t>
        </is>
      </c>
      <c r="C62" t="inlineStr">
        <is>
          <t>ALSO.</t>
        </is>
      </c>
      <c r="D62" t="inlineStr">
        <is>
          <t>linkedin</t>
        </is>
      </c>
      <c r="E62">
        <f>HYPERLINK("https://www.linkedin.com/jobs/view/4363417901", "https://www.linkedin.com/jobs/view/4363417901")</f>
        <v/>
      </c>
      <c r="F62" t="inlineStr"/>
      <c r="G62" t="inlineStr">
        <is>
          <t>Palo Alto, CA</t>
        </is>
      </c>
      <c r="H62" t="inlineStr"/>
      <c r="I62"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ALSO is looking for a Technical Program Manager responsible for driving battery modules end to end from concept/proto development phase through mass production. You will partner with product, hardware, supply chain, industrial design, and other cross\-functional teams to drive product development in consumer\-facing products.
**What You Will Do (Responsibilities)**
* As a Technical Program Manager, you’ll use your product development expertise to lead multi\-disciplinary hardware projects from start to finish, managing battery programs across multiple product lines.
* You’ll work with stakeholders to plan requirements, identify risks, manage project schedules including design, release, builds, test and make decisions to unblock development, and communicate clearly with cross\-functional partners across the company.
* Drive the planning and implementation of customer features with the cross\-functional teams to hit roadmap goals, tracking progress, analyzing risks, resolve execution issues and communicating status.
* Develop and manage battery program schedules, technical issues, design release management, certification, manufacturing, and resource needs with engineering and cross\-functional teams.
* Manage communication of progress/status with stakeholders and leadership in various locations and time zones, own and nurture relationships between cross\-functional teams
* Identify and solve the top program blockers and adapt lean processes to the organization.
**What You Will Bring (Qualifications)**
* Bachelor’s degree in mechanical, or a related engineering field
* 5\+ years of experience in program management, product management, engineering or similar cross\-functional role
* Worked in battery hardware product development, especially through EVT, DVT, PVT phases of manufacturing ramp.
* Ability to understand technical discussions and provide decision framework for continuing development.
* Clear communicator \- able to hold conversations with engineering and supply chain.
* Ability to travel internationally as needed.
 The salary for this position ranges from $180,000 \- $215,000 per year, depending on experience, qualifications and location.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63">
      <c r="A63" t="inlineStr">
        <is>
          <t>li-4363468373</t>
        </is>
      </c>
      <c r="B63" t="inlineStr">
        <is>
          <t>Technical Program Manager, Hardware (Chassis)</t>
        </is>
      </c>
      <c r="C63" t="inlineStr">
        <is>
          <t>ALSO.</t>
        </is>
      </c>
      <c r="D63" t="inlineStr">
        <is>
          <t>linkedin</t>
        </is>
      </c>
      <c r="E63">
        <f>HYPERLINK("https://www.linkedin.com/jobs/view/4363468373", "https://www.linkedin.com/jobs/view/4363468373")</f>
        <v/>
      </c>
      <c r="F63">
        <f>HYPERLINK("https://jobs.ashbyhq.com/Ridealso/92aeea95-7681-40f5-aca1-858d61b2873b?src=LinkedIn&amp;urlHash=tNV-", "https://jobs.ashbyhq.com/Ridealso/92aeea95-7681-40f5-aca1-858d61b2873b?src=LinkedIn&amp;urlHash=tNV-")</f>
        <v/>
      </c>
      <c r="G63" t="inlineStr">
        <is>
          <t>Palo Alto, CA</t>
        </is>
      </c>
      <c r="H63" t="inlineStr"/>
      <c r="I63" t="inlineStr">
        <is>
          <t>**About ALSO.**
 We’re ALSO, an electric mobility company originally conceived as a part of Rivian. We’re a passionate team of builders, dreamers, doers and innovators, focused on creating entirely new (not to mention, innovative and delightful) vertically integrated, small EVs designed to meet the global mobility challenges of today and tomorrow. Our mission is to inspire everyone to ride ALSO—replacing many local car, truck and SUV miles with ones on vehicles that are more affordable, more enjoyable and 10\-50x more efficient.
 ALSO is looking for a Technical Program Manager, responsible for driving hardware related aspects. You will partner with product, hardware, supply chain, industrial design, and other cross\-functional teams to drive product development in consumer\-facing products.
**What You Will Do**
* As a Technical Program Manager, you’ll use your product development expertise to lead multi\-disciplinary hardware projects from start to finish, managing complex mechanical chassis components and accessories across multiple product lines.
* You’ll work with stakeholders to plan requirements, identify risks, manage project schedules including design, release, builds, test and make decisions to unblock development, and communicate clearly with cross\-functional partners across the company.
* Drive the planning and implementation of customer features with the cross\-functional teams to hit roadmap goals, tracking progress, analyzing risks, resolve execution issues and communicating status.
* Develop and manage module/component program schedules, technical issues, design release management and resource needs with engineering and cross\-functional teams.
* Manage communication of progress/status with stakeholders and leadership in various locations and time zones, own and nurture relationships between cross\-functional teams
* Identify and solve the top program blockers and adapt lean processes to the organization.
**What You Will Bring**
- Bachelor’s degree in mechanical, or a related engineering field
- 5\+ years of experience in program management, product management, engineering or similar cross\-functional role
- Worked in hardware product development, especially through EVT, DVT, PVT phases of manufacturing ramp.
 Experience managing MEID integration, design releases, validation test plans, build execution and supply chain management.
 - Ability to understand technical discussions and provide decision framework for continuing development.
- Clear communicator \- able to hold conversations with engineering and supply chain.
- Ability to travel internationally as needed.
 The salary for this position ranges from $170,000 \- $195,000 per year, depending on experience and qualifications.
**Why ALSO.**
 We’re passionate about helping the world find a better way to get there—wherever it is you’re headed.
 We’re located in the heart of Silicon Valley and have brought together a world\-class team from some of the biggest brands in the technology, automotive, cycling, outdoor recreation and retail spaces.
 Together we’re working hands\-on to imagine, design and build an entirely new solution to a global set of transportation challenges.
**Perks And Benefits**
* Robust health coverage. Excellent health, dental and vision insurance covered up to 100% by ALSO with FSA \&amp; HSA options.
* One Medical membership and dedicated insurance advocates.
* Rich fertility and family building benefits with Progyny.
* Flexible time off.
* 401(k) match.</t>
        </is>
      </c>
    </row>
    <row r="64">
      <c r="A64" t="inlineStr">
        <is>
          <t>li-4365614575</t>
        </is>
      </c>
      <c r="B64" t="inlineStr">
        <is>
          <t>Senior Technical Program Manager (Remote)</t>
        </is>
      </c>
      <c r="C64" t="inlineStr">
        <is>
          <t>Lensa</t>
        </is>
      </c>
      <c r="D64" t="inlineStr">
        <is>
          <t>linkedin</t>
        </is>
      </c>
      <c r="E64">
        <f>HYPERLINK("https://www.linkedin.com/jobs/view/4365614575", "https://www.linkedin.com/jobs/view/4365614575")</f>
        <v/>
      </c>
      <c r="F64">
        <f>HYPERLINK("https://lensa.com/cgw/f30af61fbf054181a2ccbdd6fdaf4849tjo1?jpsi=directemployers&amp;publisher_preference=easier_apply&amp;utm_campaign=Top%20Executives&amp;utm_medium=slot&amp;utm_source=linkedin&amp;utm_term=jse&amp;urlHash=Pi-S", "https://lensa.com/cgw/f30af61fbf054181a2ccbdd6fdaf4849tjo1?jpsi=directemployers&amp;publisher_preference=easier_apply&amp;utm_campaign=Top%20Executives&amp;utm_medium=slot&amp;utm_source=linkedin&amp;utm_term=jse&amp;urlHash=Pi-S")</f>
        <v/>
      </c>
      <c r="G64" t="inlineStr">
        <is>
          <t>Irvine, CA</t>
        </is>
      </c>
      <c r="H64" t="inlineStr"/>
      <c r="I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AbbVie. Clicking "Apply Now" or "Read more" on Lensa redirects you to the job board/employer site. Any information collected there is subject to their terms and privacy notice.
**Company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As the Sr. Technical Program Manager, you will report to the Associate Director of Program Management , as well as continuously collaborate with key stakeholders across the business to solve the most important technical problems.
**You Will**
* Lead and manage complex technical programs from inception through execution.
* Collaborate with cross\-functional teams to defi ne program objectives, deliverables, and timelines.
* Ensure technical feasibility and drive the implementation of new technologies.
* Identify and mitigate potential risks and issues to ensure timely program delivery.
**Qualifications**
 Required Experience \&amp; Skills
* Bachelor's Degree required
* 5\+ years experience as a Technical Program Manager or equivalent experience.
* Excellent written \&amp; verbal communication, building relationships across the organization, bridging gaps and cross pollinating programs.
* Excellent attention to detail and understanding of impact when changes occur to scope or timeline.
* Experience with Agile methodologies and project management tools.
* Strong technical background with the ability to understand and communicate complex technical concepts.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
 Salary: $121,000 \- $230,000
 If you have questions about this posting, please contact support@lensa.com</t>
        </is>
      </c>
    </row>
    <row r="65">
      <c r="A65" t="inlineStr">
        <is>
          <t>li-4363467525</t>
        </is>
      </c>
      <c r="B65" t="inlineStr">
        <is>
          <t>IT Program Manager</t>
        </is>
      </c>
      <c r="C65" t="inlineStr">
        <is>
          <t>GM Financial</t>
        </is>
      </c>
      <c r="D65" t="inlineStr">
        <is>
          <t>linkedin</t>
        </is>
      </c>
      <c r="E65">
        <f>HYPERLINK("https://www.linkedin.com/jobs/view/4363467525", "https://www.linkedin.com/jobs/view/4363467525")</f>
        <v/>
      </c>
      <c r="F65" t="inlineStr"/>
      <c r="G65" t="inlineStr">
        <is>
          <t>Arlington, TX</t>
        </is>
      </c>
      <c r="H65" t="inlineStr"/>
      <c r="I65"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**Responsibilities**
**About The Role:**
 GM Financial is set to change the auto finance industry and is leading the path with embarking on tech modernization – we have a startup mindset, preserve our small company culture, in a public company environment with financial stability and intense growth over a decade long history. We are data junkies and trust in data and insights to advance our business objectives. We take our goal of zero emission, zero collision, zero congestion and zero friction very seriously. We believe as the auto finance market leader we are in the driver seat to lead us in the GM EV mission to change the world. We are building global platforms, LAT\-AM, Europe, China – our high performing talent needs a high performing leader. GMF is comprised of over 10,000 team members globally. Join our fin\-tech culture within a Blue\-Chip company where we are changing the way we use technology to support our customer and business. We are seeking a highly skilled and experienced Technical Program Manager to join our Tech Standards \&amp; Enterprise Reusable Services capability to drive standardization and promote reuse as part of our NorthStar architecture. As a Technical Program Manager, you will play a critical role in driving and managing strategic technology initiatives related to architecture. Your expertise in program management, development practices, enterprise architecture, and financial services combined with a sound set of technical skills will be instrumental in ensuring the successful execution of complex projects and initiatives. We want a visionary leader to accelerate our transformation journey! If this excites you then we want, you!
* Communicate up and down the stack, interacting with executives, engineers and architects, business groups and shared services
* Lead the tech standardization efforts to streamline technology and tools needed to support business need
* Support building the reusable services backlog and help to execute development activities
* Build and develop effective relationships with different product teams to find opportunities for reuse and promote usage of reusable services
* Create an effective lifecycle process for enterprise reusable services and tech standards and think out of the box to deliver more with less resources
* Help document and conduct presentations for technical, business and leadership audiences to promote reusable services and enforce tech standards
* Lead the enterprise reusable services group planning activities across goals, KRs, KPIs etc.
* Assist with change management activities for the team and beyond
* Help design and implement workflows and other automations using low\-code tools
* Champion the financials of the tech standards \&amp; reusable team, yearly budget, and ongoing financial planning
* Foster a culture of continuous improvement by identifying opportunities for process enhancements and driving operational efficiency within the program
**Qualifications**
**What Makes You A Dream Candidate?**
* ﻿Experience in managing software development teams using a variety of programming languages and technologies
* Excellent communication, presentation and interpersonal skills to collaborate with different levels of hierarchy
* Strong understanding of software development practices and architecture patterns \&amp; principles
* Solid 10\+ years of background in application development using Java/.Net as a developer/technical lead or architect
* Experience in managing teams/programs utilizing microservices and event driven architecture
* Strong experience in managing REST API development and onboarding different consumers internally and external
* Substantial experience with cloud\-related concepts \&amp; technologies, preferably Azure
* Excellent project management skills, including the ability to create and manage program plans, budgets, and resources effectively
* Strong leadership and influencing skills, with the ability to drive consensus and manage stakeholders at all levels
* Ability to Identify and understand technical dependencies between initiatives
* Ability to work independently and as part of a team
**Experience And Education**
* 7\-10 years of experience in technology leadership roles required
* 3\-5 years of experience as a technical program management or development manager required
* Financial services industry experience preferred
* High School Diploma or equivalent required
* Bachelor’s Degree in related field or additional equivalent work or military experience preferred
* Licenses and Certifications
* ﻿PMP certification preferred
* Scrum Master Certification preferred
**What We Offer** 
 : Generous benefits package available on day one to include: 401K matching, bonding leave for new parents (12 weeks, 100% paid), tuition assistance, training, GM employee auto discount, community service pay and nine company holidays.
**Our Culture** 
 :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2 days a week in office</t>
        </is>
      </c>
    </row>
    <row r="66">
      <c r="A66" t="inlineStr">
        <is>
          <t>li-4365612876</t>
        </is>
      </c>
      <c r="B66" t="inlineStr">
        <is>
          <t>Program Manager (Portfolio Marketing)</t>
        </is>
      </c>
      <c r="C66" t="inlineStr">
        <is>
          <t>Aledade, Inc.</t>
        </is>
      </c>
      <c r="D66" t="inlineStr">
        <is>
          <t>linkedin</t>
        </is>
      </c>
      <c r="E66">
        <f>HYPERLINK("https://www.linkedin.com/jobs/view/4365612876", "https://www.linkedin.com/jobs/view/4365612876")</f>
        <v/>
      </c>
      <c r="F66">
        <f>HYPERLINK("https://jobs.lever.co/aledade/9ade9f44-22bb-4cbb-b842-931074f63517/apply?source=LinkedIn&amp;urlHash=TFg1", "https://jobs.lever.co/aledade/9ade9f44-22bb-4cbb-b842-931074f63517/apply?source=LinkedIn&amp;urlHash=TFg1")</f>
        <v/>
      </c>
      <c r="G66" t="inlineStr">
        <is>
          <t>Arlington, VA</t>
        </is>
      </c>
      <c r="H66" t="inlineStr"/>
      <c r="I66" t="inlineStr">
        <is>
          <t>The
 **Program Manager** 
 will coordinate project execution and task management for the Portfolio Marketing team using Agile methodology. This role focuses on ensuring seamless collaboration with internal teams and external partners through systematic project management, Monday.com administration, and operational process optimization. The Program Manager will support strategic initiatives through tactical project coordination and workflow management, enabling the creative team to focus on high\-impact strategic content development while maintaining operational excellence across all portfolio marketing initiatives.
 We are flexible with respect to geographic location, and the ideal candidate will be comfortable working remotely/work from home within the US or be based from Bethesda, MD office.
**Primary Duties:**
**Agile Project Management:**
* Implement and manage Agile/Scrum methodology for all Portfolio Marketing team projects and cross\-functional initiatives
* Facilitate daily standups, sprint planning, sprint reviews, and retrospectives to ensure project momentum and continuous improvement
* Coordinate project execution across internal teams (messaging, analytics, offers, creative) and external partners (agencies, freelancers)
* Monitor project progress using Agile metrics and proactively address roadblocks to maintain timeline adherence and quality standards
**Monday.com Platform Management:**
* Administer Monday.com workspace for Portfolio Marketing team, ensuring accurate project tracking, capacity management, and stakeholder visibility
* Train team members and external partners on Monday.com best practices, workflows, and optimization techniques
* Create and maintain project templates, automation rules, and comprehensive reporting dashboards for leadership visibility
* Integrate external partners (RMD agency, freelancers) into Monday.com workflows and ensure seamless project handoffs
**Process Coordination \&amp; SOP Development:**
* Support development and implementation of Standard Operating Procedures for team workflows, stakeholder engagement, and project delivery
* Coordinate systematic communication between Portfolio Marketing team and cross\-functional stakeholders (sales, partnerships, events)
* Maintain operational calendars, project timelines, and ensure proactive stakeholder alignment on deliverables and milestones
* Facilitate process optimization initiatives to improve team efficiency, reduce bottlenecks, and enhance project delivery quality
**Communication \&amp; Reporting:**
* Prepare regular project status reports, capacity analyses, and performance metrics for leadership and stakeholders
* Facilitate cross\-functional project alignment meetings, stakeholder updates, and strategic initiative communication
* Track project metrics, team performance indicators, and provide data\-driven insights on capacity optimization and workflow improvements
* Support strategic initiatives through organized project documentation, follow\-through, and systematic communication protocols
**Minimum Qualifications:**
* Bachelor's degree in Business, Marketing, Project Management, Operations, or related field
* 3\-5 years experience in project management, program coordination, or operations role with demonstrated success
* Mandatory: Agile/Scrum certification (CSM, PSM, or equivalent) OR demonstrable experience successfully managing Agile projects
* Required: Advanced proficiency in Monday.com OR extensive hands\-on experience with similar project management platforms (Asana, Wrike, Basecamp, Jira)
* Strong organizational and communication skills with exceptional attention to detail and ability to manage multiple concurrent projects
* Experience coordinating projects across multiple teams, departments, and external partners in fast\-paced environments
**Preferred knowledge, skills, and/or abilities:**
* Marketing, creative, or content production industry project management experience
* Experience managing agency relationships, vendor coordination, and external creative production workflows
* Knowledge of marketing automation platforms, CRM systems, and creative production timelines
* Understanding of content development processes, creative workflows, and cross\-functional marketing operations
* Experience with remote team coordination, digital collaboration tools, and distributed project management
* Familiarity with capacity planning, resource allocation, and team performance optimization
**Physical Requirements:**
* Sitting for prolonged periods of time. Extensive use of computers and keyboard. Occasional walking and lifting may be required.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health plans,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time\-off plan (21 days of PTO in your first year)
 Two paid volunteer days and 11 paid holidays
 12 weeks paid parental leave for all new parents
 Six weeks paid sabbatical after six years of service
 Educational Assistant Program and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
 We may use automated tools, including artificial intelligence (AI), to help organize and evaluate application materials. These tools support our recruiters and hiring managers by helping manage large applicant pools. Human judgment plays an essential role in our hiring process, including in the oversight and use of any automated tools. If you would like more information about our screening and hiring process, please contact us.</t>
        </is>
      </c>
    </row>
    <row r="67">
      <c r="A67" t="inlineStr">
        <is>
          <t>li-4365605726</t>
        </is>
      </c>
      <c r="B67" t="inlineStr">
        <is>
          <t>Senior Manager Program Manager</t>
        </is>
      </c>
      <c r="C67" t="inlineStr">
        <is>
          <t>Lensa</t>
        </is>
      </c>
      <c r="D67" t="inlineStr">
        <is>
          <t>linkedin</t>
        </is>
      </c>
      <c r="E67">
        <f>HYPERLINK("https://www.linkedin.com/jobs/view/4365605726", "https://www.linkedin.com/jobs/view/4365605726")</f>
        <v/>
      </c>
      <c r="F67">
        <f>HYPERLINK("https://lensa.com/cgw/25677a7bcfae485fac4693a68a2de7f0tjo1?jpsi=directemployers_no_redirect&amp;publisher_preference=easier_apply&amp;utm_campaign=Other%20Management%20Occupations&amp;utm_medium=slot&amp;utm_source=linkedin&amp;utm_term=jse&amp;urlHash=NSUY", "https://lensa.com/cgw/25677a7bcfae485fac4693a68a2de7f0tjo1?jpsi=directemployers_no_redirect&amp;publisher_preference=easier_apply&amp;utm_campaign=Other%20Management%20Occupations&amp;utm_medium=slot&amp;utm_source=linkedin&amp;utm_term=jse&amp;urlHash=NSUY")</f>
        <v/>
      </c>
      <c r="G67" t="inlineStr">
        <is>
          <t>Atlanta, GA</t>
        </is>
      </c>
      <c r="H67" t="inlineStr"/>
      <c r="I6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Design and execute Projects through a structured New Product Introduction (NPI) process, right from ideation to post launch enablement.
 Demonstrate previous experience in facilitating cross functional collaboration, communication and proactively minimizing risks and issues to drive program success.
 Build valued working relationships with subject matter experts in functional areas along with stakeholders and leadership.
 Demonstrate exceptional organizational and leadership skills, outstanding written and verbal communication talent.
 Take full ownership of program success by driving alignment, resolving conflicts, and ensuring delivery of high\-quality results that support business objectives
 Drive a culture of innovation and continuous improvement within the team.
 Ensure team has tools, guidance and established priorities to successfully lead programs/projects.
 Establish and measure quarterly objectives and key results (OKR) of the team.
 Serve as champion and/or change agent of process improvement initiatives focused on.
 Contribute to team effort by consistently delivering results and adapting as needed to evolving priorities.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Strong background in IOT based Product lines that includes software, hardware and services bundling.
 Previously led large scale programs/project as a Program Manager, ideally in the B2B domain.
 Demonstrate confidence in communicating effectively with cross functional technical teams, business organizations, vendors and leadership.
 10\+ years of relevant Program Management experience within engineering domain, preferably product development role.
 Excellent written and oral communication skills.
 Proven ability to effectively communicate with all levels of management.
 Experience with Confluence, Jira, and Microsoft Office products is a must.
 Strong Mechanical and Technical aptitude.
 15% travel required. Agile, SAFe framework, experience is a plus.
 If you have questions about this posting, please contact support@lensa.com</t>
        </is>
      </c>
    </row>
    <row r="68">
      <c r="A68" t="inlineStr">
        <is>
          <t>li-4365647264</t>
        </is>
      </c>
      <c r="B68" t="inlineStr">
        <is>
          <t>Deputy Program Manager</t>
        </is>
      </c>
      <c r="C68" t="inlineStr">
        <is>
          <t>DTSV, Inc.</t>
        </is>
      </c>
      <c r="D68" t="inlineStr">
        <is>
          <t>linkedin</t>
        </is>
      </c>
      <c r="E68">
        <f>HYPERLINK("https://www.linkedin.com/jobs/view/4365647264", "https://www.linkedin.com/jobs/view/4365647264")</f>
        <v/>
      </c>
      <c r="F68">
        <f>HYPERLINK("https://recruiting.paylocity.com/Recruiting/Jobs/Details/3864624&amp;urlHash=mcxV", "https://recruiting.paylocity.com/Recruiting/Jobs/Details/3864624&amp;urlHash=mcxV")</f>
        <v/>
      </c>
      <c r="G68" t="inlineStr">
        <is>
          <t>Tazewell County, VA</t>
        </is>
      </c>
      <c r="H68" t="inlineStr"/>
      <c r="I68" t="inlineStr">
        <is>
          <t>Apply
**Description**
 The Deputy Program Manager is responsible for supporting the PM in all facets of program delivery including customer satisfaction, staffing, operational production, employee engagement, and may need to assist with union relations. Works closely with the PM to ensure operational needs are met for a large program.
**Tasks Include, But Are Not Limited To, The Following**
* Manage and control cost, schedule, scope, and compliance, ensuring employees meet requirements of day\-to\-day work assignments.
* Effectively convey information up, down, and across to ensure cohesive program communications structure
* Proactively identify areas of development while capitalizing on opportunities, and mitigating risk
* Develop quality, training, and operational excellence reporting structure that aligns with the program performance standards.
* Coordinate staffing levels, comparing forecasts and actuals, and focus on meetingperformance standards
* Provide regular feedback on performance to the Company and documenting results
* Ensure that all personnel involved in providing or supporting services meet requirements established by the Company.
**Requirements**
**Minimum Qualifications:**
* Bachelor’s Degree or higher in relevant field
* Ten (10\) years of management experience in similar operations. Experience may be considered in lieu of a degree depending on the scale, scope, and relevancy of the work.
* Minimum five (5\) years in a management role on a large\-scale operations
* US Citizen with a current or the ability to obtain and maintain a security clearance
* Must be willing to travel at least 35% of the time
* Excellent Microsoft Office Skills, including familiarity with MS SharePoint
* Experience with all facets of operations, staffing, and employee management
* Excellent oral and written communication skills
* Excellent time management, decision making, presentation, human relations, and organization skills
* Requires the analytical skills necessary to understand and effectively manage large scale operations with varying volume and unanticipated surge requirements
**Preferred Qualifications**
* Experience managing a large contract or program
* Advanced Degree
* Experience with government contracts
**Physical Demands**
 Work is performed in an office setting. The role requires periods of standing, walking, and sitting, as well as the ability to communicate in person and by telephone. Able to lift of up to 30 pounds is necessary. Regular use of a computer is required throughout the workday.
*DTSV is an Equal Employment Opportunity employer \- All qualified applicants/employees will receive consideration for employment without regard to that individual’s age, race, color, religion or creed, national origin or ancestry, sex (including pregnancy), sexual orientation, gender, national orientation, disability, veteran status, genetic information, ethnicity, citizenship, or any other characteristic protected by law.*</t>
        </is>
      </c>
    </row>
    <row r="69">
      <c r="A69" t="inlineStr">
        <is>
          <t>li-4321343643</t>
        </is>
      </c>
      <c r="B69" t="inlineStr">
        <is>
          <t>Senior Sr. Clinical/Pharma Technology Product Owner</t>
        </is>
      </c>
      <c r="C69" t="inlineStr">
        <is>
          <t>Jobs via Dice</t>
        </is>
      </c>
      <c r="D69" t="inlineStr">
        <is>
          <t>linkedin</t>
        </is>
      </c>
      <c r="E69">
        <f>HYPERLINK("https://www.linkedin.com/jobs/view/4321343643", "https://www.linkedin.com/jobs/view/4321343643")</f>
        <v/>
      </c>
      <c r="F69">
        <f>HYPERLINK("https://click.appcast.io/t/sZGyVQzhSbjNDPCiTCJmPDzkLVmgYrSFvgbxydS986I=&amp;urlHash=hTUF", "https://click.appcast.io/t/sZGyVQzhSbjNDPCiTCJmPDzkLVmgYrSFvgbxydS986I=&amp;urlHash=hTUF")</f>
        <v/>
      </c>
      <c r="G69" t="inlineStr">
        <is>
          <t>Durham, NC</t>
        </is>
      </c>
      <c r="H69" t="inlineStr"/>
      <c r="I69" t="inlineStr">
        <is>
          <t>Dice is the leading career destination for tech experts at every stage of their careers. Our client, Tekniforce, is seeking the following. Apply via Dice today!
 We are looking for a Senior Sr. Clinical/Pharma Technology Product Owner. This is a full\-time onsite position in RTP, North Carolina with our client.
**Responsibilities as a Sr. Clinical/Pharma Technology Product Owner:**
* Promote product management strategies via the elicitation and refinement of software product requirements
* Collaborate cross\-functionally with Product Managers, Software Delivery Leads, and Core Team Members to manage portfolio scoping, coordinate release activities, and partner for value delivery
* Deliver solutions to market that drive business value
* Manage the software product backlog consisting primarily of features, stories, and product defects to ensure that the work defined for the development team
* Balance candidate scope items via prioritization in collaboration with the cross\-functional core team
* Consider risk factors that could affect scope, schedule, and/or resources, and inform adequate contingency plans for potential issues
* Support agile processes such as sprint planning, feature and story reviews and estimations, and incremental delivery
* Facilitate scoping of software requirements to align product roadmaps with scope delivery
* Support quality by ensuring the testability of requirements and the ongoing review of test cases and defects
* Lead verification and validation with user acceptance testing for their cross\-functional project team which includes UAT planning, execution, and reporting
**Required skills as a Senior Sr. Clinical/Pharma Technology Product Owner:**
* 9\+ years of hands\-on experience working in a Product Owner role
* 3\+ years of hands\-on experience working with Pharma/Medication/Healthcare software solutions or similar software products
* In\-depth knowledge of Agile process and principles
* Experience working in Lean/Agile software development teams
* Experience using product management and development operations tools such as Aha!, Azure DevOps, or Jira
* Outstanding communication, presentation, and leadership skills
* Excellent organizational and time management skills
* Bachelor s Degree</t>
        </is>
      </c>
    </row>
    <row r="70">
      <c r="A70" t="inlineStr">
        <is>
          <t>li-4365603393</t>
        </is>
      </c>
      <c r="B70" t="inlineStr">
        <is>
          <t>Redevelopment Program Manager</t>
        </is>
      </c>
      <c r="C70" t="inlineStr">
        <is>
          <t>City of San Antonio</t>
        </is>
      </c>
      <c r="D70" t="inlineStr">
        <is>
          <t>linkedin</t>
        </is>
      </c>
      <c r="E70">
        <f>HYPERLINK("https://www.linkedin.com/jobs/view/4365603393", "https://www.linkedin.com/jobs/view/4365603393")</f>
        <v/>
      </c>
      <c r="F70" t="inlineStr"/>
      <c r="G70" t="inlineStr">
        <is>
          <t>San Antonio, TX</t>
        </is>
      </c>
      <c r="H70" t="inlineStr"/>
      <c r="I70" t="inlineStr">
        <is>
          <t>Under general direction, is responsible for coordinating and managing the City's planning activities for various projects to promote economic development within the City and in the surrounding communities Working conditions are primarily inside an office environment. Exercises direct supervision over assigned staff.
 This position is an "unclassified" position and has no disciplinary appeal rights to the Municipal Civil Service Commission. This position is likewise subject to at\-will employment status and can be terminated at any time for any reason.
**Work Location**
 City Tower \- 100 W. Houston Street, San Antonio, TX 78205
**Work Hours**
 8:00 a.m. \- 5:00 p.m., Monday \- Friday
* Manages and oversees all staff division activities.
* Designs and implements business retention strategies for local businesses and provides necessary assistance to stimulate business expansions.
* Designs and implements strategies for business development in targeted neighborhood commercial and revitalization districts.
* Designates economic development staff liaisons for various outside organizations, including chambers of commerce and applicable trade organizations.
* Administers various loan programs created by the City to provide financial assistance to businesses expanding, modernizing, or relocating in San Antonio.
* Documents the City's compliance with business development goals.
* Coordinates division activities with and communicates to the Economic Development Director and City Manager's Office.
* Develops and maintains current information on all completed economic development plans.
* Attends meetings of organizations and agencies involved in developing goals to attract industry to the City.
* Makes formal presentations to city staff, City Council, or outside organizations or business as necessary.
* Performs related duties and fulfills responsibilities as required.
* Bachelor's Degree from an accredited college or university. A Master's Degree is highly desirable.
* Five (5\) years increasingly responsible experience in economic development, to include two (2\) years of supervisory or management experience.
**Preferred Qualifications**
* Master’s Degree in Real Estate Development, Redevelopment, Business or Public Administration, Urban Planning, Economic Development, or a closely related field.
* Eight (8\) years of redevelopment experience.
**Applicant Information**
* Unless otherwise stated, applicants are permitted to substitute two years of related full\-time experience for one year of higher education or one year of related higher education for two years of experience in order to meet the minimum requirements of the job. One year of full\-time experience is defined as 30 or more hours worked per week for 12 months. One year of higher education is defined as 30 credit hours completed at an accredited college or university.
* Applicants selected for employment with the City of San Antonio in this position must receive satisfactory results from pre\-employment drug testing and background checks. If required for the position, a physical, motor vehicle record evaluation, and additional background checks may be conducted.
* Please be advised that if selected for this position, information regarding employment history as it relates to the qualifications of the position will be needed for employment verification. Applicants claiming military service to meet the experience requirement for this position may attach a DD214 to the application.
* If selected for this position, official transcripts, diplomas, certifications, and licenses must be submitted at the time of processing. Unofficial transcripts and copies of other relevant documents may be attached to the application for consideration in advance.
* Knowledge of City planning procedures related to economic development.
* Knowledge of economics, statistics, and standard methods and techniques of conducting research.
* Knowledge of economic factors and incentives that motivate individual businesses to expand, modernize, or relocate.
* Knowledge of various City policies and procedures that impact individual businesses, including the permit and license system, zoning regulations, provision of municipal services such as Police and Fire, etc.
* Knowledge of full range of techniques for providing financial assistance to firms.
* Skill in utilizing a personal computer and associated software programs.
* Ability to operate a computer keyboard and other basic office equipment.
* Ability to establish effective working relationships with residents, large organizations, administrative staff, and board members.
* Ability to communicate clearly and effectively.
* Ability to communicate City objectives to the news media.
* Ability to respond rapidly to reasonable requests for business assistance through the coordination and packaging of various City programs and resources.
* Ability to effectively supervise and coordinate a staff of professional business assistance specialists.
* Ability to work with senior representatives of the business communities and City department Directors to design and implement business service programs.
* Ability to perform all the physical requirements of the position, with or without accommodations.</t>
        </is>
      </c>
    </row>
    <row r="71">
      <c r="A71" t="inlineStr">
        <is>
          <t>li-4355580040</t>
        </is>
      </c>
      <c r="B71" t="inlineStr">
        <is>
          <t>Technical Program Manager (IT Operations)</t>
        </is>
      </c>
      <c r="C71" t="inlineStr">
        <is>
          <t>HireArt</t>
        </is>
      </c>
      <c r="D71" t="inlineStr">
        <is>
          <t>linkedin</t>
        </is>
      </c>
      <c r="E71">
        <f>HYPERLINK("https://www.linkedin.com/jobs/view/4355580040", "https://www.linkedin.com/jobs/view/4355580040")</f>
        <v/>
      </c>
      <c r="F71">
        <f>HYPERLINK("https://app.hireart.com/jobs/720e2eb8/apply?c=t&amp;utm_campaign=linkedin-p5-Premium&amp;utm_medium=external&amp;utm_source=linkedin&amp;urlHash=IJir", "https://app.hireart.com/jobs/720e2eb8/apply?c=t&amp;utm_campaign=linkedin-p5-Premium&amp;utm_medium=external&amp;utm_source=linkedin&amp;urlHash=IJir")</f>
        <v/>
      </c>
      <c r="G71" t="inlineStr"/>
      <c r="H71" t="inlineStr"/>
      <c r="I71" t="inlineStr">
        <is>
          <t>Expected compensation: 65\.00 \- 70\.00 USD Per Hour
 HireArt is helping our client find a Technical Program Manager (IT Operations) to partner closely with senior leaders and cross\-functional teams to deliver complex IT programs and advance organizational IT maturity.
 In this role, you'll lead and support initiatives across enterprise systems, infrastructure, and IT operations, while strengthening PMO governance, standards, and operating frameworks. You’ll play a key role in driving execution, alignment, and visibility across a diverse portfolio of technical programs.
 The ideal candidate is a strong influencer and organizer with the ability to lead through ambiguity, communicate clearly at all levels, and take ownership of outcomes. You bring structured problem\-solving skills, technical curiosity, and adaptability to evolving business priorities.
**As a Technical Program Manager (IT Operations), You'll**
* Lead end\-to\-end delivery of IT programs across enterprise systems, infrastructure, and IT operations.
* Develop and manage project plans, timelines, roadmaps, budgets, resources, and vendor deliverables aligned to business priorities.
* Identify dependencies, risks, and constraints, and communicate mitigation strategies clearly.
* Partner with enterprise systems, infrastructure, and operations teams to drive execution and alignment.
* Facilitate alignment between business stakeholders, technical leads, and executive sponsors.
* Contribute to PMO governance, standardized delivery processes, and portfolio intake and prioritization.
* Provide executive\-level reporting, ensuring project documentation and artifacts remain accurate and up to date.
* Support change management, go\-live readiness, post\-launch stabilization, and continuous improvement across programs.
**Requirements**
* Strong experience managing complex technical programs within an IT organization
* Experience delivering projects in at least two of the following areas:
+ Enterprise systems (ERP, HRIS, CRM, finance, supply chain)
+ Infrastructure (networking, data centers, servers, storage, cloud)
+ IT operations (service management, automation, monitoring, support)
* Demonstrated ability to partner with both technical and business stakeholders
* Experience managing vendors, partners, and cross\-functional workstreams
* Excellent communication skills with the ability to translate technical concepts for non\-technical audiences
* Strong problem\-solving skills and ability to drive clarity in ambiguous situations
* Ability to manage multiple concurrent initiatives with competing priorities
* Experience setting up and managing projects in Jira and Confluence
* Familiarity with Agile, Waterfall, ITIL, and hybrid delivery frameworks
* Ability to create and maintain effective project documentation, dashboards, and reports
**Preferred Qualifications**
* Experience contributing to or establishing PMO governance and standards
* Experience with enterprise portfolio management tools
* Comfort working in organizations undergoing transformation or modernization
* Certifications such as PMP, PgMP, CSM, ITIL Foundation, or SAFe
* Experience with cloud platforms and modern enterprise SaaS ecosystems
* Background supporting integrations, data flows, and cross\-system dependencies
**Benefits**
* PTO and paid holidays!
* Pre\-tax commuter benefits
* Employer (HireArt) Subsidized healthcare benefits
* Flexible Spending Account for healthcare\-related costs
* HireArt covers all costs for short and long term disability and life insurance
* 401k package
**Commitment:** 
*This is a full\-time, 6\-month contract position staffed via HireArt. The role is remote and available to U.S.\-based candidates.
 HireArt values diversity and is an Equal Opportunity Employer. We are interested in every qualified candidate who is eligible to work in the United States. Unfortunately, we are not able to sponsor visas or employ corp\-to\-corp.*</t>
        </is>
      </c>
    </row>
    <row r="72">
      <c r="A72" t="inlineStr">
        <is>
          <t>li-4365622768</t>
        </is>
      </c>
      <c r="B72" t="inlineStr">
        <is>
          <t>Sr. Program Manager, Expansion, Amazon Prime Air</t>
        </is>
      </c>
      <c r="C72" t="inlineStr">
        <is>
          <t>Amazon</t>
        </is>
      </c>
      <c r="D72" t="inlineStr">
        <is>
          <t>linkedin</t>
        </is>
      </c>
      <c r="E72">
        <f>HYPERLINK("https://www.linkedin.com/jobs/view/4365622768", "https://www.linkedin.com/jobs/view/4365622768")</f>
        <v/>
      </c>
      <c r="F72" t="inlineStr"/>
      <c r="G72" t="inlineStr">
        <is>
          <t>Seattle, WA</t>
        </is>
      </c>
      <c r="H72" t="inlineStr"/>
      <c r="I72" t="inlineStr">
        <is>
          <t>**Description**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Amazon Prime Air is revolutionizing delivery through autonomous drone technology, aiming to deliver packages to customers in 30 minutes or less. Our breakthrough technologies, including advanced BVLOS (Beyond Visual Line of Sight) capabilities and sophisticated detect\-and\-avoid systems, have earned FAA approvals and are setting new standards in autonomous delivery.
 With operations already successful in multiple locations and expansion planned, we're seeking an experienced Technical Program Manager to support launch specific technical integrations, data drive future topology of the program, and technical features to facilitate expansion. In this role, you'll work at the intersection of innovative technology, operational excellence and implementation, and strategic planning to help scale Prime Air's revolutionary delivery system.
 The ideal candidate will have demonstrated success in delivering complex technical programs with quick timelines. You'll be responsible for driving standard business mechanisms across engineering teams and managing integration between engineering and product teams to deliver on complex schedules. This role requires the ability to drive decisions in ambiguous environments, strong business acumen, and exceptional bias for action. You are an effective written and verbal communicator and can navigate competing priorities across a complex organization with high visibility to customers and stakeholders.
 Export Control License: This position may require a deemed export control license for compliance with applicable laws and regulations. Placement is contingent on Amazon’s ability to apply for and obtain an export control license on your behalf.
 Key job responsibilities
* Analyze datasets to identify optimal site locations based on regional demand and operational factors.
* Develop financial simulations to evaluate potential locations against business objectives.
* Expand our modeling capabilities internationally, including sourcing appropriate regional datasets.
* Provide troubleshooting and technical assistance during site launches.
* Serve as a technical liaison for install and testing of specialized equipment.
* Document technical processes and create standardized technical launch protocols.
* Basic knowledge of ArcGIS, geospatial data, and aviation no fly constraints
**Basic Qualifications**
* 5\+ years of program management or technical project management experience
* Bachelor's degree
* Proven track record of delivering complex technical projects in fast\-paced environments
* Experience using data and metrics to for statistical modeling \&amp; driving improvements
**Preferred Qualifications**
* 6\+ years of driving process improvements experience
* 5\+ years of technical engineering experience
* 5\+ years of defining and executing against program timeline \&amp; requirements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
**Company** 
 \- Amazon.com Services LLC
 Job ID: A3165769</t>
        </is>
      </c>
    </row>
    <row r="73">
      <c r="A73" t="inlineStr">
        <is>
          <t>li-4355562675</t>
        </is>
      </c>
      <c r="B73" t="inlineStr">
        <is>
          <t>Regional Program Manager Individualized Services</t>
        </is>
      </c>
      <c r="C73" t="inlineStr">
        <is>
          <t>Lumibility</t>
        </is>
      </c>
      <c r="D73" t="inlineStr">
        <is>
          <t>linkedin</t>
        </is>
      </c>
      <c r="E73">
        <f>HYPERLINK("https://www.linkedin.com/jobs/view/4355562675", "https://www.linkedin.com/jobs/view/4355562675")</f>
        <v/>
      </c>
      <c r="F73">
        <f>HYPERLINK("https://business.middlesexchamber.com/jobs/info/non-profit-and-social-services-regional-program-manager-individualized-services-2861&amp;urlHash=Tm0F", "https://business.middlesexchamber.com/jobs/info/non-profit-and-social-services-regional-program-manager-individualized-services-2861&amp;urlHash=Tm0F")</f>
        <v/>
      </c>
      <c r="G73" t="inlineStr">
        <is>
          <t>Westbrook, CT</t>
        </is>
      </c>
      <c r="H73" t="inlineStr"/>
      <c r="I73" t="inlineStr">
        <is>
          <t>**Description**
 Provide supervision, support and training to people with differing abilities served by Lumibility. Develop, coordinate and implement activities and services that are person\-centered and promote positive outcomes as they related to vocational goals. Provide the environment and support necessary to promote appropriate social skills and positive behaviors that will enhance skills, enabling individuals to be competitively employed. Assist and support the Regional Program Manager in the coordination of program services. Assist to ensure program operations are in compliance with agency policies and all regulatory requirements. Promote community awareness of agency services.
* Assist Regional Program Manager in the overall management and coordination of program services.
* Ensure employees and operations are in compliance with agency policies and regulatory requirements.
* Ability to work successfully independently and in a team environment
* Provide weekly services to identified caseload
* Required to work flexible hours in varying locations as needed
* Ability to drive and travel to varying locations as needed
* Ability to answer phone calls pertaining to programmatic needs on rare occasions outside of typical business hours with supervisor
* Knowledge of person\-centered, outcome\-based services for people with differing abilities receiving employment supports
* Required to use agency data systems (Therap, Microsoft teams, Outlook etc)
* Assist with employee relations issues as needed, including assisting with disciplinary actions.
* Develop, implement, and ensure quality program/employment service outcomes in the individual plan of service. Facilitate employment, transportation and other activities that meet the individual’s identified outcomes.
* Ensure accurate and timely completion of billing, attendance and other similar financial duties as required.
* Generate, compile, and maintain all required documentation and case files. Write and submit professional quality reports in a timely manner.
* Ability to maintain confidentiality
* Develop and maintain positive relationships with individuals, direct care staff, employers, funding sources, and all other stakeholders.
* Ability to identify, and evaluate program supports and accommodations for efficacy.
* Promote community awareness of Lumibility services.
* Ensure safety is being maintained in the work environment at all times.
* Attend required meetings and in\-service training sessions and other duties as assigned.
* Ability to problem\-solve effectively.
* Must be comfortable covering program hours with individuals in the community with company vehicle or personal car as needed
* Ability to maintain a patient and positive attitude
**Hours: Full Time 40 hours/week Exempt**
**Salary: $58,500 annually**
**Requirements**
* Bachelor’s degree preferred. High School diploma required.
* Minimum of 2 years of experience providing employment supports to people with differing abilities.
* Must be able to provide support and services utilizing community\-based resources.
* Must be over 18 and possess a valid Connecticut driver’s license, have an acceptable driving history and be able to utilize your own vehicle for Lumibility business as defined by Lumibility’s policy.
* Knowledge of person\-centered, outcome\-based services for people with differing abilities
* Knowledge of company policies and procedures and applicable regulatory standards
* Ability to read and understand policies and regulations and to translate general guidelines into specific action
* Ability to providing training to department staff
* Knowledge of community resources
* Skill in working with people with differing abilities
* Skill in operating standard office equipment, computer, and various software packages (Therap, Microsoft teams, Outlook etc)
* Skill in communicating effectively in a courteous and professional manner
* Skill in writing clearly and concisely to maintain accurate records
* Skill in implementing programs \&amp; activities as outlined in the individual support plan
* Ability to attend to the physical and personal needs of adults with differing abilities
* Ability to demonstrate good communication and interpersonal skills necessary to provide guidance and instruction to adults with significant challenges
* Ability to use adaptive and other equipment
* Knowledge of Therap, Microsoft teams, Outlook etc
* Knowledge of community resources
* Ability to problem\-solve effectively
* Skill in providing direction and consult to staff in a positive manner
* Ability to work successfully, both independently and in a team environment
* Ability to maintain confidentiality</t>
        </is>
      </c>
    </row>
    <row r="74">
      <c r="A74" t="inlineStr">
        <is>
          <t>li-4321857551</t>
        </is>
      </c>
      <c r="B74" t="inlineStr">
        <is>
          <t>Staff Technical Program Manager - Security</t>
        </is>
      </c>
      <c r="C74" t="inlineStr">
        <is>
          <t>Aurora</t>
        </is>
      </c>
      <c r="D74" t="inlineStr">
        <is>
          <t>linkedin</t>
        </is>
      </c>
      <c r="E74">
        <f>HYPERLINK("https://www.linkedin.com/jobs/view/4321857551", "https://www.linkedin.com/jobs/view/4321857551")</f>
        <v/>
      </c>
      <c r="F74" t="inlineStr"/>
      <c r="G74" t="inlineStr">
        <is>
          <t>Mountain View, CA</t>
        </is>
      </c>
      <c r="H74" t="inlineStr"/>
      <c r="I74"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The mission of Aurora’s Security Technical Program Management (TPM) team is to embed security into every aspect of Aurora’s products—spanning software, hardware, and services. As a key member of this team, you will be responsible for driving security strategy and initiatives across the organization, ensuring that security is a fundamental part of the product development process.
 You will act as a bridge between Security and Product teams, moving seamlessly between high\-level strategy and detailed execution to ensure that complex, cross\-functional security programs are successfully integrated into product development. Your ability to lead, influence, and manage large\-scale security initiatives will be essential in safeguarding Aurora’s products and ensuring they meet the highest security standards.
 Job level is negotiable based on experience. Flexible work locations are available (MTV, SFO, PIT, SEA, MI) for US\-based employees (Full remote is not available for this role).
**In This Role You Will**
* Lead security integration: Develop and execute security assurance, governance, and risk management programs, ensuring they are deeply embedded into all phases of product development and aligned with company objectives.
* Collaborate with product teams: Work closely with product management, engineering, and security teams to assess product risks, prioritize security initiatives, and implement strategic controls that protect both product integrity and user trust.
* Drive external assessments: Oversee external security assessments and penetration tests, translating findings into actionable risk mitigation strategies that enhance product security.
* Manage product risk: Lead the security risk management program with a focus on product\-related risks, ensuring alignment with enterprise risk management efforts and compliance with industry regulations.
* Monitor and report: Define and report on key performance indicators (KPIs) related to product and security risks, ensuring transparency and data\-driven decision\-making across the organization.
**Required Qualifications**
* 10\+ years of experience in Technical Program Management, with a strong focus on cybersecurity, particularly within the context of product development.
* Bachelor’s or Master’s degree in Computer Science, Information Security, or a related technical field, or equivalent experience.
* Proven experience leading large\-scale security programs with an emphasis on integrating security into product development cycles.
* Strong communication and leadership skills, with the ability to influence and collaborate with cross\-functional product teams.
* Hands\-on experience managing external security assessments and penetration tests, with the ability to translate technical findings into practical security improvements for products.
* Hands\-on experience directing product development.
**Desirable Qualifications**
* Advanced certifications such as CISSP, OSCP, GIAC\-PEN, CISM, or equivalent, demonstrating expertise in cybersecurity and product risk management.
* Experience building and scaling security programs from the ground up, particularly in product\-focused environments or industries with stringent security requirements.
* Strong knowledge of industry security standards and regulations (e.g., ISO 27001, SOC2, NIST, GDPR), with proven experience ensuring product compliance.
* Proven ability to lead organizational change, especially in implementing new security processes within product teams.
* Excellent communication skills, with the ability to explain complex security concepts to both technical and non\-technical stakeholders, particularly in a product context.
 The base salary range for this position is
 **$181,000\-$262,000** 
 .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75">
      <c r="A75" t="inlineStr">
        <is>
          <t>li-4355541040</t>
        </is>
      </c>
      <c r="B75" t="inlineStr">
        <is>
          <t>Program Manager III</t>
        </is>
      </c>
      <c r="C75" t="inlineStr">
        <is>
          <t>L.A. Care Health Plan</t>
        </is>
      </c>
      <c r="D75" t="inlineStr">
        <is>
          <t>linkedin</t>
        </is>
      </c>
      <c r="E75">
        <f>HYPERLINK("https://www.linkedin.com/jobs/view/4355541040", "https://www.linkedin.com/jobs/view/4355541040")</f>
        <v/>
      </c>
      <c r="F75" t="inlineStr"/>
      <c r="G75" t="inlineStr">
        <is>
          <t>Los Angeles, CA</t>
        </is>
      </c>
      <c r="H75" t="inlineStr"/>
      <c r="I75" t="inlineStr">
        <is>
          <t>**Salary Range:** 
 $102,183\.00 (Min.) \- $132,838\.00 (Mid.) \- $163,492\.00 (Max.)
 Established in 1997, L.A. Care Health Plan is an independent public agency created by the state of California to provide health coverage to low\-income Los Angeles County residents. We are the nation’s largest publicly operated health plan. Serving more than 2 million members,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Program Manager III oversees multiple complex programs in the department. This position designs and manages the implementation, operations, and the evaluation of strategic programs or functions of the assigned program of responsibility.
 The position strategizes implements and maintains program initiatives that adhere to the department’s goals.
 Acts as a Subject Matter Expert, (SME) serves as a resource and mentor for other staff.
**Duties**
 Aligns program goals with the organizational strategy. Defines and maintains standards for program management within the department.
 Develop program goals and objectives. Ensure team members have the resources needed to meet their objectives.
 Responsible for defining the metrics, quality standards, and documentation required for consistent project management and execution across the business
 Serves as SME for all programmatic processes and procedures. Provide strategic direction to program start\-up and closeout activities including development, and refinement of program management tools, resources, and processes.
 Directly responsible for the financial management of assigned programs including the development, tracking, and updating of budgets; monitoring monthly projections and actuals; obligated funds notifications; budget modifications and other financial matters.
 Designs and orchestrates the delivery of applicable communication to staff and management to establish goals and strategies related to the program.
 Oversee the development and implementation of annual work plans, ensuring timely and high\-quality reviews and submissions.
 Collaborates with key stakeholders on program implementation and facilitate communications with cross\-functional departments on the status of ongoing activities, manage compliance to scope and reporting requirements. Ensure approval from management are in place.
 Provides recommendations and guidelines on strategic business development, including the identification and pursuit of new business opportunities, and technical assistance to support full cycle program development.
**Duties Continued**
 Manage and troubleshoot issues, including but not limited to cross\-functional team relations, financial, and regulatory compliance, reporting and documentation.
 Applies subject matter expertise in evaluating business operations and processes. Identifies areas where technical solutions would improve business performance. Consults across business operations, providing mentorship, and contributing specialized knowledge. Ensures that the facts and details are correct so that the program's deliverable meets the needs of the department, organization and legislation's policies, standards, and best practices. Provides training, recommends process improvements, and mentors junior level staff, department interns, etc. as needed.
 Perform other duties as assigned .
**Education Required**
 Bachelor's Degree in Related Field
**Education Preferred**
 Master's Degree in Related Field
**Experience**
 At least 5 years of strong program management experience with large and complex programs.
 Experience performing problem solving, policy, and/or program implementation.
 Experience in overseeing program/project teams
**Skills**
**Required:**
 Strong ability to build strong relationship management with a diverse set of partners
 Ability to convey complex information, listen actively, and negotiate effectively.
 Strong skills in strategic thinking.
 Ability to Identify and analyze issues, and devise effective solutions.
 Demonstrated ability to Stay open to change and continuously learn.
 Understand the wider objectives of the program, such as business and strategic goals.
 Strong knowledge of budgeting and resource allocation procedures.
**Licenses/Certifications Required**
**Licenses/Certifications Preferred**
 Program Management Professional (PgMP)
 Lean Six Sigma
 Managing Successful Programmes (MSP)
**Required Training**
**Physical Requirements**
**Additional Information**
**Salary Range Disclaimer:** 
 The expected pay range is based on many factors such as geography, experience, education, and the market. The range is subject to change.
**L.A. Care Offers a Wide Range Of Benefits Including**
* Paid Time Off (PTO)
* Tuition Reimbursement
* Retirement Plans
* Medical, Dental and Vision
* Wellness Program
* Volunteer Time Off (VTO)</t>
        </is>
      </c>
    </row>
    <row r="76">
      <c r="A76" t="inlineStr">
        <is>
          <t>li-4365637087</t>
        </is>
      </c>
      <c r="B76" t="inlineStr">
        <is>
          <t>Senior Program Manager, SSD Operations Integration</t>
        </is>
      </c>
      <c r="C76" t="inlineStr">
        <is>
          <t>Amazon</t>
        </is>
      </c>
      <c r="D76" t="inlineStr">
        <is>
          <t>linkedin</t>
        </is>
      </c>
      <c r="E76">
        <f>HYPERLINK("https://www.linkedin.com/jobs/view/4365637087", "https://www.linkedin.com/jobs/view/4365637087")</f>
        <v/>
      </c>
      <c r="F76" t="inlineStr"/>
      <c r="G76" t="inlineStr">
        <is>
          <t>New York, United States</t>
        </is>
      </c>
      <c r="H76" t="inlineStr"/>
      <c r="I76" t="inlineStr">
        <is>
          <t>**Description**
 Sub Same Day (SSD) is looking for a Sr. Program Manager with a delivery record and proven program management experience to own a significantly complex and cross\-organization building design initiative for our faster than Same Day fulfillment centers. Robust understanding of fulfillment operations, including under\-the\-roof and on\-the\-road processes, engineering product solutions and development of long term roadmaps will be conducive in delivering innovations . This role will play a critical role in designing the future building design solutions for the Sub\-Same Day business. It requires a high\-level of ownership over the strategic design and implementation, the ability to think outside of the box, willingness to disrupt the current processes to create a new process, the ability to understand one\-way vs two\-way doors, make trade\-off decisions and influence stakeholders. This role will scope highly complex building design and automation solutions, identify risks/opportunities in strategies, effectively force multiple and communicate to senior management to accelerating business progress.
 Key job responsibilities
* Driving innovation that improves the under\-the\-roof processes and continuously removes cost from our fulfillment and delivery network
* Partnering with cross\-functional teams to plan, organize, execute, and standardize complex projects to achieve 2026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A day in the life
 An Program Manager on the SSD Ops Integration team will have flexibility in how their day looks based on program actions, launch date, implementation pilots and testing, and execution during peak periods for Amazon including Prime Day, Black Friday, and Cyber Monday, as well as the overall holiday season. Some days will focus on execution of program structure and deep dive, others heavier in meetings and cross collaboration with stakeholders. There is expected travel for the role, but will be cyclical based on program goals and key execution dates.
**About The Team**
 The SSD Ops Integration team is a diverse group of managers from various backgrounds and job families all looking to achieve one goal, the Expansion and Optimization of Sub Same Day Delivery to Amazon customers. With Product, Supply Chain, and Ops Engineering backgrounds, The SSD OI team delivers through solutions in partnership with Operations to scale and optimize performance real time and in future network initiatives. The team is based on both Seattle and Nashville, allowing cross collaboration with multiple business lines. While the team makes history, we have fun doing it, focusing on diversity and inclusion, cross collaboration kaizen and summit events to build out thoughtful solutions and to think big. Additional information can be provided by interviewers directly on the team.
**Basic Qualifications**
* Experience using data and metrics to determine and drive improvements
* Experience owning program strategy, end to end delivery, and communicating results to senior leadership
* 5\+ years of program or project management experience
* Bachelor's degree, or Bachelor's degree in supply chain, business, engineering, finance or related technical or quantitative field
* Experience working cross\-functionally with tech and non\-tech teams
* Knowledge of Excel at an advanced level
**Preferred Qualifications**
* 2\+ years of driving process improvements experience
* Master's degree, or Master's degree in supply chain, business, engineering, finance or related technical or quantitative field
* Experience within a distribution center, logistics, or manufacturing environment
* Experience leading large\-scale, technical or engineering programs with a proven record of thought leadership, business case development, realizing customer benefits, and successful program completion
* Experience working with the designs of complex automated material, handling equipment, packaging technologies, and systems including robotics and high\-speed manufacturing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\- 127,200\.00 \- 185,000\.00 USD annually
 USA, TN, Nashville \- 104,100\.00 \- 155,400\.00 USD annually
 USA, WA, Bellevue \- 115,600\.00 \- 160,000\.00 USD annually
**Company** 
 \- Amazon.com Services LLC
 Job ID: A3165707</t>
        </is>
      </c>
    </row>
    <row r="77">
      <c r="A77" t="inlineStr">
        <is>
          <t>li-4365641037</t>
        </is>
      </c>
      <c r="B77" t="inlineStr">
        <is>
          <t>Program Manager - Community Engagement</t>
        </is>
      </c>
      <c r="C77" t="inlineStr">
        <is>
          <t>BECU</t>
        </is>
      </c>
      <c r="D77" t="inlineStr">
        <is>
          <t>linkedin</t>
        </is>
      </c>
      <c r="E77">
        <f>HYPERLINK("https://www.linkedin.com/jobs/view/4365641037", "https://www.linkedin.com/jobs/view/4365641037")</f>
        <v/>
      </c>
      <c r="F77">
        <f>HYPERLINK("https://becu.wd1.myworkdayjobs.com/External/job/Remote-WA/Program-Manager\u002d\u002d-Community-Engagement_R-12823-1?source=APPLICANT_SOURCE-6-33&amp;urlHash=YP2Y", "https://becu.wd1.myworkdayjobs.com/External/job/Remote-WA/Program-Manager\u002d\u002d-Community-Engagement_R-12823-1?source=APPLICANT_SOURCE-6-33&amp;urlHash=YP2Y")</f>
        <v/>
      </c>
      <c r="G77" t="inlineStr">
        <is>
          <t>Washington, United States</t>
        </is>
      </c>
      <c r="H77" t="inlineStr"/>
      <c r="I77"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**PAY RANGE**
 The Target Pay Range for this position is $106,600\.00\-$130,100\.00 annually. The full Pay Range is $82,900\.00 \- $154,000\.00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 401(k) Company Match (up to 3%)
* 4% annual contribution to your 401(k) by BECU
* Medical, Dental and Vision (family contributions as well)
* PTO Program \+ Exchange Program
* Tuition Reimbursement Program
* BECU Cares volunteer time off \+ donation match
**Impact You’ll Make**
 As a Program Manager for Community Engagement, you’ll take ownership of two signature programs—BECU Cares and the People Helping People Awards—that engage employees and members with the communities we serve. Your work will help scale, streamline, and bring innovative ideas to these initiatives, ensuring they grow and evolve alongside our organization and deliver meaningful impact. By improving processes, driving engagement, and supporting events, you’ll strengthen BECU’s commitment to purpose, inclusion, and community advocacy. This is your chance to make a difference where it matters most.
***To join our dynamic team in this role, candidates must reside in Washington State.***
*This is a hybrid position with regular onsite presence at our Tukwila headquarters and across the greater Seattle area for event and program activities. Whether working remotely or onsite, we are committed to keeping you fully engaged and included in our collaborative environment.*
**What You’ll Do**
* Lead Program Execution: Manage BECU Cares and People Helping People Awards, ensuring milestones and timelines are met.
* Plan and Deliver Events: Contribute to event planning and execution for Day of Purpose and other enterprise events, ensuring alignment with program goals.
* Measure Success: Develop KPIs and reporting cadence to track program performance and impact.
* Drive Process Improvements: Identify opportunities to streamline workflows and scale programs for future growth.
* Collaborate Across Teams: Partner with internal stakeholders, vendors, and community organizations to strengthen engagement and deliver exceptional experiences.
* Manage Vendor Relationships: Oversee vendor contracts and ensure cost\-efficient, high\-quality service delivery.
* Stay Connected: Commute frequently to Tukwila and Seattle\-area event sites to provide hands\-on leadership and support.
* Ensure Compliance: Maintain adherence to applicable regulations and internal standards.
 This isn’t just about ticking off tasks on a list. It's about making a significant, positive change in BECU’s journey, where your contributions are valued, and your growth is continually fostered.
**What You’ll Gain**
* The opportunity to lead programs that embody BECU’s purpose and values.
* Hands\-on experience in event planning and scaling programs.
* A chance to drive process improvements and innovation.
* Collaboration with passionate teams committed to DEI and community advocacy.
* Professional growth in program management and change leadership.
**Qualifications**
**Minimum Qualifications:**
* Bachelor’s degree in business or equivalent work/education experience.
* Typically requires a minimum of 5 years of functional experience.
* Typically requires experience managing project teams.
**Desired Qualifications**
* Community engagement or employee engagement experience.
* Program management experience with a proven ability to scale initiatives.
* Event planning experience (critical for program\-related events and Day of Purpose).
* 3\+ years in project management.
* Familiarity with DEI principles and ability to apply a DEI lens.
* Communication, leadership, and negotiation skills.
* Experience in Financial Services Industry.
**Join The Journey**
 Ready to make an indelible impact? Eager to be a part of a collaborative and innovative team where your ideas and contributions don’t just fill a role, but fuel the growth and success of BECU? This is more than a job – it’s a chance to elevate your career, skills, and future, all while contributing to the robust technological landscape of BECU.
 Embrace the opportunity to grow with us. Apply now, bring your expertise to the table, and let’s achieve excellence together at BECU. Your journey of influence, innovation, and impactful contribution starts now. \#BECU \#YourGrowth \#BECUJourney
**EEO Statement**
 BECU is an equal opportunity employer. All qualified applicants will receive consideration for employment without regard to race, color, religion, sex, national origin, veteran status, disability, sexual orientation, gender identity, or any other protected status.</t>
        </is>
      </c>
    </row>
    <row r="78">
      <c r="A78" t="inlineStr">
        <is>
          <t>li-4355384436</t>
        </is>
      </c>
      <c r="B78" t="inlineStr">
        <is>
          <t>Provider Data Services Program Manager II</t>
        </is>
      </c>
      <c r="C78" t="inlineStr">
        <is>
          <t>L.A. Care Health Plan</t>
        </is>
      </c>
      <c r="D78" t="inlineStr">
        <is>
          <t>linkedin</t>
        </is>
      </c>
      <c r="E78">
        <f>HYPERLINK("https://www.linkedin.com/jobs/view/4355384436", "https://www.linkedin.com/jobs/view/4355384436")</f>
        <v/>
      </c>
      <c r="F78">
        <f>HYPERLINK("https://jobs.lacare.org/job/Los-Angeles-Provider-Data-Services-Program-Manager-II-CA-90017/1359087600/&amp;urlHash=g6Rs", "https://jobs.lacare.org/job/Los-Angeles-Provider-Data-Services-Program-Manager-II-CA-90017/1359087600/&amp;urlHash=g6Rs")</f>
        <v/>
      </c>
      <c r="G78" t="inlineStr">
        <is>
          <t>Los Angeles, CA</t>
        </is>
      </c>
      <c r="H78" t="inlineStr"/>
      <c r="I78" t="inlineStr">
        <is>
          <t>**Salary Range:** 
 $88,854\.00 (Min.) \- $115,509\.00 (Mid.) \- $142,166\.00 (Max.)
 Established in 1997, L.A. Care Health Plan is an independent public agency created by the state of California to provide health coverage to low\-income Los Angeles County residents. We are the nation’s largest publicly operated health plan. Serving more than 2 million members,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Provider Data Services Program Manager II leads organizes and coordinates support for Cactus data remediation in various projects, including data remediation efforts through the Symphony Utility, Data Standardized Provider Format (SPF) submissions, Data Governance Clean\-Up, and Customer Relationship Management (CRM) special projects. The Program Manager II represents Provider Data Services Department and leads streamlining auditing areas of compliance. This position supports the Director of Credentialing and Data Management through oversight of all data remediation in Cactus. This position primary duties shall include collaboration with the Appeals and Grievances Department and leading the re\-development of a compliant process that monitors provider complaints in L.A. Care's network. This position is the business lead for provider data reports required for Credentialing compliance with regulatory audits.
 The Provider Data Services Program Manager II also leads Cactus provider data remediation efforts through Symphony, Data Governance, and Standardized Provider Format (SPF) submissions. Additionally, this role manages Cactus Imports and Exports modules, manages implementation of upgrades to Cactus modules, and manages inputs or outputs in the Cactus environment that supports Information Technology (I.T.) and Product. This position acts as the Business Lead for Credentialing data reporting, resolves complex problems, and works with moderate guidance and direction from the Senior Director. This individual also initiates and develops strong interpersonal relationships with both internal L.A. Care staff and external business partners in order to facilitate joint decision\-making and successful program implementation to support delivery of timely and accurate data remediation through Cactus.
**Duties**
 Formulate and propose recommended solutions/ options to address moderately complex operational and programmatic challenges with Cactus provider data remediation, with moderate guidance from Senior Director.
 Assume ownership of data remediation initiatives for Cactus, under direction of Senior Director, for successful development, planning, and execution of programs, data reporting, analysis and improvements to infrastructure, from initial concept to implementation stage, with moderate guidance and supervision from Senior Director.
 Represent Cactus database interests and initiate engagement of existing internal and external business partners colleagues, to jointly problem\-solve complex member and provider issues. Facilitate constructive dialogue among internal and external stakeholders to ensure problems are properly assessed, analyzed and resolved, with moderate guidance and supervision from Senior Director.
 In concert with other departments, work to draft work plans, policies and procedures that define business needs for Cactus data remediation, including , scope, key milestones and tasks necessary to guide the implementation of new program initiatives, such as Target State, Data Governance, and development of an Appeals \&amp; Grievances process for the Direct Network. Maintain work plan updates to capture any changes that arise throughout from each initiative, ensuring Cactus alignment with downstream business processes across the organization.
 Manage progress and performance as it relates to Cactus tasks; track and report on program status. Identify issues that must be escalated in order to ensure timely completion of program. Manage internal and external meetings, including the development of agendas and objectives. Propose solutions to address and mitigate any anticipated program delays and steer program in positive direction. Execute workflow processes developed by Provider Data Services (PDS) Director for Appeals and Grievances processes; ensure oversight monitoring process in place. Lead oversight and monitoring of Credentialing provider data reports for regulatory audits.
 Serve as L.A. Care business program lead in external stakeholder meetings on behalf of the Provider Data Management team, as required. Serve as L.A. Care business program lead and actively participate in L.A. Care committee standing meetings and management meetings on behalf of the Provider Data Services team, as required with moderate guidance and supervision from Senior Director.
 Perform other duties as assigned.
**Duties Continued**
**Education Required**
 Bachelor's Degree
 In lieu of degree, equivalent education and/or experience may be considered.
**Education Preferred**
 Master's Degree
**Experience**
**Required:**
 At least 5 years of credentialing auditing experience in a managed care or hospital setting.
 Proven experience conducting root\-cause analyses, policy requirements, and managing highly visible organizational programs.
 Experience building relationships with organizations and business partners.
**Preferred**
 Experience working with managing programs or other managerial experience.
 Managed care experience.
**Skills**
**Required:**
 Strong knowledge of NCQA Credentialing Standards, CMS and DHCS regulatory requirements.
 Strong knowledge of Symplr Cactus database systems.
 Knowledge of metric management methodology.
 Demonstrated critical thinking, problem solving, and program planning and implementation skills.
 Demonstrated strong writing and communication skills.
 Demonstrated ability to synthesize and analyze qualitative and/or quantitative data.
 Proven knowledge of data entry and reporting management within Symplr Cactus database.
**Licenses/Certifications Required**
**Licenses/Certifications Preferred**
 Certified Provider Credentialing Specialist (CPCS)
 Project Management Professional (PMP)
**Required Training**
**Physical Requirements**
 Light
**Additional Information**
**Salary Range Disclaimer:** 
 The expected pay range is based on many factors such as geography, experience, education, and the market. The range is subject to change.
**L.A. Care Offers a Wide Range Of Benefits Including**
* Paid Time Off (PTO)
* Tuition Reimbursement
* Retirement Plans
* Medical, Dental and Vision
* Wellness Program
* Volunteer Time Off (VTO)</t>
        </is>
      </c>
    </row>
    <row r="79">
      <c r="A79" t="inlineStr">
        <is>
          <t>li-4321343670</t>
        </is>
      </c>
      <c r="B79" t="inlineStr">
        <is>
          <t>Technical Program Manager - Aerospace Cabin Power Products</t>
        </is>
      </c>
      <c r="C79" t="inlineStr">
        <is>
          <t>Astronics AES</t>
        </is>
      </c>
      <c r="D79" t="inlineStr">
        <is>
          <t>linkedin</t>
        </is>
      </c>
      <c r="E79">
        <f>HYPERLINK("https://www.linkedin.com/jobs/view/4321343670", "https://www.linkedin.com/jobs/view/4321343670")</f>
        <v/>
      </c>
      <c r="F79" t="inlineStr"/>
      <c r="G79" t="inlineStr">
        <is>
          <t>Kirkland, WA</t>
        </is>
      </c>
      <c r="H79" t="inlineStr"/>
      <c r="I79" t="inlineStr">
        <is>
          <t>**Astronics Advanced Electronic Systems (AES)** 
 is seeking a
 **Technical Program Manager** 
 to bring their Electrical Engineering, Program Management, and organizational expertise to our team of diverse, professional problem solvers in our
 **Cabin Electronics / Cabin Power Products Group** 
 in
 **Kirkland, WA.** 
 The Cabin Electronics Product Group is the world’s leading manufacturer of in\-seat power systems for the commercial airline industry. The group’s EmPower® product line provides a variety of scalable power solutions for aircraft passenger cabins and flight decks. The system is used by over 280 airlines, IFE suppliers, and all major aircraft OEM manufacturers worldwide.
**JOB SUMMARY** 
 Our Technical Program Manager is responsible for the management, performance, and the smooth transition into the initial production process to complete the new product development program. Coordinates with department Heads to develop a cross\-functional team, focused on delivering new or upgrading existing products. Monitors the project from initiation through delivery including planning and directing schedules and monitoring budget/spending. Organizes cross\-functional activities, ensuring completion of the project i.e., product on schedule and within budget constraints.
**DUTIES \&amp; RESPONSIBILITIES:** 
**Technical Leadership:** 
* Resolves technical problems with a high degree of analytical expertise and originality
* Coordinates hardware/software design verification testing
* Coordinates the Boeing \&amp; Airbus offer ability process including the qualification test activities
**Customer Management:** 
* Participates in negotiations on price and delivery in cooperation with contract administrator
* Typically communicates with customer buyers and subcontract managers, providing regular schedule updates, receiving customer feedback, and leading problem resolution
**New Business:** 
* Leads proposal efforts on small, non\-complex proposals
* Supports new product or existing product upgrade proposal activities on a mutually agreed to schedule
**Contract Management:** 
* Completes compliance matrices for the statement of work and other terms and conditions for contracts
**Cost/Budget Controls:** 
* Creates budgets for research projects or development programs
**Schedule Control:** 
* Creates program schedules for the entire new product development life cycle that keep the program on schedule
* Identifies program risks and opportunities
* Maintains IRAD file and support budgets as defined in the project plan
**Process Improvement:** 
* Drives continuous improvements in engineering processes by challenging and eliminating unnecessary steps.
* Coordinates the incorporation of lessons learned into the engineering design guidelines
**MINIMUM QUALIFICATIONS** 
* Bachelor of Science Degree in Engineering required
* Five (5\) or more years of direct experience in Program Management
* Demonstrated expertise with engineering tools: MS Project, MS Office, Requirements Management, and Configuration Management
* Experience in bringing newly developed products through the new product introduction process
* Experience in the Aerospace Industry
* Experience with the DO\-160 regulatory standard for environmental testing of airborne equipment
**ELIGIBILITY REQUIREMENTS** 
* As a US Department of Defense Contractor, Astronics is bound by International Traffic in Arms Regulations (ITAR).
 **Must be a US Person under ITAR to be eligible** 
 .
* Employment is contingent on successfully passing a pre\-employment background screen and drug test, including cannabis screening.
**Compensation and Benefits:** 
* **Salary Range:** 
 $111,929 \- $167,893 per year (Mid\-point: $139,911 per year). In most cases, new hires will be positioned closer to the mid\-point of the range.
* Astronics also offers a highly competitive
 **Quarterly Profit Sharing Bonus** 
 .
* Benefits include health, dental, vision, disability, and life insurance, FSA, HSA, and voluntary coverage options.
* 401K \&amp; Employee Stock Purchase Plan.
* Employee Assistance Program and work/life balance culture.
* Generous Paid Time Off (starting at 120 hours) and 12 Paid Holidays.
 Astronics Corporation (Nasdaq: ATRO) serves the world's aerospace, defense, and other mission critical industries with proven, innovative technology solutions. Astronics works side\-by\-side with customers, integrating its array of power, connectivity, lighting, structures, interiors, and test technologies to solve complex challenges. For 50 years, Astronics has delivered creative, customer\-focused solutions with exceptional responsiveness. Today, global airframe manufacturers, airlines, military branches, completion centers, and Fortune 500 companies rely on the collaborative spirit and innovation of Astronics.
 We offer our breadth of technology solutions and services through 11 subsidiary business units and numerous award\-winning product brands. Serving our customers is our first priority, and every day we honor this mission with quality, partnership, and energetic global vision.
*All qualified applicants will receive consideration for employment without regard to race, color, sex, sexual orientation, gender identity, religion, national origin, disability, veteran status, or other legally protected status.*</t>
        </is>
      </c>
    </row>
    <row r="80">
      <c r="A80" t="inlineStr">
        <is>
          <t>li-4365633140</t>
        </is>
      </c>
      <c r="B80" t="inlineStr">
        <is>
          <t>Program Manager</t>
        </is>
      </c>
      <c r="C80" t="inlineStr">
        <is>
          <t>Merakey</t>
        </is>
      </c>
      <c r="D80" t="inlineStr">
        <is>
          <t>linkedin</t>
        </is>
      </c>
      <c r="E80">
        <f>HYPERLINK("https://www.linkedin.com/jobs/view/4365633140", "https://www.linkedin.com/jobs/view/4365633140")</f>
        <v/>
      </c>
      <c r="F80">
        <f>HYPERLINK("https://myjobs.adp.com/merakeycareers/cx/cx/job-details?reqId=5001174508706&amp;f=LINKEDIN&amp;o=true&amp;urlHash=rl8N", "https://myjobs.adp.com/merakeycareers/cx/cx/job-details?reqId=5001174508706&amp;f=LINKEDIN&amp;o=true&amp;urlHash=rl8N")</f>
        <v/>
      </c>
      <c r="G80" t="inlineStr">
        <is>
          <t>Trevose, PA</t>
        </is>
      </c>
      <c r="H80" t="inlineStr"/>
      <c r="I80" t="inlineStr">
        <is>
          <t>Are you looking for an opportunity to advance your career while working with an extraordinary team? At Merakey, we put our heart and soul into everything we do. We are seeking a
 **Program Manager, Residential** 
 to join our team.
 The Program Manager plays a critical role in the day\-to\-day management and oversight of specific programs or services within their identified Division. Reporting to the Program Director or Director, this position is responsible for coordinating program activities, supervising program staff, and ensuring the delivery of high\-quality services to program participants. This role may manage a caseload of their own.
**Must Have**
* Knowledge of human services principles, best practices, and evidence\-based interventions relevant to the program's focus area (e.g., mental health, homelessness, youth services).
* Knowledge of community resources, services, and support networks available to program participants, including social service agencies, government programs, and community\-based organizations.
* Strong problem\-solving skills, with the ability to identify challenges, develop solutions, and make informed decisions in a fast\-paced and dynamic environment.
* Excellent organizational skills, with the ability to manage multiple priorities, meet deadlines, and coordinate program activities, resources, and logistics effectively.
* Flexibility and adaptability to respond to changing needs, priorities, and circumstances, adjusting program strategies and approaches as necessary to achieve desired outcomes.
**Responsibilities Include**
* Supervise program staff, providing direction, guidance, and support.
* Conduct regular staff meetings to discuss program goals, updates, and challenges.
* Provide training and professional development opportunities for staff members.
* Delegate tasks and responsibilities to team members, ensuring workload balance.
* Address staffing issues, conflicts, and concerns in a timely and effective manner.
* Foster a positive and inclusive work environment that promotes teamwork and collaboration.
**Client Care And Safety**
* Oversee participant intake and assessment processes to ensure a comprehensive understanding of individual needs.
* Develop and implement individualized service plans for program participants.
* Monitor participant progress towards goals and adjust service plans as needed.
* Provide crisis intervention and support to participants experiencing emergencies or crises.
* Ensure participant safety and well\-being through regular check\-ins and follow\-ups.
**Program Operations**
* Ensure compliance with programmatic requirements, regulations, and standards.
* Collect, analyze, and report program data and outcomes to stakeholders.
* Coordinate program logistics, including scheduling, space management, and transportation.
* Collaborate with community partners and stakeholders to enhance program impact.
* Represent the program and organization in meetings, events, and community forums.
* Perform other duties as assigned.
**Responsible for personnel management to include but not limited to:**
* Leave Management, Workers Compensation, Unemployment, Performance Management, hiring, remediation and termination.
* Management of Professional services
+ Purchasing of required supplies and reconciliation of receipts.
* On\-call responsibilities for region.
* Incident Management in partnership with QCO.
* When applicable understanding of labor to include but not limited to seniority and overtime rules and contract interpretation.
* Client fund management
* Intake and distribution of medication
* Oversight of team compliance of required trainings.
* Oversight of program operations to ensure adherence to monthly budgetary requirements.
**Benefits**
 Merakey offers generous benefits that promote well\-being, financial security, and work\-life balance, including:
* Comprehensive medical, dental, and vision coverage, plus access to healthcare advocacy support.
* Retirement plan \-\- both pre\-tax and Roth (after\-tax) options available for employee contributions.
* DailyPay \-\- access your pay when you need it!
* On the Goga well\-being platform, featuring self\-care tools and resources.
* Access Care.com for backup childcare, elder care, and household services.
* Confidential counseling, legal, and financial services through our Employee Assistance Program (EAP).
* Tuition reimbursement and educational partnerships.
* Employee discounts and savings programs on entertainment, travel, and lifestyle.
* Access to Pryor Online Learning for free online personal development classes.
 Learn more about our full benefits package \- https://www.merakey.org/careers/benefits
**About Merakey**
 Merakey is a non\-profit provider of developmental, behavioral health, and education services. More than 8,000 employees provide support to nearly 40,000 individuals and families throughout 12 states across the country each year. Click here to watch a video about Merakey.
 **Merakey strictly follows a zero\-tolerance policy for abuse.**
**Merakey is proud to be an Equal Opportunity Employer!** 
 We deeply value diversity and do not discriminate on the basis of race, religion, color, national origin, ethnic background, sex, gender, gender identity, sexual orientation, age, marital status, veteran status, genetic information, or disability status. Moreover, we are committed to creating teams that reflect the diversity of the communities we serve and encourage applicants from underrepresented backgrounds to apply. Merakey welcomes all Veterans to apply!</t>
        </is>
      </c>
    </row>
    <row r="81">
      <c r="A81" t="inlineStr">
        <is>
          <t>li-4365632586</t>
        </is>
      </c>
      <c r="B81" t="inlineStr">
        <is>
          <t>Program Management - Program Manager V</t>
        </is>
      </c>
      <c r="C81" t="inlineStr">
        <is>
          <t>Apex Systems</t>
        </is>
      </c>
      <c r="D81" t="inlineStr">
        <is>
          <t>linkedin</t>
        </is>
      </c>
      <c r="E81">
        <f>HYPERLINK("https://www.linkedin.com/jobs/view/4365632586", "https://www.linkedin.com/jobs/view/4365632586")</f>
        <v/>
      </c>
      <c r="F81" t="inlineStr"/>
      <c r="G81" t="inlineStr">
        <is>
          <t>San Francisco, CA</t>
        </is>
      </c>
      <c r="H81" t="inlineStr"/>
      <c r="I81" t="inlineStr">
        <is>
          <t>**Job\#: 3019392**
**Job Description:**
 JOB TITLE: Program Manager V
 DURATION: 12 MONTHS
 LOCATION: ONSITE IN SAN FRANCISCO, CA
 PAY RATE: $95 \- $105 HOURLY
**Description:** 
 Program manager with at least 6 years of experience supporting learning \&amp; development programs, including hosting and managing live training events.
 Compliance Requirements
**Skillsets/Qualifications**
 Job description
 The People Development team is seeking a detail\-oriented Program Manager to support the delivery and continuous improvement of core skills development programs for technical and non\-technical employees. You will drive program success through hands\-on coordination, content development and strategic communications, helping employees build the skills needed to thrive.
**Responsibilities**
 Support the management of learning programs aligned with business priorities.
 Translate complex concepts into accessible, learner\-friendly formats through iterative feedback and review cycles with subject matter experts (SMEs).
 Host live and virtual training sessions, creating an engaging and inclusive learning environment for participants.
 Support the creation and execution of engagement campaigns, partnering with internal communications teams to craft compelling messaging to promote program awareness and participation.
 Apply data\-driven methods to assess program impact and suggest improvements.
 Work closely with cross\-functional partners to ensure learning initiatives support organizational objectives.
 Keep thorough documentation and ensure all activities comply with policies and procedures.
**Minimum Requirements**
 Bachelor’s degree required.
 Strong organizational skills and keen attention to detail.
 Experience hosting live and/or virtual training sessions.
 6\+ years of experience in program management, learning \&amp; development, or a related field.
 Excellent communication and teamwork skills.
 Ability to work independently in a remote setting.
 Experience with AI and building new (0\-1\) programs is a plus.
 Top 3 must\-have HARD skills:
 Designing and developing training materials (presentations, job aids, activity guides, etc.).
 Hosting live and/or virtual training sessions.
 Publishing engagement campaigns to drive learner enrollment.
 Good to have skills:
**Experience Creating Training On AI Or Other Technical Topics**
 Experience building new (0\-1\) programs
 Years of experience needed: 7\+
 Story Behind the Need – Business Group \&amp; Key Projects:
 Our team is expanding our core skills development program, which currently delivers AI education to engineers. With the increasing demand for AI capabilities across the organization, we are broadening the program’s reach to include other critical roles such as product managers, designers, and data analysts. This growth creates a need for additional support to effectively scale and deliver these learning initiatives to a wider audience.
 High\-visibility role with lots of exposures; opportunity to build individual brand
 Typical Day in the Role:
 Partner with subject matter experts (SME) to create training content on various AI tools and concepts.
 Host virtual learning events, providing operational and troubleshooting support to 500\+ learners at a time.
 Partner with internal communications teams to create and execute campaigns that promote program awareness and encourage employee participation.
 Analyze survey results to evaluate program effectiveness, and suggest and implement improvements.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82">
      <c r="A82" t="inlineStr">
        <is>
          <t>li-4365621872</t>
        </is>
      </c>
      <c r="B82" t="inlineStr">
        <is>
          <t>Sr. Supply Chain Program Manager, Global Field Operations Supply Chain</t>
        </is>
      </c>
      <c r="C82" t="inlineStr">
        <is>
          <t>Amazon Web Services (AWS)</t>
        </is>
      </c>
      <c r="D82" t="inlineStr">
        <is>
          <t>linkedin</t>
        </is>
      </c>
      <c r="E82">
        <f>HYPERLINK("https://www.linkedin.com/jobs/view/4365621872", "https://www.linkedin.com/jobs/view/4365621872")</f>
        <v/>
      </c>
      <c r="F82" t="inlineStr"/>
      <c r="G82" t="inlineStr">
        <is>
          <t>Seattle, WA</t>
        </is>
      </c>
      <c r="H82" t="inlineStr"/>
      <c r="I82" t="inlineStr">
        <is>
          <t>**Description**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 Monitoring relevant metrics for their role to ensure seamless delivery for our customers. Where there are issues, they quickly react to contain and correct issues to prevent recurrence.
*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
**Company** 
 \- Amazon Data Services, Inc.
 Job ID: A3165771</t>
        </is>
      </c>
    </row>
    <row r="83">
      <c r="A83" t="inlineStr">
        <is>
          <t>li-4365620982</t>
        </is>
      </c>
      <c r="B83" t="inlineStr">
        <is>
          <t>Sr. Supply Chain Program Manager, Global Field Operations Supply Chain</t>
        </is>
      </c>
      <c r="C83" t="inlineStr">
        <is>
          <t>Amazon Web Services (AWS)</t>
        </is>
      </c>
      <c r="D83" t="inlineStr">
        <is>
          <t>linkedin</t>
        </is>
      </c>
      <c r="E83">
        <f>HYPERLINK("https://www.linkedin.com/jobs/view/4365620982", "https://www.linkedin.com/jobs/view/4365620982")</f>
        <v/>
      </c>
      <c r="F83" t="inlineStr"/>
      <c r="G83" t="inlineStr">
        <is>
          <t>Bellevue, WA</t>
        </is>
      </c>
      <c r="H83" t="inlineStr"/>
      <c r="I83" t="inlineStr">
        <is>
          <t>**Description**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 Monitoring relevant metrics for their role to ensure seamless delivery for our customers. Where there are issues, they quickly react to contain and correct issues to prevent recurrence.
*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
**Company** 
 \- Amazon Data Services, Inc.
 Job ID: A3165771</t>
        </is>
      </c>
    </row>
    <row r="84">
      <c r="A84" t="inlineStr">
        <is>
          <t>li-4355560448</t>
        </is>
      </c>
      <c r="B84" t="inlineStr">
        <is>
          <t>Program Manager, Office for Access and Title IX</t>
        </is>
      </c>
      <c r="C84" t="inlineStr">
        <is>
          <t>UT Southwestern Medical Center</t>
        </is>
      </c>
      <c r="D84" t="inlineStr">
        <is>
          <t>linkedin</t>
        </is>
      </c>
      <c r="E84">
        <f>HYPERLINK("https://www.linkedin.com/jobs/view/4355560448", "https://www.linkedin.com/jobs/view/4355560448")</f>
        <v/>
      </c>
      <c r="F84" t="inlineStr"/>
      <c r="G84" t="inlineStr">
        <is>
          <t>Dallas, TX</t>
        </is>
      </c>
      <c r="H84" t="inlineStr"/>
      <c r="I84"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The Program Manager is responsible for coordinating the development and administration of various programs that are implemented by the Office for Access \&amp; Title IX (OAT9\) at UT Southwestern Medical Center. This position is charged with being a lead facilitator for the office's outreach and compliance training efforts. This position also assists with employee accommodation requests and investigations of complaints of discrimination and harassment pursuant to federal, state, and local EEO laws and UT Southwestern Medical Center's Equal Opportunity Policies. Moreover, the position will have significant responsibility in ensuring institutional compliance with EEO related state and federal contractor obligations.
 Experience writing position statements on behalf of corporation or higher education entity to EEOC, Texas Workforce Commission or similar state entity is strongly preferred. Candidates are strong encouraged to include a writing sample with application.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
**Required**
**EXPERIENCE AND EDUCATION**
* Education Bachelor's Degree from an accredited college.
* Experience 2 years of HR/legal/compliance experience involving EEO investigations and compliance.
**Preferred**
* Education Master's Degree or Juris Doctorate from an accredited law school.
* Licenses and Certifications (SHRM\-CP) SHRM Certified Professional or equivalent Upon Hire
**Job Duties**
* This position serves as a lead investigator for discrimination, harassment, and retaliation concerns. Also serves as a liaison and internal consultant to management, departmental leaders, and schools/Dean's offices regarding compliance for equal opportunity, EEO state and federal compliance, and campus accessibility. This position must collaborate, when necessary, with the Employee Relations, Talent Acquisition, Legal Affairs, and Compliance departments regarding regulatory compliance issues.
* Develops training with regards to accessibility, impartial opportunity, and related topics for the university and healthcare systems. Will also directly train, facilitate, and secure other trainers regarding these issues.
* Provides technical assistance, advice, coaching, and consultation to individuals and groups regarding conflicts and disputes, as well as policies and practices that might have an adverse impact on a particular group(s). Supports the development and administration of the university's program(s) related to EEO federal contractor compliance.
* Assists in collecting and monitoring transactional data for university planning (i.e. hiring, promotion, termination, etc.) and generating related reports for management.
* Partners with institutional leaders to develop and implement initiatives that promote the adoption of inclusive strategies to enhance the recruitment and retention of individuals with disabilities and protected veterans in accordance with state and federal law.
* Provides guidance and counseling to employees and managers regarding Equal Employment Opportunity (EEO) matters.
* Assists with the evaluation and investigation of claims of discrimination, harassment, retaliation, and other EEO related concerns, as needed by the Office for Access \&amp; Title IX.
* Leads investigations and audits into EEO related concerns and oversees the investigations and audits of other office staff.
* Meets with individuals and uses independent judgment and initiative to provide conflict resolution and referral options.
* Uses independent judgment in analyzing ADA accommodation requests to determine eligibility for accommodation in accordance with University policy and the Americans with Disabilities Act (ADA); manages the request for accommodations including providing requestors with procedural information, working with managers in the interactive process, and communicating accommodation decisions to requestors and management.
* Performs other duties as assigned.
**SECURITY AND EEO STATEMENT**
**Security**
 This position is security\-sensitive and subject to Texas Education Code 51\.215, which authorizes UT Southwestern to obtain criminal history record information.
**EEO**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**Primary Location**
 Texas\-Dallas\-5323 Harry Hines Blvd
**Work Locations**
 5323 Harry Hines Blvd
**Job**
 Professional \&amp; Executive
**Organization**
 107001 \- Office for Access \&amp; Title IX
**Schedule**
 Full\-time
**Shift**
 Day Job
**Employee Status**
 Regular
**Job Type**
 Standard
**Job Posting**
 Jan 24, 2026, 3:12:32 AM</t>
        </is>
      </c>
    </row>
    <row r="85">
      <c r="A85" t="inlineStr">
        <is>
          <t>li-4365633619</t>
        </is>
      </c>
      <c r="B85" t="inlineStr">
        <is>
          <t>HR Diversity Program Manager – Lead Investigator</t>
        </is>
      </c>
      <c r="C85" t="inlineStr">
        <is>
          <t>The City University of New York</t>
        </is>
      </c>
      <c r="D85" t="inlineStr">
        <is>
          <t>linkedin</t>
        </is>
      </c>
      <c r="E85">
        <f>HYPERLINK("https://www.linkedin.com/jobs/view/4365633619", "https://www.linkedin.com/jobs/view/4365633619")</f>
        <v/>
      </c>
      <c r="F85">
        <f>HYPERLINK("https://cuny.jobs/new-york-ny/hr-diversity-program-manager-lead-investigator/5123EBEF360A41E083D84195604B033A/job/&amp;urlHash=82RS", "https://cuny.jobs/new-york-ny/hr-diversity-program-manager-lead-investigator/5123EBEF360A41E083D84195604B033A/job/&amp;urlHash=82RS")</f>
        <v/>
      </c>
      <c r="G85" t="inlineStr">
        <is>
          <t>New York, NY</t>
        </is>
      </c>
      <c r="H85" t="inlineStr"/>
      <c r="I85" t="inlineStr">
        <is>
          <t>**POSITION DETAILS**
**About John Jay College**
 John Jay College of Criminal Justice, an internationally recognized leader in educating for justice, is a senior college of the City University of New York (CUNY) led by President Karol V. Mason. John Jay is a federally designated Hispanic\-serving and Minority\-serving institution. It is ranked third in the nation in Black student success and it is a top ten institution for promoting student social mobility. John Jay is proud to serve a diverse and dynamic student body of more than 15,000 students on our primarily commuter campus. Our student body includes nearly fifty percent students who are first in their family to attend college as well as students who are immigrants, from low\-income families, and other historically underrepresented groups.
 A Carnegie designated Research Institution, the College participates in the Macaulay Honors College and doctoral programs of the Graduate Center of the City University of New York. It offers bachelor’s and master’s degrees in traditional criminal justice\-related fields of study as well as in a robust portfolio of liberal arts and sciences programs that highlight themes of justice across the arts, sciences, humanities, and social sciences. John Jay College seeks staff and faculty members who thrive in multicultural academic environments and are committed to access and excellence in higher education.
**Position Overview**
 John Jay College of Criminal Justice is seeking a highly qualified and skilled Title IX/EEO Lead Investigator to join our team. This pivotal role will report to the Director of Compliance and Diversity/Title IX Coordinator, collaborating closely with campus partners including the offices of Public Safety, Student Affairs, Human Resources, Legal Affairs/Labor Designee and Academic Affairs. The Lead Investigator will investigate and help ensure timely resolution of assigned reports concerning sex\-based misconduct, retaliation, and discrimination within the College community. The Lead Investigator will support outreach, conduct case intakes, implement supportive measures, and conduct prompt, thorough, and impartial investigations in response to complaints filed with the Office of Legal Counsel. Additionally, the Investigator will provide detailed, unbiased reports that may inform disciplinary action or proceedings at the College. Along with the other members of the team, the lead investigator will develop, assist and participate in trainings to educate the College community on policy, laws and regulations, as well as reporting obligations.
**The Preferred Candidate Will Have The Following**
* Knowledge of or professional experience conducting internal investigations related to discrimination, retaliation and/or sex\-based misconduct allegations in a higher\-education setting or other related field. Proven experience in processing reports and complaints in a higher education setting, particularly related to Title IX, Title VI, Title VII, as well as Section 504, ADA and EEO matters.
* Experience in developing and presenting educational programs on topics such as sex\-based harassment, discrimination, retaliation, and diversity.
* Excellent judgment with the ability to manage highly sensitive and confidential information discreetly. Demonstrated experience in problem\-solving, planning, organizing work, and effectively communicating both orally and in writing.
* Comfortable learning new technologies and utilizing various programs and systems to perform job functions. Maintain proficiency in using legal research databases, office management software, case management, document and incident tracking software.
* Ensure that investigations are conducted in a timely, fair, and equitable manner, while maintaining confidentiality and privacy for all involved parties.
* Maintain accurate and detailed records of investigations, including interviews, evidence, findings, and the final resolution or recommendation.
* Ensure that all necessary documentation is properly archived in compliance with institutional policies and federal regulations.
* Track and monitor reports, the status of investigations, ensuring compliance with timelines and procedural requirements.
* Ability to manage and navigate conflict, including interactions with individuals experiencing high levels of stress or emotion.
* Ability to work independently and efficiently while balancing multiple responsibilities, as well as a desire to work actively and creatively as part of a team.
* Demonstrated expertise in applying relevant federal, state, and local laws, including Title IX, Title VI, Title VII, Section 504, ADA, the Clery Act, VAWA, EIE, and FERPA.
* Strong skills in conflict resolution, problem\-solving, interviewing, and conducting thorough investigations.
* Excellent analytical skills with the ability to assess and negotiate complex, highly sensitive situations, facilitating resolution while maintaining confidentiality.
* Exceptional interpersonal skills, including the ability to listen actively and demonstrate sensitivity to individual needs and diverse populations.
* Ability to maintain neutrality and professionalism while working in a fast\-paced environment and across multiple constituencies to resolve complaints sensitively.
* Demonstrated commitment to working with and for diverse, multicultural populations, promoting equity and inclusion in all initiatives.
**This position is excluded from union representation.**
**Qualifications**
 Bachelor's degree and six years' related experience required.
**Preferred Qualifications**
 A preferred candidate should have:
* Juris Doctor (J.D.) and two years of experience conducting investigations or interviewing clients in a legal or advocacy\-oriented capacity of any kind.
* Two years of Diversity, Equity, and Inclusion experience.
* Two years of professional experience investigating Title VI, Title VII, Title IX, or ADA complaints; may serve as a substitute for investigatory experience (i.e. litigation experience, HR investigatory experience).
**Cuny Title Overview**
 Manages diversity policies, procedures, and initiatives to support CUNY's strong commitment to a diverse and respectful workplace.
* Oversees the implementation, administration, and communication of diversity programs
* Collaborates with the college Chief Diversity Officer and campus management to develop and implement programs, prepare plans and reports, perform internal compliance audits, and resolve questions and concerns
* Prepares and trains on CUNY compliance mandates and relevant city, state, and federal statutes such as Title VII, Title IX (Sexual Harassment Policies), Section 504, and the Americans with Disabilities Act
* Collects, analyzes, and prepares reports, identifying and presenting findings, patterns and trends, and recommending college policy and procedural changes
* Performs related duties as assigned.
**CUNY TITLE**
 Higher Education Associate
**FLSA**
 Exempt
**Compensation And Benefits**
 $94,909 \- $113,982
 Salary commensurate with education and experience.
 CUNY's benefits contribute significantly to total compensation, supporting health and wellness, financial well\-being, and professional development. We offer a range of health plans, competitive retirement/pension benefits and savings plans, tuition waivers for CUNY graduate study and generous paid time off. Our staff also benefits from the extensive academic, arts, and athletic programs on our campuses and the opportunity to participate in a lively, diverse academic community in one of the greatest cities in the world.
**How To Apply**
 If you are viewing the job posting on John Jay College website or in CUNYFirst, please select the "Apply Now" button. If you are viewing he job posting on any other website, please follow the instructions below:
* Go to www.cuny.edu and click on "Employment"
* Click "Search job listing"
* Click on "More options to search for CUNY jobs"
* Search by Job Opening ID 31707
* Click on the "Apply Now" and follow the instructions.
 Once you have registered or logged in with your user name and password, upload your cover letter, resume, and the names and contact information of three professional references as one document.
**CLOSING DATE**
 The posting closes on February 22, 2026\.
**JOB SEARCH CATEGORY**
 CUNY Job Posting: Managerial/Professional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Job ID
 31707
 Location
 John Jay College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2026-01-24T06:23:53Z</dcterms:created>
  <dcterms:modified xsi:type="dcterms:W3CDTF">2026-01-24T06:23:53Z</dcterms:modified>
</cp:coreProperties>
</file>