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in-3cfe02411642479c</t>
        </is>
      </c>
      <c r="B2" t="inlineStr">
        <is>
          <t>Senior Data Engineer / AI Engineer (Public Sector Focus)</t>
        </is>
      </c>
      <c r="C2" t="inlineStr">
        <is>
          <t>Polity</t>
        </is>
      </c>
      <c r="D2" t="inlineStr">
        <is>
          <t>indeed</t>
        </is>
      </c>
      <c r="E2">
        <f>HYPERLINK("https://www.indeed.com/viewjob?jk=3cfe02411642479c", "https://www.indeed.com/viewjob?jk=3cfe02411642479c")</f>
        <v/>
      </c>
      <c r="F2">
        <f>HYPERLINK("http://www.indeed.com/job/senior-data-engineer-ai-engineer-public-sector-focus-3cfe02411642479c", "http://www.indeed.com/job/senior-data-engineer-ai-engineer-public-sector-focus-3cfe02411642479c")</f>
        <v/>
      </c>
      <c r="G2" t="inlineStr">
        <is>
          <t>Remote, US</t>
        </is>
      </c>
      <c r="H2" s="2" t="n">
        <v>46045</v>
      </c>
      <c r="I2" t="inlineStr">
        <is>
          <t>Polity is looking for a unicorn in the data engineering world. We’re seeking a rare individual with deep experience in public sector data and a strong command of modern AI architectures—including large language models, retrieval\-augmented generation (RAG), and vector databases.
This role requires hands\-on expertise in AWS and real\-world experience deploying secure, production\-ready services—either directly to client environments or hosted internally. You’ll work at the intersection of data engineering, AI, and civic technology, helping government organizations unlock insights, automate workflows, and modernize access to information.
Job Type: Contract
Pay: $50\.00 \- $75\.00 per hour
Benefits:
* Flexible schedule
Work Location: Remote</t>
        </is>
      </c>
    </row>
    <row r="3">
      <c r="A3" t="inlineStr">
        <is>
          <t>in-5aac2a3b7d9e0cdd</t>
        </is>
      </c>
      <c r="B3" t="inlineStr">
        <is>
          <t>AI Engineer, Senior</t>
        </is>
      </c>
      <c r="C3" t="inlineStr">
        <is>
          <t>Booz Allen Hamilton</t>
        </is>
      </c>
      <c r="D3" t="inlineStr">
        <is>
          <t>indeed</t>
        </is>
      </c>
      <c r="E3">
        <f>HYPERLINK("https://www.indeed.com/viewjob?jk=5aac2a3b7d9e0cdd", "https://www.indeed.com/viewjob?jk=5aac2a3b7d9e0cdd")</f>
        <v/>
      </c>
      <c r="F3">
        <f>HYPERLINK("https://careers.boozallen.com/careers/JobDetail?jobId=119874", "https://careers.boozallen.com/careers/JobDetail?jobId=119874")</f>
        <v/>
      </c>
      <c r="G3" t="inlineStr">
        <is>
          <t>Bethesda, MD, US</t>
        </is>
      </c>
      <c r="H3" s="2" t="n">
        <v>46044</v>
      </c>
      <c r="I3" t="inlineStr">
        <is>
          <t>AI Engineer, Senior**The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transforming the federal government with AI. As an AI Engineer on our national security team, you’ll build agentic systems, fine\-tune models, build RL environments, and make AI a reality for our clients.
In this role, you’ll contribute to the direction of mission\-critical solutions by applying best\-fit AI models and technologies. You’ll grow within a large community of AI engineers across the company and collaborate with product teams, data engineers, and government stakeholders to deliver world\-class solutions to build agentic systems. Your skills and technical experience will help your clients navigate the landscape of AI algorithms, tools, and frameworks.
Join us. The world can’t wait.
**You Have:**
* Experience leading technical teams in the development of enterprise or government AI or ML systems
* Experience engaging with non\-technical leadership teams to communicate technical content and build requirements
* Experience working with LLMs or Generative AI systems
* Knowledge of AI frameworks, supporting tools, and design patterns such as LangGraph, MCP, or A2A
* Knowledge of a scripting language
* Ability to map AI solutions onto customer problems
* Public Trust
* Bachelor's degree in a Technology field, such as Computer Science or Statistics
**Nice If You Have:**
* Experience training generative AI systems
* Experience deploying generative AI systems into production environments
* Knowledge of Python
* Ability to translate general user requirements into actionable tasks
* Master's degree in a Technology field
* Cloud Certifications, such as AWS Certified AI Practitioner Certification
**Vetting:**
Applicants selected will be subject to a government investigation and may need to meet eligibility requirements of the U.S. government client; Public Trust determination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
      <c r="A4" t="inlineStr">
        <is>
          <t>in-f6e7a5765c3a2ba7</t>
        </is>
      </c>
      <c r="B4" t="inlineStr">
        <is>
          <t>AI Engineer, Senior</t>
        </is>
      </c>
      <c r="C4" t="inlineStr">
        <is>
          <t>Booz Allen Hamilton</t>
        </is>
      </c>
      <c r="D4" t="inlineStr">
        <is>
          <t>indeed</t>
        </is>
      </c>
      <c r="E4">
        <f>HYPERLINK("https://www.indeed.com/viewjob?jk=f6e7a5765c3a2ba7", "https://www.indeed.com/viewjob?jk=f6e7a5765c3a2ba7")</f>
        <v/>
      </c>
      <c r="F4">
        <f>HYPERLINK("https://careers.boozallen.com/careers/JobDetail?jobId=119877", "https://careers.boozallen.com/careers/JobDetail?jobId=119877")</f>
        <v/>
      </c>
      <c r="G4" t="inlineStr">
        <is>
          <t>Bethesda, MD, US</t>
        </is>
      </c>
      <c r="H4" s="2" t="n">
        <v>46044</v>
      </c>
      <c r="I4" t="inlineStr">
        <is>
          <t>AI Engineer, Senior**The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transforming the federal government with AI. As an AI Engineer on our national security team, you’ll build agentic systems, fine tune models, build RL environments, and make AI a reality for our clients.
In this role, you’ll contribute to the direction of mission\-critical solutions by applying best\-fit AI models and technologies. You’ll grow within a large community of AI engineers across the company and collaborate with product teams, data engineers, and government stakeholders to deliver world\-class solutions to build agentic systems. Your skills and technical experience will help your clients navigate the landscape of AI algorithms, tools, and frameworks.
Join us. The world can’t wait.
**You Have:**
* Experience leading technical teams in the development of enterprise or government AI or ML systems
* Experience engaging with non\-technical leadership teams to communicate technical content and build requirements
* Experience working with LLMs or Generative AI systems
* Knowledge of AI frameworks, supporting tools, and design patterns such as LangGraph, MCP, or A2A
* Knowledge of a scripting language
* Ability to map AI solutions onto customer problems
* Public Trust
* Bachelor's degree in a Technology field such as Computer Science or Statistics
**Nice If You Have:**
* Experience training generative AI systems
* Experience deploying generative AI systems into production environments
* Knowledge of Python
* Ability to translate general user requirements into actionable tasks
* Master's degree in a Technology field preferred
* Cloud Certifications, such as AWS Certified AI Practitioner Certification
**Vetting:**
Applicants selected will be subject to a government investigation and may need to meet eligibility requirements of the U.S. government client; Public Trust determination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5">
      <c r="A5" t="inlineStr">
        <is>
          <t>in-4e1b8a81742b3753</t>
        </is>
      </c>
      <c r="B5" t="inlineStr">
        <is>
          <t>Artificial Intelligence and Machine Learning Engineer, Lead</t>
        </is>
      </c>
      <c r="C5" t="inlineStr">
        <is>
          <t>Booz Allen Hamilton</t>
        </is>
      </c>
      <c r="D5" t="inlineStr">
        <is>
          <t>indeed</t>
        </is>
      </c>
      <c r="E5">
        <f>HYPERLINK("https://www.indeed.com/viewjob?jk=4e1b8a81742b3753", "https://www.indeed.com/viewjob?jk=4e1b8a81742b3753")</f>
        <v/>
      </c>
      <c r="F5">
        <f>HYPERLINK("https://careers.boozallen.com/careers/JobDetail?jobId=119852", "https://careers.boozallen.com/careers/JobDetail?jobId=119852")</f>
        <v/>
      </c>
      <c r="G5" t="inlineStr">
        <is>
          <t>McLean, VA, US</t>
        </is>
      </c>
      <c r="H5" s="2" t="n">
        <v>46044</v>
      </c>
      <c r="I5" t="inlineStr">
        <is>
          <t>Artificial Intelligence and Machine Learning Engineer, Lead**The Opportunity:**
As an experienced AI/ML Engineer, you will help develop and operationalize secure, scalable, production\-grade AI solutions that sustain and advance mission\-critical capabilities. You will work as part of a cross\-functional team, collaborating with data engineers, data scientists, solution architects, and product owners to deliver high\-impact AI/ML solutions across a broad range of use cases.
In this role, you will modernize and operate an end\-to\-end, AI\-driven platform built on Databricks, Palantir, Amazon Bedrock, and custom AI/ML models. You will sustain and enhance batch and streaming data pipelines, improve data quality, lineage, and observability, and partner with data engineers and subject matter experts (SMEs) to define data contracts and feature pipelines. You will modernize legacy case selection capabilities by decomposing them into scalable services and operationalizing rules, and model\-driven scoring, prioritization, routing, and human\-in\-the\-loop review. You will build and operate production\-grade ML pipelines with strong MLOps practices, including versioning, CI/CD, monitoring, drift detection, explainability, and fairness, and integrate with shared enterprise services using API\-first and event\-driven patterns. You will also harden the platform to meet security and compliance requirements, including ATO, produce architecture and operational documentation, and collaborate closely with product, fraud, and case management teams in an Agile delivery environment. Due to the nature of work performed within this facility, U.S. citizenship is required.
Join us. The world can’t wait.
**You Have:**
* Experience building, deploying, and operating production ML models such as supervised, unsupervised, and anomaly detection, including techniques for imbalanced datasets
* Experience with ML engineering and MLOps, including model versioning, CI/CD for ML, monitoring, drift detection, and automated retraining
* Experience with Python and ML frameworks such as scikit\-learn, PyTorch, or TensorFlow, and data engineering platforms such as Palantir, Databricks, Spark, and SQL, including batch and streaming pipelines
* Experience improving data quality, lineage, and observability in enterprise data environments
* Experience operationalizing rules and model\-driven scoring for prioritization, routing, or case selection
* Experience with API\-first and event\-driven integration patterns, including secure service\-to\-service communication
* Experience working in Agile delivery environments, collaborating with product owners, SMEs, and engineering teams
* Knowledge of Responsible AI practices, including explainability, fairness, and bias assessment
* Ability to design and document architecture artifacts, data contracts, and operational runbooks
* Bachelor’s degree and 7\+ years of experience with DevOps, software, or data engineering, or 10\+ years of experience with DevOps, software, or data engineering in lieu of a degree
**Nice If You Have:**
* Experience with fraud detection, risk analytics, or case selection in government, tax, or financial domains
* Experience with Amazon Bedrock and integrating custom AI models into enterprise workflows
* Experience deploying ML solutions in AWS GovCloud or other regulated cloud environments
* Experience with federal ATO processes, continuous compliance, and operating systems under FISMA controls
* Experience in enterprise modernization programs such as cloud migration, microservices, API strategy, and DevSecOps
* Knowledge of graph\-based analytics and advanced anomaly detection techniques
* AWS Machine Learning Specialty, Security\+, AI Engineer credentials, or similar Certification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$128,700\.00 to $292,000\.00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6">
      <c r="A6" t="inlineStr">
        <is>
          <t>in-aabdbfdff746af79</t>
        </is>
      </c>
      <c r="B6" t="inlineStr">
        <is>
          <t>AI Engineer/Strategist, Lead</t>
        </is>
      </c>
      <c r="C6" t="inlineStr">
        <is>
          <t>Booz Allen Hamilton</t>
        </is>
      </c>
      <c r="D6" t="inlineStr">
        <is>
          <t>indeed</t>
        </is>
      </c>
      <c r="E6">
        <f>HYPERLINK("https://www.indeed.com/viewjob?jk=aabdbfdff746af79", "https://www.indeed.com/viewjob?jk=aabdbfdff746af79")</f>
        <v/>
      </c>
      <c r="F6">
        <f>HYPERLINK("https://careers.boozallen.com/careers/JobDetail?jobId=119883", "https://careers.boozallen.com/careers/JobDetail?jobId=119883")</f>
        <v/>
      </c>
      <c r="G6" t="inlineStr">
        <is>
          <t>Atlanta, GA, US</t>
        </is>
      </c>
      <c r="H6" s="2" t="n">
        <v>46044</v>
      </c>
      <c r="I6" t="inlineStr">
        <is>
          <t>AI Engineer/Strategist, Lead**The Opportunity:**
As an AI Engineer/Strategist,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transforming the federal government with AI. As an AI Engineer on our national security team, you’ll build agentic systems, fine\-tune models, build RL environments, and make AI a reality for our clients.
In this role, you’ll contribute to the direction of mission\-critical solutions by applying best\-fit AI models and technologies. You’ll grow within a large community of AI engineers across the company and collaborate with product teams, data engineers, and government stakeholders to deliver world\-class solutions to build agentic systems. Your skills and technical experience will help your clients navigate the landscape of AI algorithms, tools, and frameworks.
Join us. The world can’t wait.
**You Have:**
* Experience leading technical teams in the development of enterprise or government AI or ML systems
* Experience engaging with non\-technical leadership teams to communicate technical content and build requirements
* Experience working with LLMs or Generative AI systems
* Knowledge of a scripting language
* Ability to map AI solutions onto customer problems
* Public Trust
* Bachelor's degree in a Technology field such as Computer Science or Statistics
**Nice If You Have:**
* Experience training generative AI systems
* Experience deploying generative AI systems into production environments
* Knowledge of Python
* Knowledge of security requirements for production code in government systems
* Ability to translate general user requirements into actionable tasks
* Cloud Certifications, such as AWS Certified AI Practitioner Certification
**Clearance:**
Applicants selected will be subject to a government investigation and may need to meet eligibility requirements of the U.S. government client; Public Trust determination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$128,700\.00 to $292,000\.00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7">
      <c r="A7" t="inlineStr">
        <is>
          <t>in-deeabdd900269527</t>
        </is>
      </c>
      <c r="B7" t="inlineStr">
        <is>
          <t>AWS Data &amp; AI Engineer, Senior</t>
        </is>
      </c>
      <c r="C7" t="inlineStr">
        <is>
          <t>Booz Allen Hamilton</t>
        </is>
      </c>
      <c r="D7" t="inlineStr">
        <is>
          <t>indeed</t>
        </is>
      </c>
      <c r="E7">
        <f>HYPERLINK("https://www.indeed.com/viewjob?jk=deeabdd900269527", "https://www.indeed.com/viewjob?jk=deeabdd900269527")</f>
        <v/>
      </c>
      <c r="F7">
        <f>HYPERLINK("https://careers.boozallen.com/careers/JobDetail?jobId=119750", "https://careers.boozallen.com/careers/JobDetail?jobId=119750")</f>
        <v/>
      </c>
      <c r="G7" t="inlineStr">
        <is>
          <t>Washington, DC, US</t>
        </is>
      </c>
      <c r="H7" s="2" t="n">
        <v>46044</v>
      </c>
      <c r="I7" t="inlineStr">
        <is>
          <t>AWS Data \&amp; AI Engineer, Senior**The Opportunity:**
AI solutions only succeed when they are built on reliable data platforms and production\-ready ML workflows. As an AWS Data and AI Engineer, you’ll enable intelligent, scalable systems by engineering the data pipelines and machine learning foundations that move models from experimentation to mission\-ready deployment.
In this role, you’ll focus on designing, building, and operationalizing machine learning solutions on AWS, with a strong emphasis on Amazon SageMaker. You’ll work alongside solution architects, data scientists, and application teams to deliver secure, scalable ML pipelines—supporting everything from data ingestion and feature engineering to model training, deployment, and monitoring in compliance\-driven federal environments.
This role is ideal for an engineer who enjoys hands\-on development, building ML platforms, and growing into a senior AI or ML engineering role within AWS\-centric ecosystems.
Work with us and help build the future of AI\-enabled systems in the Federal Government.
Join us. The world can’t wait.
**You Have:**
* 4\+ years of experience as a data engineer, ML engineer, or software engineer working with data\-driven or ML\-enabled systems
* Experience designing and operating end\-to\-end ML workflows using Amazon SageMaker, including SageMaker Studio or Notebooks, training jobs and hyperparameter tuning, managed model endpoints and batch inference, SageMaker Pipelines, Model Registry, and experiment tracking
* Experience building data pipelines and feature engineering workflows using AWS services, such as S3, Glue, Redshift, EMR, Athena, or Lambda
* Experience with Python development for data processing and ML workloads and SQL
* Experience deploying and managing containerized ML workloads using Docker, ECR, and AWS\-managed compute
* Knowledge of ML frameworks and libraries commonly used with SageMaker, such as PyTorch, TensorFlow, scikit\-learn, or XGBoost
* Knowledge of MLOps concepts, including CI/CD for ML, model versioning, monitoring, and retraining
* Ability to obtain and maintain a Public Trust or Suitability/Fitness determination based on client requirements
* Bachelor’s degree in Computer Science, Engineering, or Data Science
* Ability to obtain an AWS Certification, such as AWS Machine Learning – Specialty or AWS Solutions Architect – Associate, within 3 months of start date
**Nice If You Have:**
* Experience implementing production MLOps pipelines using SageMaker Pipelines, Step Functions, or CI/CD tools
* Experience supporting FedRAMP or ATO\-driven cloud environments
* Experience operationalizing models developed by data scientists or research teams
* Experience working with OpenAI models or APIs, including integrating large language models into applications, building prompt\-based workflows, or supporting GenAI use cases
* Experience working in Agile or DevSecOps teams
* Knowledge of GenAI or foundation model workflows using SageMaker, such as JumpStart, managed foundation models, or custom LLM deployments
* Knowledge of IAM, VPC networking, encryption, and security controls for ML workloads in regulated environments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8">
      <c r="A8" t="inlineStr">
        <is>
          <t>in-594a6fe9e90e3d82</t>
        </is>
      </c>
      <c r="B8" t="inlineStr">
        <is>
          <t>Senior Applied Scientist - Brand Marketing</t>
        </is>
      </c>
      <c r="C8" t="inlineStr">
        <is>
          <t>Uber</t>
        </is>
      </c>
      <c r="D8" t="inlineStr">
        <is>
          <t>indeed</t>
        </is>
      </c>
      <c r="E8">
        <f>HYPERLINK("https://www.indeed.com/viewjob?jk=594a6fe9e90e3d82", "https://www.indeed.com/viewjob?jk=594a6fe9e90e3d82")</f>
        <v/>
      </c>
      <c r="F8">
        <f>HYPERLINK("https://tnl2.jometer.com/v2/job?jz=5wqzs1f8c63581e5676762073dcc8a2ce4caeKIAAKAAAAABQ&amp;iis=Job%20Board%20-%20Recruitment%20Marketing&amp;iisn=Indeed%20Organic", "https://tnl2.jometer.com/v2/job?jz=5wqzs1f8c63581e5676762073dcc8a2ce4caeKIAAKAAAAABQ&amp;iis=Job%20Board%20-%20Recruitment%20Marketing&amp;iisn=Indeed%20Organic")</f>
        <v/>
      </c>
      <c r="G8" t="inlineStr">
        <is>
          <t>San Francisco, CA, US</t>
        </is>
      </c>
      <c r="H8" s="2" t="n">
        <v>46045</v>
      </c>
      <c r="I8" t="inlineStr">
        <is>
          <t>**About the Role**
We're looking for an Applied Scientist to join our Brand Science team to provide strategic, actionable insights around how to measure and optimize a large brand marketing budget. In the role, you'll be part of and collaborate with a cross\-functional team consisting of marketing/media stakeholders, our in\-house research and insights team, as well as other scientists across the broader organization.
As a member of the Brand Science team, you will not only be able to perform complex analyses exploring our rich dataset, but also shape marketing and measurement strategy. You'll play a big part in finding opportunities to help the marketing function scale as we develop the global Uber brand.
**What the Candidate Will Do*** Apply statistical/econometric methods to estimate the incremental impact of changes in marketing and product strategy on brand\-relevant KPIs like sentiment, awareness, and purchase intent \- as well as on business outcomes like trips/orders and gross bookings.
* Build and improve technical tools for marketing problems. Examples include media mix models, statistical estimators to gauge the impact of various interventions (experimental or otherwise), optimization engines that determine how to best distribute resources, etc.
* Interface closely with external partners (media agencies, advertising platforms, measurement vendors) to deeply understand the existing capabilities and limitations of their platforms and solutions, and to push the envelope on what is possible.
* Collaborate with our in\-house media, research, product, and operations teams to develop actionable customer insights and recommendations to guide high level business and marketing strategy.
**Basic Qualifications**
* 5\+ years of experience (or equivalent) with statistical modeling, causal inference, and econometric techniques.
* Proficiency in SQL and a data analysis programming language \- Python (preferred) or R
* Excellent communication skills to understand stakeholder needs, set expectations around feasibility, translate business challenges into research questions, and present findings to technical and non\-technical audiences
* Be self\-driven and show the ability to deliver on ambiguous projects with messy and incomplete data
**Preferred Qualifications**
* Experience with solving quantitative problems in the marketing/AdTech space
* PhD in a quantitative field such as statistics, economics, or operations research
Intellectual curiosity and a knack for applying/extending technical solutions in innovative ways  
* 
For New York, NY\-based roles: The base salary range for this role is USD$190,000 per year \- USD$211,000 per year. For San Francisco, CA\-based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9">
      <c r="A9" t="inlineStr">
        <is>
          <t>in-f2214729fbc15879</t>
        </is>
      </c>
      <c r="B9" t="inlineStr">
        <is>
          <t>Senior Applied Scientist - Brand Marketing</t>
        </is>
      </c>
      <c r="C9" t="inlineStr">
        <is>
          <t>Uber</t>
        </is>
      </c>
      <c r="D9" t="inlineStr">
        <is>
          <t>indeed</t>
        </is>
      </c>
      <c r="E9">
        <f>HYPERLINK("https://www.indeed.com/viewjob?jk=f2214729fbc15879", "https://www.indeed.com/viewjob?jk=f2214729fbc15879")</f>
        <v/>
      </c>
      <c r="F9">
        <f>HYPERLINK("https://tnl2.jometer.com/v2/job?jz=5wqzs40283f6139c83649d8f976db2baa2bd6KIAAKAAAAABQ&amp;iis=Job%20Board%20-%20Recruitment%20Marketing&amp;iisn=Indeed%20Organic", "https://tnl2.jometer.com/v2/job?jz=5wqzs40283f6139c83649d8f976db2baa2bd6KIAAKAAAAABQ&amp;iis=Job%20Board%20-%20Recruitment%20Marketing&amp;iisn=Indeed%20Organic")</f>
        <v/>
      </c>
      <c r="G9" t="inlineStr">
        <is>
          <t>New York, NY, US</t>
        </is>
      </c>
      <c r="H9" s="2" t="n">
        <v>46045</v>
      </c>
      <c r="I9" t="inlineStr">
        <is>
          <t>**About the Role**
We're looking for an Applied Scientist to join our Brand Science team to provide strategic, actionable insights around how to measure and optimize a large brand marketing budget. In the role, you'll be part of and collaborate with a cross\-functional team consisting of marketing/media stakeholders, our in\-house research and insights team, as well as other scientists across the broader organization.
As a member of the Brand Science team, you will not only be able to perform complex analyses exploring our rich dataset, but also shape marketing and measurement strategy. You'll play a big part in finding opportunities to help the marketing function scale as we develop the global Uber brand.
**What the Candidate Will Do*** Apply statistical/econometric methods to estimate the incremental impact of changes in marketing and product strategy on brand\-relevant KPIs like sentiment, awareness, and purchase intent \- as well as on business outcomes like trips/orders and gross bookings.
* Build and improve technical tools for marketing problems. Examples include media mix models, statistical estimators to gauge the impact of various interventions (experimental or otherwise), optimization engines that determine how to best distribute resources, etc.
* Interface closely with external partners (media agencies, advertising platforms, measurement vendors) to deeply understand the existing capabilities and limitations of their platforms and solutions, and to push the envelope on what is possible.
* Collaborate with our in\-house media, research, product, and operations teams to develop actionable customer insights and recommendations to guide high level business and marketing strategy.
**Basic Qualifications**
* 5\+ years of experience (or equivalent) with statistical modeling, causal inference, and econometric techniques.
* Proficiency in SQL and a data analysis programming language \- Python (preferred) or R
* Excellent communication skills to understand stakeholder needs, set expectations around feasibility, translate business challenges into research questions, and present findings to technical and non\-technical audiences
* Be self\-driven and show the ability to deliver on ambiguous projects with messy and incomplete data
**Preferred Qualifications**
* Experience with solving quantitative problems in the marketing/AdTech space
* PhD in a quantitative field such as statistics, economics, or operations research
Intellectual curiosity and a knack for applying/extending technical solutions in innovative ways  
* 
For New York, NY\-based roles: The base salary range for this role is USD$190,000 per year \- USD$211,000 per year. For San Francisco, CA\-based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0">
      <c r="A10" t="inlineStr">
        <is>
          <t>in-ae49064a76ef93dc</t>
        </is>
      </c>
      <c r="B10" t="inlineStr">
        <is>
          <t>AI ML Engineer, RTL Power Optimization – New College Grad 2026</t>
        </is>
      </c>
      <c r="C10" t="inlineStr">
        <is>
          <t>NVIDIA</t>
        </is>
      </c>
      <c r="D10" t="inlineStr">
        <is>
          <t>indeed</t>
        </is>
      </c>
      <c r="E10">
        <f>HYPERLINK("https://www.indeed.com/viewjob?jk=ae49064a76ef93dc", "https://www.indeed.com/viewjob?jk=ae49064a76ef93dc")</f>
        <v/>
      </c>
      <c r="F10">
        <f>HYPERLINK("https://click.appcast.io/t/f64pwN9jBkExodX7nk2i2jLKm4EX1PMF03EGCviFFYQ=", "https://click.appcast.io/t/f64pwN9jBkExodX7nk2i2jLKm4EX1PMF03EGCviFFYQ=")</f>
        <v/>
      </c>
      <c r="G10" t="inlineStr">
        <is>
          <t>Santa Clara, CA, US</t>
        </is>
      </c>
      <c r="H10" s="2" t="n">
        <v>46045</v>
      </c>
      <c r="I10" t="inlineStr">
        <is>
          <t>Today, NVIDIA is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encouraging environment where everyone is inspired to do their best work. Come join the team and see how we can make a lasting impact on the world.
Our team is privileged to work on Power Optimization of Data center, gaming and automotive GPU chips. We also work on power optimization of Networking chips. The gamut of GPUs and networking chips requires the team to provide architecture, micro\-architecture, RTL Design, methodology and AI based power optimization solutions. You will collaborate with Architects, Performance Engineers, Software Engineers, ASIC Design Engineers, and Physical Design teams to study and implement power analysis and reduction techniques for NVIDIA's next generation GPUs and Networking products. Your contributions will help us gain early insight into energy consumption of graphics and artificial intelligence workloads, and will allow us to influence architectural, design, and power management improvements.
 **What You'll Be Doing:**
* Use internally developed tools and industry standard pre\-silicon gate\-level and RTL power analysis tools, to help improve product power efficiency.
* Use artificial intelligence to devliver RTL and/or Architecture Power optimization solutions.
* Develop and share best practices for performing pre\-silicon power analysis.
* Perform comparative power analysis, to spot trends and anomalies, that warrant more scrutiny.
* Interact with architects and RTL designers to help them interpret their power data and identify power bugs; drive them to implement fixes.
* Select and run a wide variety of workloads for power analysis.
* Prototype a new architectural feature in Verilog and analyze power.
 **What We Need To See:**
* Pursuing or recently completed a MS or PhD in Electrical Engineering, Computer Engineering, or related fields with coursework or experience in AI, Digital Design and VLSI concepts (or equivalent experience).
* Understanding of RTL power optimization fundamentals, including switching activity, clock/enable efficiency, and common low‑power design patterns at the RTL level.
* Knowledge of backend flows such as logic synthesis and place‑and‑route, and how RTL decisions impact post‑layout power and timing.
* Familiarity with RTL implementation of low‑power techniques (e.g., clock gating, operand isolation, power gating strategies, multi‑VT usage) and their trade‑offs.
* Exposure to industry power analysis tools such as PowerArtist, PrimeTime PX, or equivalent, including running power analysis and interpreting reports to guide design changes.
* Strong Python programming skills for building automation scripts, data pipelines, and AI/ML‑driven analysis flows for RTL power optimization.
* Coursework and/or hands‑on experience in Machine Learning and Artificial Intelligence, with ability to apply ML techniques to EDA and silicon power problems.
* Previous experience debugging RTL or gate‑level power anomalies by tracing logic cones, examining activity/toggle data, and identifying root‑cause structures or scenarios.
* Strong written and verbal communication skills to document methodologies, present power findings, and explain AI/ML‑based insights to both design and tools teams.
NVIDIA is widely considered to be one of the technology world’s most desirable employers. We have some of the most forward\-thinking and hardworking people in the world working for us. If you're creative and autonomous, we want to hear from you!
Your base salary will be determined based on your location, experience, and the pay of employees in similar positions. The base salary range is 116,000 USD \- 189,750 USD for Level 2, and 136,000 USD \- 218,500 USD for Level 3\.
You will also be eligible for equity and benefits.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1">
      <c r="A11" t="inlineStr">
        <is>
          <t>in-90c88f8678171603</t>
        </is>
      </c>
      <c r="B11" t="inlineStr">
        <is>
          <t>Applied Machine Learning Engineer, Circuit Design - New College Grad 2026</t>
        </is>
      </c>
      <c r="C11" t="inlineStr">
        <is>
          <t>NVIDIA</t>
        </is>
      </c>
      <c r="D11" t="inlineStr">
        <is>
          <t>indeed</t>
        </is>
      </c>
      <c r="E11">
        <f>HYPERLINK("https://www.indeed.com/viewjob?jk=90c88f8678171603", "https://www.indeed.com/viewjob?jk=90c88f8678171603")</f>
        <v/>
      </c>
      <c r="F11">
        <f>HYPERLINK("https://click.appcast.io/t/fqOn7Y-MkvZu33YFVXhOKLHc4ccQ1vdh088Kw3zZ7rY=", "https://click.appcast.io/t/fqOn7Y-MkvZu33YFVXhOKLHc4ccQ1vdh088Kw3zZ7rY=")</f>
        <v/>
      </c>
      <c r="G11" t="inlineStr">
        <is>
          <t>Santa Clara, CA, US</t>
        </is>
      </c>
      <c r="H11" s="2" t="n">
        <v>46045</v>
      </c>
      <c r="I11" t="inlineStr">
        <is>
          <t>Our work at NVIDIA is dedicated towards a computing model focused on visual and AI computing. For two decades, NVIDIA has pioneered visual computing, the art and science of computer graphics, with our invention of the GPU. The GPU has also shown to be spectacularly effective at solving some of the most complex problems in computer science. Today, NVIDIA’s GPU simulates human intelligence, running deep learning algorithms and acting as the brain of computers, robots and self\-driving cars that can perceive and understand the world. We are looking to grow our company and teams with the smartest people in the world and there has never been a more exciting time to join our team!
**What you'll be doing:**
* Work within a multi\-functional team on various projects involving Pre\-silicon and Post Silicon custom circuit design and related data, Circuit/Layout Optimization and Spice correlation
* Work on projects with applications ranging from analysis of silicon data, manufacturing process variation analysis, VLSI circuit design and timing etc.
* Responsible for translating the requirements into a data science problem, architect and build solutions.
* In charge for testing and release of models that integrate with existing machine learning and visualization tools within the organization.
* Responsible for analyzing the datasets, raise and validate hypotheses, extract relevant features and build models on top of them.
* Optimize the models and algorithms until they reach the desired QOR.
**What we need to see:**
* MS or PhD in Electrical/Computer Engineering (or equivalent experience).
* Experience with VLSI, Circuit Design, CMOS Device Physics, Timing, ASIC, EDA is a strict requirement for this role.
* Shown ability in writing code in Python and C\+\+.
* Experience in Applied Math/ML/Software programming.
**Ways to stand out from the crowd:**
* Experience with ML/DL algorithms with frameworks such as TensorFlow, PyTorch, Spark is a plus.
* Working with multiple levels and teams across organizations (engineering/research, product, sales and marketing teams).
* Prior experience in CMOS layout drawing, including schematic\-to\-layout translation and DRC/LVS compliance, is a definite plus.
* Effective verbal/written communication, and technical presentation skills.
* Proven continuous learning and sharing findings across the team.
NVIDIA is widely considered to be one of the technology world’s most desirable employers. We have some of the most forward\-thinking and hardworking people in the world working for us. If you're creative and autonomous, we want to hear from you!
\#LI\-Hybrid
Your base salary will be determined based on your location, experience, and the pay of employees in similar positions. The base salary range is 116,000 USD \- 189,750 USD for Level 2, and 136,000 USD \- 218,500 USD for Level 3\.
You will also be eligible for equity and benefits.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2">
      <c r="A12" t="inlineStr">
        <is>
          <t>in-44cb1e7ed4bc7256</t>
        </is>
      </c>
      <c r="B12" t="inlineStr">
        <is>
          <t>Applied Machine Learning Engineer - VLSI Design</t>
        </is>
      </c>
      <c r="C12" t="inlineStr">
        <is>
          <t>NVIDIA</t>
        </is>
      </c>
      <c r="D12" t="inlineStr">
        <is>
          <t>indeed</t>
        </is>
      </c>
      <c r="E12">
        <f>HYPERLINK("https://www.indeed.com/viewjob?jk=44cb1e7ed4bc7256", "https://www.indeed.com/viewjob?jk=44cb1e7ed4bc7256")</f>
        <v/>
      </c>
      <c r="F12">
        <f>HYPERLINK("https://click.appcast.io/t/_O7Tp-xE8pEvUvKI9zkZtAUo4KhrD3jEOBpkZ8wJGdc=", "https://click.appcast.io/t/_O7Tp-xE8pEvUvKI9zkZtAUo4KhrD3jEOBpkZ8wJGdc=")</f>
        <v/>
      </c>
      <c r="G12" t="inlineStr">
        <is>
          <t>Santa Clara, CA, US</t>
        </is>
      </c>
      <c r="H12" s="2" t="n">
        <v>46045</v>
      </c>
      <c r="I12"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**What you'll be doing:**
* Work within a multi\-functional team on various projects involving Pre\-silicon and Post Silicon hardware design and related data, Circuit Optimization and Spice correlation
* Work on projects with applications ranging from analysis of silicon data, manufacturing process variation analysis, VLSI circuit design and timing etc.
* Responsible for translating the requirements into a data science problem, architect and build solutions.
* Test and release of models that integrate with existing machine learning and visualization tools within the organization.
* Responsible for analyzing the datasets, raise and validate hypotheses, extract relevant features and build models on top of them.
* Optimize the models and algorithms until they reach the desired QOR.
**What we need to see:**
* MS/PhD in Electrical/Computer Engineering, Computer Science, Applied Mathematics (or equivalent experience)
* 5\+ years experience in circuit design, VLSI, ASIC, EDA, Silicon analysis is required
* Prior experience in Applied Math/ML/Software programming with proven ability in writing code in Python, C\+\+
* Experience with ML/DL algorithms with frameworks such as TensorFlow, PyTorch, Spark is a definite plus
**Ways to stand out from the crowd:**
* Enjoy working with multiple levels and teams across organizations (engineering/research, product, sales and marketing teams)
* Effective verbal/written communication, and technical presentation skills
* Self\-starter with passion for growth, real enthusiasm for continuous learning and sharing findings across the team
NVIDIA is a pioneer in bringing groundbreaking technology to new markets. We have some of the most forward\-thinking and hardworking people in the world working with us. If you're creative and autonomous, we want to hear from you!
\#LI\-Hybrid
Your base salary will be determined based on your location, experience, and the pay of employees in similar positions. The base salary range is 136,000 USD \- 218,500 USD for Level 3, and 168,000 USD \- 264,500 USD for Level 4\.
You will also be eligible for equity and benefits.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3">
      <c r="A13" t="inlineStr">
        <is>
          <t>in-a0ed49a0176bd807</t>
        </is>
      </c>
      <c r="B13" t="inlineStr">
        <is>
          <t>AI Engineer</t>
        </is>
      </c>
      <c r="C13" t="inlineStr">
        <is>
          <t>Zoom Communications</t>
        </is>
      </c>
      <c r="D13" t="inlineStr">
        <is>
          <t>indeed</t>
        </is>
      </c>
      <c r="E13">
        <f>HYPERLINK("https://www.indeed.com/viewjob?jk=a0ed49a0176bd807", "https://www.indeed.com/viewjob?jk=a0ed49a0176bd807")</f>
        <v/>
      </c>
      <c r="F13">
        <f>HYPERLINK("https://careers.zoom.us/jobs/ai-engineer-seattle-washington-united-states", "https://careers.zoom.us/jobs/ai-engineer-seattle-washington-united-states")</f>
        <v/>
      </c>
      <c r="G13" t="inlineStr">
        <is>
          <t>Seattle, WA, US</t>
        </is>
      </c>
      <c r="H13" s="2" t="n">
        <v>46044</v>
      </c>
      <c r="I13" t="inlineStr">
        <is>
          <t>What you can expect
Join Zoom AI Vertical team, and start from the Zoom enterprise\-level product; and drive innovation, development in AI\-integrated projects in wide areas. You will collaborate closely with teams from GenAI, Meeting, Phone, Big data, Data Engineering, and Cloud to build business features for Zoom products. The ideal candidate will majorly focus on AI capability improvement, agentic pipeline, applications, AI product feature innovation/creation, data process/analysis, and full cycle software development. You will play a critical role in shaping the future of Zoom AI products.
About the Team
With eight specialized departments, the engineering team functions as a highly collaborative, diverse powerhouse. Each department mission is to deliver seamless and innovative communication solutions. These range from software development and machine learning to quality assurance teams that work to create and maintain Zoom's user\-friendly interfaces and robust infrastructure. The team continues to push the boundaries of communication technology, bringing people together regardless of their physical distance.
Responsibilities:
* Evaluating AI capabilities, design and optimize prompts, develop agentic AI systems, and tune models to enhance performance and scalability.
* Ensuring reliability and high quality by participating in code reviews, testing, and debugging.
* Implementing AI solutions solves complex problems. Integrate AI services and algorithms.
* Discovering, evaluating and implementing new technologies to maximize development efficiency and improve product quality.
* Driving task progress and provide solutions to address complex business challenges.
* Documenting test report, code, algorithms, and technical processes for internal and external references.
What we’re looking for:
* 6\+ years (or equivalent experience) of hands\-on skills in AI/ML engineering, software engineering.
* Advance degree in Computer Science or related STEM fields.
* Have coding skills in Python, Java, or C/C\+\+, etc.
* Demonstrate working knowledge of software development principles, design patterns, and scalable systems.
* Have solid experience with LLM tuning, prompt engineering
* Demonstrate experience with one or more of the following: AI agent, RAG, NLP, recommendation, cloud platform, data retrieve/analysis, DB/SQL, A/B test.
* Have comprehension of machine learning theories, algorithms, and frameworks.
* Possess familiarity with AI tools for daily development work.
Salary Range or On Target Earnings:
Minimum:
$177 100,00
Maximum:
$387 500,00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03/27/26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row>
    <row r="14">
      <c r="A14" t="inlineStr">
        <is>
          <t>in-d0fcebffaa8324e5</t>
        </is>
      </c>
      <c r="B14" t="inlineStr">
        <is>
          <t>Solution Architect/AI Engineer IV</t>
        </is>
      </c>
      <c r="C14" t="inlineStr">
        <is>
          <t>Premera Blue Cross</t>
        </is>
      </c>
      <c r="D14" t="inlineStr">
        <is>
          <t>indeed</t>
        </is>
      </c>
      <c r="E14">
        <f>HYPERLINK("https://www.indeed.com/viewjob?jk=d0fcebffaa8324e5", "https://www.indeed.com/viewjob?jk=d0fcebffaa8324e5")</f>
        <v/>
      </c>
      <c r="F14">
        <f>HYPERLINK("https://premera.wd5.myworkdayjobs.com/en-US/premera/job/Mountlake-Terrace-WA/Solution-Architect-AI-Engineer-IV_R28517-1", "https://premera.wd5.myworkdayjobs.com/en-US/premera/job/Mountlake-Terrace-WA/Solution-Architect-AI-Engineer-IV_R28517-1")</f>
        <v/>
      </c>
      <c r="G14" t="inlineStr">
        <is>
          <t>Mountlake Terrace, WA, US</t>
        </is>
      </c>
      <c r="H14" s="2" t="n">
        <v>46044</v>
      </c>
      <c r="I14" t="inlineStr">
        <is>
          <t>Workforce Classification:
Hybrid  
Join Our Team: Do Meaningful Work and Improve People’s Lives
Our purpose, to improve customers’ lives by making healthcare work better, is far from ordinary. And so are our employees. Working at Premera means you have the opportunity to drive real change by transforming healthcare.
Premera is committed to being a workplace where people feel empowered to grow, innovate, and lead with purpose. By investing in our employees and fostering a culture of collaboration and continuous development, we’re able to better serve our customers. It’s this commitment that has earned us recognition as one of the best companies to work for. Learn more about our recent awards and recognitions as a greatest workplace.
Learn how Premera supports our members, customers and the communities that we serve through our Healthsource blog: https://healthsource.premera.com/.
As a Solution Architect/AI Engineer IV, you will support the design, development, and implementation of sophisticated software and AI solutions. This position requires understanding of both software engineering principles and real\-world experience with AI implementation. In this role, you will operate in an agile team environment across different capability groups providing guidance on technical priorities, creating prototypes, and driving innovative solutions from concept to production.
This is a hybrid role located on our campus in Mountlake Terrace, Washington.
What you’ll do:* Recommend and develop comprehensive systems and frameworks for AI applications and products, powering solutions for Digital Web experiences, strengths in managing additions for chatbot interfaces and backend services that support them, optimized for cost in consumption of tokens.
* Lead construction of prototypes and minimum viable products to validate AI solutions before committing substantial resources, expect to iterate fast and deliver such prototypes autonomously.
* Assist in designing and implementing the cloud architecture of large multi\-faceted AI systems.
* Develop specifications for low latency APIs and services necessary to deploy AI models and incorporate them into applications.
* Develop the code for monitoring models and AI systems that ensure consistent and reliable performance.
* Create and maintain thorough documentation that is consistent with team procedures, corporate policies, and expectations.
* Drive design reviews that align with our solution design process and actively participate in presenting and critical review of own and others designs.
* Guide other Solution Architects with industry best practices and methodologies, apply a similar approach when working with delivery teams, and provide critical input.
* Keep abreast of new tools and concepts constantly proving hypothesis in an experimentation environment.
* Advise team leadership on matters such as AI strategies with a focus on AI related technology strategies and roadmaps.
* Meet and collaborate with external stakeholders to conceptualize AI solutions that realize business value while ensuring AI governance adherence, AI best practices, data quality, reliability, and security.
What you’ll bring:
Required Qualifications* Bachelor’s Degree in Computer Science, Information Systems, Statistics, Mathematics, or related field, or equivalent experience.
* Minimum of (12\) years of experience in software development and launching online customer products, with knowledge of the software development lifecycle and proficiency in multiple programming languages.
* At least (2\) years of industry experience in developing, deploying, and maintaining AI systems.
Preferred Qualifications* Experience working with cloud solutions in a highly regulated environment. Experience in the healthcare industry is preferred.
* Experience working within agile\-like teams and environments, with exposure to API and service\-based technologies.
* Experience in successfully productionizing AI models, including constructing scalable data pipelines and establishing robust monitoring systems.
* Experience in using and creating automated test tools and a strong background in developing strategies for load testing AI experiences live in production.
* Knowledge of ethical AI practices include explainable AI, fairness, and bias mitigation.
Knowledge, Skills, and Abilities* Expertise in implementing advanced techniques like Retrieval Augmented Generation, Tree of Thoughts, or Multimodal Chain of Thought in prompt engineering projects. Experience in leading prompt engineering teams and conducting code reviews.
* Proven experience debugging AI systems and enhancing performance through hyperparameter tuning and similar techniques.
* Knowledgeable about software design patterns, microservices, distributed computing, container orchestration, and other relevant architectures.
* Adept software engineering skills, as well as skills building secure, stable software systems at scale.
* Exceptional written and verbal communication skills, with the ability to articulate complex solutions to diverse stakeholders.
* Strong mentorship and leadership skills, with a commitment to knowledge sharing and professional development.
Physical Requirements
The following have been identified as essential physical requirements of this job and must be performed with or without accommodation:* This is primarily a sedentary role which requires the ability to exert up to 10 lbs. of force occasionally and/or a negligible amount of force frequently or constantly to lift, carry, push, pull, or otherwise move objects, including the human body.
* This role requires the ability to keyboard and to communicate clearly and understandably in person and over the telephone.
Premera total rewards
Our comprehensive total rewards package provides support, resources, and opportunities to help employees thrive and grow. Our total rewards are more than a collection of perks, they're a reflection of our commitment to your health and well\-being. We offer a broad array of rewards including physical, financial, emotional, and community benefits, including:* Medical, vision, and dental coverage with low employee premiums.
* Voluntary benefit offerings, including pet insurance for paw parents.
* Life and disability insurance.
* Retirement programs, including a 401K employer match and, believe it or not, a pension plan that is vested after 3 years of service.
* Wellness incentives with a wide range of mental well\-being resources for you and your dependents, including counseling services, stress management programs, and mindfulness programs, just to name a few.
* Generous paid time off to reenergize.
* Looking for continuing education? We have tuition assistance for both undergraduate and graduate degrees.
* Employee recognition program to celebrate anniversaries, team accomplishments, and more.
For our hybrid employees, our on\-campus model provides flexibility to create your own routine with access to on\-site resources, networking opportunities, and team engagement.* Commuter perks make your trip to work less impactful on the environment and your wallet.
* Free convenient on\-site parking.
* Subsidized on\-campus cafes make lunchtime connections with colleagues fun and affordable.
* Participate in engaging on\-site activities such as health and wellness events, coffee connects, disaster preparedness fairs and more.
* Our complementary fitness \&amp; well\-being center offers both in\-person and virtual workouts and nutritional counseling.
* Need a brain break? Challenge someone to a game of shuffleboard or ping pong while on campus.
Equal employment opportunity/affirmative action:
Premera is an equal opportunity/affirmative action employer. Premera seeks to attract and retain the most qualified individuals without regard to race, color, religion, sex, national origin, age, disability, marital status, veteran status, gender or gender identity, sexual orientation, genetic information or any other protected characteristic under applicable law.
If you need an accommodation to apply online for positions at Premera, please contact Premera Human Resources via email at careers@premera.com or via phone at 425\-918\-4785\.
The pay for this role will vary based on a range of factors including, but not limited to, a candidate’s geographic location, market conditions, and specific skills and experience.
The salary range for this role is posted below; we generally target up to and around the midpoint of the range.
National Plus Salary Range:
$150,300\.00 \- $270,500\.00* *National Plus salary range is used in higher cost of labor markets including Western Washington and Alaska**.*
We’re happy to discuss compensation further during the interview because we believe that open communication leads to better outcomes for all. We’re committed to creating an environment where all employees are celebrated for their unique skills and contributions.</t>
        </is>
      </c>
    </row>
    <row r="15">
      <c r="A15" t="inlineStr">
        <is>
          <t>in-b7bea599d8b9046a</t>
        </is>
      </c>
      <c r="B15" t="inlineStr">
        <is>
          <t>Director, Machine Learning Engineer</t>
        </is>
      </c>
      <c r="C15" t="inlineStr">
        <is>
          <t>Information Technology Senior Management Forum</t>
        </is>
      </c>
      <c r="D15" t="inlineStr">
        <is>
          <t>indeed</t>
        </is>
      </c>
      <c r="E15">
        <f>HYPERLINK("https://www.indeed.com/viewjob?jk=b7bea599d8b9046a", "https://www.indeed.com/viewjob?jk=b7bea599d8b9046a")</f>
        <v/>
      </c>
      <c r="F15">
        <f>HYPERLINK("https://jobs.itsmfleaders.org/job/psestw/director-machine-learning-engineer/san-francisco/ca", "https://jobs.itsmfleaders.org/job/psestw/director-machine-learning-engineer/san-francisco/ca")</f>
        <v/>
      </c>
      <c r="G15" t="inlineStr">
        <is>
          <t>San Francisco, CA, US</t>
        </is>
      </c>
      <c r="H15" s="2" t="n">
        <v>46044</v>
      </c>
      <c r="I15" t="inlineStr">
        <is>
          <t>Posted Date
1/23/2026
Description
Director, Machine Learning Engineer
As a Capital One Machine Learning Engineer, you'll be providing technical leadership to Agile teams dedicated to productionizing machine learning applications and systems at scale. You’ll participate in the detailed technical design, development, and implementation of machine learning applications using existing and emerging technology platforms. Working within an Agile environment, you’ll serve as a technical domain expert in machine learning, guiding machine learning architectural design decisions, developing and reviewing model and application code, and ensuring high availability and performance of our machine learning applications. You'll have the opportunity to continuously learn and apply the latest innovations and best practices in machine learning engineering. You’ll also mentor other engineers and further develop your technical knowledge and skills to keep Capital One at the cutting edge of technology.
**What you’ll do in the role:**
* Deliver Machine learning models and software components that solve challenging business problems in the financial services industry, working in collaboration with the Product, Architecture, Engineering, and Data Science teams.
* Drive the creation and evolution of Machine learning models and software that enable state\-of\-the\-art intelligent systems.
* Lead large\-scale Machine learning initiatives with the customer in mind.
* Leverage cloud\-based architectures and technologies to deliver optimized Machine learning models at scale.
* Optimize data pipelines to feed Machine learning models.
* Use programming languages like Python, Scala, or Java.
* Evangelize best practices in all aspects of the engineering and modeling lifecycles.
* Recruit, nurture, and retain top engineering talent.
**Basic Qualifications:**
* Bachelor’s degree.
* At least 10 years of experience designing and building data\-intensive solutions using distributed computing.
* At least 6 years of experience programming with Python, Scala, or Java.
* At least 5 years of people management experience.
* At least 3 years of experience with the full Machine learning development lifecycle using modern technology in a business critical setting.
**Preferred Qualifications:**
* Master's or doctoral degree in computer science, electrical engineering, mathematics, or a similar field.
* 3\+ years of experience building production\-ready data pipelines that feed Machine learning models.
* 8\+ years of experience within a large data\-intensive multi\-line business environment.
* 5\+ years of experience leading software engineering teams.
* Expertise designing, implementing, and scaling complex production\-ready data pipelines for Machine learning models.
* Experience partnering with technology peers responsible for data architecture and distributed computing infrastructure or platforms.
* Ability to communicate complex technical concepts clearly to a variety of audiences.
* Highly developed interpersonal, presentation, and communications skills.
* Machine learning industry impact through conference presentations, papers, blog posts, open source contributions, or patents.
* Ability to attract and develop high\-performing software engineers with an inspiring leadership style.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 $293,600 \- $335,100 for Director, Machine Learning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Director, Machine Learning Engineer
As a Capital One Machine Learning Engineer, you'll be providing technical leadership to Agile teams dedicated to productionizing machine learning applications and systems at scale. You’ll participate in the detailed technical design, development, and implementation of machine learning applications using existing and emerging technology platforms. Working within an Agile environment, you’ll serve as a technical domain expert in machine learning, guiding machine learning architectural design decisions, developing and reviewing model and application code, and ensuring high availability and performance of our machine learning applications. You'll have the opportunity to continuously learn and apply the latest innovations and best practices in machine learning engineering. You’ll also mentor other engineers and further develop your technical knowledge and skills to keep Capital One at the cutting edge of technology.
**What you’ll do in the role:**
* Deliver Machine learning models and software components that solve challenging business problems in the financial services industry, working in collaboration with the Product, Architecture, Engineering, and Data Science teams.
* Drive the creation and evolution of Machine learning models and software that enable state\-of\-the\-art intelligent systems.
* Lead large\-scale Machine learning initiatives with the customer in mind.
* Leverage cloud\-based architectures and technologies to deliver optimized Machine learning models at scale.
* Optimize data pipelines to feed Machine learning models.
* Use programming languages like Python, Scala, or Java.
* Evangelize best practices in all aspects of the engineering and modeling lifecycles.
* Recruit, nurture, and retain top engineering talent.
**Basic Qualifications:**
* Bachelor’s degree.
* At least 10 years of experience designing and building data\-intensive solutions using distributed computing.
* At least 6 years of experience programming with Python, Scala, or Java.
* At least 5 years of people management experience.
* At least 3 years of experience with the full Machine learning development lifecycle using modern technology in a business critical setting.
**Preferred Qualifications:**
* Master's or doctoral degree in computer science, electrical engineering, mathematics, or a similar field.
* 3\+ years of experience building production\-ready data pipelines that feed Machine learning models.
* 8\+ years of experience within a large data\-intensive multi\-line business environment.
* 5\+ years of experience leading software engineering teams.
* Expertise designing, implementing, and scaling complex production\-ready data pipelines for Machine learning models.
* Experience partnering with technology peers responsible for data architecture and distributed computing infrastructure or platforms.
* Ability to communicate complex technical concepts clearly to a variety of audiences.
* Highly developed interpersonal, presentation, and communications skills.
* Machine learning industry impact through conference presentations, papers, blog posts, open source contributions, or patents.
* Ability to attract and develop high\-performing software engineers with an inspiring leadership style.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 $293,600 \- $335,100 for Director, Machine Learning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293,600\.00 \- 335,100\.00 Annual
Type
Full\-time</t>
        </is>
      </c>
    </row>
    <row r="16">
      <c r="A16" t="inlineStr">
        <is>
          <t>in-0094af2fc52e0771</t>
        </is>
      </c>
      <c r="B16" t="inlineStr">
        <is>
          <t>Senior Machine Learning Engineer</t>
        </is>
      </c>
      <c r="C16" t="inlineStr">
        <is>
          <t>Warner Bros. Discovery</t>
        </is>
      </c>
      <c r="D16" t="inlineStr">
        <is>
          <t>indeed</t>
        </is>
      </c>
      <c r="E16">
        <f>HYPERLINK("https://www.indeed.com/viewjob?jk=0094af2fc52e0771", "https://www.indeed.com/viewjob?jk=0094af2fc52e0771")</f>
        <v/>
      </c>
      <c r="F16">
        <f>HYPERLINK("https://careers.wbd.com/pl/pl/job/WAMEGLOBALR000094039EXTERNALPLPL/Senior-Machine-Learning-Engineer?utm_source=indeed&amp;utm_medium=phenom-feeds", "https://careers.wbd.com/pl/pl/job/WAMEGLOBALR000094039EXTERNALPLPL/Senior-Machine-Learning-Engineer?utm_source=indeed&amp;utm_medium=phenom-feeds")</f>
        <v/>
      </c>
      <c r="G16" t="inlineStr">
        <is>
          <t>New York, NY, US</t>
        </is>
      </c>
      <c r="H16" s="2" t="n">
        <v>46044</v>
      </c>
      <c r="I16"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**Machine Learning Engineer – Services (Video AI Platform)**
 **Who We Are…**  
At Warner Bros. Discovery, we are reimagining how machine learning transforms storytelling. As part of the AI/ML organization, focusing on supporting applications of AI to video, the **M****achine Learning Engineer****– Services** group powers infrastructure and backend services behind production workflows. We're looking for an experienced ML Engineer with strong fundamentals and infrastructure experience to help build reusable components and services for video understanding, video summary, and video classifications.
You will be part of a team focused on re\-training, model hosting, cost optimization, and managing production workflows at scale.
 **Roles \&amp; Responsibilities**
* Build and maintain pipelines for model fine\-tuning and retraining, including LoRA\-based workflows and Large Language Models
* Integrate and maintain vector search services and semantic similarity infrastructure
* Design scalable model serving solutions for open\-source and foundation models
* Develop systems for experiment tracking, model versioning, and evaluation
* Monitor production models for drift and performance degradation
* Manage compute cost and resource optimization across distributed training jobs
* Integrate Human\-in\-the\-Loop (HITL) workflows and offline labeling into training pipelines
* Support model deployment for varied model architectures, including Vision\-Language Models, Convolutional Neural Nets, and Embedding Generation models
* Stand up and maintain Feature Store and data versioning infrastructure
* Architect and implement RAG pipelines for video metadata, summarization, and Q\&amp;A
* Build evaluation frameworks to assess LLM performance, hallucination frequency, and structured response accuracy
 **What to Bring**
* 5\+ years of experience in machine learning engineering, with end\-to\-end ML workflow expertise
* Strong background in model retraining, fine\-tuning, and evaluation techniques
* Experience deploying and managing open\-source model servers (e.g., Triton, TorchServe, Ray Serve)
* Proficient in managing cost\-effective distributed computing environments (e.g., Kubernetes, Ray, SageMaker)
* Familiar with experiment tracking tools (e.g., MLflow, Weights \&amp; Biases) and model versioning strategies
* Deep understanding of ML domains including NLP, RecSys, and reinforcement learning
* Experience with real\-time inference systems and streaming data pipelines is a plus
* Familiarity with labeling tools, HITL workflows, and offline data curation strategies
* Comfort working in Agile development environments and collaborating across global teams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$132,300\.00 \- $245,700\.00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17">
      <c r="A17" t="inlineStr">
        <is>
          <t>in-e475968a245f0604</t>
        </is>
      </c>
      <c r="B17" t="inlineStr">
        <is>
          <t>Senior Machine Learning Engineer</t>
        </is>
      </c>
      <c r="C17" t="inlineStr">
        <is>
          <t>Warner Bros. Discovery</t>
        </is>
      </c>
      <c r="D17" t="inlineStr">
        <is>
          <t>indeed</t>
        </is>
      </c>
      <c r="E17">
        <f>HYPERLINK("https://www.indeed.com/viewjob?jk=e475968a245f0604", "https://www.indeed.com/viewjob?jk=e475968a245f0604")</f>
        <v/>
      </c>
      <c r="F17">
        <f>HYPERLINK("https://careers.wbd.com/jp/ja/job/WAMEGLOBALR000094039EXTERNALJAJP/Senior-Machine-Learning-Engineer?utm_source=indeed&amp;utm_medium=phenom-feeds", "https://careers.wbd.com/jp/ja/job/WAMEGLOBALR000094039EXTERNALJAJP/Senior-Machine-Learning-Engineer?utm_source=indeed&amp;utm_medium=phenom-feeds")</f>
        <v/>
      </c>
      <c r="G17" t="inlineStr">
        <is>
          <t>New York, NY, US</t>
        </is>
      </c>
      <c r="H17" s="2" t="n">
        <v>46044</v>
      </c>
      <c r="I17"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**Machine Learning Engineer – Services (Video AI Platform)**
 **Who We Are…**  
At Warner Bros. Discovery, we are reimagining how machine learning transforms storytelling. As part of the AI/ML organization, focusing on supporting applications of AI to video, the **M****achine Learning Engineer****– Services** group powers infrastructure and backend services behind production workflows. We're looking for an experienced ML Engineer with strong fundamentals and infrastructure experience to help build reusable components and services for video understanding, video summary, and video classifications.
You will be part of a team focused on re\-training, model hosting, cost optimization, and managing production workflows at scale.
 **Roles \&amp; Responsibilities**
* Build and maintain pipelines for model fine\-tuning and retraining, including LoRA\-based workflows and Large Language Models
* Integrate and maintain vector search services and semantic similarity infrastructure
* Design scalable model serving solutions for open\-source and foundation models
* Develop systems for experiment tracking, model versioning, and evaluation
* Monitor production models for drift and performance degradation
* Manage compute cost and resource optimization across distributed training jobs
* Integrate Human\-in\-the\-Loop (HITL) workflows and offline labeling into training pipelines
* Support model deployment for varied model architectures, including Vision\-Language Models, Convolutional Neural Nets, and Embedding Generation models
* Stand up and maintain Feature Store and data versioning infrastructure
* Architect and implement RAG pipelines for video metadata, summarization, and Q\&amp;A
* Build evaluation frameworks to assess LLM performance, hallucination frequency, and structured response accuracy
 **What to Bring**
* 5\+ years of experience in machine learning engineering, with end\-to\-end ML workflow expertise
* Strong background in model retraining, fine\-tuning, and evaluation techniques
* Experience deploying and managing open\-source model servers (e.g., Triton, TorchServe, Ray Serve)
* Proficient in managing cost\-effective distributed computing environments (e.g., Kubernetes, Ray, SageMaker)
* Familiar with experiment tracking tools (e.g., MLflow, Weights \&amp; Biases) and model versioning strategies
* Deep understanding of ML domains including NLP, RecSys, and reinforcement learning
* Experience with real\-time inference systems and streaming data pipelines is a plus
* Familiarity with labeling tools, HITL workflows, and offline data curation strategies
* Comfort working in Agile development environments and collaborating across global teams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$132,300\.00 \- $245,700\.00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18">
      <c r="A18" t="inlineStr">
        <is>
          <t>in-ef4c6cd52dc1f687</t>
        </is>
      </c>
      <c r="B18" t="inlineStr">
        <is>
          <t>Senior Machine Learning Engineer</t>
        </is>
      </c>
      <c r="C18" t="inlineStr">
        <is>
          <t>Warner Bros. Discovery</t>
        </is>
      </c>
      <c r="D18" t="inlineStr">
        <is>
          <t>indeed</t>
        </is>
      </c>
      <c r="E18">
        <f>HYPERLINK("https://www.indeed.com/viewjob?jk=ef4c6cd52dc1f687", "https://www.indeed.com/viewjob?jk=ef4c6cd52dc1f687")</f>
        <v/>
      </c>
      <c r="F18">
        <f>HYPERLINK("https://careers.wbd.com/fr/fr/job/WAMEGLOBALR000094039EXTERNALFRFR/Senior-Machine-Learning-Engineer?utm_source=indeed&amp;utm_medium=phenom-feeds", "https://careers.wbd.com/fr/fr/job/WAMEGLOBALR000094039EXTERNALFRFR/Senior-Machine-Learning-Engineer?utm_source=indeed&amp;utm_medium=phenom-feeds")</f>
        <v/>
      </c>
      <c r="G18" t="inlineStr">
        <is>
          <t>New York, NY, US</t>
        </is>
      </c>
      <c r="H18" s="2" t="n">
        <v>46044</v>
      </c>
      <c r="I18"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**Machine Learning Engineer – Services (Video AI Platform)**
 **Who We Are…**  
At Warner Bros. Discovery, we are reimagining how machine learning transforms storytelling. As part of the AI/ML organization, focusing on supporting applications of AI to video, the **M****achine Learning Engineer****– Services** group powers infrastructure and backend services behind production workflows. We're looking for an experienced ML Engineer with strong fundamentals and infrastructure experience to help build reusable components and services for video understanding, video summary, and video classifications.
You will be part of a team focused on re\-training, model hosting, cost optimization, and managing production workflows at scale.
 **Roles \&amp; Responsibilities**
* Build and maintain pipelines for model fine\-tuning and retraining, including LoRA\-based workflows and Large Language Models
* Integrate and maintain vector search services and semantic similarity infrastructure
* Design scalable model serving solutions for open\-source and foundation models
* Develop systems for experiment tracking, model versioning, and evaluation
* Monitor production models for drift and performance degradation
* Manage compute cost and resource optimization across distributed training jobs
* Integrate Human\-in\-the\-Loop (HITL) workflows and offline labeling into training pipelines
* Support model deployment for varied model architectures, including Vision\-Language Models, Convolutional Neural Nets, and Embedding Generation models
* Stand up and maintain Feature Store and data versioning infrastructure
* Architect and implement RAG pipelines for video metadata, summarization, and Q\&amp;A
* Build evaluation frameworks to assess LLM performance, hallucination frequency, and structured response accuracy
 **What to Bring**
* 5\+ years of experience in machine learning engineering, with end\-to\-end ML workflow expertise
* Strong background in model retraining, fine\-tuning, and evaluation techniques
* Experience deploying and managing open\-source model servers (e.g., Triton, TorchServe, Ray Serve)
* Proficient in managing cost\-effective distributed computing environments (e.g., Kubernetes, Ray, SageMaker)
* Familiar with experiment tracking tools (e.g., MLflow, Weights \&amp; Biases) and model versioning strategies
* Deep understanding of ML domains including NLP, RecSys, and reinforcement learning
* Experience with real\-time inference systems and streaming data pipelines is a plus
* Familiarity with labeling tools, HITL workflows, and offline data curation strategies
* Comfort working in Agile development environments and collaborating across global teams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$132,300\.00 \- $245,700\.00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19">
      <c r="A19" t="inlineStr">
        <is>
          <t>in-d26d4ebd2bebb0b6</t>
        </is>
      </c>
      <c r="B19" t="inlineStr">
        <is>
          <t>Senior Machine Learning Engineer</t>
        </is>
      </c>
      <c r="C19" t="inlineStr">
        <is>
          <t>Warner Bros. Discovery</t>
        </is>
      </c>
      <c r="D19" t="inlineStr">
        <is>
          <t>indeed</t>
        </is>
      </c>
      <c r="E19">
        <f>HYPERLINK("https://www.indeed.com/viewjob?jk=d26d4ebd2bebb0b6", "https://www.indeed.com/viewjob?jk=d26d4ebd2bebb0b6")</f>
        <v/>
      </c>
      <c r="F19">
        <f>HYPERLINK("https://careers.wbd.com/es/es/job/WAMEGLOBALR000094039EXTERNALESES/Senior-Machine-Learning-Engineer?utm_source=indeed&amp;utm_medium=phenom-feeds", "https://careers.wbd.com/es/es/job/WAMEGLOBALR000094039EXTERNALESES/Senior-Machine-Learning-Engineer?utm_source=indeed&amp;utm_medium=phenom-feeds")</f>
        <v/>
      </c>
      <c r="G19" t="inlineStr">
        <is>
          <t>New York, NY, US</t>
        </is>
      </c>
      <c r="H19" s="2" t="n">
        <v>46044</v>
      </c>
      <c r="I19"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**Machine Learning Engineer – Services (Video AI Platform)**
 **Who We Are…**  
At Warner Bros. Discovery, we are reimagining how machine learning transforms storytelling. As part of the AI/ML organization, focusing on supporting applications of AI to video, the **M****achine Learning Engineer****– Services** group powers infrastructure and backend services behind production workflows. We're looking for an experienced ML Engineer with strong fundamentals and infrastructure experience to help build reusable components and services for video understanding, video summary, and video classifications.
You will be part of a team focused on re\-training, model hosting, cost optimization, and managing production workflows at scale.
 **Roles \&amp; Responsibilities**
* Build and maintain pipelines for model fine\-tuning and retraining, including LoRA\-based workflows and Large Language Models
* Integrate and maintain vector search services and semantic similarity infrastructure
* Design scalable model serving solutions for open\-source and foundation models
* Develop systems for experiment tracking, model versioning, and evaluation
* Monitor production models for drift and performance degradation
* Manage compute cost and resource optimization across distributed training jobs
* Integrate Human\-in\-the\-Loop (HITL) workflows and offline labeling into training pipelines
* Support model deployment for varied model architectures, including Vision\-Language Models, Convolutional Neural Nets, and Embedding Generation models
* Stand up and maintain Feature Store and data versioning infrastructure
* Architect and implement RAG pipelines for video metadata, summarization, and Q\&amp;A
* Build evaluation frameworks to assess LLM performance, hallucination frequency, and structured response accuracy
 **What to Bring**
* 5\+ years of experience in machine learning engineering, with end\-to\-end ML workflow expertise
* Strong background in model retraining, fine\-tuning, and evaluation techniques
* Experience deploying and managing open\-source model servers (e.g., Triton, TorchServe, Ray Serve)
* Proficient in managing cost\-effective distributed computing environments (e.g., Kubernetes, Ray, SageMaker)
* Familiar with experiment tracking tools (e.g., MLflow, Weights \&amp; Biases) and model versioning strategies
* Deep understanding of ML domains including NLP, RecSys, and reinforcement learning
* Experience with real\-time inference systems and streaming data pipelines is a plus
* Familiarity with labeling tools, HITL workflows, and offline data curation strategies
* Comfort working in Agile development environments and collaborating across global teams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$132,300\.00 \- $245,700\.00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20">
      <c r="A20" t="inlineStr">
        <is>
          <t>in-49d487112b331c32</t>
        </is>
      </c>
      <c r="B20" t="inlineStr">
        <is>
          <t>Senior Machine Learning Engineer</t>
        </is>
      </c>
      <c r="C20" t="inlineStr">
        <is>
          <t>Warner Bros. Discovery</t>
        </is>
      </c>
      <c r="D20" t="inlineStr">
        <is>
          <t>indeed</t>
        </is>
      </c>
      <c r="E20">
        <f>HYPERLINK("https://www.indeed.com/viewjob?jk=49d487112b331c32", "https://www.indeed.com/viewjob?jk=49d487112b331c32")</f>
        <v/>
      </c>
      <c r="F20">
        <f>HYPERLINK("https://careers.wbd.com/global/en/job/WAMEGLOBALR000094039EXTERNALENGLOBAL/Senior-Machine-Learning-Engineer?utm_source=indeed&amp;utm_medium=phenom-feeds", "https://careers.wbd.com/global/en/job/WAMEGLOBALR000094039EXTERNALENGLOBAL/Senior-Machine-Learning-Engineer?utm_source=indeed&amp;utm_medium=phenom-feeds")</f>
        <v/>
      </c>
      <c r="G20" t="inlineStr">
        <is>
          <t>New York, NY, US</t>
        </is>
      </c>
      <c r="H20" s="2" t="n">
        <v>46044</v>
      </c>
      <c r="I20"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**Machine Learning Engineer – Services (Video AI Platform)**
 **Who We Are…**  
At Warner Bros. Discovery, we are reimagining how machine learning transforms storytelling. As part of the AI/ML organization, focusing on supporting applications of AI to video, the **M****achine Learning Engineer****– Services** group powers infrastructure and backend services behind production workflows. We're looking for an experienced ML Engineer with strong fundamentals and infrastructure experience to help build reusable components and services for video understanding, video summary, and video classifications.
You will be part of a team focused on re\-training, model hosting, cost optimization, and managing production workflows at scale.
 **Roles \&amp; Responsibilities**
* Build and maintain pipelines for model fine\-tuning and retraining, including LoRA\-based workflows and Large Language Models
* Integrate and maintain vector search services and semantic similarity infrastructure
* Design scalable model serving solutions for open\-source and foundation models
* Develop systems for experiment tracking, model versioning, and evaluation
* Monitor production models for drift and performance degradation
* Manage compute cost and resource optimization across distributed training jobs
* Integrate Human\-in\-the\-Loop (HITL) workflows and offline labeling into training pipelines
* Support model deployment for varied model architectures, including Vision\-Language Models, Convolutional Neural Nets, and Embedding Generation models
* Stand up and maintain Feature Store and data versioning infrastructure
* Architect and implement RAG pipelines for video metadata, summarization, and Q\&amp;A
* Build evaluation frameworks to assess LLM performance, hallucination frequency, and structured response accuracy
 **What to Bring**
* 5\+ years of experience in machine learning engineering, with end\-to\-end ML workflow expertise
* Strong background in model retraining, fine\-tuning, and evaluation techniques
* Experience deploying and managing open\-source model servers (e.g., Triton, TorchServe, Ray Serve)
* Proficient in managing cost\-effective distributed computing environments (e.g., Kubernetes, Ray, SageMaker)
* Familiar with experiment tracking tools (e.g., MLflow, Weights \&amp; Biases) and model versioning strategies
* Deep understanding of ML domains including NLP, RecSys, and reinforcement learning
* Experience with real\-time inference systems and streaming data pipelines is a plus
* Familiarity with labeling tools, HITL workflows, and offline data curation strategies
* Comfort working in Agile development environments and collaborating across global teams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$132,300\.00 \- $245,700\.00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21">
      <c r="A21" t="inlineStr">
        <is>
          <t>in-d0abed7ccdcc4526</t>
        </is>
      </c>
      <c r="B21" t="inlineStr">
        <is>
          <t>Senior AI Engineer (Red Team, LLM, Adversarial Attacks, Prompt Injection, Guardrails, Policy Bypass)</t>
        </is>
      </c>
      <c r="C21" t="inlineStr">
        <is>
          <t>Information Technology Senior Management Forum</t>
        </is>
      </c>
      <c r="D21" t="inlineStr">
        <is>
          <t>indeed</t>
        </is>
      </c>
      <c r="E21">
        <f>HYPERLINK("https://www.indeed.com/viewjob?jk=d0abed7ccdcc4526", "https://www.indeed.com/viewjob?jk=d0abed7ccdcc4526")</f>
        <v/>
      </c>
      <c r="F21">
        <f>HYPERLINK("https://jobs.itsmfleaders.org/job/xk9scm/senior-ai-engineer-(red-team-llm-adversarial-attacks-prompt-injection-guardrails-policy-bypass)/san-jose/ca", "https://jobs.itsmfleaders.org/job/xk9scm/senior-ai-engineer-(red-team-llm-adversarial-attacks-prompt-injection-guardrails-policy-bypass)/san-jose/ca")</f>
        <v/>
      </c>
      <c r="G21" t="inlineStr">
        <is>
          <t>San Jose, CA, US</t>
        </is>
      </c>
      <c r="H21" s="2" t="n">
        <v>46042</v>
      </c>
      <c r="I21" t="inlineStr">
        <is>
          <t>Posted Date
1/21/2026
Description
Senior AI Engineer (Red Team, LLM, Adversarial Attacks, Prompt Injection, Guardrails, Policy Bypass)**Overview:**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Our AI Foundations team is forming a brand new AI Red Team to focus on adversarial attacks against AI systems, essentially building AI to attack AI so we can make our systems safer and more robust. The team works hands\-on with LLMs, guardrails, prompt injection, policy bypass, and end\-to\-end AI system exploitation across both Internal Foundational and External models. It’s a rare chance to join a team at inception and do deep, impactful work in AI security.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Francisco, CA: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AI Engineer (Red Team, LLM, Adversarial Attacks, Prompt Injection, Guardrails, Policy Bypass)**Overview:**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Our AI Foundations team is forming a brand new AI Red Team to focus on adversarial attacks against AI systems, essentially building AI to attack AI so we can make our systems safer and more robust. The team works hands\-on with LLMs, guardrails, prompt injection, policy bypass, and end\-to\-end AI system exploitation across both Internal Foundational and External models. It’s a rare chance to join a team at inception and do deep, impactful work in AI security.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Francisco, CA: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22">
      <c r="A22" t="inlineStr">
        <is>
          <t>in-8c87d4f36b68e514</t>
        </is>
      </c>
      <c r="B22" t="inlineStr">
        <is>
          <t>Senior AI Engineer – External Products</t>
        </is>
      </c>
      <c r="C22" t="inlineStr">
        <is>
          <t>Silverchair</t>
        </is>
      </c>
      <c r="D22" t="inlineStr">
        <is>
          <t>indeed</t>
        </is>
      </c>
      <c r="E22">
        <f>HYPERLINK("https://www.indeed.com/viewjob?jk=8c87d4f36b68e514", "https://www.indeed.com/viewjob?jk=8c87d4f36b68e514")</f>
        <v/>
      </c>
      <c r="F22">
        <f>HYPERLINK("https://silverchair.hrmdirect.com/employment/view.php?req=3612400&amp;jbsrc=1014&amp;location=0838de83-17e7-de04-f7d2-727deda026c2", "https://silverchair.hrmdirect.com/employment/view.php?req=3612400&amp;jbsrc=1014&amp;location=0838de83-17e7-de04-f7d2-727deda026c2")</f>
        <v/>
      </c>
      <c r="G22" t="inlineStr">
        <is>
          <t>Remote, US</t>
        </is>
      </c>
      <c r="H22" s="2" t="n">
        <v>46033</v>
      </c>
      <c r="I22" t="inlineStr">
        <is>
          <t>**About Silverchair**
Silverchair is the premier independent platform partner for scholarly and professional publishers, dedicated to expanding the reach of the world’s most valuable knowledge. By connecting creators, publishers, and users, we amplify the impact of scholarship and enhance the accessibility of critical information. Our global teams build, maintain, and innovate platforms across the publishing lifecycle, facilitating submission, peer review, hosting, dissemination, and impact measurement.
The Silverchair Platform hosts critical research content from such prestigious publishers as Oxford University Press, the American Medical Association, and McGraw Hill, comprising more than 12 million articles and 97k books. ScholarOne Manuscripts is the world's leading scholarly workflow management platform, processing over 3 million manuscripts annually for 9,000\+ journal sites and serving 1\.1 million monthly active users. ScholarOne Conferences streamlines the academic conference lifecycle for 135\+ conferences annually, supporting scholarly publishers and associations worldwide.
Silverchair is a remote\-first organization with Silverchairians living and working in over ten countries supporting our clients and operations throughout the globe.
**DEI Statement**
At Silverchair, we celebrate and embrace diversity in all its forms. We are committed to fostering an inclusive environment from the moment you consider joining our team. We actively encourage candidates from diverse backgrounds to apply, believing that a variety of perspectives and experiences enriches our community, drives innovation, and strengthens our impact.
Equity and inclusion are at the core of our hiring practices, and we strive to build a team that reflects a broad spectrum of cultures, experiences, and viewpoints. We are particularly committed to increasing representation from groups historically underrepresented in technology careers. Your unique experiences and perspectives are not just welcomed but are integral to our collective success. Join us in our mission to create a culture that unites and brings out the best in all of us.
Learn more about our commitment to diversity, equity, and inclusion at Silverchair.
**Overview:**
We're looking for a Senior AI Engineer to help shape the next generation of AI\-powered tools for researchers and publishers. You'll work on external\-facing products that leverage large language models, retrieval\-augmented generation (RAG), and machine learning to surface and vet scholarly content in smarter, more intuitive ways.
This is a hands\-on engineering role. You'll design and build systems that operate at scale, integrate with frontier AI models, and directly impact how researchers interact with scientific knowledge.
**Why Silverchair:**
Scientific research drives human progress—but only if it can be found, trusted, and used. The systems that connect researchers to knowledge matter enormously, and they're being transformed by AI.
Your work on internal systems directly enables the products we build for the research community:
* Research discovery: Our tools help researchers find relevant work faster, surface unexpected connections, and stay current in rapidly evolving fields
* Research integrity: We build systems that support rigorous peer review and help maintain trust in the scientific record
* Access and equity: We're making scholarly content more accessible and usable for researchers everywhere
The faster and smarter our teams can work, the faster we can deliver on that mission. This role is about building the AI\-powered infrastructure that multiplies what Silverchair can accomplish for science.
We're remote\-first, engineering\-driven, and committed to staying at the forefront of what's possible. If you want your work to matter beyond the next sprint, we'd like to hear from you.
This role offers the opportunity to make a significant impact on our company's growth trajectory while working with cutting\-edge SaaS metrics and analytics. You'll be at the intersection of finance, operations, and strategy, providing critical insights that drive business decision
**Essential Functions:**
* Design and implement AI\-powered search and discovery features using RAG, vector databases, and LLMs
* Design and implement upstream tools for peer review systems
* Build scalable backend services and data pipelines that process and serve scholarly content
* Integrate with frontier models (OpenAI, Anthropic, open\-source alternatives) to deliver intelligent user experiences
* Collaborate with product and engineering teams to translate research needs into production systems
* Optimize for performance, reliability, and cost at scale
* Stay current with developments in AI/ML and bring new ideas to the team
**Required Skills:**
* 7\+ years of professional software engineering experience
* Strong Python expertise, including frameworks like FastAPI or Flask
* Experience building and deploying production systems at scale
* Hands\-on experience with vector databases (Milvus, Pinecone, Weaviate, or similar)
* Familiarity with search technologies (Solr, Elasticsearch)
* Experience with SQL databases and event streaming (Kafka or similar)
* Cloud platform experience (Azure preferred; AWS or GCP also valuable)
* BS in Computer Science or equivalent practical experience
**Desired Experience:**
* Applied experience with LLMs, RAG architectures, and frameworks like LlamaIndex or LangChain
* Experience with TypeScript and React
* Familiarity with ML pipelines and model deployment
* Experience with MCP (Model Context Protocol) or similar integration patterns
* Background in publishing, healthcare, or research\-adjacent industries
**What You'll Bring:**
* You're a strong engineer first, with genuine curiosity about AI and its applications
* You've built systems that handle real\-world scale and complexity
* You care about the details—clean code, thoughtful architecture, reliable infrastructure
* You're energized by mission\-driven work and want your engineering to matter
* You thrive in a technology\-forward environment that values learning and experimentation
Silverchair is an Equal Opportunity Employer. We do not discriminate against any employee or applicant for employment based on race, color, religion, sex, sexual orientation, gender identity or expression, national origin, age, disability, genetic information, veteran status, or any other characteristic protected by applicable laws. We are dedicated to ensuring a fair and inclusive hiring process for all candidates.
We encourage applications from individuals of all backgrounds and experiences and are committed to providing reasonable accommodation for qualified individuals with disabilities in the application and hiring process.
Disclaimer: At this time, we cannot sponsor a new applicant for employment authorization for this position.
**No agencies please.**
**Salary Range: $150,000**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li-4365626474</t>
        </is>
      </c>
      <c r="B2" t="inlineStr">
        <is>
          <t>Applied Scientist II, Prime Video Personalization and Discovery Science</t>
        </is>
      </c>
      <c r="C2" t="inlineStr">
        <is>
          <t>Prime Video &amp; Amazon MGM Studios</t>
        </is>
      </c>
      <c r="D2" t="inlineStr">
        <is>
          <t>linkedin</t>
        </is>
      </c>
      <c r="E2">
        <f>HYPERLINK("https://www.linkedin.com/jobs/view/4365626474", "https://www.linkedin.com/jobs/view/4365626474")</f>
        <v/>
      </c>
      <c r="F2" t="inlineStr"/>
      <c r="G2" t="inlineStr">
        <is>
          <t>New York, United States</t>
        </is>
      </c>
      <c r="H2" t="inlineStr"/>
      <c r="I2"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
**Company** 
 \- Amazon.com Services LLC
 Job ID: A3165547</t>
        </is>
      </c>
    </row>
    <row r="3">
      <c r="A3" t="inlineStr">
        <is>
          <t>li-4365631227</t>
        </is>
      </c>
      <c r="B3" t="inlineStr">
        <is>
          <t>Applied Scientist II, Prime Video Personalization and Discovery Science</t>
        </is>
      </c>
      <c r="C3" t="inlineStr">
        <is>
          <t>Prime Video &amp; Amazon MGM Studios</t>
        </is>
      </c>
      <c r="D3" t="inlineStr">
        <is>
          <t>linkedin</t>
        </is>
      </c>
      <c r="E3">
        <f>HYPERLINK("https://www.linkedin.com/jobs/view/4365631227", "https://www.linkedin.com/jobs/view/4365631227")</f>
        <v/>
      </c>
      <c r="F3">
        <f>HYPERLINK("https://www.amazon.jobs/jobs/3165547/applied-scientist-ii-prime-video-personalization-and-discovery-science?cmpid=SPLICX0248M&amp;utm_source=linkedin.com&amp;utm_campaign=cxro&amp;utm_medium=social_media&amp;utm_content=job_posting&amp;ss=paid&amp;urlHash=2tv5", "https://www.amazon.jobs/jobs/3165547/applied-scientist-ii-prime-video-personalization-and-discovery-science?cmpid=SPLICX0248M&amp;utm_source=linkedin.com&amp;utm_campaign=cxro&amp;utm_medium=social_media&amp;utm_content=job_posting&amp;ss=paid&amp;urlHash=2tv5")</f>
        <v/>
      </c>
      <c r="G3" t="inlineStr">
        <is>
          <t>Sunnyvale, CA</t>
        </is>
      </c>
      <c r="H3" t="inlineStr"/>
      <c r="I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
**Company** 
 \- Amazon.com Services LLC
 Job ID: A3165547</t>
        </is>
      </c>
    </row>
    <row r="4">
      <c r="A4" t="inlineStr">
        <is>
          <t>li-4365637099</t>
        </is>
      </c>
      <c r="B4" t="inlineStr">
        <is>
          <t>Applied Scientist II, Prime Video Personalization and Discovery Science</t>
        </is>
      </c>
      <c r="C4" t="inlineStr">
        <is>
          <t>Prime Video &amp; Amazon MGM Studios</t>
        </is>
      </c>
      <c r="D4" t="inlineStr">
        <is>
          <t>linkedin</t>
        </is>
      </c>
      <c r="E4">
        <f>HYPERLINK("https://www.linkedin.com/jobs/view/4365637099", "https://www.linkedin.com/jobs/view/4365637099")</f>
        <v/>
      </c>
      <c r="F4">
        <f>HYPERLINK("https://www.amazon.jobs/jobs/3165547/applied-scientist-ii-prime-video-personalization-and-discovery-science?cmpid=SPLICX0248M&amp;utm_source=linkedin.com&amp;utm_campaign=cxro&amp;utm_medium=social_media&amp;utm_content=job_posting&amp;ss=paid&amp;urlHash=2tv5", "https://www.amazon.jobs/jobs/3165547/applied-scientist-ii-prime-video-personalization-and-discovery-science?cmpid=SPLICX0248M&amp;utm_source=linkedin.com&amp;utm_campaign=cxro&amp;utm_medium=social_media&amp;utm_content=job_posting&amp;ss=paid&amp;urlHash=2tv5")</f>
        <v/>
      </c>
      <c r="G4" t="inlineStr">
        <is>
          <t>Seattle, WA</t>
        </is>
      </c>
      <c r="H4" t="inlineStr"/>
      <c r="I4"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
**Company** 
 \- Amazon.com Services LLC
 Job ID: A3165547</t>
        </is>
      </c>
    </row>
    <row r="5">
      <c r="A5" t="inlineStr">
        <is>
          <t>li-4355403991</t>
        </is>
      </c>
      <c r="B5" t="inlineStr">
        <is>
          <t>Applied AI Engineer</t>
        </is>
      </c>
      <c r="C5" t="inlineStr">
        <is>
          <t>Qualified Health</t>
        </is>
      </c>
      <c r="D5" t="inlineStr">
        <is>
          <t>linkedin</t>
        </is>
      </c>
      <c r="E5">
        <f>HYPERLINK("https://www.linkedin.com/jobs/view/4355403991", "https://www.linkedin.com/jobs/view/4355403991")</f>
        <v/>
      </c>
      <c r="F5" t="inlineStr"/>
      <c r="G5" t="inlineStr">
        <is>
          <t>Palo Alto, CA</t>
        </is>
      </c>
      <c r="H5" t="inlineStr"/>
      <c r="I5" t="inlineStr">
        <is>
          <t>**Transform healthcare with us.**
 At Qualified Health, we’re redefining what’s possible with Generative AI in healthcare. Our infrastructure provides the guardrails for safe AI governance, healthcare\-specific agent creation, and real\-time algorithm monitoring—working alongside leading health systems to drive real change.
 This is more than just a job. It’s an opportunity to build the future of AI in healthcare, solve complex challenges, and make a lasting impact on patient care. If you’re ambitious, innovative, and ready to move fast, we’d love to have you on board.
 Join us in shaping the future of healthcare.
**Job Summary:**
 We’re hiring an
 **Applied AI Engineer** 
 to focus on building and scaling real\-world AI workflows. This role is designed for engineers who are hands\-on with deploying generative AI applications. You’ll spend the majority of your time developing agentic workflows and production\-grade integrations across multiple of our product lines.
 You’ll work closely with product and engineering teammates to design, deploy, and scale AI\-powered applications that solve real problems in healthcare.
**Key Responsibilities:**
* Develop and deploy agentic workflows and automation pipelines (approx. 60% of role).
* Build and maintain production\-ready services, REST APIs, and integrations (approx. 30%).
* Ship production solutions in days, not months emphasizing scrappiness and speed.
* Collaborate across product, engineering, and design to deliver end\-to\-end AI\-powered features.
* Evaluate and integrate state\-of\-the\-art LLMs (OpenAI, Anthropic, Mistral, etc.) into production use cases.
* Contribute to building a scalable workflow infrastructure that will support 100\+ workflows
**Required Qualifications:**
* Bachelor’s degree \+ 4 years OR Master’s degree \+ 2 years in Computer Science, Engineering, or related field.
* Strong software engineering foundation (Python required; solid coding practices).
* Experience building AI\-powered applications in the past 1–2 years using ChatGPT, Claude, Anthropic, or Mistral.
* Hands\-on experience with REST API development and deploying services into cloud environments (GCP preferred).
* Clear understanding of MLOps, model deployment, or workflow automation in production systems.
**Desirable Skills:**
* Background in software engineering → ML path.
* Experience with agentic workflows or adjacent skills such as prompt tuning, eval pipelines, or automation frameworks.
* Startup experience: demonstrated scrappiness, speed, and bias toward shipping.
* Exposure to both startup agility and big tech engineering rigor is ideal.
* Strong communication skills and ability to collaborate in fast\-paced, ambiguous environments.
**Why Join Qualified Health?**
 This is an opportunity to join a fast\-growing company and a world\-class team, that is poised to change the healthcare industry. We are a passionate, mission\-driven team that is building a category\-defining product. We are backed by premier investors and are looking for founding team members who are excited to do the best work of their careers.
 Our employees are integral to achieving our goals so we are proud to offer competitive salaries with equity packages, robust medical/dental/vision insurance, flexible working hours, hybrid work options and an inclusive environment that fosters creativity and innovation.
**Our Commitment to Diversity**
 Qualified Health is an equal opportunity employer. We believe that a diverse and inclusive workplace is essential to our success, and we are committed to building a team that reflects the world we live in. We encourage applications from all qualified individuals, regardless of race, color, religion, gender, sexual orientation, gender identity or expression, age, national origin, marital status, disability, or veteran status.
**Pay \&amp; Benefits**
 The pay range for this role is between $180,000 and $250,000, depending on skills, qualifications, experience, and location. This role is also eligible for equity and benefits.
***Join our mission to revolutionize healthcare with AI.***
 To apply, please send your resume through the application below.</t>
        </is>
      </c>
    </row>
    <row r="6">
      <c r="A6" t="inlineStr">
        <is>
          <t>li-4365605793</t>
        </is>
      </c>
      <c r="B6" t="inlineStr">
        <is>
          <t>Entry level AI/ML Engineer: SVL</t>
        </is>
      </c>
      <c r="C6" t="inlineStr">
        <is>
          <t>Lensa</t>
        </is>
      </c>
      <c r="D6" t="inlineStr">
        <is>
          <t>linkedin</t>
        </is>
      </c>
      <c r="E6">
        <f>HYPERLINK("https://www.linkedin.com/jobs/view/4365605793", "https://www.linkedin.com/jobs/view/4365605793")</f>
        <v/>
      </c>
      <c r="F6" t="inlineStr"/>
      <c r="G6" t="inlineStr">
        <is>
          <t>San Jose, CA</t>
        </is>
      </c>
      <c r="H6" t="inlineStr"/>
      <c r="I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IBM Automation and AI group is seeking an entry level AI/ML Engineer specializing in machine learning and Large Language Models (LLMs) to join our AI/ML Center of Excellence team at the IBM Silicon Valley Lab location. In this role, you will collaborate with cross\-functional product teams to implement cutting\-edge AI/ML capabilities across IBM's Automation product portfolio. You will lead efforts in data collection for LLM training and evaluation, integrate LLM technologies into existing and new products, and establish best practices for AI/ML feature implementation by product teams.
**Your Role And Responsibilities**
 Data Collection and Management for LLM Evaluation and Training
* Design and implement robust data collection pipelines for diverse LLM training datasets leveraging the IBM AI Model \&amp; Data Catalog.
* Develop data quality assessment frameworks to ensure training data meets IBM's high standards
* Create annotation guidelines and workflows for specialized domain\-specific datasets
* Implement data governance protocols that ensure compliance with privacy regulations and ethical AI principles following the IBM Data \&amp; Model Governance process and tooling.
* Establish evaluation datasets and benchmarks to measure LLM performance across various use cases leveraging \[1] FM\-Eval and Unitxt.
 LLM Integration and Implementation
* Architect solutions to integrate LLMs with IBM's existing and emerging products and ecosystem
* Develop APIs and interfaces that enable seamless interaction between LLMs and other software components
* Optimize LLM deployment for various computing environments (cloud, edge, on\-premises)
* Implement techniques for model compression, quantization, and optimization to improve inference efficiency and minimize resource requirements
* Design and implement prompt engineering frameworks for consistent LLM behavior across products
 AI/ML Best Practices and Innovation
* Establish technical standards and best practices for AI/ML feature implementation
* Create reusable components and design patterns for common LLM use cases
* Develop monitoring systems to track model performance, drift, and potential biases
* Research and implement techniques for responsible AI, including explainability and fairness
* Collaborate with product teams to identify opportunities for AI\-driven innovation
 References
 Visible links
* https://github.ibm.com/IBM\-Research\-AI/fm\-eval
**Required Technical And Professional Expertise**
* Bachelor's or master's degree or higher in Computer Science, Machine Learning, AI, or related technical field
* Less than one year of experience in machine learning engineering or data science roles
* Demonstrated knowledge of NLP and large language models (e.g., transformer architectures) including model evaluation and algorithm design.
* Strong programming skills in Python and familiarity with ML frameworks (PyTorch, TensorFlow, or JAX)
* Experience with data processing pipelines and working with large datasets
* Knowledge of MLOps practices and tools for model deployment and monitoring
* Ability to work independently and collaborate effectively across diverse teams.
* Strong communication skills to explain complex AI concepts to diverse audiences
* Problem\-solving mindset with ability to navigate technical and business constraints
**Preferred Technical And Professional Experience**
* Experience with fine\-tuning and prompt engineering for LLMs
* Deep understanding of transformer architectures and attention mechanisms
* Proficiency in vector databases and embedding technologies
* Knowledge of model serving frameworks (TensorRT, ONNX, TorchServe)
* Familiarity with cloud platforms (IBM Cloud, AWS, Azure, GCP)
* Commitment to continuous learning in the rapidly evolving field of AI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7">
      <c r="A7" t="inlineStr">
        <is>
          <t>li-4321364030</t>
        </is>
      </c>
      <c r="B7" t="inlineStr">
        <is>
          <t>Machine Learning Engineer, Vision Products Group</t>
        </is>
      </c>
      <c r="C7" t="inlineStr">
        <is>
          <t>Apple</t>
        </is>
      </c>
      <c r="D7" t="inlineStr">
        <is>
          <t>linkedin</t>
        </is>
      </c>
      <c r="E7">
        <f>HYPERLINK("https://www.linkedin.com/jobs/view/4321364030", "https://www.linkedin.com/jobs/view/4321364030")</f>
        <v/>
      </c>
      <c r="F7">
        <f>HYPERLINK("https://jobs.apple.com/en-us/details/200643241?board_id=17682&amp;urlHash=r25F", "https://jobs.apple.com/en-us/details/200643241?board_id=17682&amp;urlHash=r25F")</f>
        <v/>
      </c>
      <c r="G7" t="inlineStr">
        <is>
          <t>Sunnyvale, CA</t>
        </is>
      </c>
      <c r="H7" t="inlineStr"/>
      <c r="I7" t="inlineStr">
        <is>
          <t>**Summary**
 AI is transforming how people interact with technology, and Apple is building the next generation of intelligent, privacy\-preserving experiences across its platforms. We’re looking for a Machine Learning Engineer to help prototype, build, and ship conversational and generative AI systems that feel deeply human, responsive, and trustworthy.
 In this role, you’ll work at the intersection of machine learning research and product engineering—rapidly iterating on new ideas, translating them into scalable systems, and partnering closely with cross\-functional teams to bring them to life. You’ll contribute to foundational capabilities that power conversational understanding, generation, personalization, and embodied interactions for Apple's Vision devices.
**Description**
 As a Machine Learning Engineer on our team, you will design, prototype, and deploy ML\-driven features that power conversational and generative experiences. You’ll work hands\-on with modern model architectures; ranging from large language and multimodal models to ranking and personalization system and integrate them into production frameworks used at scale.
 You’ll collaborate closely with researchers, product managers, designers, and platform engineers to align on problem definitions, iterate on solutions, and ship features that meet Apple’s standards for reliability, privacy, and delight. This role balances experimentation with execution: moving quickly when exploring new ideas, and rigorously when transitioning work into production.
**Responsibilities**
* Design and implement ML models and algorithms for conversational understanding, generation, and personalization
* Rapidly prototype and evaluate new model architectures, prompting strategies, and fine\-tuning approaches
* Translate research ideas into production\-ready systems, collaborating across teams to ensure smooth integration
* Contribute to end\-to\-end ML pipelines, from data exploration and model training to deployment and evaluation
* Write clean, maintainable, and well\-tested code that meets Apple’s production standards
* Participate in architecture discussions, design reviews, and peer code reviews
* Help shape technical direction and contribute to roadmaps for next\-generation AI capabilities
**Minimum Qualifications**
* Phd \+3yrs or MS \+ 5yrs relevant experience in related field (AIML, CS, EE etc.)
* Strong experience with deep learning, particularly in natural language processing and/or multimodal models
* Hands\-on experience with modern generative AI systems and computer vision models, including prompt design, fine\-tuning, and evaluation
* Familiarity with ranking, retrieval, and personalization algorithms
* Proficiency in Python and experience with ML frameworks such as PyTorch (TensorFlow a plus)
* Experience integrating ML models into production systems
* Strong communication skills and the ability to collaborate across disciplines
* Curiosity, pragmatism, and a product\-oriented mindset
**Preferred Qualifications**
* Experience with conversational AI systems or interactive ML\-driven experiences
* Exposure to multimodal or embodied AI systems (voice, animation, agents, or real\-time interaction)
* Familiarity with Apple platforms, frameworks, or ML infrastructure
* Evaluation based measurement expertise using eval frameworks to measure non\-deterministic experiences for consumer facing products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
      <c r="A8" t="inlineStr">
        <is>
          <t>li-4355384375</t>
        </is>
      </c>
      <c r="B8" t="inlineStr">
        <is>
          <t>Applied AI Engineer</t>
        </is>
      </c>
      <c r="C8" t="inlineStr">
        <is>
          <t>Oscar Health</t>
        </is>
      </c>
      <c r="D8" t="inlineStr">
        <is>
          <t>linkedin</t>
        </is>
      </c>
      <c r="E8">
        <f>HYPERLINK("https://www.linkedin.com/jobs/view/4355384375", "https://www.linkedin.com/jobs/view/4355384375")</f>
        <v/>
      </c>
      <c r="F8">
        <f>HYPERLINK("https://app.greenhouse.io/embed/job_app?token=7525125&amp;gh_src=df2216f21&amp;urlHash=IX8X", "https://app.greenhouse.io/embed/job_app?token=7525125&amp;gh_src=df2216f21&amp;urlHash=IX8X")</f>
        <v/>
      </c>
      <c r="G8" t="inlineStr">
        <is>
          <t>New York, NY</t>
        </is>
      </c>
      <c r="H8" t="inlineStr"/>
      <c r="I8" t="inlineStr">
        <is>
          <t>Hi, we're Oscar. We're hiring an Applied AI Engineer to join our AI team.
 Oscar is the first health insurance company built around a full stack technology platform and a focus on serving our members. We started Oscar in 2012 to create the kind of health insurance company we would want for ourselves—one that behaves like a doctor in the family.
**About The Role**
 Join Oscar’s AI team to build and launch transformative AI\-powered products that redefine the healthcare experience for millions. As an Applied AI Engineer, you’ll take end\-to\-end ownership of high\-impact projects—conceiving, prototyping, and deploying generative AI solutions that solve real\-world problems across the healthcare ecosystem.You’ll work alongside a world\-class team of engineers and data scientists, rapidly iterating on ideas and shipping production\-ready applications that drive measurable business and user outcomes. You’ll have the autonomy to identify opportunities, experiment with the latest AI models and techniques, and deliver solutions that streamline operations, improve patient experiences, and move the needle for Oscar and our members.
 You will report to the Sr. Director, AI.
**Work Location:** 
 This position is based in our New York City office, requiring a hybrid work schedule with 3 days of in\-office work per week. Thursdays are a required in\-office day for team meetings and events, while your other two office days are flexible to suit your schedule.
**Pay Transparency:** 
 The base pay for this role is: $180,504 \- $236,911 per year. You are also eligible for employee benefits, participation in Oscar’s unlimited vacation program, company equity grants, and annual performance bonuses.
**Responsibilities**
* Lead the design, development, and deployment of AI\-driven products and features, from zero\-to\-one prototypes to robust production systems.
* Collaborate cross\-functionally with product, design, and business teams to deeply understand user needs and deliver solutions that move key metrics.
* Rapidly experiment with new models, techniques, and tools (including LLMs, RAG, and agentic workflows), iterating based on data and user feedback.
* Build and scale full\-stack applications and intelligent agents that automate complex healthcare workflows and deliver seamless user experiences.
* Stay on the cutting edge of the AI ecosystem, evaluating and integrating emerging technologies to keep Oscar at the forefront of healthcare innovation.
* Contribute to Oscar’s AI strategy and technical vision, helping shape the future of healthcare through technology.
* Other duties as assigned
**Qualifications**
* 7\+ years of professional experience in software engineering, data science, or a related field, with a track record of impactful accomplishments
* Strong Python programming skills
* Experience solving complex, ambiguous problems
* Experience designing and analyzing experiments or evaluations
* Experience or an interest in prototyping full\-stack applications
**Bonus Points**
* Experience with the healthcare industry. Familiarity with claims or clinical data.
* Degree in math, statistics, data science, or engineering.
* Our ideal candidate is a data scientist with an engineering background, an engineer with a data science background, or a founder\-type who combines product thinking, rapid prototyping, and hands\-on coding to deliver real\-world impact.
* Experience with NLP, neural networks, transformers, and modern AI frameworks.
* Knowledge of containerization and deployment tools (e.g., Docker, Kubernetes) or full\-stack development (e.g., React, Golang).
* Experimental mindset: comfort with testing hypotheses and iterating on failures.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9">
      <c r="A9" t="inlineStr">
        <is>
          <t>li-4365608841</t>
        </is>
      </c>
      <c r="B9" t="inlineStr">
        <is>
          <t>Senior Machine Learning Engineer II,  AI Special Projects</t>
        </is>
      </c>
      <c r="C9" t="inlineStr">
        <is>
          <t>Instacart</t>
        </is>
      </c>
      <c r="D9" t="inlineStr">
        <is>
          <t>linkedin</t>
        </is>
      </c>
      <c r="E9">
        <f>HYPERLINK("https://www.linkedin.com/jobs/view/4365608841", "https://www.linkedin.com/jobs/view/4365608841")</f>
        <v/>
      </c>
      <c r="F9">
        <f>HYPERLINK("https://instacart.careers/job/?gh_jid=7561665&amp;gh_src=26e143c51&amp;urlHash=g2mx", "https://instacart.careers/job/?gh_jid=7561665&amp;gh_src=26e143c51&amp;urlHash=g2mx")</f>
        <v/>
      </c>
      <c r="G9" t="inlineStr"/>
      <c r="H9" t="inlineStr"/>
      <c r="I9"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AI Special Projects is a newly formed, agile team driving the next wave of innovation at Instacart. The team’s charter is to reimagine our core consumer experience with AI. We are tackling some of the company’s biggest growth bets, including generative recommendation systems, hyper\-personalized marketing content, and unique customer experiences such as personalized meals. Additionally, we are paving the way for AI\-native development across the company by driving advancements in event\-driven architectures and other paradigms that will impact a broad range of applications.
 We build with a modern, AI\-native Python stack with minimal legacy tech debt. This empowers us to move quickly, experiment, and focus on pursuing the highest\-impact opportunities.
 As a technical lead on the team, you'll play a pivotal role in shaping the future of Instacart's AI platform offerings. This role provides the opportunity to elevate AI at Instacart by applying advanced industry architectures, innovating upon them, and deploying them to improve experiences for our customers and retailers.
 From Day 1, you will arrive as a leader on the team with significant scope and influence. This includes contributing through your product mindset, technical vision, strong execution, and mentorship. If a culture of bottom\-up innovation and deep ownership resonates with you, we’re excited to meet you!
**About The Job**
 In this role, you will:
* Build the team vision: Partner with cross\-functional leaders to define key business challenges and design AI\-first solutions that unlock substantial value for customers and stakeholders.
* Drive hands\-on execution: Lead the development of personalized content and recommendation systems by leveraging a mix of generative and traditional machine learning architectures to drive core business outcomes.
* Deploy AI systems at scale: Drive end\-to\-end software development, including building ML services, agentic workflows, managing experiment lifecycles, and deploying production\-ready AI solutions at scale.
* Innovate: Stay at the cutting edge of AI innovation by conducting literature reviews and exploring novel paradigms in recommendation systems (RecSys). Identify opportunities for customization and apply these advancements to meet Instacart’s unique needs.
* Elevate the team: Mentor and guide junior team members, fostering learning, engagement, and technical growth within the team.
**About You**
 Minimum Qualifications:
* Expertise in Generative AI technologies, including prompt engineering, model fine\-tuning, and familiarity with emerging AI trends and AIQA processes.
* Strong background in traditional machine learning and deep learning fundamentals, with hands\-on experience building efficient models using frameworks like PyTorch or TensorFlow.
* Professional software development skills, including building data pipelines (SQL/Spark), managing CI/CD workflows, and deploying models into production environments.
* Product\-focused mindset with a bias for action and proven ability to define and solve complex business problems through cross\-functional collaboration.
* Exceptional communication skills, with the ability to influence stakeholders and translate technical insights into actionable business strategies.
* An innovation\-driven mindset, rooted in curiosity and a passion for pushing the boundaries of applied AI.
**Preferred Qualifications**
* Experience building scalable ranking and recommendation systems.
* Application of ML models within an e\-commerce environment.
* Cloud infrastructure expertise (e.g., AWS, GCP), particularly in managing large GPU workloads for training and inference.
* Demonstrated success as a technical leader, with the proven ability to guide teams toward strategic, high\-impact outcomes.
* Technical influence evidenced by contributions to blogs, published papers, or industry thought leadership.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$240,000—$253,500 USD
 WA
 $230,000—$243,000 USD
 OR, DE, ME, MA, MD, NH, RI, VT, DC, PA, VA, CO, TX, IL, HI
 $221,000—$233,000 USD
 All other states
 $201,000—$212,000 USD</t>
        </is>
      </c>
    </row>
    <row r="10">
      <c r="A10" t="inlineStr">
        <is>
          <t>li-4365611775</t>
        </is>
      </c>
      <c r="B10" t="inlineStr">
        <is>
          <t>Senior Machine Learning Engineer, Caper</t>
        </is>
      </c>
      <c r="C10" t="inlineStr">
        <is>
          <t>Instacart</t>
        </is>
      </c>
      <c r="D10" t="inlineStr">
        <is>
          <t>linkedin</t>
        </is>
      </c>
      <c r="E10">
        <f>HYPERLINK("https://www.linkedin.com/jobs/view/4365611775", "https://www.linkedin.com/jobs/view/4365611775")</f>
        <v/>
      </c>
      <c r="F10" t="inlineStr"/>
      <c r="G10" t="inlineStr"/>
      <c r="H10" t="inlineStr"/>
      <c r="I10"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As a Senior Machine Learning Engineer at Caper, you will shape the core of our carts experience by leveraging our sensor data to create scalable and effortless experiences for our customers. You’ll work alongside our computer vision, hardware, and front end engineers, to bring together our various sensor inputs that create an intuitive experience on our shopping carts. You will shape how we store, use, and fuse, data and signals on a variety of complex topics, while leveraging a variety of multi\-sensor data.
 The AI and CV team at Caper (Instacart) is dedicated to building state of the art solutions to help retailers around the world create seamless shopping experiences via our AI\-driven smart cart. Our team of enthusiastic researchers and engineers are spread across different time zones, but collaborate effectively with each other on multiple exciting projects.
**About The Job**
 In this role, you will:
* Drive end\-to\-end ML solutions from research to production
* Develop multimodal models to fuse the signals from our various sensors
* Implement sophisticated model architectures, training and evaluation pipelines
* Deploy models at the edge on Nvidia Jetson platform
* Build infrastructure for collecting, processing and storing sensor data
* Influence system design and product vision by making informed decisions
**About You**
**Minimum Qualifications:**
* Master or Ph.D degree in ECE, Computer Science, Applied Maths or related fields.
* 3\+ years experience in any of the following: sensor fusion, transformers, multi\-modals, video understanding, and action/activity recognition
* Strong communication and presentation skills who can collaborate with diverse stakeholders
* Strong programming skills with one or more of these languages: Python, C\+\+, Java/Kotlin
* Strong skills in data science tools (SQL, Pandas,..), and machine learning frameworks (Pytorch, Tensorflow, Scikit\-learn, ...)
* Proven records on driving end\-to\-end ML solutions from research to production
**Preferred Qualifications**
* Experience in designing and implementing end\-to\-end ML system that can fuse multi\-modality data and understand/interpret a complex spatial\-temporal problem
* Knowledge of modern visual\-language models and multi\-modal AI systems
* Familiarity with A/B testing and experimentation methodologies in industrial settings
* Independent and self starter with the ability to identify and solve problems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$207,000—$219,000 USD
 WA
 $198,000—$209,000 USD
 OR, DE, ME, MA, MD, NH, RI, VT, DC, PA, VA, CO, TX, IL, HI
 $190,000—$200,000 USD
 All other states
 $173,000—$182,000 USD</t>
        </is>
      </c>
    </row>
    <row r="11">
      <c r="A11" t="inlineStr">
        <is>
          <t>li-4365627474</t>
        </is>
      </c>
      <c r="B11" t="inlineStr">
        <is>
          <t>Applied Machine Learning Engineer - VLSI Design</t>
        </is>
      </c>
      <c r="C11" t="inlineStr">
        <is>
          <t>NVIDIA</t>
        </is>
      </c>
      <c r="D11" t="inlineStr">
        <is>
          <t>linkedin</t>
        </is>
      </c>
      <c r="E11">
        <f>HYPERLINK("https://www.linkedin.com/jobs/view/4365627474", "https://www.linkedin.com/jobs/view/4365627474")</f>
        <v/>
      </c>
      <c r="F11" t="inlineStr"/>
      <c r="G11" t="inlineStr">
        <is>
          <t>Santa Clara, CA</t>
        </is>
      </c>
      <c r="H11" t="inlineStr"/>
      <c r="I11"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**What You'll Be Doing**
* Work within a multi\-functional team on various projects involving Pre\-silicon and Post Silicon hardware design and related data, Circuit Optimization and Spice correlation
* Work on projects with applications ranging from analysis of silicon data, manufacturing process variation analysis, VLSI circuit design and timing etc.
* Responsible for translating the requirements into a data science problem, architect and build solutions.
* Test and release of models that integrate with existing machine learning and visualization tools within the organization.
* Responsible for analyzing the datasets, raise and validate hypotheses, extract relevant features and build models on top of them.
* Optimize the models and algorithms until they reach the desired QOR.
**What We Need To See**
* MS/PhD in Electrical/Computer Engineering, Computer Science, Applied Mathematics (or equivalent experience)
* 5\+ years experience in circuit design, VLSI, ASIC, EDA, Silicon analysis is required
* Prior experience in Applied Math/ML/Software programming with proven ability in writing code in Python, C\+\+
* Experience with ML/DL algorithms with frameworks such as TensorFlow, PyTorch, Spark is a definite plus
**Ways To Stand Out From The Crowd**
* Enjoy working with multiple levels and teams across organizations (engineering/research, product, sales and marketing teams)
* Effective verbal/written communication, and technical presentation skills
* Self\-starter with passion for growth, real enthusiasm for continuous learning and sharing findings across the team
 NVIDIA is a pioneer in bringing groundbreaking technology to new markets. We have some of the most forward\-thinking and hardworking people in the world working with us. If you're creative and autonomous, we want to hear from you!
 \# LI\-Hybrid
 Your base salary will be determined based on your location, experience, and the pay of employees in similar positions. The base salary range is 136,000 USD \- 218,500 USD for Level 3, and 168,000 USD \- 264,500 USD for Level 4\.
 You will also be eligible for equity and benefits .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JR2011506</t>
        </is>
      </c>
    </row>
    <row r="12">
      <c r="A12" t="inlineStr">
        <is>
          <t>li-4365624663</t>
        </is>
      </c>
      <c r="B12" t="inlineStr">
        <is>
          <t>Applied Machine Learning Engineer - VLSI Design</t>
        </is>
      </c>
      <c r="C12" t="inlineStr">
        <is>
          <t>NVIDIA</t>
        </is>
      </c>
      <c r="D12" t="inlineStr">
        <is>
          <t>linkedin</t>
        </is>
      </c>
      <c r="E12">
        <f>HYPERLINK("https://www.linkedin.com/jobs/view/4365624663", "https://www.linkedin.com/jobs/view/4365624663")</f>
        <v/>
      </c>
      <c r="F12">
        <f>HYPERLINK("https://nvidia.wd5.myworkdayjobs.com/NVIDIAExternalCareerSite/job/US-CA-Santa-Clara/Applied-Machine-Learning-Engineer\u002d\u002d-VLSI-Design_JR2011506?source=jobboardlinkedin&amp;urlHash=5Mxw", "https://nvidia.wd5.myworkdayjobs.com/NVIDIAExternalCareerSite/job/US-CA-Santa-Clara/Applied-Machine-Learning-Engineer\u002d\u002d-VLSI-Design_JR2011506?source=jobboardlinkedin&amp;urlHash=5Mxw")</f>
        <v/>
      </c>
      <c r="G12" t="inlineStr">
        <is>
          <t>Santa Clara, CA</t>
        </is>
      </c>
      <c r="H12" t="inlineStr"/>
      <c r="I12"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**What You'll Be Doing**
* Work within a multi\-functional team on various projects involving Pre\-silicon and Post Silicon hardware design and related data, Circuit Optimization and Spice correlation
* Work on projects with applications ranging from analysis of silicon data, manufacturing process variation analysis, VLSI circuit design and timing etc.
* Responsible for translating the requirements into a data science problem, architect and build solutions.
* Test and release of models that integrate with existing machine learning and visualization tools within the organization.
* Responsible for analyzing the datasets, raise and validate hypotheses, extract relevant features and build models on top of them.
* Optimize the models and algorithms until they reach the desired QOR.
**What We Need To See**
* MS/PhD in Electrical/Computer Engineering, Computer Science, Applied Mathematics (or equivalent experience)
* 5\+ years experience in circuit design, VLSI, ASIC, EDA, Silicon analysis is required
* Prior experience in Applied Math/ML/Software programming with proven ability in writing code in Python, C\+\+
* Experience with ML/DL algorithms with frameworks such as TensorFlow, PyTorch, Spark is a definite plus
**Ways To Stand Out From The Crowd**
* Enjoy working with multiple levels and teams across organizations (engineering/research, product, sales and marketing teams)
* Effective verbal/written communication, and technical presentation skills
* Self\-starter with passion for growth, real enthusiasm for continuous learning and sharing findings across the team
 NVIDIA is a pioneer in bringing groundbreaking technology to new markets. We have some of the most forward\-thinking and hardworking people in the world working with us. If you're creative and autonomous, we want to hear from you!
 \# LI\-Hybrid
 Your base salary will be determined based on your location, experience, and the pay of employees in similar positions. The base salary range is 136,000 USD \- 218,500 USD for Level 3, and 168,000 USD \- 264,500 USD for Level 4\.
 You will also be eligible for equity and benefits .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JR2011506</t>
        </is>
      </c>
    </row>
    <row r="13">
      <c r="A13" t="inlineStr">
        <is>
          <t>li-4365619586</t>
        </is>
      </c>
      <c r="B13" t="inlineStr">
        <is>
          <t>AWS Developer - AI/ML Engineer - FullTime Remote</t>
        </is>
      </c>
      <c r="C13" t="inlineStr">
        <is>
          <t>Lensa</t>
        </is>
      </c>
      <c r="D13" t="inlineStr">
        <is>
          <t>linkedin</t>
        </is>
      </c>
      <c r="E13">
        <f>HYPERLINK("https://www.linkedin.com/jobs/view/4365619586", "https://www.linkedin.com/jobs/view/4365619586")</f>
        <v/>
      </c>
      <c r="F13">
        <f>HYPERLINK("https://lensa.com/cgw/82820dd97770409b854fae81fee70a93tjo1?jpsi=directemployers&amp;publisher_preference=easier_apply&amp;utm_campaign=Computer%20Occupations&amp;utm_medium=slot&amp;utm_source=linkedin&amp;utm_term=jse&amp;urlHash=kUfe", "https://lensa.com/cgw/82820dd97770409b854fae81fee70a93tjo1?jpsi=directemployers&amp;publisher_preference=easier_apply&amp;utm_campaign=Computer%20Occupations&amp;utm_medium=slot&amp;utm_source=linkedin&amp;utm_term=jse&amp;urlHash=kUfe")</f>
        <v/>
      </c>
      <c r="G13" t="inlineStr">
        <is>
          <t>Dallas, TX</t>
        </is>
      </c>
      <c r="H13" t="inlineStr"/>
      <c r="I1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TEKsystems. Clicking "Apply Now" or "Read more" on Lensa redirects you to the job board/employer site. Any information collected there is subject to their terms and privacy notice.
**Description**
 As an organization, TEKsystems Global Services (TGS) provides a continuum of services ranging from Engagement Management to full functional Outsourcing, including Offshore Centers in Canada and India. Our model provides the ability to engage customers beyond staffing when asked for more ownership, capabilities, or methodology while enhancing client/consultant support.
 We partner with progressive leaders to create opportunity, accelerate business transformation, and help build the enterprises of tomorrow. We work with 80% of the Fortune 500 to address their technology, strategy, and talent needs. We innovate so industries stay ahead of what’s next. As a full\-stack technology and talent services provider, we partner with our customers across the globe to own change. Join us.
 At TEKsystems Global Services, we live in the tech world. We’re out in front of the trends and tools that shape industry and create fresh opportunities. All\-in, fully engaged, high\-energy partnership is how we approach everything – our commitments and our people. Our people are at the center, fueling our high\-performance and inclusive culture.
 We’re looking for a Sr. AWS Developer to join our team. A practitioner who accelerates outcomes, affects positive change, and moves business forward.
 Let’s partner. Together, we can accomplish amazing things.
 Here’s what the opportunity supported through our TEKsystems Global Services (TGS) Talent Acquisition Team requires:
 We are seeking a Senior AWS Intelligent Document Processing (IDP) AI/ML Engineer to lead the hands\-on development and implementation of a cloud\-native document automation platform for a state healthcare agency. This role demands deep engineering expertise across AWS services, particularly in intelligent document processing and AI/ML technologies. The ideal candidate will have a proven track record in delivering production\-grade AWS IDP solutions using a serverless architecture.
 This is a remote role working within an Agile Scrum team.
**Key Responsibilities**
* Hands\-on Development of IDP Pipelines: Build scalable, event\-driven, and serverless IDP solutions using AWS services, including Textract, Comprehend, Comprehend Medical, Bedrock, S3, Lambda, Step Functions, and EventBridge.
* AI/ML Engineering: Develop and fine\-tune workflows for OCR, NLP, document classification, summarization, and structured data extraction using Bedrock, Comprehend, and Textract.
* Data Pipeline Engineering: Design and implement robust data pipelines to process and curate extracted document data using AWS Glue, Kinesis, and other streaming/batch processing services.
* Search and Indexing Integration: Implement intelligent search features with Amazon Kendra or OpenSearch to enable document and metadata retrieval.
* Security and Compliance Implementation: Apply HIPAA\-aligned security practices including encryption, logging, identity and access controls (Cognito, Entra ID), VPC configuration, and WAFv2 protection.
* Agile Collaboration: Actively participate in Agile Scrum ceremonies, contribute to sprint planning, code reviews, and knowledge sharing. Partner with QA, DevOps, and product owners to deliver high\-quality releases.
* Client\-Facing Engineering Support: Participate in technical discussions with client teams and stakeholders. Demonstrate solutions, troubleshoot issues, and gather feedback for iteration.
**Required Skills And Experience**
* 6\+ years of software engineering experience, with at least 3 years in AWS serverless and cloud\-native development.
* Proven success delivering intelligent document processing projects using:
* Amazon Textract
* Amazon Comprehend / Comprehend Medical
* Amazon Bedrock and Bedrock Data Automation
* AWS Lambda (TypeScript/JavaScript/Python)
* Step Functions, EventBridge, API Gateway
* S3, DynamoDB, Cognito, KMS
* AWS Glue and Amazon Kinesis for data lake and pipeline processing
* Amazon Kendra and Amazon OpenSearch with knowledge of various search strategies for structured and unstructured data
* Strong expertise in developing serverless applications with a focus on modular, testable, and scalable code.
* Proficiency in TypeScript, JavaScript, and Python for backend development and AWS service integration.
* Experience developing infrastructure as code using AWS CDK (preferably in TypeScript).
* Knowledge of HIPAA\-compliant engineering practices and secure data handling.
* Comfortable using Git, CI/CD pipelines, and DevOps tooling in cloud environments.
* Excellent debugging, testing, and performance optimization skills.
**Preferred Qualifications**
* AWS Developer Associate or Specialty certifications (e.g., Machine Learning, Serverless).
* Experience with AWS CDK for provisioning and managing complex infrastructure.
* Prior experience in healthcare, public sector, or regulated data environments.
* Experience integrating SSO with Cognito and enterprise identity providers such as Microsoft Entra ID.
**Skills**
 AWS, BedRock, Python, Architecture, Lambda, Cloud
 Experience Level
 Expert Level
 Job Type \&amp; Location
 This is a Permanent position based out of Dallas, TX.
 Pay and Benefits
 The pay range for this position is $119800\.00 \- $179800\.00/yr.
 We reserve the right to pay above or below the posted wage based on factors unrelated to sex, race, or any other protected classification. Additional earnings may be available through incentive programs like annual bonuses, profit sharing, etc. Our full\-time, internal employment benefits include the following:
* Medical, Dental, and Vision
* Critical Illness, Accident, and Hospital
* 401(k) Retirement Plan – Pre\-tax and Roth post\-tax contributions available
* Life Insurance (Voluntary Life and AD\&amp;D for employee and dependents)
* Short and Long\-Term Disability
* Health Spending Account (HSA)
* Transportation Benefits
* Employee Assistance Program
* Time Off/Leave (PTO, Vacation or Sick Leave
 Workplace Type
 This is a fully remote position.
 Application Deadline
 This position is anticipated to close on Jan 28,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
 If you have questions about this posting, please contact support@lensa.com</t>
        </is>
      </c>
    </row>
    <row r="14">
      <c r="A14" t="inlineStr">
        <is>
          <t>li-4355337743</t>
        </is>
      </c>
      <c r="B14" t="inlineStr">
        <is>
          <t>Staff Machine Learning Engineer, Monetization &amp; Decision Systems</t>
        </is>
      </c>
      <c r="C14" t="inlineStr">
        <is>
          <t>Quizlet</t>
        </is>
      </c>
      <c r="D14" t="inlineStr">
        <is>
          <t>linkedin</t>
        </is>
      </c>
      <c r="E14">
        <f>HYPERLINK("https://www.linkedin.com/jobs/view/4355337743", "https://www.linkedin.com/jobs/view/4355337743")</f>
        <v/>
      </c>
      <c r="F14" t="inlineStr"/>
      <c r="G14" t="inlineStr">
        <is>
          <t>San Francisco, CA</t>
        </is>
      </c>
      <c r="H14" t="inlineStr"/>
      <c r="I14"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The Personalization \&amp; Recommendations ML Engineering team builds the core intelligence behind how Quizlet matches learners with content, activities, and user experiences that best fit their goals, while also optimizing for business metrics that support long\-term sustainability. We power recommendation and search systems across multiple surfaces, such as the home feed, search results, and adaptive study modes, as well as decision systems in ads and notifications that determine the timing and nature of key interventions.
 Within this organization, this role is responsible for the predictive and decisioning models that drive monetization, retention, activation and goal\-aligned study guidance. These systems balance immediate impact with long\-term user value and must integrate seamlessly into Quizlet’s product architecture.
 As a Staff Machine Learning Engineer on the Personalization \&amp; Recommendations team, you will lead both the modeling efforts and the technical integration work required to bring complex ML systems into production. This includes designing predictive and prescriptive models (such as conversion propensity, churn risk, LTV, sequential decisioning, and timing optimization) and collaborating closely with product and infrastructure engineering to ensure these models can be safely and cleanly embedded into existing product workflows.
 A major part of this role involves identifying dependencies within the product codebase, defining integration contracts with cross\-functional partners, and shaping technical solutions that allow ML\-driven decisioning to operate reliably, efficiently, and maintainably at scale.
 You’ll work closely with product managers, data scientists, platform engineers, backend engineers, and fellow ML engineers to deliver ML\-driven experiences that drive engagement, satisfaction, and measurable business outcomes.
**About The Role**
 As a Staff Machine Learning Engineer on the Personalization \&amp; Recommendations team, you will lead the development of ML systems that decide what action Quizlet should take for a learner, when that action should occur, and under what constraints. This role focuses on action selection and policy design rather than content ranking alone, and requires deep ownership of both modeling and production integration.
 You will own the full lifecycle of these systems (from problem framing and model development to integration, deployment, and long\-term reliability), working closely with product, infrastructure, and backend engineering partners. A core responsibility of this role is embedding model\-driven decisions into Quizlet’s product in a way that is safe, observable, and maintainable, including identifying dependencies, defining clean interfaces, and ensuring robust fallback behavior.
 Your work will directly influence monetization, retention, activation and goal\-aligned study guidance, requiring you to balance short\-term business impact with long\-term learner value and product integrity.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Lead the design and development of predictive and prescriptive models (e.g., conversion propensity, churn risk, LTV, uplift, sequential decisioning, and timing optimization) that drive learner\-facing decisions across monetization, lifecycle, and study guidance surfaces
* Design and build decisioning and policy models that determine learner\-facing actions across product surfaces, including monetization, lifecycle, and study guidance use cases. These systems operate under real\-world product constraints and must optimize across multiple, sometimes competing objectives
* You will work on problems such as: determining when and how to present paywalls, discounts, or value exchanges, selecting personalized study modes or interventions based on learner state and intent, triggering retention or churn\-prevention actions at the right moment, and balancing immediate conversion or revenue with long\-term engagement and learning outcomes
* This role emphasizes: multi\-objective optimization across monetization, retention, and user experience, timing\- and eligibility\-aware decisioning rather than static predictions, and consistent action selection across sessions and surfaces
* Evaluation approaches that connect offline modeling metrics to online experimental outcomes
* Apply advanced techniques such as uplift modeling, survival analysis, sequential decisioning, and other policy\-based approaches, bringing them into production in collaboration with cross\-functional partners
* Lead the end\-to\-end productionization of ML systems, from modeling through integration, ensuring models can be safely, cleanly, and reliably embedded into existing product workflows
* Identify upstream and downstream dependencies within the product codebase and data ecosystem, and proactively address integration risks
* Define and negotiate clean integration boundaries, including API contracts, data interfaces, decision schemas, and fallback strategies, in collaboration with product and infrastructure engineering
* Partner closely with Infrastructure Engineering to design scalable, resilient, and observable model\-serving paths that integrate with Quizlet’s application stack
* Embed model\-driven decisioning logic into backend and product flows in ways that are maintainable, testable, and compatible with existing systems
* Build and maintain end\-to\-end pipelines for feature engineering, training, evaluation, deployment, and monitoring, ensuring training–serving consistency
* Improve latency, throughput, reliability, and observability of real\-time and near–real\-time inference systems operating at scale
* Translate product goals (conversion, retention, revenue, engagement) into clear modeling objectives and technical specification
* Collaborate closely with product managers, backend engineers, and infrastructure partners to ensure ML systems fit naturally into the existing architecture without introducing brittle dependencie
* Develop evaluation frameworks that tie offline metrics to online A/B results, ensuring changes are measurable, interpretable, and aligned with product impact
* Clearly communicate assumptions, trade\-offs, risks, and technical constraints to both technical and non\-technical stakeholders
* Provide technical leadership for ML\-driven decision systems, guiding the organization toward unified policy models and consistent action\-selection frameworks across surfaces
* Mentor engineers and scientists, setting a high bar for modeling rigor, production quality, experimentation discipline, and responsible ML
* Shape long\-term strategy for scalable, maintainable ML decisioning, bringing modern approaches—including sequential decisioning and RL\-adjacent techniques—into production where appropriate
**What You Bring To The Table**
* 8\+ years of applied ML or ML\-heavy engineering experience, with a track record of shipping production models that drive measurable business impact
* Deep expertise in classical ML techniques (e.g., boosted trees, GLMs, survival models, uplift modeling)
* Experience with reinforcement learning, contextual bandits, or sequential decision\-making
* Strong engineering skills with Python and common ML frameworks (scikit\-learn, PyTorch, XGBoost, LightGBM, etc.)
* Demonstrated experience integrating ML systems into complex product architectures, ideally including monolithic applications
* Experience defining integration boundaries, solving backend/ML interface issues, and collaborating with infra teams on serving patterns
* Strong understanding of experimentation design, causal analysis, and the relationship between offline and online evaluation
* Excellent communication skills for conveying technical constraints and integration trade\-offs
* A strong ownership mindset centered on reliability, maintainability, and long\-term system health
**Bonus Points If You Have**
* Background in causal ML or uplift modeling
* Experience with paywall optimization, monetization systems, or churn modeling
* Knowledge of real\-time inference architectures, feature stores, or streaming systems
* Publications or open\-source contributions in ML, RL, causal inference, or system integration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$190,000 \- $274,500,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
      <c r="A15" t="inlineStr">
        <is>
          <t>li-4354222830</t>
        </is>
      </c>
      <c r="B15" t="inlineStr">
        <is>
          <t>Forward Deploy AI Engineer (AI Lab)</t>
        </is>
      </c>
      <c r="C15" t="inlineStr">
        <is>
          <t>William and William Recruiting</t>
        </is>
      </c>
      <c r="D15" t="inlineStr">
        <is>
          <t>linkedin</t>
        </is>
      </c>
      <c r="E15">
        <f>HYPERLINK("https://www.linkedin.com/jobs/view/4354222830", "https://www.linkedin.com/jobs/view/4354222830")</f>
        <v/>
      </c>
      <c r="F15" t="inlineStr"/>
      <c r="G15" t="inlineStr">
        <is>
          <t>San Francisco, CA</t>
        </is>
      </c>
      <c r="H15" t="inlineStr"/>
      <c r="I15" t="inlineStr">
        <is>
          <t>**Forward Deploy AI Engineer \| Agentic Behavior AI Lab \| $200K\-$400K** 
**Stealth\-mode infrastructure startup** 
 building the monitoring layer for autonomous AI agents. $30M\+ raised. Lightspeed, SV Angel, Valor Equity Partners backing.
**The Problem:** 
 Production AI agents hallucinate, drift, and break silently. Traditional observability can't catch behavioral anomalies like instruction drift or context retrieval loss.
**The Solution:** 
 Agent Behavior Monitoring (ABM) infrastructure that surfaces patterns across conversations, correlates regressions to specific interaction types, and pinpoints reliability breakdowns in real usage.
**Your Role:** 
 Embed directly into customer production systems. Deploy monitoring into live agent workflows. Own integrations end\-to\-end. Work inside customer codebases to diagnose failures and drive adoption.
 This mirrors what it takes to found a technical company: deep execution, customer ownership, technical judgment, full autonomy.
**You Have:** 
* 3\-7 years deploying AI/LLM systems into production
* Ability to translate ambiguous requirements into concrete technical solutions
* Strong technical communication with both engineers and stakeholders
* Comfort owning deployments from integration through production adoption
* Founder DNA (ex\-founders and future founders only)
**Stack:** 
 Python, production AI systems, real\-time monitoring infrastructure
**The Team:** 
 \&lt;20 people shipping like 50\+. Olympiad medalists, debate champions, competitive athletes who bring intensity to building.
**Perks:** 
 Full benefits, Equinox, private chef, direct customer interface, product roadmap influence
**Location:** 
 San Francisco (in\-person)
**Compensation:** 
 $200K\-$400K based on experience \+ equity
**Visa:** 
 H\-1B, O\-1, OPT considered for exceptional candidates</t>
        </is>
      </c>
    </row>
    <row r="16">
      <c r="A16" t="inlineStr">
        <is>
          <t>li-4365610290</t>
        </is>
      </c>
      <c r="B16" t="inlineStr">
        <is>
          <t>Machine Learning Engineer/Chemist</t>
        </is>
      </c>
      <c r="C16" t="inlineStr">
        <is>
          <t>Leidos</t>
        </is>
      </c>
      <c r="D16" t="inlineStr">
        <is>
          <t>linkedin</t>
        </is>
      </c>
      <c r="E16">
        <f>HYPERLINK("https://www.linkedin.com/jobs/view/4365610290", "https://www.linkedin.com/jobs/view/4365610290")</f>
        <v/>
      </c>
      <c r="F16" t="inlineStr"/>
      <c r="G16" t="inlineStr">
        <is>
          <t>Tewksbury, MA</t>
        </is>
      </c>
      <c r="H16" t="inlineStr"/>
      <c r="I16" t="inlineStr">
        <is>
          <t>**Description**
***Leidos’ Security Enterprise Solutions (SES)***
*operation is seeking a
 **Machine Learning Engineer** 
 with a strong analytical chemistry instrumentation background to support our data science and AI initiatives. You will help build and maintain ML models and pipelines, collaborate with cross\-functional teams, and contribute to deploying scalable machine learning solutions in production. You will be developing new capabilities and intellectual property relating to our trace detection product line. We're building intelligent systems that drive real\-world impact pushing the limits of what is possible with regards to automated security solutions, and we’re looking for passionate, curious, and collaborative individuals to join our team.*
**Primary Responsibilities**
* Lead design, development, testing, and deployment of machine learning models specific to Leidos’ trace detection algorithms based on Ion Mobility Spectrometry technology.
* Work with large datasets: cleaning, preprocessing, feature engineering.
* Collaborate with chemists, data scientists, engineers, and product managers to integrate ML models into applications.
* Help monitor model performance and retrain/update models as needed.
* Contribute to documentation and best practices.
* Stay up to date with the latest ML research, tools, and technologies.
**Requirements**
* Bachelor’s degree in chemistry or chemical engineering with 5 or more years of hands\-on experience using Ion Mobility Spectrometry (IMS) or Mass Spectrometry (MS) systems. May also consider a degree in Computer Science, Engineering, Mathematics (or a related field) and 5\+ years of work experience using IMS or MS.
* Must have the ability to obtain a Public Trust clearance (US citizenship required).
* Solid understanding of machine learning fundamentals (e.g., supervised/ unsupervised learning, model evaluation).
* Proficiency in Python and common ML libraries (e.g., scikit\-learn, pandas, NumPy).
* Proficiency in Object\-oriented software design.
* Familiarity with PyTorch, or similar frameworks.
* Familiarity with cloud platforms (e.g., AWS, GCP, or Azure).
* Experience with version control tools (e.g., Git).
* Exposure to MLOps concepts or tools (e.g., MLflow, Docker, CI/CD).
* Basic knowledge of SQL and data querying.
* Strong problem\-solving and communication skills.
* Eagerness to learn and adapt in a fast\-paced environment.
**Preferred Qualifications**
* Master’s degree in chemistry/analytical chemistry/data science\-related field and 3–5 years of hands\-on experience in a machine learning or data science role (including internships, research, or full\-time industry experience).
* Proven experience building, validating, and deploying machine learning models in real\-world scenarios.
* Completed academic or industry projects that demonstrate the application of ML techniques to solve complex problems related to spectrometry\-based instrumentation.
* Cloud platform certifications, such as: Microsoft Certified: Azure AI Engineer Associate, AWS Certified Machine Learning – Specialty, Google Cloud Professional Machine Learning Engineer.
* Experience using MLOps tools and workflows, including MLflow, Docker, CI/CD pipelines, and model monitoring.
* Familiarity with deep learning frameworks, especially PyTorch, and the ability to build and fine\-tune neural network models.
* Exposure to data engineering workflows, such as data pipelines (e.g., Airflow), distributed processing (e.g., Spark), or data lake architectures.
* Strong documentation skills and the ability to clearly communicate technical details to both technical and non\-technical audiences.
* Contributions to open\-source ML projects, participation in Kaggle competitions, or relevant publications (a plus).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23,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7">
      <c r="A17" t="inlineStr">
        <is>
          <t>li-4365607883</t>
        </is>
      </c>
      <c r="B17" t="inlineStr">
        <is>
          <t>Senior Machine Learning Engineer, Caper (Fraud)</t>
        </is>
      </c>
      <c r="C17" t="inlineStr">
        <is>
          <t>Instacart</t>
        </is>
      </c>
      <c r="D17" t="inlineStr">
        <is>
          <t>linkedin</t>
        </is>
      </c>
      <c r="E17">
        <f>HYPERLINK("https://www.linkedin.com/jobs/view/4365607883", "https://www.linkedin.com/jobs/view/4365607883")</f>
        <v/>
      </c>
      <c r="F17" t="inlineStr"/>
      <c r="G17" t="inlineStr"/>
      <c r="H17" t="inlineStr"/>
      <c r="I17"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AI and CV team at Caper (Instacart) is dedicated to building state of the art solutions to help retailers around the world create seamless shopping experiences via our AI\-driven smart cart. Our team of enthusiastic researchers and engineers are spread across different time zones, but collaborate effectively with each other on multiple exciting projects.
 As a Machine Learning Engineer at Caper, you will shape the core of our multi\-modal anti\-theft strategy by leveraging our sensor data to deeply understand the customer interactions and cart contents while making effortless experiences for our customers. You’ll work alongside our computer vision, hardware, and front end engineers, to bring together our various sensor inputs that create an intuitive and accurate experience on our shopping carts. You will shape how we store, use, and fuse, data and signals on a variety of complex topics, while leveraging a variety of multi\-sensor data.
**About The Job**
 In this role, you will:
* Drive end\-to\-end ML solutions from research to production
* Own the technical vision for our next generation anti\-theft capabilities
* Develop multimodal models to fuse the signals from our various sensors
* Implement sophisticated model architectures, training and evaluation pipelines
* Build infrastructure for collecting, processing and storing data
* Influence system design and product vision by making informed decisions
**About You**
**Minimum Qualifications:**
* Master or Ph.D degree in ECE, Computer Science, Applied Maths or related fields.
* 3\+ years experience in any of the following: sensor fusion, transformers, multi\-modals, video understanding, and action/activity recognition
* Strong communication and presentation skills who can collaborate with diverse stakeholders
* Strong programming skills with one or more of these languages: Python, C\+\+, Java/Kotlin
* Strong skills in data science tools (SQL, Pandas,..), and machine learning frameworks (Pytorch, Tensorflow, Scikit\-learn, ...)
* Proven records on driving end\-to\-end ML solutions from research to production
**Preferred Qualifications**
* Experience in designing and implementing end\-to\-end ML system that can fuse multi\-modality data and understand/interpret a complex spatial\-temporal problem
* Knowledge of modern visual\-language models and multi\-modal AI systems
* Familiarity with A/B testing and experimentation methodologies in industrial settings
* Independent and self starter with the ability to identify and solve problems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$207,000—$219,000 USD
 WA
 $198,000—$209,000 USD
 OR, DE, ME, MA, MD, NH, RI, VT, DC, PA, VA, CO, TX, IL, HI
 $190,000—$200,000 USD
 All other states
 $173,000—$182,000 USD</t>
        </is>
      </c>
    </row>
    <row r="18">
      <c r="A18" t="inlineStr">
        <is>
          <t>li-4365650173</t>
        </is>
      </c>
      <c r="B18" t="inlineStr">
        <is>
          <t>Senior Machine Learning Engineer</t>
        </is>
      </c>
      <c r="C18" t="inlineStr">
        <is>
          <t>Paylocity</t>
        </is>
      </c>
      <c r="D18" t="inlineStr">
        <is>
          <t>linkedin</t>
        </is>
      </c>
      <c r="E18">
        <f>HYPERLINK("https://www.linkedin.com/jobs/view/4365650173", "https://www.linkedin.com/jobs/view/4365650173")</f>
        <v/>
      </c>
      <c r="F18" t="inlineStr"/>
      <c r="G18" t="inlineStr"/>
      <c r="H18" t="inlineStr"/>
      <c r="I18" t="inlineStr">
        <is>
          <t>Job Type
 Full\-time
**Description**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Want to develop the strategies and principles needed to deliver compelling software? Join our team and help us enhance our all\-in\-one software platform, elevate our one\-of\-a\-kind technology, and improve the employee experience.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or schedule expectations, as necessary.
**Position Title: Senior Engineer Machine Learning**
**Position Overview**
 Paylocity is growing its Machine Learning Engineering organization! Our machine learning engineering team is responsible for developing infrastructure and tooling to help enable data driven decisions and insights at scale for millions of Paylocity users.
 As a Senior Machine Learning Engineer in Product \&amp; Technology, you will help Paylocity build and deploy Machine Learning solutions, to help our teams build better products faster, more reliably, and at the scale we see in production for our customers. We develop machine learning models and infrastructure to support internal team strategies and collaborate closely with our data science organization to drive efficiency and best practices. Your primary focus will be to leverage your expertise in software development, machine learning algorithms, and data infrastructure to architect, develop, and optimize machine learning solutions. You will play a key role in driving the development of scalable and efficient machine learning models, contributing to the enhancement of product features, and the overall improvement of our infrastructure.
**Our Team Is**
* Building infrastructure that can power ML and AI features for millions of users
* Building and deploying platform\-wide recommendations to help companies follow HR best practices and allow employees to get the most out of our platform (Paylocity AI page)
* Baking AI Ethics into all of our processes as a first\-class citizen (Blog Post)
* Working in a collaborative fully remote environment with a desire to share ideas and continuously improve
* Invested in staying current in machine learning engineering by applying the newest tools, technologies, and practices
* Excited to work on cutting\-edge technology!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Collaborate closely with internal teams such as Data Science, Data Engineering, Paylocity’s Cloud Center of Excellence (CCOE), DevOps, and Delivery Platforms to understand requirements and ensure alignment of machine learning engineering solutions with overall business objectives and priorities.
* Leverage cutting\-edge big data technologies on AWS utilizing Databricks and Spark to develop scalable and efficient machine learning solutions for millions of users.
* Create automated data and modeling pipelines, collaborating with internal teams to ensure smooth integration and deployment of machine learning software features.
* Lead the optimization of CI/CD workflows, ensuring scalability and resilience while addressing complex challenges in automation in partnership with DevOps and Delivery Platforms.
* Proactively identify and resolve issues/bugs, ensuring AppSec vulnerabilities are identified and corrected, working closely with Application Security and CCOE teams.
* Drive the adoption of best practices in machine learning engineering across teams, contributing to the development of formal training programs and materials for MLE tool adoption.
* Actively participate in cross\-functional meetings and discussions, providing feedback, commentary, requirements, and questions to ensure alignment and drive project success.
**Education And Experience**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Bachelor’s degree with 5 years of machine learning engineering at software companies; or, advanced degree (master’s or PhD) in machine learning engineering, data engineering, computer science, engineering, statistics, mathematics, data science, or other quantitative field, with no additional experience required.
* Experience in building production\-grade machine learning models and infrastructure in Python.
* Strong background in advanced Python and big data technologies
* Experience with cloud infrastructure (i.e., AWS, GCP, or Azure).
* Demonstrated experience with Infrastructure as Code (IAC) tools (i.e. CDK, Pulumi, etc.).
* Demonstrated ability to leverage machine learning engineering to drive business results.
* Skilled at translating business problems into machine learning engineering problems and communicating the results to non\-technical audiences.
* Able to work in a collaborative environment with a desire to share your ideas.
* Able to work independently and complete tasks with high quality, but unafraid to seek out suggestions from other team members.
* Strong understanding of data engineering and software engineering fundamentals.
* Self\-motivated, adaptable, and highly detail oriented.
**Preferred Skills**
* Professional or academic experience in HR, social science or psychology
* Contributions to open\-source software in Python
* Enthusiastic about how machine learning and infrastructure can lead to a superior customer experience.
* Be invested in staying current in machine learning and infrastructure by applying new technologies and practices.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 opportunity employer.**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accessibility@paylocity.com. This email address is exclusively designated for such requests, aligning with federal and state disability laws. Please do not send resumes to this email address, as they will be removed.
 The pay range for this position is $125,900 \- $233,900/yr; however, base pay offered may vary depending on job\-related knowledge, skills, and experience. This position is eligible for an annual restricted stock unit grant based on individual performance in addition to a full range of benefits outlined here. This information is provided per the relevant state and local pay transparency laws for the location in which this position will be performed. Base pay information is based on market location. Applicants should apply via www.paylocity.com/careers.</t>
        </is>
      </c>
    </row>
    <row r="19">
      <c r="A19" t="inlineStr">
        <is>
          <t>li-4365605758</t>
        </is>
      </c>
      <c r="B19" t="inlineStr">
        <is>
          <t>Junior Full Stack AI Engineer (Remote)</t>
        </is>
      </c>
      <c r="C19" t="inlineStr">
        <is>
          <t>Lensa</t>
        </is>
      </c>
      <c r="D19" t="inlineStr">
        <is>
          <t>linkedin</t>
        </is>
      </c>
      <c r="E19">
        <f>HYPERLINK("https://www.linkedin.com/jobs/view/4365605758", "https://www.linkedin.com/jobs/view/4365605758")</f>
        <v/>
      </c>
      <c r="F19">
        <f>HYPERLINK("https://lensa.com/cgw/356aa96b892b4811949804dc55bb8d9atjo1?jpsi=directemployers&amp;publisher_preference=easier_apply&amp;utm_campaign=Computer%20Occupations&amp;utm_medium=slot&amp;utm_source=linkedin&amp;utm_term=jse&amp;urlHash=xx3A", "https://lensa.com/cgw/356aa96b892b4811949804dc55bb8d9atjo1?jpsi=directemployers&amp;publisher_preference=easier_apply&amp;utm_campaign=Computer%20Occupations&amp;utm_medium=slot&amp;utm_source=linkedin&amp;utm_term=jse&amp;urlHash=xx3A")</f>
        <v/>
      </c>
      <c r="G19" t="inlineStr"/>
      <c r="H19" t="inlineStr"/>
      <c r="I1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Mogo Finance Technology Inc.. Clicking "Apply Now" or "Read more" on Lensa redirects you to the job board/employer site. Any information collected there is subject to their terms and privacy notice.
 Location: Remote (Canada)
 Team: Product \&amp; Engineering
 Type: Full\-time
 Base Salary for the role: $60,000 \- $70,000 CAD
 At Mogo, we’re building the future of finance through bold innovation and AI\-native platforms. This role is part of our Intelligent Investing team.
 Build the Future of Wealth \- With Intention
 Intelligent Investing isn’t about layering AI onto fintech, it’s about reimagining the entire system, where every decision, feature, and line of code reflects clarity, discipline, and long\-term thinking.
 This isn’t another trading app chasing dopamine. We’re building the opposite:
* A platform where restraint is a feature.
* Where AI isn’t a gimmick, it’s the foundation.
* Where compounding meets conviction.
 Our mission is simple: Help a new generation build wealth through intelligence, not impulse.
 Why This Role?
 We're Hiring a Small Group Of High\-upside Junior Engineers To Help Us Build The Future Of Disciplined, AI\-native Investing. You’ll Be Working Directly With Senior Builders On
* A full\-stack architecture designed for speed, elegance, and scale
* AI\-native flows that reinforce behavior, not engagement
* Advanced feature sets (including crypto and options) gated by process, not hype
**You’ll Be Building Product At The Intersection Of**
* Behavioral finance
* Responsible crypto innovation
* AI systems that think like investors, not algorithms chasing clicks
 Who This Is For
* You write code with intention, not just speed.
* You’re obsessed with clean design, thoughtful UX, and systems that don’t shout.
* You’re not looking to ship more features, you’re looking to build something that lasts.
* You respect Buffett more than Reddit.
* You want to work at a company where AI is the engine, not the garnish.
 What You’ll Work On
* Full\-stack development across our investing platform
* AI\-driven interfaces that embed discipline into user flows
* Building and growing a web application from the ground up using modern SPA patterns
* Establishing frontend architecture, component patterns, and design system foundations
* Implementing responsive, accessible UIs that work seamlessly across desktop, tablet, and mobile
* Tools that help real people make better long\-term decisions
 What We’re Looking For
* 0–3 years of professional experience (or projects that show you're ready)
* Curiosity about AI/ML, crypto infrastructure, and behavioral systems
* Experience with Next.js, React, or similar SPA frameworks and API development
* Understanding of responsive design, accessibility, and performance best practices
* Humility, hunger, and a high standard for your work
 What We Offer
* A rare chance to help build a high\-integrity product from the ground up
* Senior mentorship and exposure to world\-class investors and operators
* Small team, zero politics, big impact
* Full remote flexibility across Canada
* A portfolio you’ll be proud of, for years
* Comprehensive Health and Wellness \- Access medical, dental, and vision coverage plus a Health Spending Account
* Stock Options \- Have a stake in the company's success through stock options
* Flex Vacation \- Benefit from paid time off, including vacation days, holidays, and personal days
* Wellbeing Programs \- Access counselling services, mental health support, and additional wellness resources
 This is not just an engineering role. It’s a bet on your future, and ours.
 If that sounds like the right kind of pressure, step inside.
**Benefits Of Working With Us**
* ALWAYS FULLY REMOTE WORK \- Enjoy the flexibility of remote work, supported by necessary resources
* Comprehensive Health and Wellness \- Access medical, dental, and vision coverage plus a Health Spending Account
* Stock Options \- Have a stake in the company's success through stock options
* Flex Vacation \- Benefit from paid time off, including vacation days, holidays, and personal days
* Wellbeing Programs \- Access counselling services, mental health support, and additional wellness resources
**About Us**
 We help make it easy for Canadians to achieve financial freedom while making a positive impact. We live in the most innovative and technologically advanced era, yet so much struggle exists. Most of us are far from where we want to be financially. We all want a better future. A better world where reaching financial freedom is a question of when, not if. One that's equitable so that all can prosper. One that's safe from the impact of climate change. Our money has the power to change the world. It’s up to us to do things differently.
 Apply today! Do you know anyone who would be a great fit for this role or other roles on our career page? Please share this job posting with them! Mogo is an inclusive place to spend your work life. We hire team members for their talent and diverse backgrounds. Bring your unique perspective to Mogo and help our customers achieve their best financial lives.
 Powered by JazzHR
 If you have questions about this posting, please contact support@lensa.com</t>
        </is>
      </c>
    </row>
    <row r="20">
      <c r="A20" t="inlineStr">
        <is>
          <t>li-4365639137</t>
        </is>
      </c>
      <c r="B20" t="inlineStr">
        <is>
          <t>Applied Machine Learning Engineer, Circuit Design - New College Grad 2026</t>
        </is>
      </c>
      <c r="C20" t="inlineStr">
        <is>
          <t>NVIDIA</t>
        </is>
      </c>
      <c r="D20" t="inlineStr">
        <is>
          <t>linkedin</t>
        </is>
      </c>
      <c r="E20">
        <f>HYPERLINK("https://www.linkedin.com/jobs/view/4365639137", "https://www.linkedin.com/jobs/view/4365639137")</f>
        <v/>
      </c>
      <c r="F20" t="inlineStr"/>
      <c r="G20" t="inlineStr">
        <is>
          <t>California, United States</t>
        </is>
      </c>
      <c r="H20" t="inlineStr"/>
      <c r="I20" t="inlineStr">
        <is>
          <t>Our work at NVIDIA is dedicated towards a computing model focused on visual and AI computing. For two decades, NVIDIA has pioneered visual computing, the art and science of computer graphics, with our invention of the GPU. The GPU has also shown to be spectacularly effective at solving some of the most complex problems in computer science. Today, NVIDIA’s GPU simulates human intelligence, running deep learning algorithms and acting as the brain of computers, robots and self\-driving cars that can perceive and understand the world. We are looking to grow our company and teams with the smartest people in the world and there has never been a more exciting time to join our team!
**What You'll Be Doing**
* Work within a multi\-functional team on various projects involving Pre\-silicon and Post Silicon custom circuit design and related data, Circuit/Layout Optimization and Spice correlation
* Work on projects with applications ranging from analysis of silicon data, manufacturing process variation analysis, VLSI circuit design and timing etc.
* Responsible for translating the requirements into a data science problem, architect and build solutions.
* In charge for testing and release of models that integrate with existing machine learning and visualization tools within the organization.
* Responsible for analyzing the datasets, raise and validate hypotheses, extract relevant features and build models on top of them.
* Optimize the models and algorithms until they reach the desired QOR.
**What We Need To See**
* MS or PhD in Electrical/Computer Engineering (or equivalent experience).
* Experience with VLSI, Circuit Design, CMOS Device Physics, Timing, ASIC, EDA is a strict requirement for this role.
* Shown ability in writing code in Python and C\+\+.
* Experience in Applied Math/ML/Software programming.
**Ways To Stand Out From The Crowd**
* Experience with ML/DL algorithms with frameworks such as TensorFlow, PyTorch, Spark is a plus.
* Working with multiple levels and teams across organizations (engineering/research, product, sales and marketing teams).
* Prior experience in CMOS layout drawing, including schematic\-to\-layout translation and DRC/LVS compliance, is a definite plus.
* Effective verbal/written communication, and technical presentation skills.
* Proven continuous learning and sharing findings across the team.
 NV IDIA is widely considered to be one of the technology world’s most desirable employers. We have some of the most forward\-thinking and hardworking people in the world working for us. If you're creative and autonomous, we want to hear from you!
 \# LI\-Hybrid
 Your base salary will be determined based on your location, experience, and the pay of employees in similar positions. The base salary range is 116,000 USD \- 189,750 USD for Level 2, and 136,000 USD \- 218,500 USD for Level 3\.
 You will also be eligible for equity and benefits .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JR2011517</t>
        </is>
      </c>
    </row>
    <row r="21">
      <c r="A21" t="inlineStr">
        <is>
          <t>li-4365639153</t>
        </is>
      </c>
      <c r="B21" t="inlineStr">
        <is>
          <t>Applied Machine Learning Engineer, Circuit Design - New College Grad 2026</t>
        </is>
      </c>
      <c r="C21" t="inlineStr">
        <is>
          <t>NVIDIA</t>
        </is>
      </c>
      <c r="D21" t="inlineStr">
        <is>
          <t>linkedin</t>
        </is>
      </c>
      <c r="E21">
        <f>HYPERLINK("https://www.linkedin.com/jobs/view/4365639153", "https://www.linkedin.com/jobs/view/4365639153")</f>
        <v/>
      </c>
      <c r="F21" t="inlineStr"/>
      <c r="G21" t="inlineStr">
        <is>
          <t>Santa Clara, CA</t>
        </is>
      </c>
      <c r="H21" t="inlineStr"/>
      <c r="I21" t="inlineStr">
        <is>
          <t>Our work at NVIDIA is dedicated towards a computing model focused on visual and AI computing. For two decades, NVIDIA has pioneered visual computing, the art and science of computer graphics, with our invention of the GPU. The GPU has also shown to be spectacularly effective at solving some of the most complex problems in computer science. Today, NVIDIA’s GPU simulates human intelligence, running deep learning algorithms and acting as the brain of computers, robots and self\-driving cars that can perceive and understand the world. We are looking to grow our company and teams with the smartest people in the world and there has never been a more exciting time to join our team!
**What You'll Be Doing**
* Work within a multi\-functional team on various projects involving Pre\-silicon and Post Silicon custom circuit design and related data, Circuit/Layout Optimization and Spice correlation
* Work on projects with applications ranging from analysis of silicon data, manufacturing process variation analysis, VLSI circuit design and timing etc.
* Responsible for translating the requirements into a data science problem, architect and build solutions.
* In charge for testing and release of models that integrate with existing machine learning and visualization tools within the organization.
* Responsible for analyzing the datasets, raise and validate hypotheses, extract relevant features and build models on top of them.
* Optimize the models and algorithms until they reach the desired QOR.
**What We Need To See**
* MS or PhD in Electrical/Computer Engineering (or equivalent experience).
* Experience with VLSI, Circuit Design, CMOS Device Physics, Timing, ASIC, EDA is a strict requirement for this role.
* Shown ability in writing code in Python and C\+\+.
* Experience in Applied Math/ML/Software programming.
**Ways To Stand Out From The Crowd**
* Experience with ML/DL algorithms with frameworks such as TensorFlow, PyTorch, Spark is a plus.
* Working with multiple levels and teams across organizations (engineering/research, product, sales and marketing teams).
* Prior experience in CMOS layout drawing, including schematic\-to\-layout translation and DRC/LVS compliance, is a definite plus.
* Effective verbal/written communication, and technical presentation skills.
* Proven continuous learning and sharing findings across the team.
 NV IDIA is widely considered to be one of the technology world’s most desirable employers. We have some of the most forward\-thinking and hardworking people in the world working for us. If you're creative and autonomous, we want to hear from you!
 \# LI\-Hybrid
 Your base salary will be determined based on your location, experience, and the pay of employees in similar positions. The base salary range is 116,000 USD \- 189,750 USD for Level 2, and 136,000 USD \- 218,500 USD for Level 3\.
 You will also be eligible for equity and benefits .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JR2011517</t>
        </is>
      </c>
    </row>
    <row r="22">
      <c r="A22" t="inlineStr">
        <is>
          <t>li-4365637179</t>
        </is>
      </c>
      <c r="B22" t="inlineStr">
        <is>
          <t>Applied Machine Learning Engineer, Circuit Design - New College Grad 2026</t>
        </is>
      </c>
      <c r="C22" t="inlineStr">
        <is>
          <t>NVIDIA</t>
        </is>
      </c>
      <c r="D22" t="inlineStr">
        <is>
          <t>linkedin</t>
        </is>
      </c>
      <c r="E22">
        <f>HYPERLINK("https://www.linkedin.com/jobs/view/4365637179", "https://www.linkedin.com/jobs/view/4365637179")</f>
        <v/>
      </c>
      <c r="F22" t="inlineStr"/>
      <c r="G22" t="inlineStr">
        <is>
          <t>Santa Clara, CA</t>
        </is>
      </c>
      <c r="H22" t="inlineStr"/>
      <c r="I22" t="inlineStr">
        <is>
          <t>Our work at NVIDIA is dedicated towards a computing model focused on visual and AI computing. For two decades, NVIDIA has pioneered visual computing, the art and science of computer graphics, with our invention of the GPU. The GPU has also shown to be spectacularly effective at solving some of the most complex problems in computer science. Today, NVIDIA’s GPU simulates human intelligence, running deep learning algorithms and acting as the brain of computers, robots and self\-driving cars that can perceive and understand the world. We are looking to grow our company and teams with the smartest people in the world and there has never been a more exciting time to join our team!
**What You'll Be Doing**
* Work within a multi\-functional team on various projects involving Pre\-silicon and Post Silicon custom circuit design and related data, Circuit/Layout Optimization and Spice correlation
* Work on projects with applications ranging from analysis of silicon data, manufacturing process variation analysis, VLSI circuit design and timing etc.
* Responsible for translating the requirements into a data science problem, architect and build solutions.
* In charge for testing and release of models that integrate with existing machine learning and visualization tools within the organization.
* Responsible for analyzing the datasets, raise and validate hypotheses, extract relevant features and build models on top of them.
* Optimize the models and algorithms until they reach the desired QOR.
**What We Need To See**
* MS or PhD in Electrical/Computer Engineering (or equivalent experience).
* Experience with VLSI, Circuit Design, CMOS Device Physics, Timing, ASIC, EDA is a strict requirement for this role.
* Shown ability in writing code in Python and C\+\+.
* Experience in Applied Math/ML/Software programming.
**Ways To Stand Out From The Crowd**
* Experience with ML/DL algorithms with frameworks such as TensorFlow, PyTorch, Spark is a plus.
* Working with multiple levels and teams across organizations (engineering/research, product, sales and marketing teams).
* Prior experience in CMOS layout drawing, including schematic\-to\-layout translation and DRC/LVS compliance, is a definite plus.
* Effective verbal/written communication, and technical presentation skills.
* Proven continuous learning and sharing findings across the team.
 NV IDIA is widely considered to be one of the technology world’s most desirable employers. We have some of the most forward\-thinking and hardworking people in the world working for us. If you're creative and autonomous, we want to hear from you!
 \# LI\-Hybrid
 Your base salary will be determined based on your location, experience, and the pay of employees in similar positions. The base salary range is 116,000 USD \- 189,750 USD for Level 2, and 136,000 USD \- 218,500 USD for Level 3\.
 You will also be eligible for equity and benefits .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JR2011517</t>
        </is>
      </c>
    </row>
    <row r="23">
      <c r="A23" t="inlineStr">
        <is>
          <t>li-4365615697</t>
        </is>
      </c>
      <c r="B23" t="inlineStr">
        <is>
          <t>Machine Learning Engineer Operations Engineer</t>
        </is>
      </c>
      <c r="C23" t="inlineStr">
        <is>
          <t>Motion Recruitment</t>
        </is>
      </c>
      <c r="D23" t="inlineStr">
        <is>
          <t>linkedin</t>
        </is>
      </c>
      <c r="E23">
        <f>HYPERLINK("https://www.linkedin.com/jobs/view/4365615697", "https://www.linkedin.com/jobs/view/4365615697")</f>
        <v/>
      </c>
      <c r="F23">
        <f>HYPERLINK("https://motionrecruitment.com/tech-jobs/chicago/direct-hire/machine-learning-engineer-operations-engineer/863621?utm_source=linkedin&amp;utm_medium=feed&amp;utm_campaign=paid-20210428&amp;urlHash=8h34", "https://motionrecruitment.com/tech-jobs/chicago/direct-hire/machine-learning-engineer-operations-engineer/863621?utm_source=linkedin&amp;utm_medium=feed&amp;utm_campaign=paid-20210428&amp;urlHash=8h34")</f>
        <v/>
      </c>
      <c r="G23" t="inlineStr">
        <is>
          <t>Chicago, IL</t>
        </is>
      </c>
      <c r="H23" t="inlineStr"/>
      <c r="I23" t="inlineStr">
        <is>
          <t>A premier growth and venture capital firm is seeking a Software Engineer, Machine Learning Operations (MLOps), to play a vital role in advancing their proprietary data and analytics platform. The firm partners with innovative companies across diverse sectors sets itself apart by developing in\-house technology that drives investment insights. You’’ collaborate closely with both data scientists and investment professionals to rethink how intelligence and operational efficiency are generated.
 You’ll develop robust, scalable machine learning systems, and focus will be on architecting, deploying, and overseeing infrastructure for model training, deployment, and continuous monitoring. Their tech stack includes Python, PyTorch, Kubernetes, GCP, Terraform, and BigQuery. This is an ideal position for hands\-on engineers passionate about building impactful solutions at scale, eager to work at the intersection of machine learning, data, and high\-stakes business decision\-making, within a collaborative, cutting\-edge environment.
**Required Skills \&amp; Experience**
* 7\+ years of professional experience
* Experience building production level software in Python or Java
* Proven experience with model versioning and building reliable ML systems
* Hands\-on knowledge with Kubernetes and Terraform
* Bachelor’s degree in Computer Science or related field
**Desired Skills \&amp; Experience**
* Cloud computing and distributed systems
* Advanced degree in a quantitative field
**What You Will Be Doing**
 Daily Responsibilities
* 70% Hands On
* 30% Team Collaboration
**The Offer**
* Bonus eligible
**You Will Receive The Following Benefits**
* Medical, Dental, and Vision Insurance
* Vacation Time
* Stock Options
 Applicants must be currently authorized to work in the US on a full\-time basis now and in the future.
**Posted By:** 
 Rose Baldonado</t>
        </is>
      </c>
    </row>
    <row r="24">
      <c r="A24" t="inlineStr">
        <is>
          <t>li-4365637042</t>
        </is>
      </c>
      <c r="B24" t="inlineStr">
        <is>
          <t>Senior Machine Learning Engineer</t>
        </is>
      </c>
      <c r="C24" t="inlineStr">
        <is>
          <t>Warner Bros. Discovery</t>
        </is>
      </c>
      <c r="D24" t="inlineStr">
        <is>
          <t>linkedin</t>
        </is>
      </c>
      <c r="E24">
        <f>HYPERLINK("https://www.linkedin.com/jobs/view/4365637042", "https://www.linkedin.com/jobs/view/4365637042")</f>
        <v/>
      </c>
      <c r="F24" t="inlineStr"/>
      <c r="G24" t="inlineStr">
        <is>
          <t>Atlanta, GA</t>
        </is>
      </c>
      <c r="H24" t="inlineStr"/>
      <c r="I24"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**Machine Learning Engineer – Services (Video AI Platform)**
**Who We Are…**
 At Warner Bros. Discovery, we are reimagining how machine learning transforms storytelling. As part of
 the AI/ML organization, focusing on supporting applications of AI to video
 , the
**M
 achine Learning Engineer
 – Services**
 group powers infrastructure and
 backend
 service
 s
 behind
 production workflows
 .
 We're
 looking for an experienced ML Engineer with strong fundamentals and infrastructure
 experience
 to help build reusable components and services for video understanding
 , video summary, and video classifications. 
 You will be part of a team focused on re\-training, model hosting, cost optimization, and managing production workflows at scale.
**Roles \&amp; Responsibilities**
* Build and
 maintain
 pipelines for model fine\-tuning and retraining, including
 LoRA
 \-based workflows
  and Large Language Models
* Integrate and
 maintain
 vector search services and semantic similarity infrastructure
* Design scalable model serving solutions for open\-source and foundation models
* Develop systems for experiment tracking, model versioning, and evaluation
* Monitor production models for drift and performance degradation
* Manage compute cost and resource optimization across distributed training jobs
* Integrate Human\-in\-the\-Loop (HITL) workflows and offline labeling into training pipelines
* Support model deployment for varied
 model architectures
 , including
 Vision\-Language Models, Convolutional Neural Nets,
 and Embedding Generation models
* Stand up and
 maintain
 Feature Store and data versioning infrastructure
* Architect and implement RAG pipelines for video metadata, summarization, and Q\&amp;A
* Build evaluation frameworks to assess LLM performance, hallucination frequency, and structured response accuracy
**What to Bring**
* 5\+ years of experience in machine learning engineering, with end\-to\-end ML workflow
 expertise
* Strong background in model retraining, fine\-tuning, and evaluation techniques
* Experience deploying and managing open\-source model servers (e.g., Triton,
 TorchServe
 , Ray Serve)
* Proficient in managing cost\-effective distributed computing environments (e.g., Kubernetes, Ray, SageMaker)
* Familiar with experiment tracking tools (e.g.,
 MLflow
 , Weights \&amp; Biases) and model versioning strategies
* Deep understanding of ML domains including NLP,
 RecSys
 , and reinforcement learning
* Experience with real\-time inference systems and streaming data pipelines is a plus
* Familiarity with labeling tools, HITL workflows, and offline data curation strategies
* Comfort working in Agile development environments and collaborating across global teams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$132,300\.00 \- $245,700\.00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25">
      <c r="A25" t="inlineStr">
        <is>
          <t>li-4355422309</t>
        </is>
      </c>
      <c r="B25" t="inlineStr">
        <is>
          <t>Sr. Signal &amp; Image Processing and AI Engineer</t>
        </is>
      </c>
      <c r="C25" t="inlineStr">
        <is>
          <t>The Aerospace Corporation</t>
        </is>
      </c>
      <c r="D25" t="inlineStr">
        <is>
          <t>linkedin</t>
        </is>
      </c>
      <c r="E25">
        <f>HYPERLINK("https://www.linkedin.com/jobs/view/4355422309", "https://www.linkedin.com/jobs/view/4355422309")</f>
        <v/>
      </c>
      <c r="F25" t="inlineStr"/>
      <c r="G25" t="inlineStr">
        <is>
          <t>Buckley AFB, CO</t>
        </is>
      </c>
      <c r="H25" t="inlineStr"/>
      <c r="I25"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The Defense Systems Group (DSG) provides analysis\-based decision support to senior leaders on space architectures, policy and strategy, technology development, warfighter capability enablers, systems integration, defense industrial base, and threat reduction to help shape existing and future space missions across the national security space (NSS) enterprise. DSG is unique at Aerospace as it not only directly supports major customers, including the U.S. Space Force, U.S. Space Command, Air Force Materiel Command, and senior leadership at the Pentagon, but also provides a broad range of technical support across the national space enterprise, maintaining vertical responsibilities with customers’ portfolios as well as horizontal, matrixed responsibilities across the corporation. Additionally, DSG provides deep technical expertise to the Space Force Space Systems Command (SSC) in the conception, design, acquisition, launch and operations of satellite, launch vehicle, ground control, and range systems.
 As a Sr. Signal \&amp; Image Processing and Artificial Intelligence Engineer working in a Program Office role, you will be directly supporting the Operational customer in their deep technical analysis of OPIR Mission Data and acting as an advocate in their adoption of new technology and algorithms. This role is in direct support of the US Gov’t’s Tools, Analysis and Processing Lab in their mission to provide forward looking Research and Development, along with insertion of that new technology into Operations. Though we’ll use whatever new technology best works, our current focus is in improving Mission through application of AIML. We, and this role specifically, are at the front lines of addressing the R\&amp;D “Valley of Death” in bringing new technologies and applications from proofs\-of\-concept and proto\-type to real\-world operations. We need daily on\-site help and advocacy in bridging the gap between the R\&amp;D acquirer and Operational customer. You will need to understand current Operations, and TAP Lab R\&amp;D, as well as being able to communicate the efforts being done to improve them. Additionally, you will perform event support activities and detailed analysis for things occurring beyond the operational system’s capabilities, that support occurs even as you work to expand system capabilities. You will also directly impact the transition from algorithms to models. This unique role exists where OPIR Mission Data Processing, Research and Development and real\-world Operations intersect. This work happens only at Aerospace \- there is nothing else like it.
 The selected candidate will be required to work full\-time, on\-site at our facility in Aurora, CO. Some local travel to Boulder, CO and occasionally Colorado Springs is also expected.
**What You’ll Be Doing**
* Supporting Operations by providing deep OPIR mission data processing knowledge for cases outside normal
* Provide mission data processing support to for external agencies, including non\-traditional event, rare or priority event analysis.
* Professionally answer a lot of Data Exploitation of questions
* Supporting research and development of new AIML tools, applications, and processing for overhead persistent infrared processing
* Advance new ground and processing technologies to support Operations, with a focus on use of AI/ML for those areas
* An Innovation and New Technology Advocate as well as Early Adopter mindset is required, as you will be on the very front of usage for new technology inbound to the missile warning community
* Support the advancement of OPIR mission from the very front
**What You Need To Be Successful**
*Minimum Requirements \- Senior Project Engineer \- Signal \&amp; Image Process Engineering and Artificial Intelligence:*
* Bachelor’s and/or master’s degree in aerospace engineering, astronautical engineering, computer science, data science or relevant technical field such as astronomy or physics.
* At least twelve years of professional experience exploiting image/OPIR Mission Data Processing
* Significant Experience with Overhead Persistent Infrared (OPIR) Missile Warning, Missile Tracking mission areas, with a heavy focus on the understanding of Mission Data
* Understanding of Artificial Intelligence \&amp; Machine Learning and its application to Mission Data Processing / Data Exploitation
* Willingness and ability to regularly support outside of typical business hours, including nights, weekends, holidays
* Mental focus \&amp; discipline, meaning an ability to function in your work while present on an Operations floor with other unrelated activities going on
* This position requires a current Top Secret security clearance with appropriate SCI, which is issued by the US Government. U.S citizenship is required to obtain a security clearance
* Capability and willingness to travel locally (mainly between Boulder and Aurora)
**How You Can Stand Out**
*It would be impressive if you have one or more of these:*
* Track record of cross\-agency collaboration to include NASA, NGA and USSF
* Doctorate degree in a STEM area, preferably satellite sensor processing
* Experience in Flight Mechanics and/or Remote Sensing that can augment OPIR
* Significant understanding of Overhead Persistent Infrared (OPIR) Missile Warning, Missile Tracking mission areas, to include prior experience as an OPIR Operator/Analyst
* Ability to thrive in a dynamic, exciting environment with rapidly evolving, competing priorities
* Demonstrated experience in coding image processing algorithms with C and/or Python
* Demonstrated effectiveness with onsite gov’t customers, with limited supervision
* Demonstrated capability to work in a highly dynamic Program Office environment with a mix of Government, FFRDC, SETA, and vendor personnel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$166,400\.00 \- $249,600\.00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various backgrounds and all walks of life, yet one thing bonds all of us to each other—the belief that we can make a difference. This core belief empowers us to do our best work at The Aerospace Corporation.
**Equal Opportunity Commitment**
 The Aerospace Corporation is an equal opportunity employer.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peoplemangmnt.mailbox@aero.org . You can also review Know Your Rights: Workplace Discrimination is Illegal.</t>
        </is>
      </c>
    </row>
    <row r="26">
      <c r="A26" t="inlineStr">
        <is>
          <t>li-4363416680</t>
        </is>
      </c>
      <c r="B26" t="inlineStr">
        <is>
          <t>Senior AI Engineer - NBA 2K</t>
        </is>
      </c>
      <c r="C26" t="inlineStr">
        <is>
          <t>Visual Concepts</t>
        </is>
      </c>
      <c r="D26" t="inlineStr">
        <is>
          <t>linkedin</t>
        </is>
      </c>
      <c r="E26">
        <f>HYPERLINK("https://www.linkedin.com/jobs/view/4363416680", "https://www.linkedin.com/jobs/view/4363416680")</f>
        <v/>
      </c>
      <c r="F26" t="inlineStr"/>
      <c r="G26" t="inlineStr">
        <is>
          <t>Novato, CA</t>
        </is>
      </c>
      <c r="H26" t="inlineStr"/>
      <c r="I26" t="inlineStr">
        <is>
          <t>At Visual Concepts, we believe great games are made by diverse and empowered teams with a shared passion for play. As one of the world’s top game development studios, we have shipped over 100 multi\-sku titles to critical acclaim and commercial success. Our teams are independent and ambitious. Our studios in Novato, Irvine, Budapest, Shanghai, Austin, Boise, Seoul and Parksville, Canada are committed to artistry and ground breaking technology, offering top candidates the opportunity to learn and grow with some of the hardest working and most creative minds in the industry.
**What We Need**
 We create NBA 2K and our teams push the boundaries of realism, scale, and player experience—and now we’re investing deeply in artificial intelligence to redefine how games are built.
 We are looking for an exceptional AI Engineer to help design and develop intelligent agents that will fundamentally change the way our games are made. This role is not about simply improving existing pipelines or automating isolated tasks. It’s about exploring new, AI\-driven approaches to game development that can unlock brand new workflows, capabilities, and creative possibilities.
 You’ll work at the intersection of AI research, systems engineering, and game development, helping shape a long\-term vision for how intelligent agents can augment and transform the work of developers across disciplines.
**What You Will Do**
* Design and implement AI\-driven agents that assist, collaborate with, or autonomously perform complex development tasks across large\-scale game projects
* Create agents that can understand game engine context, assist in asset generation, debug complex systems, or simulate player behavior at scale
* Identify bottlenecks in traditional game dev (design, QA, coding, or art) and bridge the gap with AI\-driven solutions that turn weeks of manual work into hours of supervised generation
* Collaborate with gameplay engineers and technical artists to integrate these agents into our proprietary engine and toolsets
* Explore novel applications of modern AI techniques (e.g., LLMs, reinforcement learning, multi\-agent systems) to create new ways of building, iterating on, and shipping games
* Work closely with engineers, designers, artists, and technical leadership to identify high\-impact opportunities for AI\-powered transformation
* Prototype, evaluate, and iterate on experimental systems, balancing long\-term vision with practical integration into real production environments
* Help define internal platforms, tools, and architectures that enable AI agents to operate safely, effectively, and at scale within our development ecosystem
* Stay ahead of emerging research and industry advances, translating pioneering ideas into production\-ready solutions
**Who Will Be A Great Fit**
* 5\+ years in Software Engineering, with at least 2\+ years focused specifically on AI/Machine Learning
* BS/MS in Computer Science, AI, Robotics, or a related field (or equivalent "in\-the\-trenches" experience)
* Strong background in AI, machine learning, or applied research, with experience building real\-world systems (not just models)
* Hands\-on experience with modern AI frameworks and techniques, such as large language models, agent frameworks, reinforcement learning, or hybrid symbolic/ML systems
* Excellent software engineering skills, with experience working in large, complex codebases
* Expert\-level proficiency in \*\*Python\*\* (for AI/Tools) and \*\*C\+\+\*\* (for Engine integration)
* Demonstrated success deploying agentic workflows or complex ML models into production environments
* Ability to think beyond incremental optimization and envision entirely new workflows enabled by intelligent systems
* Strong communication skills and the ability to collaborate across teams
* Passion for games, interactive systems, or creative technology is a major plus
 This is a role that can be remote and may be based anywhere in the United States. Below are the expected salary and wage ranges for applicants based in locations where the pay transparency law is in effect: California: $152,500 \- $200,00 per year. New York State (inclusive of New York City): $137,300 \- $180,000 per year. Washington: $152,500 \- $200,00 per year. New Jersey: $137,300 \- $180,000 per year. British Columbia: $135,000 \- $173,500 (CAD) per year.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To learn more about Visual Concepts and our studio locations, check out our website at www.vcentertainment.com</t>
        </is>
      </c>
    </row>
    <row r="27">
      <c r="A27" t="inlineStr">
        <is>
          <t>li-4363427045</t>
        </is>
      </c>
      <c r="B27" t="inlineStr">
        <is>
          <t>Gen AI Engineer</t>
        </is>
      </c>
      <c r="C27" t="inlineStr">
        <is>
          <t>Jobs via Dice</t>
        </is>
      </c>
      <c r="D27" t="inlineStr">
        <is>
          <t>linkedin</t>
        </is>
      </c>
      <c r="E27">
        <f>HYPERLINK("https://www.linkedin.com/jobs/view/4363427045", "https://www.linkedin.com/jobs/view/4363427045")</f>
        <v/>
      </c>
      <c r="F27" t="inlineStr"/>
      <c r="G27" t="inlineStr">
        <is>
          <t>Richardson, TX</t>
        </is>
      </c>
      <c r="H27" t="inlineStr"/>
      <c r="I27" t="inlineStr">
        <is>
          <t>Dice is the leading career destination for tech experts at every stage of their careers. Our client, Skywaves MP LLC, is seeking the following. Apply via Dice today!
**Job Description:**
 As a Generative AI Engineer, you’ll be a core member of this pod, building and integrating agentic systems powered by cutting\-edge LLM and GenAI technologies. You’ll work closely with Tech Leads and Full Stack Engineers to turn AI capabilities into production\-ready enterprise solutions.
**Core Skills \&amp; Experience**
**Must Haves**
* 8 years of software engineering experience with at least 2\-3 years in AI/ML or GenAI systems in production
* Hands\-on experience with Python only for AI/ML model integration.
* Experience with LLM frameworks (LangChain, LlamaIndex is a must)
* Exposure to agentic frameworks (Langgraph, Google ADK, is a must)
* Understanding of Git, CI/CD, DevOps, and production\-grade GenAI deployment practices.
* Familiarity with Google Cloud Platform (Google Cloud Platform) — e.g. Vertex AI, Cloud Run, and GKE.
**Good\-to\-Have**
* Experience building AI APIs, embeddings, vector search, and integrating them into applications.
* Experience fine\-tuning open\-source models (LLaMA, Mistral, etc.) or working with OpenAI APIs.
* Exposure to multi\-modal AI systems (text, image, or voice).</t>
        </is>
      </c>
    </row>
    <row r="28">
      <c r="A28" t="inlineStr">
        <is>
          <t>li-4321323734</t>
        </is>
      </c>
      <c r="B28" t="inlineStr">
        <is>
          <t>Senior AI Engineer</t>
        </is>
      </c>
      <c r="C28" t="inlineStr">
        <is>
          <t>Jobs via Dice</t>
        </is>
      </c>
      <c r="D28" t="inlineStr">
        <is>
          <t>linkedin</t>
        </is>
      </c>
      <c r="E28">
        <f>HYPERLINK("https://www.linkedin.com/jobs/view/4321323734", "https://www.linkedin.com/jobs/view/4321323734")</f>
        <v/>
      </c>
      <c r="F28" t="inlineStr"/>
      <c r="G28" t="inlineStr"/>
      <c r="H28" t="inlineStr"/>
      <c r="I28" t="inlineStr">
        <is>
          <t>We are looking for a skilled and innovation\-driven
 **AI Engineer** 
 to join our team and spearhead the development of cutting\-edge generative AI solutions.
 If you're passionate about artificial intelligence and adept at building systems that deliver measurable business impact, this opportunity is ideal for you. Work with a dynamic group of professionals to create and deploy AI\-driven technologies that tackle real\-world challenges while working in a collaborative and forward\-focused environment.
 Experience the freedom of remote work from anywhere in Georgia, whether from the comfort of your home, our modern offices in Tbilisi and Batumi or a coworking space in Kutaisi.
**Responsibilities**
* Design, implement, and maintain end\-to\-end AI applications, including chatbots, Q\&amp;A platforms, and agent workflows
* Collaborate directly with clients to understand their needs, identify opportunities, and recommend LLM\-driven solutions
* Develop and manage robust data pipelines, prompt strategies, and datasets to ensure effective and accurate AI models (Will be a plus)
* Evaluate and refine AI system performance, ensuring outputs are accurate, secure, scalable, and compliant with industry regulations (Will be a plus)
* Conduct research and rapid prototyping to validate technical feasibility and demonstrate the business value of AI solutions
* Stay current with evolving LLM technologies, frameworks, and methodologies to continuously improve solutions and client outcomes
**Requirements**
* Strong proficiency in Python, experience with web frameworks like FastAPI or similar
* Understanding of the AI application development lifecycle
* Experience with rapid UI prototyping using Streamlit, Gradio, or similar frameworks
* Familiarity with major LLM platforms and APIs (OpenAI, Anthropic, Amazon Bedrock, Gemini) and related frameworks (LangGraph, LlamaIndex, Strands Agents, etc.)
* Knowledge of advanced AI integration patterns (e.g., RAG, Agents)
* Experience deploying AI solutions at scale, with considerations for performance, cost\-efficiency, and maintainability
* Proven ability to evaluate generative AI quality using metrics such as retrieval and classification scores, as well as LLM\-based evaluation methods
* Proven experience in AI engineering and delivering ML\-based solutions
* Strong problem\-solving skills and attention to detail
* Excellent communication, collaboration, and interpersonal skills
 Nice to have
* Experience designing experiments, conducting A/B tests, and iterating on models based on user feedback
* Understanding of retrieval systems (keyword search, vector search, embeddings) and ranking algorithms
* Familiarity with emerging protocols such as MCP, A2A, ACP, etc.
* Experience deploying to cloud AI platforms (Azure OpenAI, Amazon Bedrock, Google Cloud Platform Vertex AI) or on\-premise solutions (e.g., vLLM)
* Experience with enterprise AI platforms such as AWS AgentCore, Databricks AgentBricks, Google Agents Space, or Azure AI Foundry
* Experience with observability and monitoring tools and frameworks
 Technologies
* Python, PyTorch, Hugging Face, LangChain
* Vector databases including Qdrant, FAISS, Chroma
* APIs for LLMs such as Azure OpenAI and AWS Bedrock
 We offer/Benefits
**We connect like\-minded people**
* Delivering innovative solutions to industry leaders, making a global impact
* Enjoyable working environment, whether it is the vibrant office or the comfort of your own home
* Opportunity to work abroad for up to two months per year
* Relocation opportunities within our offices in 55\+ countries
* Corporate and social events
**We invest in your growth**
* Leadership development, career advising, soft skills and well\-being programs
* Certifications, including Google Cloud Platform, Azure and AWS
* Unlimited access to LinkedIn Learning and Get Abstract
* Free English classes with certified teachers
**We cover it all**
* Participation in the Employee Stock Purchase Plan
* Monetary bonuses for engaging in the referral program
* Comprehensive medical \&amp; family care package
* Five trust days per year (sick leave without a medical certificate)
* Benefits package (sports activities, a variety of stores and services)
 EPAM Georgia is a team of innovators united by a passion for technology. The dynamic and inclusive culture we embrace helps positively impact our communities, clients, and employees. Here you will collaborate with multi\-national teams, contribute to numerous cutting\-edge projects, deliver the most creative solutions, and have an opportunity to learn. Our people are at the heart of our success, and we are proud to provide talents with a solid ground to develop and grow.
 Why Choose Us
 2024 Best Place to Work 2024 2024 Sitecore's Partner Experience Awards
 Looking for something else?
 Find a vacancy that works for you. Send us your CV to receive a personalized offer.
 Find me a job</t>
        </is>
      </c>
    </row>
    <row r="29">
      <c r="A29" t="inlineStr">
        <is>
          <t>li-4321383519</t>
        </is>
      </c>
      <c r="B29" t="inlineStr">
        <is>
          <t>Senior Machine Learning Engineer - Ads</t>
        </is>
      </c>
      <c r="C29" t="inlineStr">
        <is>
          <t>Jobs via Dice</t>
        </is>
      </c>
      <c r="D29" t="inlineStr">
        <is>
          <t>linkedin</t>
        </is>
      </c>
      <c r="E29">
        <f>HYPERLINK("https://www.linkedin.com/jobs/view/4321383519", "https://www.linkedin.com/jobs/view/4321383519")</f>
        <v/>
      </c>
      <c r="F29" t="inlineStr"/>
      <c r="G29" t="inlineStr">
        <is>
          <t>New York, NY</t>
        </is>
      </c>
      <c r="H29" t="inlineStr"/>
      <c r="I29" t="inlineStr">
        <is>
          <t>**About The Role**
 The Ads Machine Learning (Ads ML) team at Uber is responsible for providing relevant ad recommendations to the users across the different applications within the Uber ecosystem. We focus on building a deep understanding of both user and merchant behavior to generate accurate ML signals that enhance the Ads auction system providing accurate pricing for our advertisers. Our goal is to maximize the benefits for both users and merchants within Uber's Ads distribution system.
 You will directly impact Uber's Ads systems by defining and executing the Ads ML roadmap, with a focus on enabling and accelerating large\-scale improvements to our recommendation and auction systems. Developing relevant, robust, and observable ad recommendations is crucial to Uber's fast growing Ads Business strategy, making this a highly impactful role.
**\\\\\-\\\\\-\\\\\-\\\\\- What the Candidate Will Do \-\-\-\-**
* Design and implement machine learning models and algorithms to optimize ad recommendations and auction mechanisms.
* Develop and maintain scalable ML pipelines and data infrastructure to support real\-time and batch processing of large\-scale datasets.
* Apply advanced statistical and machine learning techniques to generate insights and improve the effectiveness of ad targeting and delivery.
* Collaborate with data scientists and engineers to build and refine predictive models that enhance user engagement and merchant benefits.
* Conduct rigorous experimentation and A/B testing to validate model performance and iterate on improvements.
* Define success metrics and develop dashboards to monitor and visualize the performance of ML models in production.
* Work closely with cross\-functional teams, including Product, Engineering, and Data Science, to translate business requirements into ML solutions.
* Mentor and provide technical guidance to junior ML engineers and data scientists.
* Stay up\-to\-date with the latest research and advancements in machine learning, recommendation systems, and ad auction techniques.
**\\\\\-\\\\\-\\\\\-\\\\\- Basic Qualifications \-\-\-\-**
* Bachelor's degree or equivalent experience in Computer Science, Computer Engineering, Data Science, ML, Statistics, or other quantitative fields.
* Proven experience with designing and implementing machine learning models in production environments.
* Proficiency in using Python for developing ML models and handling large\-scale data sets.
* Solid understanding of SQL and experience using it in a production environment.
* Strong grasp of Big Data architecture and experience with ETL frameworks and platforms.
* Hands\-on experience with building batch data pipelines using technologies like Spark or other map\-reduce frameworks.
* Expertise in experimental design and analysis, including A/B testing, exploratory data analysis, and statistical analysis.
* Experience with data visualization tools and creating insightful dashboards.
* Proficiency with methodologies such as sampling, statistical estimates, and descriptive statistics.
* Ability to synthesize complex data analyses into clear and actionable insights to influence product direction.
* Experience with recommendation systems.
* Fast learner with a passion for solving complex problems and asking thoughtful questions to ensure effective solutions.
* Strong communication skills to engage with technical, non\-technical, and executive audiences effectively.
* Commitment to seeking and providing timely feedback to drive continuous improvement.
**\\\\\-\\\\\-\\\\\-\\\\\- Preferred Qualifications \-\-\-\-**
* 5 years of industry experience as an ML engineer or equivalent.
* Expertise in building sophisticated systems and knowledge of Hadoop\-related technologies such as HDFS, Kafka, Hive, and Presto.
* Experience managing projects across large, ambiguous scopes and driving initiatives in a fast\-moving, cross\-functional environment.
* Experience with enabling production\-scale and maintaining large ML models.
* Experience in one or more object\-oriented programming languages (e.g. Python, Go, Java, C\+\+).
* Experience with REST APIs and Distributed Messaging / Kafka.
* Familiarity with recommendation systems and modern ad auction techniques.
* Experience with ad auctioning systems.
* Experience with state\-of\-the\-art deep learning techniques.
* Advanced degree (Ph.D. or M.S.) in Data Science, ML, or related disciplines.
 For New York, NY\-based roles: The base salary range for this role is USD$198,000 per year \- USD$220,000 per year.
 For San Francisco,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\[](;br\&gt;
 Uber's mission is to reimagine the way the world moves for the better. Here, bold ideas create real\-world impact, challenges drive growth, and speed fuels progress. What moves us, moves the world \- let's move it forward, together.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form](;br\&gt;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t>
        </is>
      </c>
    </row>
    <row r="30">
      <c r="A30" t="inlineStr">
        <is>
          <t>li-4365603756</t>
        </is>
      </c>
      <c r="B30" t="inlineStr">
        <is>
          <t>Sr. Radiomics and AI Engineer (Radiology)</t>
        </is>
      </c>
      <c r="C30" t="inlineStr">
        <is>
          <t>Inside Higher Ed</t>
        </is>
      </c>
      <c r="D30" t="inlineStr">
        <is>
          <t>linkedin</t>
        </is>
      </c>
      <c r="E30">
        <f>HYPERLINK("https://www.linkedin.com/jobs/view/4365603756", "https://www.linkedin.com/jobs/view/4365603756")</f>
        <v/>
      </c>
      <c r="F30">
        <f>HYPERLINK("https://jsv3.recruitics.com/redirect?rx_cid=804&amp;rx_jobId=3455623&amp;rx_url=https%3A%2F%2Fcareers.insidehighered.com%2Fjob%2F3455623%2Fsr-radiomics-and-ai-engineer-radiology-%2F%3FTrackID%3D3%26rx_campaign%3DLinkedin1%26rx_ch%3Dconnector%26rx_group%3D501092%26rx_id%3Dc669fa55-f888-11f0-8259-090280114b28%26rx_job%3D3455623%26rx_medium%3Dpost%26rx_r%3Dnone%26rx_source%3Dlinkedinslot%26rx_ts%3D20260124T001257Z%26rx_vp%3Dslots%26utm_campaign%3Dlinkedinslot%26utm_source%3Dlinkedinslot&amp;urlHash=FJ1b", "https://jsv3.recruitics.com/redirect?rx_cid=804&amp;rx_jobId=3455623&amp;rx_url=https%3A%2F%2Fcareers.insidehighered.com%2Fjob%2F3455623%2Fsr-radiomics-and-ai-engineer-radiology-%2F%3FTrackID%3D3%26rx_campaign%3DLinkedin1%26rx_ch%3Dconnector%26rx_group%3D501092%26rx_id%3Dc669fa55-f888-11f0-8259-090280114b28%26rx_job%3D3455623%26rx_medium%3Dpost%26rx_r%3Dnone%26rx_source%3Dlinkedinslot%26rx_ts%3D20260124T001257Z%26rx_vp%3Dslots%26utm_campaign%3Dlinkedinslot%26utm_source%3Dlinkedinslot&amp;urlHash=FJ1b")</f>
        <v/>
      </c>
      <c r="G30" t="inlineStr">
        <is>
          <t>Baltimore, MD</t>
        </is>
      </c>
      <c r="H30" t="inlineStr"/>
      <c r="I30" t="inlineStr">
        <is>
          <t>Classified Title: Sr. Radiomics \&amp; AI Research Engineer
 Job Posting Title (Working Title): Sr. Radiomics and AI Engineer (Radiology)
 Role/Level/Range: ACRP/04/MH
 Starting Salary Range: $101,500 \- $177,800 Annually ($127,500 targeted; Commensurate w/exp.)
 Employee group: Full Time
 Schedule: M\-F 8:30\-5
 FLSA Status: Exempt
 Location: School of Medicine Campus
 Department name: SOM Rad Diagnostic Imaging
 Personnel area: School of Medicine</t>
        </is>
      </c>
    </row>
    <row r="31">
      <c r="A31" t="inlineStr">
        <is>
          <t>li-4321375284</t>
        </is>
      </c>
      <c r="B31" t="inlineStr">
        <is>
          <t>Python / React AI Engineer</t>
        </is>
      </c>
      <c r="C31" t="inlineStr">
        <is>
          <t>Jobs via Dice</t>
        </is>
      </c>
      <c r="D31" t="inlineStr">
        <is>
          <t>linkedin</t>
        </is>
      </c>
      <c r="E31">
        <f>HYPERLINK("https://www.linkedin.com/jobs/view/4321375284", "https://www.linkedin.com/jobs/view/4321375284")</f>
        <v/>
      </c>
      <c r="F31" t="inlineStr"/>
      <c r="G31" t="inlineStr">
        <is>
          <t>New York, NY</t>
        </is>
      </c>
      <c r="H31" t="inlineStr"/>
      <c r="I31" t="inlineStr">
        <is>
          <t>Dice is the leading career destination for tech experts at every stage of their careers. Our client, IO Associates, is seeking the following. Apply via Dice today!
 iO Associates is currently partnered with a client who operates within the cutting\-edge technology sector, focusing on innovative solutions that drive digital transformation across various industries. Renowned for fostering a culture of creativity and collaboration, Our Client offers a dynamic work environment that empowers employees to excel and grow. They are committed to advancing technology through a mix of exceptional talent and state\-of\-the\-art resources.
**Role Summary**
 Due to strategic growth initiatives, Our Client is seeking a talented Python / React AI Engineer. This role is pivotal in developing advanced AI\-driven applications, enabling the company to remain at the forefront of technological advancements. The successful candidate will have the opportunity to work on exciting projects that have a substantial impact on both the company and its clientele, utilising the latest technologies and frameworks.
**Responsibilities**
 As a Python / React AI Engineer, you will be expected to:
* Design and implement scalable AI applications using Python and React.
* Collaborate with cross\-functional teams to define, design, and deliver new features.
* Engage in code reviews and maintain high code quality standards.
* Troubleshoot and resolve technical issues that arise during the software development lifecycle.
* Stay updated with emerging technologies and industry trends to enhance product functionality.
**Essential Skills \&amp; Experience**
 The ideal candidate will possess:
* Strong proficiency in Python and React development.
* Experience with AI frameworks and machine learning concepts.
* Solid understanding of software development best practices and design patterns.
* Proven ability to work in a collaborative team environment, delivering projects on time and to specification.
* Excellent problem\-solving skills and attention to detail.
**Desirable Skills \&amp; Experience**
 While not mandatory, the following skills would be advantageous:
* Familiarity with cloud\-based technologies and services.
* Experience with DevOps practices and CI/CD pipelines.
* Exposure to Agile development methodologies.
* Knowledge of additional programming languages is a plus.
**Call to Action**
 If you are a skilled Python / React AI Engineer looking to make a significant impact within a forward\-thinking organisation, we invite you to apply. Please submit your CV for consideration. Join Our Client in shaping the future of technology!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2026-01-24T06:23:54Z</dcterms:created>
  <dcterms:modified xsi:type="dcterms:W3CDTF">2026-01-24T06:23:54Z</dcterms:modified>
</cp:coreProperties>
</file>