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in-4d64d88c146c6444</t>
        </is>
      </c>
      <c r="B2" t="inlineStr">
        <is>
          <t>Data Engineer III</t>
        </is>
      </c>
      <c r="C2" t="inlineStr">
        <is>
          <t>Love’s Travel Stops</t>
        </is>
      </c>
      <c r="D2" t="inlineStr">
        <is>
          <t>indeed</t>
        </is>
      </c>
      <c r="E2">
        <f>HYPERLINK("https://www.indeed.com/viewjob?jk=4d64d88c146c6444", "https://www.indeed.com/viewjob?jk=4d64d88c146c6444")</f>
        <v/>
      </c>
      <c r="F2">
        <f>HYPERLINK("https://jobs.loves.com/data-engineer-iii/job/EBD502EA74A812297D02AA905D463F64", "https://jobs.loves.com/data-engineer-iii/job/EBD502EA74A812297D02AA905D463F64")</f>
        <v/>
      </c>
      <c r="G2" t="inlineStr">
        <is>
          <t>Oklahoma City, OK, US</t>
        </is>
      </c>
      <c r="H2" s="2" t="n">
        <v>46045</v>
      </c>
      <c r="I2" t="inlineStr">
        <is>
          <t>**Benefits:** *\** *Fuel Your Growth with Love's \- company funded tuition assistance* *\* Paid Time Off \* 401(k) – 100% Match up to 5% \* Medical/Dental/Vision Insurance after 30 days \* Competitive Pay \* Career Development \**
**Welcome to Love's:** The Data Engineer III will play a pivotal role in building, managing, and optimizing data pipelines for the Enterprise Data \&amp; Analytics initiatives following industry standard practices and tools. This role will be the key interface in operationalizing data and analytics on behalf of the business unit(s) and organizational outcomes.
 **Job Functions:**
* Architect, build, and maintain data pipelines through acquisition, ingestion, staging, and modeling
* Provide architectural input to program leadership for project teams to develop solutions that align with long\-term data warehouse strategy
* Responsible for the identification and qualification of source data to satisfy master and transactional data requirements for the target warehouse
* Lead data assessment and mapping activities, and develop the underlying migration framework to extract, transform, validate, enrich, and load the source data
* Define reusable solution architectures using standard modeling practices
* Design and deliver solutions that are reliable and scalable and focused on driving automation and improving productivity
* Fundamental understanding of data warehousing principles
* Ability to understand impacts of a solution architecture on corresponding design, build, and test efforts
 **Experience and Qualifications:**
* HS Diploma or equivalent required, bachelor’s degree in business with MIS or technology related degree (C.S.) preferred
* 3\-5 years experience with cloud data warehouses such as Snowflake, working with complex SQL code, working with DevOps capabilities like version control, automated builds, testing and release management using tools like Git
* Moderate experience working with open\-source or commercial message queuing technologies, such as Azure Service Bus, Apache Nifi, Apache Kafka, etc., and with replication software such as Fivetran or HVR
* SQL Server 2008\+, SAP Hana, Tableau, Power BI, R/Python, and Dbt experience preferred
* Strong experience with various Data Management architectures like Data Warehouse, Data Lake, Data Hub, Data Vault and the supporting processes like Data Integration, Governance, and Metadata Management
* Strong experience working with large, heterogeneous datasets in building data pipelines and integrating datasets using traditional data integration technologies, including ETL/ELT, data replication/CDC, message\-oriented data movement, and API\-based data acquisition
 **Skills and Physical Demands:**
* Capable of thinking big picture and sorting through an ambiguous environment, ability to manage numerous competing demands in a fast\-paced environment, demonstrates good judgement, highly creative and collaborative, and excellent verbal and written communication skills
* Requires prolonged sitting, some bending and stooping
* Manual dexterity sufficient to operate a computer keyboard and calculator
* Requires normal range of hearing and vision
* **This is an onsite role**
**\#LI\-Onsite**
================
**Our Culture:**  
Love’s has been fueling journeys since 1964\. Headquartered in Oklahoma City, we operate 650\+ locations in 42 states across our family of companies. We’re committed to innovation, inclusion \&amp; belonging, and making a positive impact in the communities we serve. Come see why Love’s Travel Stops \&amp; Country Stores was recognized by Indeed as the winner of the Better Work Award in 2023\. **Love’s Travel Stops \&amp; Country Stores is an Equal Opportunity Employer. Veterans encouraged to apply.**  
Love’s Family of Companies:
* Love's Travel Stops \&amp; Country Stores, the leading travel stop network
* Gemini Motor Transport, one of the industry’s safest transportation companies
* Musket Corporation, a Houston\-based commodity supply, trading and logistics expert
* Love’s Alternative Energy, a Houston\-based leading provider of alternative fueling solutions
* Love’s Truck Care, the largest oil change, preventive maintenance and total truck care network
Job Category: Information Technology</t>
        </is>
      </c>
    </row>
    <row r="3">
      <c r="A3" t="inlineStr">
        <is>
          <t>in-111b65c2229f76d6</t>
        </is>
      </c>
      <c r="B3" t="inlineStr">
        <is>
          <t>Senior Data Engineer</t>
        </is>
      </c>
      <c r="C3" t="inlineStr">
        <is>
          <t>Mission Lane</t>
        </is>
      </c>
      <c r="D3" t="inlineStr">
        <is>
          <t>indeed</t>
        </is>
      </c>
      <c r="E3">
        <f>HYPERLINK("https://www.indeed.com/viewjob?jk=111b65c2229f76d6", "https://www.indeed.com/viewjob?jk=111b65c2229f76d6")</f>
        <v/>
      </c>
      <c r="F3">
        <f>HYPERLINK("https://grnh.se/dg0ijbh72us", "https://grnh.se/dg0ijbh72us")</f>
        <v/>
      </c>
      <c r="G3" t="inlineStr">
        <is>
          <t>Richmond, VA, US</t>
        </is>
      </c>
      <c r="H3" s="2" t="n">
        <v>46045</v>
      </c>
      <c r="I3" t="inlineStr">
        <is>
          <t>Mission Lane is combining the power of data, technology, and exceptional service to pave a clear way forward for millions of people on the path to financial success. By attracting top talent and leveraging cutting\-edge technology, we're enabling people to unlock real financial progress. Sound like a mission you can get behind?
**About the Team:**
The Data Engineering team at Mission Lane is responsible for building and maintaining the analytical data infrastructure and ETL/Reverse ETL pipelines that move data in and out of our data Warehouse.
We are a team of 13 data engineers working in a highly collaborative environment. We are continually striving to elevate our engineering practices and are committed to building high\-quality, reliable, and scalable data solutions.
**About the Role:**
We are seeking an experienced Data Engineer to join our team and work with us on developing, and maintaining data pipelines, driving best practices in software engineering.
You will work closely with stakeholders across the company, including software engineers, data scientists, and business analysts, to ensure that our data infrastructure meets their evolving needs. This is an opportunity to join a high functioning Data Engineering team, with a focus on engineering standards in a company with a strongly data\-driven culture.
**As a member of the team you will:**
* **Contribute to Technical Excellence:**
* + Design, develop, and maintain high\-performance data pipelines using Python, SQL, dbt, and Snowflake on GCP.
	+ Engage in our efforts to advance code quality, test coverage, and maintainability of our data pipelines.
	+ Champion and implement software engineering best practices, including code reviews, testing methodology, CI/CD, and documentation.
	+ Support the adoption of data quality tools and practices (e.g., data lineage, automated alerting).
	+ Research, evaluate, and recommend new technologies and tools to improve our data platform.
	+ Contribute to the data architecture and design of our data warehouse.
* **Collaborate with a wide range of partners:**
* + Collaborate effectively with software engineering teams to define data structures, streamline ingestion processes, and ensure data consistency.
	+ Work closely with stakeholders (data scientists, analysts, business users) to understand their data needs and translate them into technical requirements.
	+ Partner with stakeholders to ensure that projects are well defined.
* **Contribute to Operational Excellence:**
* + Troubleshoot and resolve complex data pipeline issues, ensuring data quality and reliability.
	+ Contribute to the development and maintenance of our CI/CD pipelines for data infrastructure.
	+ Participate in on\-call rotation to support critical data pipelines.
	+ Identify and address inefficiencies in our data engineering processes.
**You will thrive in this role if you have****:**
* Bachelor's degree in Computer Science, Engineering, or a related field.
* 2\+ years of experience in data engineering.
* Strong analytical SQL skills.
* Strong Python skills.
* Understanding of software engineering principles and best practices (e.g., version control, testing, CI/CD).
* Experience with data warehousing technologies.
* Experience with cloud platforms, preferably GCP (Google Cloud Platform), including services like Cloud Functions, and GCS.
* Experience designing and implementing reliable and resilient ETL/ELT pipelines.
* Excellent communication, collaboration, and problem\-solving skills.
* Experience with our specific stack
* + Snowflake
	+ dbt
	+ Montecarlo
	+ Airflow
**You will get bonus points for:**
* Experience with data governance and data quality frameworks.
* Knowledge of data modeling principles.
* Experience with infrastructure\-as\-code tools (e.g., Terraform, Kubernetes Config Connector).
*At Mission Lane, we're looking for people who have the courage to take on new challenges. If you need accommodations to perform at your highest potential throughout the application and/or interview process, don't hesitate to reach out.*
We're committed to ensuring our team members have balance in their lives. Our comprehensive benefits package provides the support you need to thrive at work and at home.
* **Work:** An engaging culture with access to training programs and advancement opportunities
* **Life:** Full health, dental, and vision benefits, Flexible Spending Account (for medical and childcare expenses), paid parental leave, and a 401k Company Match
* **Balance:** Generous PTO, flexible schedules, a Calm App subscription, and more
**Compensation: USD**
**Target Base Salary: 110,000 \- 126,000**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 dental/ 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four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**Our commitment to a workplace built on respect and dignity is guided by our core value of Unity. We believe that everyone plays a vital role in our shared purpose, and we actively cultivate an environment where all individuals have the opportunity to do their best work. By fostering a culture of empathy and collaboration, we create a strong sense of belonging and support for every team member.**
Mission Lane is an equal opportunity employer. We do not discriminate on the basis of race, color, religion, sex (including pregnancy, sexual orientation, or gender identity), national origin, age, disability, genetic information, or any other protected status.
Mission Lane provides reasonable accommodations to applicants who need them for medical or religious reasons, as required by law. Applicants can initiate an accommodation request by contacting peopleexperience@missionlane.com.
Mission Lane is not sponsoring new applicant employment authorization and please, no third\-party recruiters.
**Application Integrity:**
Our cardholders trust us with their financial well\-being, and this trust starts with the integrity of the people on our team. We're looking for team members who share our dedication to transparency and truth. Please verify that the information in your application is accurate and complete.
*Providing any information to Mission Lane that is not completely truthful at any point during the application or hiring process may result in removal from the hiring process, disqualification from future opportunities, withdrawal of an offer or other sanctions for candidates and, in addition for employees, disciplinary action, up to and including termination of employment.*</t>
        </is>
      </c>
    </row>
    <row r="4">
      <c r="A4" t="inlineStr">
        <is>
          <t>in-3cfe02411642479c</t>
        </is>
      </c>
      <c r="B4" t="inlineStr">
        <is>
          <t>Senior Data Engineer / AI Engineer (Public Sector Focus)</t>
        </is>
      </c>
      <c r="C4" t="inlineStr">
        <is>
          <t>Polity</t>
        </is>
      </c>
      <c r="D4" t="inlineStr">
        <is>
          <t>indeed</t>
        </is>
      </c>
      <c r="E4">
        <f>HYPERLINK("https://www.indeed.com/viewjob?jk=3cfe02411642479c", "https://www.indeed.com/viewjob?jk=3cfe02411642479c")</f>
        <v/>
      </c>
      <c r="F4">
        <f>HYPERLINK("http://www.indeed.com/job/senior-data-engineer-ai-engineer-public-sector-focus-3cfe02411642479c", "http://www.indeed.com/job/senior-data-engineer-ai-engineer-public-sector-focus-3cfe02411642479c")</f>
        <v/>
      </c>
      <c r="G4" t="inlineStr">
        <is>
          <t>Remote, US</t>
        </is>
      </c>
      <c r="H4" s="2" t="n">
        <v>46045</v>
      </c>
      <c r="I4" t="inlineStr">
        <is>
          <t>Polity is looking for a unicorn in the data engineering world. We’re seeking a rare individual with deep experience in public sector data and a strong command of modern AI architectures—including large language models, retrieval\-augmented generation (RAG), and vector databases.
This role requires hands\-on expertise in AWS and real\-world experience deploying secure, production\-ready services—either directly to client environments or hosted internally. You’ll work at the intersection of data engineering, AI, and civic technology, helping government organizations unlock insights, automate workflows, and modernize access to information.
Job Type: Contract
Pay: $50\.00 \- $75\.00 per hour
Benefits:
* Flexible schedule
Work Location: Remote</t>
        </is>
      </c>
    </row>
    <row r="5">
      <c r="A5" t="inlineStr">
        <is>
          <t>in-88e7f02283d8f9bb</t>
        </is>
      </c>
      <c r="B5" t="inlineStr">
        <is>
          <t>Staff Data Engineer</t>
        </is>
      </c>
      <c r="C5" t="inlineStr">
        <is>
          <t>The RealReal</t>
        </is>
      </c>
      <c r="D5" t="inlineStr">
        <is>
          <t>indeed</t>
        </is>
      </c>
      <c r="E5">
        <f>HYPERLINK("https://www.indeed.com/viewjob?jk=88e7f02283d8f9bb", "https://www.indeed.com/viewjob?jk=88e7f02283d8f9bb")</f>
        <v/>
      </c>
      <c r="F5">
        <f>HYPERLINK("https://careers.therealreal.com/us/en/job/THYTRLUSR11914EXTERNALENUS/Staff-Data-Engineer?utm_source=indeed&amp;utm_medium=phenom-feeds", "https://careers.therealreal.com/us/en/job/THYTRLUSR11914EXTERNALENUS/Staff-Data-Engineer?utm_source=indeed&amp;utm_medium=phenom-feeds")</f>
        <v/>
      </c>
      <c r="G5" t="inlineStr">
        <is>
          <t>Bellflower, CA, US</t>
        </is>
      </c>
      <c r="H5" s="2" t="n">
        <v>46044</v>
      </c>
      <c r="I5" t="inlineStr">
        <is>
          <t>**About The Role**
==================
This role is remote eligible\*  
As a Staff Data Engineer at The RealReal you'll lead automation, personalization, and data pipeline initiatives. You will be on a small, high impact team who both decides on the best architectural decisions and implements them. We are in the process of moving our ETL job from batch to streaming/event based and need thought leaders to help support the future of large realtime pipelines. These pipelines will make a big impact for the business through analytical insights, building machine learning products, and supporting realtime personalization through our website. You will own critical systems throughout the platform and be responsible for their development, adding new, valuable features, and ensuring that these systems perform correctly.  
* States Not Eligible: AK, AR, DE, KS, MS, ND, SD, WY
**What You Get To Do Everyday**
===============================
* Design and build integrations between our data platform and internal and external services.
* Own end to end delivery of data infrastructure projects, from requirements gathering through production deployment and monitoring
* Build scalable data models and transformations using dbt, establishing data contracts and quality standards
* Architect systems that balance technical excellence with business needs, considering scalability, reliability and maintainability
* Collaborate with Engineering, Product and Business Analyst teams to solve complex data challenges
* Mentor engineers through code reviews, architectural guidance and knowledge sharing
* Operate primarily in AI\-assisted coding tools to accelerate development and deliver solutions faster
**What You Bring To The Role**
==============================
**Minimum Requirements:**
* 7\+ years of relevant data engineering experience
* Strong systems design skills with experience architecting data platforms from the ground up
* Proven experience building integrations with external services (REST APIs, webhooks, streaming platforms)
* Strong hands\-on experience with dbt data modeling, testing, incremental models and project organization
* Proficiency with cloud data platforms. GCP (preferred) or AWS or Azure
* Expert level command of git, code reviews and CI/CD workflows
* Active experience using AI coding tools (Cursor, Claude etc) to enhance productivity
* Excellent communication skills, able to translate technical concepts for non\-technical stakeholders
* Track record of owning projects end\-to\-end with minimal supervision
**Preferred Requirements:**
* Experience with data orchestration tools (Airflow)
* Familiarity with streaming platforms (Kafka, Pub/Sub)
* Python proficiency for scripting and automation
* Experience establishing data quality frameworks and monitoring systems
* Background working in fast\-paced, iterative environments
**Compensation, Benefits, \+ Perks**
====================================
* Employee Stock Purchase Plan
* 401K with Company Match
* Medical, Dental \&amp; Vision Insurance
* Paid Parental Leave
* Unlimited Discretionary Time Off (DTO)\* and 10 Paid Company Holidays
* + Unlimited DTO with Manager approval
The expected salary range for this role is $175,000\.00\-$200,000\.00\. To determine starting pay we carefully consider a variety of factors, including primary work location and an evaluation of a candidate’s skills, experience, market demands, and internal parity. Additionally, salary is just one component of TRR’s total rewards package. Depending on role, employees may also be eligible for a bonus program, incentive pay and benefits.
The RealReal is the world’s largest online marketplace for authenticated, resale luxury goods, with 37 million members. With a rigorous authentication process overseen by experts, The RealReal provides a safe and reliable platform for consumers to buy and sell their luxury items. We have hundreds of in\-house gemologists, horologists, and brand authenticators who inspect thousands of items each day. As a sustainable company, we give new life to pieces by thousands of brands across numerous categories—including women's and men's fashion, fine jewelry and watches, art, and home—in support of the circular economy. We make selling effortless with free virtual appointments, in\-home pickup, drop\-off, and direct shipping. We handle all of the work for consignors, including authenticating, using AI and machine learning to determine optimal pricing, photographing and listing their items, as well as shipping and customer service.
The RealReal is committed to providing an equal employment opportunity regardless of race, color, ancestry, religion, sex, national origin, sexual orientation, age, citizenship, marital status, disability, gender identity or expression, or Veteran status. We will consider qualified applicants for a position regardless of arrest or conviction records. At TRR, People Come First. That’s why diversity and inclusion are vital to our priorities as an equal opportunity employer. You can read about our Diversity Equity and Inclusion program here.  
Reasonable accommodations may be made to enable individuals with disabilities to perform the essential functions. The employee is regularly required to sit; use hands to finger, handle, or feel and talk or hear. The employee is occasionally required to stand; walk; reach with hands and arms; climb or balance; stoop, kneel, crouch, or crawl; and taste or smell. The employee must occasionally lift and/or move up to 10 pounds. Specific vision abilities required by this job include close vision. The physical demands described here are representative of those that must be met by an employee to successfully perform the essential functions of this job.</t>
        </is>
      </c>
    </row>
    <row r="6">
      <c r="A6" t="inlineStr">
        <is>
          <t>in-cff800836503e85f</t>
        </is>
      </c>
      <c r="B6" t="inlineStr">
        <is>
          <t>Data Engineer</t>
        </is>
      </c>
      <c r="C6" t="inlineStr">
        <is>
          <t>Los Angeles Sparks</t>
        </is>
      </c>
      <c r="D6" t="inlineStr">
        <is>
          <t>indeed</t>
        </is>
      </c>
      <c r="E6">
        <f>HYPERLINK("https://www.indeed.com/viewjob?jk=cff800836503e85f", "https://www.indeed.com/viewjob?jk=cff800836503e85f")</f>
        <v/>
      </c>
      <c r="F6">
        <f>HYPERLINK("https://www.teamworkonline.com/basketball-jobs/nbateamjobs/los-angeles-sparks/data-engineer-2153551?source=Indeed", "https://www.teamworkonline.com/basketball-jobs/nbateamjobs/los-angeles-sparks/data-engineer-2153551?source=Indeed")</f>
        <v/>
      </c>
      <c r="G6" t="inlineStr">
        <is>
          <t>Los Angeles, CA, US</t>
        </is>
      </c>
      <c r="H6" s="2" t="n">
        <v>46044</v>
      </c>
      <c r="I6" t="inlineStr">
        <is>
          <t>The Los Angeles Sparks are seeking a Data Engineer to lead the design and evolution of the team’s basketball data infrastructure. This role will help us build \&amp; maintain objective information across scouting, coaching, player development, performance, and strategy. As a member of the Research \&amp; Development group, you will own core systems, mentor analysts and junior engineers, and partner directly with different data stakeholders across Basketball Operations. This position reports to the Assistant General Manager, Research \&amp; Development.  
**PRINICIPAL DUTIES AND RESPONSIBILITIES:****Data Infrastructure \&amp; Architecture*** Lead the design, implementation, and maintenance of scalable data pipelines that ingest, transform, and deliver basketball data
* Build and manage the Sparks’ database, ensuring reliability, performance, and security
* Develop internal data that support analytics for player evaluation, coaching, scouting, performance, and salary cap/roster planning
Implement automated data QC/QA, and monitoring systems  
* 
**Data Integrations \&amp; Technology*** Oversee integrations with major basketball data providers (e.g., Second Spectrum, Synergy Sports, WNBA/official league feeds)
Design internal data feeds, tools, and services used by executives, analysts, coaches, and performance staff  
* 
**Collaboration \&amp; Leadership*** Serve as the technical lead for engineering within Basketball Operations
* Partner with analysts to translate analytical needs into robust, scalable engineering solutions
* Guide our Research \&amp; Development growth while balancing quick data delivery and future\-focused data engineering practices
* Work closely with coaching, scouting, and performance teams to deliver data that improves preparation, decision\-making, and player development
* Provide mentorship and guidance to teammates on best practices in data engineering
**KNOWLEDGE, SKILLS AND ABILITIES:*** Ability to design and maintain production\-grade pipelines supporting analytics
* Ability to work flexibly during the WNBA season including evenings, weekends and holidays
* Prior experience building data workflows for basketball or other sports analytics teams
* Familiarity with player tracking data, advanced play\-by\-play feeds, and sports science/wearable data
* Experience supporting data needs for coaching, scouting, and high\-performance departments
* Understanding of basic statistical and modeling concepts used in basketball analytics
* Passion for innovation in women’s basketball
 **MINIMUM REQUIREMENTS:**  
**Education \&amp; Certification*** Bachelor’s or Master’s degree in Computer Science, Data Engineering, Information Systems, or a related technical field preferred
 **Experience*** 3\+ years of professional experience in data engineering or backend/data infrastructure roles.
* Expert\-level proficiency in SQL
* Strong R and/or Python development skills
* Experience with modern databases
* Strong understanding of ETL/ELT patterns, data modeling, and distributed data systems
* Demonstrated experience with cloud platforms (AWS, GCP, or Azure)
* Experience with orchestration/workflow tools (Airflow, Dagster, Prefect)
***Compensation commensurate with experience; minimum starting salary $125,000***  
*This job description in no way states or implies that these are the only duties to be performed by the employee in this position. It is not intended to give all the details or a step\-by\-step account of the way each procedure or task is performed. The incumbent is expected to perform other duties necessary for the effective operation of the department.*  
*We are an equal opportunity employer and all qualified applicants will receive consideration for employment without regard to race, color, religion, national origin, sex, sexual orientation, age, disability, gender identity, marital or veteran status, or any other protected class.*  
*We will ensure that individuals with disabilities are provided reasonable accommodation to participate in the job application or interview process, to perform critical job functions, and to receive other benefits and privileges of employment. Please contact us to request accommodation.*</t>
        </is>
      </c>
    </row>
    <row r="7">
      <c r="A7" t="inlineStr">
        <is>
          <t>in-c31a4fdc415a87f3</t>
        </is>
      </c>
      <c r="B7" t="inlineStr">
        <is>
          <t>Data Engineer (Senior)</t>
        </is>
      </c>
      <c r="C7" t="inlineStr">
        <is>
          <t>Cintel Inc</t>
        </is>
      </c>
      <c r="D7" t="inlineStr">
        <is>
          <t>indeed</t>
        </is>
      </c>
      <c r="E7">
        <f>HYPERLINK("https://www.indeed.com/viewjob?jk=c31a4fdc415a87f3", "https://www.indeed.com/viewjob?jk=c31a4fdc415a87f3")</f>
        <v/>
      </c>
      <c r="F7">
        <f>HYPERLINK("https://cintel.bamboohr.com/careers/518?source=indeed&amp;src=indeed&amp;postedDate=2026-01-23", "https://cintel.bamboohr.com/careers/518?source=indeed&amp;src=indeed&amp;postedDate=2026-01-23")</f>
        <v/>
      </c>
      <c r="G7" t="inlineStr">
        <is>
          <t>Huntsville, AL, US</t>
        </is>
      </c>
      <c r="H7" s="2" t="n">
        <v>46044</v>
      </c>
      <c r="I7" t="inlineStr">
        <is>
          <t>Position Title: Data Engineer (Senior)
Location: Redstone Arsenal
Position Type: Full\-Time
 **Position Overview**  
We are seeking a Senior Data Engineer to support complex data initiatives, including ETL development, large\-scale data migrations, and high\-performance data processing in a mission\-driven environment. This role will work closely with engineering and analytics teams to design, build, and optimize data pipelines supporting critical systems.
**Key Responsibilities**
* Design, develop, and maintain scalable ETL pipelines and data workflows
* Lead and support data migration efforts across enterprise systems
* Develop and optimize data processing solutions using Apache Spark
* Work with relational databases including Oracle and PostgreSQL
* Write and maintain backend services and data integrations using Java
* Ensure data quality, integrity, and performance across platforms
* Collaborate with cross\-functional teams to support system modernization efforts
* Troubleshoot, optimize, and document data solutions in secure environments
**Required Qualifications**
* Bachelor’s degree in Engineering or a related technical field
* Minimum of **8 years of experience** in data engineering or related roles
* Strong experience with ETL processes and data migration
* Proficiency in **Java**
* Hands\-on experience with **Oracle** and **PostgreSQL** databases
* Experience using **Apache Spark** for large\-scale data processing
* Active **Top Secret security clearance** (required at time of hire)
**Preferred Qualifications**
* Experience supporting DoD or federal programs
* Familiarity with large, complex data environments and legacy system modernization
CULTURE REQUIREMENTS:
* Engineers, Analysts, and Developers at Cintel, Inc. are highly motivated, technical, and self‐organized. We place a lot of trust in our team members to develop technical solutions for ill‐defined problems (i.e. thrive in an environment where the problem is vague, requirements are lacking, and a solution is not obvious). We need problem solvers.
* We want our team members to be self‐motivated and eager to learn new skills. If you consider yourself a jack‐of‐all‐trades, and are eager to keep up with the latest trends in technology, you’ll fit right in.
ABOUT CINTEL, INC:
Cintel Inc. is a Small Business providing strategies and services to support an array of Government clients in Software Development, Operational/Tactical and Installation/Facilities Energy, Cyber Security, Modeling and Simulation, Data Science, and Programmatic support.
We offer our clients nimble, unique, and value focused solutions with an emphasis on people, connectivity, communication, and teamwork. Our team believes that people drive solutions. By connecting people, information, teams, and experience we deliver solutions that respond to customer needs.
It is the policy of Cintel that all persons are entitled to equal employment opportunity regardless of their race, color, religion, sex (including gender identity, sexual orientation, and pregnancy), national origin, age (40 or older), disability, genetic information, or veteran status. These policies shall ensure that the practice of nondiscrimination will be applied in the employment, promotion, upgrading, demotion, transfer, layoff, termination, recall or rehire of personnel. Equal employment opportunity applies to all terms and conditions of employment, including hiring, placement, promotion, termination, layoff, recall, transfer, leave of absence, compensation, and training.
Cintel, Inc. expressly prohibits any form of unlawful employee harassment or discrimination based on any of the characteristics mentioned above. Improper interference with the ability of other employees to perform their expected job duties is not tolerated.</t>
        </is>
      </c>
    </row>
    <row r="8">
      <c r="A8" t="inlineStr">
        <is>
          <t>in-204beb9fc1fb8765</t>
        </is>
      </c>
      <c r="B8" t="inlineStr">
        <is>
          <t>Data Engineer/Analyst</t>
        </is>
      </c>
      <c r="C8" t="inlineStr">
        <is>
          <t>Southern Company</t>
        </is>
      </c>
      <c r="D8" t="inlineStr">
        <is>
          <t>indeed</t>
        </is>
      </c>
      <c r="E8">
        <f>HYPERLINK("https://www.indeed.com/viewjob?jk=204beb9fc1fb8765", "https://www.indeed.com/viewjob?jk=204beb9fc1fb8765")</f>
        <v/>
      </c>
      <c r="F8">
        <f>HYPERLINK("https://southerncompany.jobs/BA907EAE9B7944A89E35C53BB823161C/job/", "https://southerncompany.jobs/BA907EAE9B7944A89E35C53BB823161C/job/")</f>
        <v/>
      </c>
      <c r="G8" t="inlineStr">
        <is>
          <t>Birmingham, AL, US</t>
        </is>
      </c>
      <c r="H8" s="2" t="n">
        <v>46044</v>
      </c>
      <c r="I8" t="inlineStr">
        <is>
          <t>**Data Engineer/Analyst**
**Location: Birmingham, Alabama (Energy Center)**
**Onsite 4 days a week (** Monday through Thursday Remote option on Fridays)
\*JOB SUMMARY: \*
The Data Engineer/Analyst role is located in Birmingham, Alabama. The position will be filled as a member of the Operations \&amp; Commercial Technology Solutions organization, within Southern Power Technology Solutions. The Data Engineer/Analyst role will perform advanced and descriptive analytics that lead to improved business profitability, increased operational efficiencies, and better customer experience. This role requires a combination of conceptual thinking, analytical expertise, business acumen, strategic mindset, and customer focus. This role is responsible for discovering business insights using statistics, machine learning, and visualization techniques. The successful candidate will need to acquire strong knowledge of our internal business. This role focuses on supporting various departments across Southern Power. Ability to collaborate with stakeholders across the company is essential to success in this role.
**JOB QUALIFICATIONS:**
* Bachelor's degree in Engineering, Computer Science, Information Technology, Data Science, or a related field is required
* A master’s degree in Engineering, Computer Science, Information Technology, Data Science, or a related field is preferred
* 3\+ years of hands\-on experience with data analytics or programming; with progressively increased level of responsibility
* Experience querying data from various data sources
* Excellent analytics and problem\-solving skills, with the ability to troubleshoot and resolve data\-related issues.
* Proficient with one or more programming languages used for analytics, preferably Python and SQL
* Experience with Databricks, Power BI, Tableau, Plotly/Dash is a plus
* Experience working with operational, industrial, IoT, or timeseries data is a plus
* Strong interest in AI and aptitude to learn how to develop AI solutions for internal business partners
* Ability to effectively collaborate in highly cross\-functional work environment, engage diverse stakeholders, ask questions to understand client needs, and partner with colleagues across different teams
* Written communication skills and experience summarizing key insights in concise emails, a few bullet points, and executive summaries
* Verbal communication skills and experience effectively presenting analytics outcomes and methodology in practical terms to business audiences
* Experience managing and prioritizing multiple projects simultaneously
* Behaviors rooted in our corporate values: Safety First, Intentional Inclusion, Act with Integrity, Superior Performance
* Knowledge of the electric utility industry is a plus
\*MAJOR JOB RESPONSIBILITIES: \*
* Build relationships with internal clients to understand their goals, processes, and challenges
* Promptly respond to requests from internal clients, understand their business questions, and perform analytics to meet their business needs
* Proactively suggest advanced analytics solutions to clients
* Write programs to pull data from various data sources
* Identify, gather, and prepare data for your projects
* Analyze structured and unstructured data
* Fulfill high volumes of ad\-hoc analytics requests
* Develop and deploy analytical models
* Demonstrated ability to monitor, diagnose, and optimize data pipelines and analytical solutions
* Develop dashboards that automatically pull data from various internal databases
* Summarize key insights from your analytics projects and provide conclusions and recommendations
* Produce analytics and models to enhance internal business processes, reduce operational costs, increase revenues, optimize decision making, and support capacity growth
* Provide insights and tools that quantify, track, and improve data quality
* Establish external and internal relationships to share best practices in data science, stay abreast of industry trends and emerging technologies
* Continuously learn new data, new platforms, and new methods. Demonstrate curiosity and creativity in the rapidly evolving world of data and AI.
**Behavioral Attributes**
* Opportunistic Drive \- Committed to delivering technology solutions that help Southern Power achieve their business objectives
* Positive Can\-Do Attitude – Must be willing to take full responsibility for duties and work effectively under the pressure of deadlines and shifting priorities.
* Self\-Starter – Able to work in a professional environment with limited direct supervision.
* Results\-Oriented – Acts with speed and decisiveness; takes initiative and does what it takes to meet commitments.
* Safety Focused – Accepts responsibility for the safety of self and co\-workers.
* Commitment to continuous learning and improvement – Stays abreast of new technologies and techniques in the market; Looks for opportunities improve through strategy and innovation.
**About Southern Company**
Southern Company (NYSE: SO ) is a leading energy provider serving 9 million customers across the Southeast and beyond through its family of companies. Providing clean, safe, reliable and affordable energy with excellent service is our mission. The company has electric operating companies in three states, natural gas distribution companies in four states, a competitive generation company, a leading distributed energy solutions provider with national capabilities, a fiber optics network and telecommunications services. Through an industry\-leading commitment to innovation, resilience and sustainability, we are taking action to meet customers' and communities' needs while advancing our goal of net\-zero greenhouse gas emissions by 2050\. Our uncompromising values ensure we put the needs of those we serve at the center of everything we do and are the key to our sustained success. We are transforming energy into economic, environmental and social progress for tomorrow. Our corporate culture has been recognized by a variety of organizations, earning the company awards and recognitions that reflect Our Values and dedication to service. To learn more, visit www.southerncompany.com .
Southern Company invests in the well\-being of its employees and their families through a comprehensive total rewards strategy that includes competitive base salary, annual incentive awards for eligible employees and health, welfare and retirement benefits designed to support physical, financial, and emotional/social well\-being. This position may also be eligible for additional compensation, such as an incentive program, with the amount of any bonus/awards subject to the terms and conditions of the applicable incentive plan(s). A summary of the benefits offered for this position can be found here https://seo.nlx.org/southernco/pdf/SOCO\-Benefits.pdf . Additional and specific details about total compensation and beneﬁts will also be provided during the hiring process.
Southern Company is an equal opportunity employer where an applicant's qualifications are considered without regard to race, color, religion, sex, national origin, age, disability, veteran status, genetic information, sexual orientation, gender identity or expression, or any other basis prohibited by law.
Job Identification: 16760
Job Category: Information Technology
Job Schedule: Full time
Company: Southern Company Services</t>
        </is>
      </c>
    </row>
    <row r="9">
      <c r="A9" t="inlineStr">
        <is>
          <t>in-99c3c64335430d17</t>
        </is>
      </c>
      <c r="B9" t="inlineStr">
        <is>
          <t>Analytics Engineer</t>
        </is>
      </c>
      <c r="C9" t="inlineStr">
        <is>
          <t>FanDuel</t>
        </is>
      </c>
      <c r="D9" t="inlineStr">
        <is>
          <t>indeed</t>
        </is>
      </c>
      <c r="E9">
        <f>HYPERLINK("https://www.indeed.com/viewjob?jk=99c3c64335430d17", "https://www.indeed.com/viewjob?jk=99c3c64335430d17")</f>
        <v/>
      </c>
      <c r="F9">
        <f>HYPERLINK("https://www.fanduel.careers/jobs/fanduel/analytics-engineer-2/", "https://www.fanduel.careers/jobs/fanduel/analytics-engineer-2/")</f>
        <v/>
      </c>
      <c r="G9" t="inlineStr">
        <is>
          <t>New York, NY, US</t>
        </is>
      </c>
      <c r="H9" s="2" t="n">
        <v>46044</v>
      </c>
      <c r="I9" t="inlineStr">
        <is>
          <t>**THE POSITION**  
Our roster has an opening with your name on it
We are looking for a Senior Analytics Engineer to join our Poker Analytics team. You will support the Poker business, driving scalable analytics products (data assets, dashboards, visualizations, tools/services), and analytic frameworks.
You will work alongside a group of analysts to facilitate the team’s success, evolving the various tools, models, and data visualizations used to drive the FanDuel Group business. This is a tremendous opportunity to collaborate cross\-functionally as well as develop the analytics team’s data infrastructure and visualization capabilities.
The role will form a key part of the analytics team and as such the successful candidate will help shape the overall strategy for BI \&amp; Analytics. The role will provide critical support to both the operational and commercial teams, as well as the wider analytics team.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Create interactive Tableau dashboards, custom visualizations and reports to visualize customer behavior, drivers of business performance, and support strategic decision making.
* Work in Databricks to create poker analytics specific tables and build pipelines to Tableau.
* Provide engineering support to create new metrics for player value and segmentation.
* Prioritize best practices in design, usability, and scalability to ensure sustainable and quality reporting.
* Communicate technical findings/insights to non\-technical stakeholders to drive strategic success.
* Collaborate with data engineers and data scientists to ensure that data is accurately represented and enable richer analysis.
* Become a key business partner to the analytics team and stakeholders across the Poker business, supporting them in driving insights and key decision making.
**THE STATS**  
What we're looking for in our next teammate
* 2\+ years' experience in an analytics/technical role.
* Bachelor's Degree in a highly numerate major (Mathematics, Statistics, Economics, etc.) or relevant experience in data engineering/analysis.
* Strong personal organizational and time management skills.
* Ability to work in a fast\-paced environment with a lot of ambiguity.
* Proficiency in SQL, Excel and Tableau or another data visualization platforms required.
* Familiarity with programming languages (e.g. Python, R), cloud computing platforms (e.g. Databricks), or ELT/data modeling (e.g. DBT) highly desirable.
* Strong problem\-solving skills, allied with track record of transforming data into actionable business insight.
* Experience collaboratively working with colleagues in other countries and time zones preferred.
* Strong stakeholder management.
* Ability to be independent and lead on projects \- proactive thinking.
* Interest in Poker/Sports/Gaming a plus.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$98,000 \- $128,100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0">
      <c r="A10" t="inlineStr">
        <is>
          <t>in-a0ac487d20c1e2b9</t>
        </is>
      </c>
      <c r="B10" t="inlineStr">
        <is>
          <t>Sr. System Integration &amp; Analytics Engineer</t>
        </is>
      </c>
      <c r="C10" t="inlineStr">
        <is>
          <t>Johnson &amp; Johnson</t>
        </is>
      </c>
      <c r="D10" t="inlineStr">
        <is>
          <t>indeed</t>
        </is>
      </c>
      <c r="E10">
        <f>HYPERLINK("https://www.indeed.com/viewjob?jk=a0ac487d20c1e2b9", "https://www.indeed.com/viewjob?jk=a0ac487d20c1e2b9")</f>
        <v/>
      </c>
      <c r="F10">
        <f>HYPERLINK("https://www.careers.jnj.com/en/jobs/r-054557/sr-system-integration-analytics-engineer/", "https://www.careers.jnj.com/en/jobs/r-054557/sr-system-integration-analytics-engineer/")</f>
        <v/>
      </c>
      <c r="G10" t="inlineStr">
        <is>
          <t>Santa Clara, CA, US</t>
        </is>
      </c>
      <c r="H10" s="2" t="n">
        <v>46044</v>
      </c>
      <c r="I10"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Development**Job Sub Function:**
R\&amp;D Software/Systems Engineering**Job Category:**
Scientific/Technology**All Job Posting Locations:**
Santa Clara, California, United States of America**Job Description:**
Johnson \&amp; Johnson's Family of Companies is recruiting for a Sr. Systems Integration and Analytics Engineer within our Robotics \&amp; Digital Solutions (RAD) organization. This position may be based in San Jose, CA or Santa Clara, CA.
At Johnson \&amp; Johnson MedTech, we are working to solve the world’s most pressing healthcare challenges through innovations at the intersection of biology and technology. We harness our deep expertise in surgery, orthopedics, vision and interventional solutions to design healthcare solutions that are smarter, less invasive and more personalized. The MedTech Surgery organization was recently established to combine our market\-leading surgical portfolio with the Robotics \&amp; Digital Solutions portfolio.
Are you passionate about improving and expanding the possibilities of surgery? Ready to join a team that’s reimagining how we heal? Our Surgery team will give you the chance to deliver surgical technologies and solutions to surgeons and healthcare professionals around the world. Your contributions will help effectively treat some of the world’s most prevalent conditions such as obesity, cardiovascular disease and cancer. Patients are waiting.
The Systems Integration and Analytics Engineer is responsible for system level integration of capital equipment products, tools, and simulators that consist of software, electrical, and electro\-mechanical subsystems, as well as performing system analytics. You will participate on multi\-functional teams to design, develop, and test groundbreaking medical devices! This is an excellent opportunity for you to have a key role bringing exciting new products to market while also providing the opportunity for professional growth!
You will understand the system from both a technical perspective and the user’s viewpoint, and drive development and performance of the Monarch system. We are looking for a candidate who can work independently and function well within a team. The candidate is flexible, self\-motivated, curious and passionate about revolutionizing the world of medical robotics.
We are a technology company defining the future of medical intervention. By combining advancements in medical robotics, instrumentation, navigation and data science, we are building a platform technology capable of expanding the applicability of robotics to a spectrum of medical procedures.
### **You will be responsible for:**
* Lead cross\-functional teams to tie all aspects of the system together and meet program goals.
* Lead the integration of subsystems
* Lead the design, development and testing of tools, fixtures, dashboards and simulators
* Perform system analytics using SQL, generate metrics, and interrogate data using statistical methods and visual dashboarding
* Perform testing, analyze results, and make data\-based recommendations to the team.
* Serve as a liaison between clinical/marketing, program management, and the engineering design teams.
* Work cross\-disciplinarily to provide hands\-on system troubleshooting and debugging.
* Apply sound engineering methods and documentation processes to perform design reviews and failure mode analyses.
### **Educational Qualifications:**
One of the following combinations of education and years of experience are required:
A. 3\+ years of relevant industry experience developing sophisticated robotics applications or complex electro\-mechanical systems in combination with a MSc in ME, CS or EE or equivalent, OR
B. 0\+ years with PhD in developing sophisticated robotics applications or complex electro\-mechanical systems
### **Qualifications continued**
* Knowledge of mechanical design, mechatronics, systems and sensors, and/or electronics and software is required.
* Intermediate statistical analysis experience is required.
* Knowledge of FDA and ISO regulations preferred (i.e. FDA CFR Part 820 and/or ISO13485\).
* Ability to work independently as well as on a multifunctional team.
* Excellent verbal and written communication skills.
* Strong proficiency with SQL, experience with Databricks or other data lakehouse systems is also a plus.
* Experience with Linux and working within a Linux environment is a plus.
* Regulated industry (e.g. aerospace) is desireable.
* Experience in the medical device industry is an asset.
The anticipated base pay range for this position is $125,000 \- $201,250 California Bay Area
Fueled by innovation at the intersection of health and technology, we’re developing the next generation of smarter, less invasive, more personalized treatments. Your unique talents will help patients on their journey to wellness. Learn more at https://www.jnj.com/medtech.
At Johnson \&amp; Johnson, we’re on a mission to change the trajectory of health for humanity. That starts by creating the world’s healthiest workforce. Through innovative programs and policies, we empower the physical, mental, emotional and financial health of our employees and the ones they love! At Johnson \&amp; Johnson, we offer a variety of outstanding health and financial benefits, including competitive compensation, 401k, pension, medical, dental, and vision insurance, exercise reimbursement, flexible time off, paid volunteer and parental leave, and more!
Subject to the terms of their respective plans, employees are eligible to participate in the Company’s consolidated retirement plan (pension) and savings plan (401(k)).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For more information on how we support the whole health of our employees throughout their wellness, career and life journey, please visit www.careers.jnj.com.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**Required Skills:**
Mechanical Engineering, Statistical Analysis**Preferred Skills:**
Analytical Reasoning, Business Behavior, Execution Focus, Model\-Based Systems Engineering (MBSE), Problem Solving, Process Oriented, Product Design, Requirements Analysis, Research and Development, SAP Product Lifecycle Management, Scripting Languages, Software Development Life Cycle (SDLC), Software Development Management, Software Engineering Practices, Software Testing, Systems Development Lifecycle (SDLC), Technical Writing, Technologically Savvy**The anticipated base pay range for this position is :**
$125,000\.00 \- $201,250\.00
Additional Description for Pay Transparency:</t>
        </is>
      </c>
    </row>
    <row r="11">
      <c r="A11" t="inlineStr">
        <is>
          <t>in-0d0dee82894e7d10</t>
        </is>
      </c>
      <c r="B11" t="inlineStr">
        <is>
          <t>Digital Solutions - Data Engineer</t>
        </is>
      </c>
      <c r="C11" t="inlineStr">
        <is>
          <t>Lightbox</t>
        </is>
      </c>
      <c r="D11" t="inlineStr">
        <is>
          <t>indeed</t>
        </is>
      </c>
      <c r="E11">
        <f>HYPERLINK("https://www.indeed.com/viewjob?jk=0d0dee82894e7d10", "https://www.indeed.com/viewjob?jk=0d0dee82894e7d10")</f>
        <v/>
      </c>
      <c r="F11">
        <f>HYPERLINK("https://jobs.dayforcehcm.com/en-US/lightbox/LIGHTBOXCAREERS/jobs/704", "https://jobs.dayforcehcm.com/en-US/lightbox/LIGHTBOXCAREERS/jobs/704")</f>
        <v/>
      </c>
      <c r="G11" t="inlineStr">
        <is>
          <t>Remote, US</t>
        </is>
      </c>
      <c r="H11" s="2" t="n">
        <v>46044</v>
      </c>
      <c r="I11" t="inlineStr">
        <is>
          <t>At LightBox, we strive to not only equip confident, data\-driven decisions across sectors, but to also enrich lives by bringing people, information, and technology together. As a company with a wide range of clients, we believe a diverse workforce is crucial to success. Our commitment to inclusion across race, gender, age, religion, identity, and experience is the foundation upon which we operate and connect with our customers and the communities in which we work.
With our expertise, we are producing the best available data, workflow tools, technology, and analytics to support everyone making a real estate decision. There has never been a better time to make an impact and we invite you to join us on this journey.
LightBox is a leading provider of data and workflow solutions across commercial real estate and location intelligence. Our solutions deliver the depth, speed and accuracy that enable insights to over 50,000 brokers, 1,000 banks and lenders, 1,000 law firms and 5,000 environmental consulting and engineering firms.
About LightBox
LightBox is the world’s leading platform for commercial real estate information and technology. We empower decision\-makers with authoritative data, integrated workflows, and unparalleled industry connections. Our clientele includes commercial and government agencies, brokers, developers, investors, lenders, insurers, technology providers, environmental consultants, and valuation professionals \- all requiring definitive real estate data and robust workflow solutions.
Our expertise enables us to deliver the highest quality data, workflow tools, technology, and analytics to support location\-based decision\-making. There has never been a better time to make an impact. Join us on this journey and help shape the future of real estate.
About Digital Solutions
The Digital Solutions ("Professional Services") team at LightBox plays a crucial role in delivering tailored solutions and support to our clients. We ensure seamless integration and optimal use of LightBox's data and technology platforms, providing expert guidance and ongoing support to maximize the value of our tools. Leveraging industry knowledge and technical expertise, the Digital Solutions team helps clients streamline workflows, enhance data accuracy, and achieve superior decision\-making outcomes.
Position Overview
As a Digital Solutions Data Engineer at LightBox, you will be responsible for designing, building, validating, delivering, and owning geospatial data solutions that support both client engagements and long\-term productized data assets.
You will collaborate with a highly motivated team of experienced data and software engineers, focusing on end\-to\-end data layer creation, quality assurance, modeling, and architecture to address diverse use case scenarios. This role requires hands\-on experience creating data layers from initial research and acquisition through deployment and ongoing maintenance.
You will develop scalable data ingestion pipelines, maintain processes for ingesting, building, validating, and deploying spatial datasets, and leverage your expertise in database management and Python to deliver high\-quality data solutions. Data is delivered as standalone assets or embedded within LightBox and client software environments.
LightBox data solutions are created using client data inputs, the LightBox data platform, and industry\-standard GIS and data transformation/enrichment tools to support property insights across lending, insurance, real estate, environmental, and government markets.
What you will do and achieve
Reporting to the Director of Digital Solutions, the Data Engineer will:
* Fulfill LightBox’s custom and recurring data deliveries to clients.
* Develop an in\-depth understanding of LightBox data assets, infrastructure, and software platforms (e.g., LightBox Vision, SpatialStream).
* Analyze business and technical use cases and propose data solutions aligned with business objectives.
* Assess client and internal requirements and design data and software solutions accordingly.
* Model and architect data to address complex business problems.
* Analyze and resolve technical data and application issues.
Data Engineering \&amp; Lifecycle Ownership
* Design, build, and maintain geospatial data layers from inception through production, including:
* Data research and sourcing
* Data acquisition and ingestion
* Transformation and enrichment
* Quality assurance and validation
* Deployment and post\-deployment support
* Serve as a point of contact for external data vendors and data sources, investigating discrepancies, validating data availability and update cadence, and coordinating issue resolution to ensure data accuracy and reliability.
* Manage and evolve a portfolio of geospatial data layers focused on the disclosure risk market, ensuring accuracy, regulatory relevance, scalability, and long\-term maintainability.
Pipelines, Automation \&amp; QA
* Create and maintain automated data pipelines to prepare and manage datasets for specific use cases.
* Develop, test, and document ETL (extract, transform, load) processes to meet business and technical requirements.
* Develop data acceptance criteria, quality assurance plans, and automated testing routines.
* Investigate data\-related issues and implement durable resolutions.
* Create tools and workflows to automate and optimize existing processes.
Knowledge Transfer \&amp; Transition Support
* Participate in structured knowledge transfer activities with existing team members, including reviewing legacy workflows, validating assumptions, documenting processes, and assuming ownership of data layers as responsibilities transition to other projects.
Cross\-Functional Collaboration
* Work closely with peers across Product, Engineering, Data, Sales, and Digital Solutions teams to align requirements, manage dependencies, and ensure successful delivery and adoption of data solutions.
Documentation \&amp; Sustainability
* Own and maintain comprehensive documentation for each GIS data layer, including data sources, processing logic, QA criteria, deployment details, assumptions, and known limitations, to support reproducibility, cross\-training, and long\-term sustainability.
Education
* Bachelor’s degree or certificate in GIS, Geography, Computer Science, or a related discipline.
* Strong academic record with a solid foundation in GIS and Data Engineering.
* Familiarity with GIS standards, principles, best practices, open\-source tools, and public domain data.
Experience
* 3\-5 years of experience as a GIS Analyst, Data Engineer, or Data Analyst (NOTE: qualified recent graduates will not be considered).
Key Knowledge \&amp; Skills
* Outstanding organizational, communication, analytical, and interpersonal skills.
* Ability to quickly understand technical products and explain concepts to non\-technical audiences.
* Experience with project management techniques like Agile and Scrum
* Proven track record of meeting deadlines and managing multiple varied tasks.
* Fundamental knowledge in SQL (spatial), Python, ETL, and data management to aggregate, gather, manipulate, or validate data.
* Proficiency with GIS software packages and open\-source tools (e.g., QGIS, ESRI, GRASS, GDAL, OGR).
* Optimize geospatial data layers for performance and scalability, applying techniques such as geometry simplification, vertex thinning, indexing strategies, and efficient spatial transformations to support downstream applications and client delivery.
* Experience utilizing Python modules, packages, and libraries.
* Experience with pipeline orchestration technology (e.g., Prefect, AirFlow).
* Proficiency with pipeline transformation tools, using Python and the Pandas library.
* Scripting experience.
* Ability to document workflows concisely.
* Commitment to exceeding assigned tasks and project expectations.
* Experience with cloud infrastructure (AWS), Git, Docker, Apigee, and Kubernetes
* Has knowledge of data security best practices (when handling sensitive data)
Core Competencies
* Keen interest in data engineering with a “tinkering” mindset.
* Excellent interpersonal, written, and oral communication skills.
* Driven to continually learn about and incorporate new technologies.
* Experience with implementing new technologies and continuous improvement of processes and workflows
* Thrive in a self\-driven environment.
* Understanding and integrating human and machine workflows.
* Team player with the ability to work collaboratively and take on new tasks.
* Reliable problem solver with the ability to work efficiently and independently.
* Embraces challenges with a positive attitude.
* Passion for learning new concepts and skills.
Other Desirable Attributes
* Proven experience creating and maintaining disclosure (risk based) datasets (e.g., wildfire, environmental)
* 3\+ years of experience in database design, data manipulation, and/or software engineering roles using SQL Server or similar RDBMS environments, including proficiency in stored procedures, views, optimizing queries and processes and ETL processes (Extract, Transform, Load).
* Experience maintaining data quality across all stages of acquisition and processing, from data sourcing/collection to normalization and transformation.
LightBox's Diversity Commitment
At LightBox, we are dedicated to fostering a diverse workforce and creating an inclusive work environment that values everyone’s unique contributions, experiences, and perspectives. We believe in unity through diversity, cultivating a collaborative atmosphere that encourages creativity, initiative, and professional development. Our commitment includes offering a competitive salary and benefits package.
LightBox and its subsidiaries are equal opportunity employers, committed to prohibiting discrimination of any kind and providing equal employment opportunities to all employees and applicants, regardless of race, color, religion, sex, national origin, age, disability, or veteran status.
We believe that we are stronger together when we support, recognize, and embrace our differences.
Additional Information
This job description outlines the primary tasks and expectations of the position and does not encompass all responsibilities that may be assigned. Employees are expected to undertake additional tasks, responsibilities, and training as directed by their supervisors. Duties and responsibilities may evolve with business needs, with or without prior notice.
This role may require occasional overtime, including evenings, weekends, and holidays, to meet deadlines or accommodate customer requirements.
The position involves regular activities such as talking, hearing, walking, using hands, kneeling, crouching, and lifting up to 25 pounds. Reasonable accommodations will be considered for individuals with disabilities to facilitate the essential job functions.
We appreciate all applicants for their interest; however, only candidates selected for an interview will be contacted.
NO TELEPHONE CALLS OR AGENCY SOLICITATION PLEASE.
We thank all applicants in advance for their interest in this position, however, only those selected for an interview will be contacted.
This job description is a general listing of the required tasks and expectations of the position and in no way implies that the duties listed above are the employee’s only responsibilities. The employee is expected to perform other tasks, responsibilities and training as instructed by their supervisors. Duties and responsibilities may change at any time with or without notice.
This position may require additional hours outside of the standard work schedule including occasional holiday, evening and/or weekend hours in order to meet deadlines or to accommodate customers.
LightBox and all its holding companies are an equal opportunity/affirmative action employer. It is the policy of the LightBox and its holding companies to prohibit discrimination of any type and to afford equal employment opportunities to employees and applicants, without regard to race, color, religion, sex, national origin, age, disability, or veteran status.
NO TELEPHONE CALLS OR AGENCY SOLICITATION PLEASE.</t>
        </is>
      </c>
    </row>
    <row r="12">
      <c r="A12" t="inlineStr">
        <is>
          <t>in-71686090b3f03d4f</t>
        </is>
      </c>
      <c r="B12" t="inlineStr">
        <is>
          <t>Digital Solutions - Data Engineer</t>
        </is>
      </c>
      <c r="C12" t="inlineStr">
        <is>
          <t>Lightbox</t>
        </is>
      </c>
      <c r="D12" t="inlineStr">
        <is>
          <t>indeed</t>
        </is>
      </c>
      <c r="E12">
        <f>HYPERLINK("https://www.indeed.com/viewjob?jk=71686090b3f03d4f", "https://www.indeed.com/viewjob?jk=71686090b3f03d4f")</f>
        <v/>
      </c>
      <c r="F12">
        <f>HYPERLINK("https://jobs.dayforcehcm.com/en-US/lightbox/CANDIDATEPORTAL/jobs/702", "https://jobs.dayforcehcm.com/en-US/lightbox/CANDIDATEPORTAL/jobs/702")</f>
        <v/>
      </c>
      <c r="G12" t="inlineStr">
        <is>
          <t>Remote, US</t>
        </is>
      </c>
      <c r="H12" s="2" t="n">
        <v>46044</v>
      </c>
      <c r="I12" t="inlineStr">
        <is>
          <t>At LightBox, we strive to not only equip confident, data\-driven decisions across sectors, but to also enrich lives by bringing people, information, and technology together. As a company with a wide range of clients, we believe a diverse workforce is crucial to success. Our commitment to inclusion across race, gender, age, religion, identity, and experience is the foundation upon which we operate and connect with our customers and the communities in which we work.
With our expertise, we are producing the best available data, workflow tools, technology, and analytics to support everyone making a real estate decision. There has never been a better time to make an impact and we invite you to join us on this journey.
LightBox is a leading provider of data and workflow solutions across commercial real estate and location intelligence. Our solutions deliver the depth, speed and accuracy that enable insights to over 50,000 brokers, 1,000 banks and lenders, 1,000 law firms and 5,000 environmental consulting and engineering firms.
About LightBox
LightBox is the world’s leading platform for commercial real estate information and technology. We empower decision\-makers with authoritative data, integrated workflows, and unparalleled industry connections. Our clientele includes commercial and government agencies, brokers, developers, investors, lenders, insurers, technology providers, environmental consultants, and valuation professionals \- all requiring definitive real estate data and robust workflow solutions.
Our expertise enables us to deliver the highest quality data, workflow tools, technology, and analytics to support location\-based decision\-making. There has never been a better time to make an impact. Join us on this journey and help shape the future of real estate.
About Digital Solutions
The Digital Solutions ("Professional Services") team at LightBox plays a crucial role in delivering tailored solutions and support to our clients. We ensure seamless integration and optimal use of LightBox's data and technology platforms, providing expert guidance and ongoing support to maximize the value of our tools. Leveraging industry knowledge and technical expertise, the Digital Solutions team helps clients streamline workflows, enhance data accuracy, and achieve superior decision\-making outcomes.
Position Overview
As a Digital Solutions Data Engineer at LightBox, you will be responsible for designing, building, validating, delivering, and owning geospatial data solutions that support both client engagements and long\-term productized data assets.
You will collaborate with a highly motivated team of experienced data and software engineers, focusing on end\-to\-end data layer creation, quality assurance, modeling, and architecture to address diverse use case scenarios. This role requires hands\-on experience creating data layers from initial research and acquisition through deployment and ongoing maintenance.
You will develop scalable data ingestion pipelines, maintain processes for ingesting, building, validating, and deploying spatial datasets, and leverage your expertise in database management and Python to deliver high\-quality data solutions. Data is delivered as standalone assets or embedded within LightBox and client software environments.
LightBox data solutions are created using client data inputs, the LightBox data platform, and industry\-standard GIS and data transformation/enrichment tools to support property insights across lending, insurance, real estate, environmental, and government markets.
What you will do and achieve
Reporting to the Director of Digital Solutions, the Data Engineer will:
* Fulfill LightBox’s custom and recurring data deliveries to clients.
* Develop an in\-depth understanding of LightBox data assets, infrastructure, and software platforms (e.g., LightBox Vision, SpatialStream).
* Analyze business and technical use cases and propose data solutions aligned with business objectives.
* Assess client and internal requirements and design data and software solutions accordingly.
* Model and architect data to address complex business problems.
* Analyze and resolve technical data and application issues.
Data Engineering \&amp; Lifecycle Ownership
* Design, build, and maintain geospatial data layers from inception through production, including:
* Data research and sourcing
* Data acquisition and ingestion
* Transformation and enrichment
* Quality assurance and validation
* Deployment and post\-deployment support
* Serve as a point of contact for external data vendors and data sources, investigating discrepancies, validating data availability and update cadence, and coordinating issue resolution to ensure data accuracy and reliability.
* Manage and evolve a portfolio of geospatial data layers focused on the disclosure risk market, ensuring accuracy, regulatory relevance, scalability, and long\-term maintainability.
Pipelines, Automation \&amp; QA
* Create and maintain automated data pipelines to prepare and manage datasets for specific use cases.
* Develop, test, and document ETL (extract, transform, load) processes to meet business and technical requirements.
* Develop data acceptance criteria, quality assurance plans, and automated testing routines.
* Investigate data\-related issues and implement durable resolutions.
* Create tools and workflows to automate and optimize existing processes.
Knowledge Transfer \&amp; Transition Support
* Participate in structured knowledge transfer activities with existing team members, including reviewing legacy workflows, validating assumptions, documenting processes, and assuming ownership of data layers as responsibilities transition to other projects.
Cross\-Functional Collaboration
* Work closely with peers across Product, Engineering, Data, Sales, and Digital Solutions teams to align requirements, manage dependencies, and ensure successful delivery and adoption of data solutions.
Documentation \&amp; Sustainability
* Own and maintain comprehensive documentation for each GIS data layer, including data sources, processing logic, QA criteria, deployment details, assumptions, and known limitations, to support reproducibility, cross\-training, and long\-term sustainability.
Education
* Bachelor’s degree or certificate in GIS, Geography, Computer Science, or a related discipline.
* Strong academic record with a solid foundation in GIS and Data Engineering.
* Familiarity with GIS standards, principles, best practices, open\-source tools, and public domain data.
Experience
* 3\-5 years of experience as a GIS Analyst, Data Engineer, or Data Analyst (NOTE: qualified recent graduates will not be considered).
Key Knowledge \&amp; Skills
* Outstanding organizational, communication, analytical, and interpersonal skills.
* Ability to quickly understand technical products and explain concepts to non\-technical audiences.
* Experience with project management techniques like Agile and Scrum
* Proven track record of meeting deadlines and managing multiple varied tasks.
* Fundamental knowledge in SQL (spatial), Python, ETL, and data management to aggregate, gather, manipulate, or validate data.
* Proficiency with GIS software packages and open\-source tools (e.g., QGIS, ESRI, GRASS, GDAL, OGR).
* Optimize geospatial data layers for performance and scalability, applying techniques such as geometry simplification, vertex thinning, indexing strategies, and efficient spatial transformations to support downstream applications and client delivery.
* Experience utilizing Python modules, packages, and libraries.
* Experience with pipeline orchestration technology (e.g., Prefect, AirFlow).
* Proficiency with pipeline transformation tools, using Python and the Pandas library.
* Scripting experience.
* Ability to document workflows concisely.
* Commitment to exceeding assigned tasks and project expectations.
* Experience with cloud infrastructure (AWS), Git, Docker, Apigee, and Kubernetes
* Has knowledge of data security best practices (when handling sensitive data)
Core Competencies
* Keen interest in data engineering with a “tinkering” mindset.
* Excellent interpersonal, written, and oral communication skills.
* Driven to continually learn about and incorporate new technologies.
* Experience with implementing new technologies and continuous improvement of processes and workflows
* Thrive in a self\-driven environment.
* Understanding and integrating human and machine workflows.
* Team player with the ability to work collaboratively and take on new tasks.
* Reliable problem solver with the ability to work efficiently and independently.
* Embraces challenges with a positive attitude.
* Passion for learning new concepts and skills.
Other Desirable Attributes
* Proven experience creating and maintaining disclosure (risk based) datasets (e.g., wildfire, environmental)
* 3\+ years of experience in database design, data manipulation, and/or software engineering roles using SQL Server or similar RDBMS environments, including proficiency in stored procedures, views, optimizing queries and processes and ETL processes (Extract, Transform, Load).
* Experience maintaining data quality across all stages of acquisition and processing, from data sourcing/collection to normalization and transformation.
LightBox's Diversity Commitment
At LightBox, we are dedicated to fostering a diverse workforce and creating an inclusive work environment that values everyone’s unique contributions, experiences, and perspectives. We believe in unity through diversity, cultivating a collaborative atmosphere that encourages creativity, initiative, and professional development. Our commitment includes offering a competitive salary and benefits package.
LightBox and its subsidiaries are equal opportunity employers, committed to prohibiting discrimination of any kind and providing equal employment opportunities to all employees and applicants, regardless of race, color, religion, sex, national origin, age, disability, or veteran status.
We believe that we are stronger together when we support, recognize, and embrace our differences.
Additional Information
This job description outlines the primary tasks and expectations of the position and does not encompass all responsibilities that may be assigned. Employees are expected to undertake additional tasks, responsibilities, and training as directed by their supervisors. Duties and responsibilities may evolve with business needs, with or without prior notice.
This role may require occasional overtime, including evenings, weekends, and holidays, to meet deadlines or accommodate customer requirements.
The position involves regular activities such as talking, hearing, walking, using hands, kneeling, crouching, and lifting up to 25 pounds. Reasonable accommodations will be considered for individuals with disabilities to facilitate the essential job functions.
We appreciate all applicants for their interest; however, only candidates selected for an interview will be contacted.
NO TELEPHONE CALLS OR AGENCY SOLICITATION PLEASE.
We thank all applicants in advance for their interest in this position, however, only those selected for an interview will be contacted.
This job description is a general listing of the required tasks and expectations of the position and in no way implies that the duties listed above are the employee’s only responsibilities. The employee is expected to perform other tasks, responsibilities and training as instructed by their supervisors. Duties and responsibilities may change at any time with or without notice.
This position may require additional hours outside of the standard work schedule including occasional holiday, evening and/or weekend hours in order to meet deadlines or to accommodate customers.
LightBox and all its holding companies are an equal opportunity/affirmative action employer. It is the policy of the LightBox and its holding companies to prohibit discrimination of any type and to afford equal employment opportunities to employees and applicants, without regard to race, color, religion, sex, national origin, age, disability, or veteran status.
NO TELEPHONE CALLS OR AGENCY SOLICITATION PLEASE.</t>
        </is>
      </c>
    </row>
    <row r="13">
      <c r="A13" t="inlineStr">
        <is>
          <t>in-2303244619c5f981</t>
        </is>
      </c>
      <c r="B13" t="inlineStr">
        <is>
          <t>Digital Solutions - Data Engineer</t>
        </is>
      </c>
      <c r="C13" t="inlineStr">
        <is>
          <t>Lightbox</t>
        </is>
      </c>
      <c r="D13" t="inlineStr">
        <is>
          <t>indeed</t>
        </is>
      </c>
      <c r="E13">
        <f>HYPERLINK("https://www.indeed.com/viewjob?jk=2303244619c5f981", "https://www.indeed.com/viewjob?jk=2303244619c5f981")</f>
        <v/>
      </c>
      <c r="F13">
        <f>HYPERLINK("https://jobs.dayforcehcm.com/en-US/lightbox/LIGHTBOXCAREERS/jobs/704", "https://jobs.dayforcehcm.com/en-US/lightbox/LIGHTBOXCAREERS/jobs/704")</f>
        <v/>
      </c>
      <c r="G13" t="inlineStr">
        <is>
          <t>US</t>
        </is>
      </c>
      <c r="H13" s="2" t="n">
        <v>46044</v>
      </c>
      <c r="I13" t="inlineStr">
        <is>
          <t>At LightBox, we strive to not only equip confident, data\-driven decisions across sectors, but to also enrich lives by bringing people, information, and technology together. As a company with a wide range of clients, we believe a diverse workforce is crucial to success. Our commitment to inclusion across race, gender, age, religion, identity, and experience is the foundation upon which we operate and connect with our customers and the communities in which we work.
With our expertise, we are producing the best available data, workflow tools, technology, and analytics to support everyone making a real estate decision. There has never been a better time to make an impact and we invite you to join us on this journey.
LightBox is a leading provider of data and workflow solutions across commercial real estate and location intelligence. Our solutions deliver the depth, speed and accuracy that enable insights to over 50,000 brokers, 1,000 banks and lenders, 1,000 law firms and 5,000 environmental consulting and engineering firms.
About LightBox
LightBox is the world’s leading platform for commercial real estate information and technology. We empower decision\-makers with authoritative data, integrated workflows, and unparalleled industry connections. Our clientele includes commercial and government agencies, brokers, developers, investors, lenders, insurers, technology providers, environmental consultants, and valuation professionals \- all requiring definitive real estate data and robust workflow solutions.
Our expertise enables us to deliver the highest quality data, workflow tools, technology, and analytics to support location\-based decision\-making. There has never been a better time to make an impact. Join us on this journey and help shape the future of real estate.
About Digital Solutions
The Digital Solutions ("Professional Services") team at LightBox plays a crucial role in delivering tailored solutions and support to our clients. We ensure seamless integration and optimal use of LightBox's data and technology platforms, providing expert guidance and ongoing support to maximize the value of our tools. Leveraging industry knowledge and technical expertise, the Digital Solutions team helps clients streamline workflows, enhance data accuracy, and achieve superior decision\-making outcomes.
Position Overview
As a Digital Solutions Data Engineer at LightBox, you will be responsible for designing, building, validating, delivering, and owning geospatial data solutions that support both client engagements and long\-term productized data assets.
You will collaborate with a highly motivated team of experienced data and software engineers, focusing on end\-to\-end data layer creation, quality assurance, modeling, and architecture to address diverse use case scenarios. This role requires hands\-on experience creating data layers from initial research and acquisition through deployment and ongoing maintenance.
You will develop scalable data ingestion pipelines, maintain processes for ingesting, building, validating, and deploying spatial datasets, and leverage your expertise in database management and Python to deliver high\-quality data solutions. Data is delivered as standalone assets or embedded within LightBox and client software environments.
LightBox data solutions are created using client data inputs, the LightBox data platform, and industry\-standard GIS and data transformation/enrichment tools to support property insights across lending, insurance, real estate, environmental, and government markets.
What you will do and achieve
Reporting to the Director of Digital Solutions, the Data Engineer will:
* Fulfill LightBox’s custom and recurring data deliveries to clients.
* Develop an in\-depth understanding of LightBox data assets, infrastructure, and software platforms (e.g., LightBox Vision, SpatialStream).
* Analyze business and technical use cases and propose data solutions aligned with business objectives.
* Assess client and internal requirements and design data and software solutions accordingly.
* Model and architect data to address complex business problems.
* Analyze and resolve technical data and application issues.
Data Engineering \&amp; Lifecycle Ownership
* Design, build, and maintain geospatial data layers from inception through production, including:
* Data research and sourcing
* Data acquisition and ingestion
* Transformation and enrichment
* Quality assurance and validation
* Deployment and post\-deployment support
* Serve as a point of contact for external data vendors and data sources, investigating discrepancies, validating data availability and update cadence, and coordinating issue resolution to ensure data accuracy and reliability.
* Manage and evolve a portfolio of geospatial data layers focused on the disclosure risk market, ensuring accuracy, regulatory relevance, scalability, and long\-term maintainability.
Pipelines, Automation \&amp; QA
* Create and maintain automated data pipelines to prepare and manage datasets for specific use cases.
* Develop, test, and document ETL (extract, transform, load) processes to meet business and technical requirements.
* Develop data acceptance criteria, quality assurance plans, and automated testing routines.
* Investigate data\-related issues and implement durable resolutions.
* Create tools and workflows to automate and optimize existing processes.
Knowledge Transfer \&amp; Transition Support
* Participate in structured knowledge transfer activities with existing team members, including reviewing legacy workflows, validating assumptions, documenting processes, and assuming ownership of data layers as responsibilities transition to other projects.
Cross\-Functional Collaboration
* Work closely with peers across Product, Engineering, Data, Sales, and Digital Solutions teams to align requirements, manage dependencies, and ensure successful delivery and adoption of data solutions.
Documentation \&amp; Sustainability
* Own and maintain comprehensive documentation for each GIS data layer, including data sources, processing logic, QA criteria, deployment details, assumptions, and known limitations, to support reproducibility, cross\-training, and long\-term sustainability.
Education
* Bachelor’s degree or certificate in GIS, Geography, Computer Science, or a related discipline.
* Strong academic record with a solid foundation in GIS and Data Engineering.
* Familiarity with GIS standards, principles, best practices, open\-source tools, and public domain data.
Experience
* 3\-5 years of experience as a GIS Analyst, Data Engineer, or Data Analyst (NOTE: qualified recent graduates will not be considered).
Key Knowledge \&amp; Skills
* Outstanding organizational, communication, analytical, and interpersonal skills.
* Ability to quickly understand technical products and explain concepts to non\-technical audiences.
* Experience with project management techniques like Agile and Scrum
* Proven track record of meeting deadlines and managing multiple varied tasks.
* Fundamental knowledge in SQL (spatial), Python, ETL, and data management to aggregate, gather, manipulate, or validate data.
* Proficiency with GIS software packages and open\-source tools (e.g., QGIS, ESRI, GRASS, GDAL, OGR).
* Optimize geospatial data layers for performance and scalability, applying techniques such as geometry simplification, vertex thinning, indexing strategies, and efficient spatial transformations to support downstream applications and client delivery.
* Experience utilizing Python modules, packages, and libraries.
* Experience with pipeline orchestration technology (e.g., Prefect, AirFlow).
* Proficiency with pipeline transformation tools, using Python and the Pandas library.
* Scripting experience.
* Ability to document workflows concisely.
* Commitment to exceeding assigned tasks and project expectations.
* Experience with cloud infrastructure (AWS), Git, Docker, Apigee, and Kubernetes
* Has knowledge of data security best practices (when handling sensitive data)
Core Competencies
* Keen interest in data engineering with a “tinkering” mindset.
* Excellent interpersonal, written, and oral communication skills.
* Driven to continually learn about and incorporate new technologies.
* Experience with implementing new technologies and continuous improvement of processes and workflows
* Thrive in a self\-driven environment.
* Understanding and integrating human and machine workflows.
* Team player with the ability to work collaboratively and take on new tasks.
* Reliable problem solver with the ability to work efficiently and independently.
* Embraces challenges with a positive attitude.
* Passion for learning new concepts and skills.
Other Desirable Attributes
* Proven experience creating and maintaining disclosure (risk based) datasets (e.g., wildfire, environmental)
* 3\+ years of experience in database design, data manipulation, and/or software engineering roles using SQL Server or similar RDBMS environments, including proficiency in stored procedures, views, optimizing queries and processes and ETL processes (Extract, Transform, Load).
* Experience maintaining data quality across all stages of acquisition and processing, from data sourcing/collection to normalization and transformation.
LightBox's Diversity Commitment
At LightBox, we are dedicated to fostering a diverse workforce and creating an inclusive work environment that values everyone’s unique contributions, experiences, and perspectives. We believe in unity through diversity, cultivating a collaborative atmosphere that encourages creativity, initiative, and professional development. Our commitment includes offering a competitive salary and benefits package.
LightBox and its subsidiaries are equal opportunity employers, committed to prohibiting discrimination of any kind and providing equal employment opportunities to all employees and applicants, regardless of race, color, religion, sex, national origin, age, disability, or veteran status.
We believe that we are stronger together when we support, recognize, and embrace our differences.
Additional Information
This job description outlines the primary tasks and expectations of the position and does not encompass all responsibilities that may be assigned. Employees are expected to undertake additional tasks, responsibilities, and training as directed by their supervisors. Duties and responsibilities may evolve with business needs, with or without prior notice.
This role may require occasional overtime, including evenings, weekends, and holidays, to meet deadlines or accommodate customer requirements.
The position involves regular activities such as talking, hearing, walking, using hands, kneeling, crouching, and lifting up to 25 pounds. Reasonable accommodations will be considered for individuals with disabilities to facilitate the essential job functions.
We appreciate all applicants for their interest; however, only candidates selected for an interview will be contacted.
NO TELEPHONE CALLS OR AGENCY SOLICITATION PLEASE.
We thank all applicants in advance for their interest in this position, however, only those selected for an interview will be contacted.
This job description is a general listing of the required tasks and expectations of the position and in no way implies that the duties listed above are the employee’s only responsibilities. The employee is expected to perform other tasks, responsibilities and training as instructed by their supervisors. Duties and responsibilities may change at any time with or without notice.
This position may require additional hours outside of the standard work schedule including occasional holiday, evening and/or weekend hours in order to meet deadlines or to accommodate customers.
LightBox and all its holding companies are an equal opportunity/affirmative action employer. It is the policy of the LightBox and its holding companies to prohibit discrimination of any type and to afford equal employment opportunities to employees and applicants, without regard to race, color, religion, sex, national origin, age, disability, or veteran status.
NO TELEPHONE CALLS OR AGENCY SOLICITATION PLEASE.</t>
        </is>
      </c>
    </row>
    <row r="14">
      <c r="A14" t="inlineStr">
        <is>
          <t>in-dbccec90bfe95dbe</t>
        </is>
      </c>
      <c r="B14" t="inlineStr">
        <is>
          <t>Digital Solutions - Data Engineer</t>
        </is>
      </c>
      <c r="C14" t="inlineStr">
        <is>
          <t>Lightbox</t>
        </is>
      </c>
      <c r="D14" t="inlineStr">
        <is>
          <t>indeed</t>
        </is>
      </c>
      <c r="E14">
        <f>HYPERLINK("https://www.indeed.com/viewjob?jk=dbccec90bfe95dbe", "https://www.indeed.com/viewjob?jk=dbccec90bfe95dbe")</f>
        <v/>
      </c>
      <c r="F14">
        <f>HYPERLINK("https://jobs.dayforcehcm.com/en-US/lightbox/CANDIDATEPORTAL/jobs/702", "https://jobs.dayforcehcm.com/en-US/lightbox/CANDIDATEPORTAL/jobs/702")</f>
        <v/>
      </c>
      <c r="G14" t="inlineStr">
        <is>
          <t>US</t>
        </is>
      </c>
      <c r="H14" s="2" t="n">
        <v>46044</v>
      </c>
      <c r="I14" t="inlineStr">
        <is>
          <t>At LightBox, we strive to not only equip confident, data\-driven decisions across sectors, but to also enrich lives by bringing people, information, and technology together. As a company with a wide range of clients, we believe a diverse workforce is crucial to success. Our commitment to inclusion across race, gender, age, religion, identity, and experience is the foundation upon which we operate and connect with our customers and the communities in which we work.
With our expertise, we are producing the best available data, workflow tools, technology, and analytics to support everyone making a real estate decision. There has never been a better time to make an impact and we invite you to join us on this journey.
LightBox is a leading provider of data and workflow solutions across commercial real estate and location intelligence. Our solutions deliver the depth, speed and accuracy that enable insights to over 50,000 brokers, 1,000 banks and lenders, 1,000 law firms and 5,000 environmental consulting and engineering firms.
About LightBox
LightBox is the world’s leading platform for commercial real estate information and technology. We empower decision\-makers with authoritative data, integrated workflows, and unparalleled industry connections. Our clientele includes commercial and government agencies, brokers, developers, investors, lenders, insurers, technology providers, environmental consultants, and valuation professionals \- all requiring definitive real estate data and robust workflow solutions.
Our expertise enables us to deliver the highest quality data, workflow tools, technology, and analytics to support location\-based decision\-making. There has never been a better time to make an impact. Join us on this journey and help shape the future of real estate.
About Digital Solutions
The Digital Solutions ("Professional Services") team at LightBox plays a crucial role in delivering tailored solutions and support to our clients. We ensure seamless integration and optimal use of LightBox's data and technology platforms, providing expert guidance and ongoing support to maximize the value of our tools. Leveraging industry knowledge and technical expertise, the Digital Solutions team helps clients streamline workflows, enhance data accuracy, and achieve superior decision\-making outcomes.
Position Overview
As a Digital Solutions Data Engineer at LightBox, you will be responsible for designing, building, validating, delivering, and owning geospatial data solutions that support both client engagements and long\-term productized data assets.
You will collaborate with a highly motivated team of experienced data and software engineers, focusing on end\-to\-end data layer creation, quality assurance, modeling, and architecture to address diverse use case scenarios. This role requires hands\-on experience creating data layers from initial research and acquisition through deployment and ongoing maintenance.
You will develop scalable data ingestion pipelines, maintain processes for ingesting, building, validating, and deploying spatial datasets, and leverage your expertise in database management and Python to deliver high\-quality data solutions. Data is delivered as standalone assets or embedded within LightBox and client software environments.
LightBox data solutions are created using client data inputs, the LightBox data platform, and industry\-standard GIS and data transformation/enrichment tools to support property insights across lending, insurance, real estate, environmental, and government markets.
What you will do and achieve
Reporting to the Director of Digital Solutions, the Data Engineer will:
* Fulfill LightBox’s custom and recurring data deliveries to clients.
* Develop an in\-depth understanding of LightBox data assets, infrastructure, and software platforms (e.g., LightBox Vision, SpatialStream).
* Analyze business and technical use cases and propose data solutions aligned with business objectives.
* Assess client and internal requirements and design data and software solutions accordingly.
* Model and architect data to address complex business problems.
* Analyze and resolve technical data and application issues.
Data Engineering \&amp; Lifecycle Ownership
* Design, build, and maintain geospatial data layers from inception through production, including:
* Data research and sourcing
* Data acquisition and ingestion
* Transformation and enrichment
* Quality assurance and validation
* Deployment and post\-deployment support
* Serve as a point of contact for external data vendors and data sources, investigating discrepancies, validating data availability and update cadence, and coordinating issue resolution to ensure data accuracy and reliability.
* Manage and evolve a portfolio of geospatial data layers focused on the disclosure risk market, ensuring accuracy, regulatory relevance, scalability, and long\-term maintainability.
Pipelines, Automation \&amp; QA
* Create and maintain automated data pipelines to prepare and manage datasets for specific use cases.
* Develop, test, and document ETL (extract, transform, load) processes to meet business and technical requirements.
* Develop data acceptance criteria, quality assurance plans, and automated testing routines.
* Investigate data\-related issues and implement durable resolutions.
* Create tools and workflows to automate and optimize existing processes.
Knowledge Transfer \&amp; Transition Support
* Participate in structured knowledge transfer activities with existing team members, including reviewing legacy workflows, validating assumptions, documenting processes, and assuming ownership of data layers as responsibilities transition to other projects.
Cross\-Functional Collaboration
* Work closely with peers across Product, Engineering, Data, Sales, and Digital Solutions teams to align requirements, manage dependencies, and ensure successful delivery and adoption of data solutions.
Documentation \&amp; Sustainability
* Own and maintain comprehensive documentation for each GIS data layer, including data sources, processing logic, QA criteria, deployment details, assumptions, and known limitations, to support reproducibility, cross\-training, and long\-term sustainability.
Education
* Bachelor’s degree or certificate in GIS, Geography, Computer Science, or a related discipline.
* Strong academic record with a solid foundation in GIS and Data Engineering.
* Familiarity with GIS standards, principles, best practices, open\-source tools, and public domain data.
Experience
* 3\-5 years of experience as a GIS Analyst, Data Engineer, or Data Analyst (NOTE: qualified recent graduates will not be considered).
Key Knowledge \&amp; Skills
* Outstanding organizational, communication, analytical, and interpersonal skills.
* Ability to quickly understand technical products and explain concepts to non\-technical audiences.
* Experience with project management techniques like Agile and Scrum
* Proven track record of meeting deadlines and managing multiple varied tasks.
* Fundamental knowledge in SQL (spatial), Python, ETL, and data management to aggregate, gather, manipulate, or validate data.
* Proficiency with GIS software packages and open\-source tools (e.g., QGIS, ESRI, GRASS, GDAL, OGR).
* Optimize geospatial data layers for performance and scalability, applying techniques such as geometry simplification, vertex thinning, indexing strategies, and efficient spatial transformations to support downstream applications and client delivery.
* Experience utilizing Python modules, packages, and libraries.
* Experience with pipeline orchestration technology (e.g., Prefect, AirFlow).
* Proficiency with pipeline transformation tools, using Python and the Pandas library.
* Scripting experience.
* Ability to document workflows concisely.
* Commitment to exceeding assigned tasks and project expectations.
* Experience with cloud infrastructure (AWS), Git, Docker, Apigee, and Kubernetes
* Has knowledge of data security best practices (when handling sensitive data)
Core Competencies
* Keen interest in data engineering with a “tinkering” mindset.
* Excellent interpersonal, written, and oral communication skills.
* Driven to continually learn about and incorporate new technologies.
* Experience with implementing new technologies and continuous improvement of processes and workflows
* Thrive in a self\-driven environment.
* Understanding and integrating human and machine workflows.
* Team player with the ability to work collaboratively and take on new tasks.
* Reliable problem solver with the ability to work efficiently and independently.
* Embraces challenges with a positive attitude.
* Passion for learning new concepts and skills.
Other Desirable Attributes
* Proven experience creating and maintaining disclosure (risk based) datasets (e.g., wildfire, environmental)
* 3\+ years of experience in database design, data manipulation, and/or software engineering roles using SQL Server or similar RDBMS environments, including proficiency in stored procedures, views, optimizing queries and processes and ETL processes (Extract, Transform, Load).
* Experience maintaining data quality across all stages of acquisition and processing, from data sourcing/collection to normalization and transformation.
LightBox's Diversity Commitment
At LightBox, we are dedicated to fostering a diverse workforce and creating an inclusive work environment that values everyone’s unique contributions, experiences, and perspectives. We believe in unity through diversity, cultivating a collaborative atmosphere that encourages creativity, initiative, and professional development. Our commitment includes offering a competitive salary and benefits package.
LightBox and its subsidiaries are equal opportunity employers, committed to prohibiting discrimination of any kind and providing equal employment opportunities to all employees and applicants, regardless of race, color, religion, sex, national origin, age, disability, or veteran status.
We believe that we are stronger together when we support, recognize, and embrace our differences.
Additional Information
This job description outlines the primary tasks and expectations of the position and does not encompass all responsibilities that may be assigned. Employees are expected to undertake additional tasks, responsibilities, and training as directed by their supervisors. Duties and responsibilities may evolve with business needs, with or without prior notice.
This role may require occasional overtime, including evenings, weekends, and holidays, to meet deadlines or accommodate customer requirements.
The position involves regular activities such as talking, hearing, walking, using hands, kneeling, crouching, and lifting up to 25 pounds. Reasonable accommodations will be considered for individuals with disabilities to facilitate the essential job functions.
We appreciate all applicants for their interest; however, only candidates selected for an interview will be contacted.
NO TELEPHONE CALLS OR AGENCY SOLICITATION PLEASE.
We thank all applicants in advance for their interest in this position, however, only those selected for an interview will be contacted.
This job description is a general listing of the required tasks and expectations of the position and in no way implies that the duties listed above are the employee’s only responsibilities. The employee is expected to perform other tasks, responsibilities and training as instructed by their supervisors. Duties and responsibilities may change at any time with or without notice.
This position may require additional hours outside of the standard work schedule including occasional holiday, evening and/or weekend hours in order to meet deadlines or to accommodate customers.
LightBox and all its holding companies are an equal opportunity/affirmative action employer. It is the policy of the LightBox and its holding companies to prohibit discrimination of any type and to afford equal employment opportunities to employees and applicants, without regard to race, color, religion, sex, national origin, age, disability, or veteran status.
NO TELEPHONE CALLS OR AGENCY SOLICITATION PLEASE.</t>
        </is>
      </c>
    </row>
    <row r="15">
      <c r="A15" t="inlineStr">
        <is>
          <t>in-fda1cf375ac3d663</t>
        </is>
      </c>
      <c r="B15" t="inlineStr">
        <is>
          <t>Data Engineer - Supplier Quality Data Analytics</t>
        </is>
      </c>
      <c r="C15" t="inlineStr">
        <is>
          <t>General Motors (GM)</t>
        </is>
      </c>
      <c r="D15" t="inlineStr">
        <is>
          <t>indeed</t>
        </is>
      </c>
      <c r="E15">
        <f>HYPERLINK("https://www.indeed.com/viewjob?jk=fda1cf375ac3d663", "https://www.indeed.com/viewjob?jk=fda1cf375ac3d663")</f>
        <v/>
      </c>
      <c r="F15">
        <f>HYPERLINK("https://generalmotors.wd5.myworkdayjobs.com/en-US/Careers_GM/job/Warren-Michigan-United-States-of-America/Data-Engineer---Supplier-Quality-Data-Analytics_JR-202601491", "https://generalmotors.wd5.myworkdayjobs.com/en-US/Careers_GM/job/Warren-Michigan-United-States-of-America/Data-Engineer---Supplier-Quality-Data-Analytics_JR-202601491")</f>
        <v/>
      </c>
      <c r="G15" t="inlineStr">
        <is>
          <t>Warren, MI, US</t>
        </is>
      </c>
      <c r="H15" s="2" t="n">
        <v>46044</v>
      </c>
      <c r="I15" t="inlineStr">
        <is>
          <t>**Job Description**
**Location: This role is categorized as hybrid. This means the successful candidate is expected to report to Warren, Michigan, three times per week, at minimum.**
**The Role**
The Supplier Quality Data Analytics Group is seeking a highly motivated and technically skilled Data Engineer to support data\-driven decision\-making across the Global Supplier Quality organization. In this role, you will design, develop, and maintain scalable data pipelines and analytics solutions that enhance supplier quality performance, reporting, and operational efficiency.
You will work in a modern data environment, collaborating with cross\-functional stakeholders to deliver high\-quality, reliable data that powers actionable insights and continuous improvement across GM’s supply base.
**What You’ll Do**
* Develop Data Pipelines: Design, build, and optimize ETL pipelines for ingesting, transforming, and storing supplier quality data from multiple sources, ensuring high performance and scalability for large datasets.
* Model and Store Data: Implement relational and dimensional data models to support analytics and reporting, using tools such as SQL, Databricks, Microsoft Fabric, and Dataloop.
* Support Analytics and Reporting: Prepare clean, structured datasets for dashboards and reports in Power BI. Collaborate with data analysts and quality engineers to ensure data accuracy, usability, and consistency.
* Automate and Integrate Systems: Develop and maintain automation workflows using Python. Integrate data solutions with collaboration tools such as Slack and SharePoint for streamlined processes.
* Maintain Data Governance and Security: Ensure compliance with corporate data standards. Monitor data integrity and troubleshoot issues across pipelines, models, and dashboards.
**Your Skills \&amp; Abilities (Required Qualifications)**
* Bachelor’s degree in Computer Science, Engineering, Information Systems, or a related technical field.
* Minimum 3 years of experience in data engineering or analytics roles.
* Proficiency in SQL and Python for data manipulation, automation, and ETL development.
* Experience with data visualization tools such as Power BI.
* Familiarity with cloud platforms (e.g., Azure, AWS) and big\-data technologies (e.g., Spark, Databricks).
* Strong understanding of data modeling, data warehousing, and pipeline architecture.
* Excellent analytical, problem\-solving, and communication skills.
* Ability to work independently and collaboratively in a fast\-paced, cross\-functional environment.
**What Will Give You a Competitive Edge (Preferred Qualifications)**
* Experience working with supplier quality data or manufacturing analytics.
* Hands\-on experience with Microsoft Fabric and its components (Lakehouse, Dataflows, Notebooks).
* Knowledge of Slack automation and SharePoint integration.
* Certifications in Databricks, Dataloop, or Microsoft Fabric.
* Familiarity with GM systems such as SQMS, MARS, and SPCR workflows.
* Previous experience supporting dashboard development and data governance in a corporate or manufacturing setting.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6">
      <c r="A16" t="inlineStr">
        <is>
          <t>in-73e7739db1a4e913</t>
        </is>
      </c>
      <c r="B16" t="inlineStr">
        <is>
          <t>Senior Data Engineer</t>
        </is>
      </c>
      <c r="C16" t="inlineStr">
        <is>
          <t>General Motors (GM)</t>
        </is>
      </c>
      <c r="D16" t="inlineStr">
        <is>
          <t>indeed</t>
        </is>
      </c>
      <c r="E16">
        <f>HYPERLINK("https://www.indeed.com/viewjob?jk=73e7739db1a4e913", "https://www.indeed.com/viewjob?jk=73e7739db1a4e913")</f>
        <v/>
      </c>
      <c r="F16">
        <f>HYPERLINK("https://generalmotors.wd5.myworkdayjobs.com/en-US/Careers_GM/job/Austin-Texas-United-States-of-America/Senior-Data-Engineer_JR-202524346", "https://generalmotors.wd5.myworkdayjobs.com/en-US/Careers_GM/job/Austin-Texas-United-States-of-America/Senior-Data-Engineer_JR-202524346")</f>
        <v/>
      </c>
      <c r="G16" t="inlineStr">
        <is>
          <t>Austin, TX, US</t>
        </is>
      </c>
      <c r="H16" s="2" t="n">
        <v>46044</v>
      </c>
      <c r="I16" t="inlineStr">
        <is>
          <t>**Job Description**
**This role is categorized as hybrid. This means the successful candidate is expected to report to Austin Technical Center in Austin, TX or GM Global Tech Center in Michigan, MI three times per week, at minimum \[or other frequency dictated by the business if more than 3 days].**
**The Role**
As a Data Engineer, you will design, build, and optimize industrialized data assets and data pipelines in support of Business Intelligence and Advanced Analytics objectives. In this role within the Intelligent Manufacturing organization under Data Engineering Software, you will deliver high\-quality, scalable solutions that meet both functional and non\-functional business requirements. You will contribute to projects across databases, streaming technology, CI/CD, and cloud platforms.
The Intelligent Manufacturing teams are responsible for ideating, incubating, and delivering new plant data solutions for General Motors Manufacturing and our partners. We integrate with business and IT teams to develop real\-time solutions that leverage plant floor data to improve decisions, plant asset maintenance, safety, and operational performance, as well as Vehicle Build Data.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This job may be eligible for relocation benefits.
**Compensation:**
* The expected base compensation for this role is: $153,000 \- $227,000\.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\#LI\-CC1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7">
      <c r="A17" t="inlineStr">
        <is>
          <t>in-6f747f97b137ee88</t>
        </is>
      </c>
      <c r="B17" t="inlineStr">
        <is>
          <t>Data Engineer (Azure Synapse ETL/SQL)</t>
        </is>
      </c>
      <c r="C17" t="inlineStr">
        <is>
          <t>Peraton</t>
        </is>
      </c>
      <c r="D17" t="inlineStr">
        <is>
          <t>indeed</t>
        </is>
      </c>
      <c r="E17">
        <f>HYPERLINK("https://www.indeed.com/viewjob?jk=6f747f97b137ee88", "https://www.indeed.com/viewjob?jk=6f747f97b137ee88")</f>
        <v/>
      </c>
      <c r="F17">
        <f>HYPERLINK("https://www.careers.peraton.com/jobs/data-engineer-azure-synapse-etl-sql-herndon-virginia-163013-jobs--information-technology--", "https://www.careers.peraton.com/jobs/data-engineer-azure-synapse-etl-sql-herndon-virginia-163013-jobs--information-technology--")</f>
        <v/>
      </c>
      <c r="G17" t="inlineStr">
        <is>
          <t>Herndon, VA, US</t>
        </is>
      </c>
      <c r="H17" s="2" t="n">
        <v>46044</v>
      </c>
      <c r="I1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**Data Engineer** **(Azure Synapse ETL/SQL)** to join our team of qualified, diverse individuals. This position will be located in Herndon, VA with some remote work possible. The qualified applicant will become part of Peraton's Department of State (DOS) Consular Systems Modernization (CSM) Program, for the Bureau of Consular Affairs (CA). This initiative will modernize and consolidate the operational environment under a common technology framework in order to better support the services provided to CA's customers.
The Data Engineer is responsible for working with large datasets, verifying data is collected, stored, and processed in a reliable and optimized manner. The Data Engineer will develop ETL processes, manage data warehouses, and confirm data integrity. This role collaborates closely with data scientists and analysts to provide clean, structured data that supports business insights and decision\-making. Strong problem\-solving skills and expertise in big data technologies are key to success in this role.  
**Roles and Responsibilities**:  
* Key Responsibility includes building and maintaining ETL pipelines using Azure Synapse.
* Work with the system engineering team to understand customer business needs and priorities.
* Implement Azure cloud analytics and databases, leveraging tools such as Azure Synapse, Azure SQL, Synapse pipelines, Databricks, and related frameworks
* Utilize data science tools such as Anaconda, R, Weka, and Synapse Analytics for advanced data processing modeling.
* Define system and technical requirements, including both functional and non\-functional, to support database management system development within an Agile environment.
* Develop conceptual, logical, and physical designs for database solutions.
* Develop and maintain database solutions for managing structured and unstructured data.
* Develop and maintain database solutions for data ingestion (batch and streaming).
* Develop and maintain database scripts supporting ETL processes and functions.
* Monitor and tune database solutions for optimal performance.
* Develop and maintain secure database solutions that are compliant with DISA STIG and NIST specifications (security controls).
* Develop data analytic models, incorporating machine learning (ML), deep neural networks (DNN), and large language models (LLM) to support business objectives.
* Support CI/CD initiatives and utilize static code analyzers to ensure high quality source code.
* Author clear documentation for database solutions, including data dictionaries, data catalogs, and design artifacts.
* Integrate database solutions with the software applications and/or platforms.
* Support software testing activities, including IV\&amp;V, and provide timely software defect resolutions.
DOSCSM  
**Qualifications**  
**Basic Qualifications**:  
* Bachelor's degree and eight (8\) years' experience.
* At least 5 years of experience with developing relational database management systems (RDBMS) using Oracle, PostgreSQL, MySQL, or Microsoft SQL Server in a production environment.
* Hands\-on experience developing, testing and optimizing complex SQL scripts
* Hands\-on experience with Azure Synapse Analytics for pipeline orchestration and/or SQL/Spark processing.
* Experience supporting database engineering activities for software projects specializing in development of enterprise web applications within an Agile environment.
* Experience designing database solutions using conceptual, logical, and physical diagrams.
* Experience with developing database solutions involving storage of structured and unstructured data, data ingestion via batch and streaming, and ETL processes.
* Excellent communication skills, both verbally and in writing.
* Must be able to obtain or have an Active Secret (or higher) clearance. Interim clearances acceptable.
* Must be a US Citizen.
**Preferred Qualifications**:  
* Experience with enterprise software system modernization efforts.
* Experience developing database solutions in an incremental manner using the Agile methodology.
* Experience in cloud\-based environments including the development of database solutions that are based on a hybrid\-cloud architecture.
* Experience developing database solutions for high volume, highly available, and secure software system.
* Experience developing database solutions in a secure environment that are required to meet DISA STIG and NIST specifications (security controls).
* Ability to work independently and in a team environment.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18">
      <c r="A18" t="inlineStr">
        <is>
          <t>in-8d46448bfd78f4d9</t>
        </is>
      </c>
      <c r="B18" t="inlineStr">
        <is>
          <t>Analytics Engineer - Clearance Required</t>
        </is>
      </c>
      <c r="C18" t="inlineStr">
        <is>
          <t>LMI</t>
        </is>
      </c>
      <c r="D18" t="inlineStr">
        <is>
          <t>indeed</t>
        </is>
      </c>
      <c r="E18">
        <f>HYPERLINK("https://www.indeed.com/viewjob?jk=8d46448bfd78f4d9", "https://www.indeed.com/viewjob?jk=8d46448bfd78f4d9")</f>
        <v/>
      </c>
      <c r="F18">
        <f>HYPERLINK("https://careers-lmi.icims.com/jobs/13550/job?utm_source=indeed_integration&amp;iis=Job%20Board&amp;iisn=Indeed&amp;indeed-apply-token=73a2d2b2a8d6d5c0a62696875eaebd669103652d3f0c2cd5445d3e66b1592b0f", "https://careers-lmi.icims.com/jobs/13550/job?utm_source=indeed_integration&amp;iis=Job%20Board&amp;iisn=Indeed&amp;indeed-apply-token=73a2d2b2a8d6d5c0a62696875eaebd669103652d3f0c2cd5445d3e66b1592b0f")</f>
        <v/>
      </c>
      <c r="G18" t="inlineStr">
        <is>
          <t>Colorado Springs, CO, US</t>
        </is>
      </c>
      <c r="H18" s="2" t="n">
        <v>46044</v>
      </c>
      <c r="I18" t="inlineStr">
        <is>
          <t>Overview:
LMI is seeking a Senior Level Analytics Engineer with deep expertise in physics and theoretical modeling to join our dynamic team focused on the space domain. In this role, you will leverage advanced physics principles to develop, simulate, and analyze complex space infrastructure systems including satellite constellations, ground stations, orbital networks, and resilient architectures. Your work will directly inform analytical recommendations for future force design decisions and optimizing space capabilities for mission effectiveness, survivability, resiliency, and strategic superiority.  
This position is perfect for an analytical thinker who thrives on applying rigorous theory to real\-world space challenges, using data\-driven simulations to guide high\-stakes decisions in defense and national security space sectors. This is an on\-site role in Colorado Springs, CO.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Design and implement physics\-based models for space infrastructure, incorporating orbital dynamics, electromagnetic propagation, sensor phenomenology, environmental effects, and multi\-domain interactions.
* Conduct high\-fidelity simulations and analyses of space systems, evaluating performance under various scenarios (e.g., nominal operations, contested environments, debris fields).
* Develop analytical frameworks to assess system vulnerabilities, trade\-offs, and optimization opportunities, using tools like Monte Carlo methods, sensitivity analysis, and uncertainty quantification.
* Translate simulation results into actionable recommendations for force design, including architecture enhancements, resource allocation, and capability gaps.
* Collaborate with software engineers, data scientists, and decision\-makers to integrate models into broader analytical pipelines and decision\-support systems.
* Build and maintain scalable simulation environments, ensuring models are computationally efficient and validated against empirical data.
* Perform data analysis on large datasets from simulations, telemetry, or open\-source intelligence to derive insights and visualize outcomes.
* Contribute to technical reports, briefings, and strategic recommendations for stakeholders, including potential publication or presentation at industry conferences.
* Mentor junior team members and help shape best practices in space\-domain physics modeling.
Qualifications:
**Required:**  
* B.S. in Physics, Applied Physics, Aerospace Engineering, Operations Research, or a related field with a strong emphasis on theoretical modeling.
* At least 8\+ years of experience in space\-related modeling, simulation, and analysis (industry, national lab, government, or advanced research settings).
* Strong expertise in physics and theory relevant to space: orbital mechanics, astrodynamics, electromagnetics, radiation effects, satellite communications (ground and space\-based), position, navigation, and timing (PNT) systems, and systems engineering principles.
* Demonstrated ability to abstract theoretical concepts into practical models, simulations, and analytical frameworks that drive decision\-making.
* Experience with simulation tools such as STK (Systems Tool Kit), GMAT, FreeFlyer, AFSIM, or custom\-built propagators.
* Familiarity with force design concepts, mission analysis, or wargaming in space or multi\-domain operations.
* Strong problem\-solving skills and the ability work independently with limited, if any, technical definition of analytical problems.
* Excellent communication and teamwork abilities.
 **Desired:**  
* Advanced degree (M.S. or Ph.D.) in Physics, Applied Physics, Aerospace Engineering, Operations Research, or a related field with a strong emphasis on theoretical modeling.
* Background in space domain infrastructure analysis, including constellation design, coverage modeling, or resilience assessments.
* Experience with advanced techniques like physics\-informed machine learning, agent\-based modeling, or game theory for strategic recommendations.
* Knowledge of high\-performance computing (HPC), parallel processing, or cloud\-based simulation environments (e.g., AWS, Azure).
**Security Clearance Requirements:**
Candidate must possess an active TS/SCI or TS with SCI eligibility clearance and a willingness to obtain a CI Poly.  
Target salary range: $114,108 \- $203,112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t>
        </is>
      </c>
    </row>
    <row r="19">
      <c r="A19" t="inlineStr">
        <is>
          <t>in-321354daf72772d4</t>
        </is>
      </c>
      <c r="B19" t="inlineStr">
        <is>
          <t>Analytics Engineer - Clearance Required</t>
        </is>
      </c>
      <c r="C19" t="inlineStr">
        <is>
          <t>LMI</t>
        </is>
      </c>
      <c r="D19" t="inlineStr">
        <is>
          <t>indeed</t>
        </is>
      </c>
      <c r="E19">
        <f>HYPERLINK("https://www.indeed.com/viewjob?jk=321354daf72772d4", "https://www.indeed.com/viewjob?jk=321354daf72772d4")</f>
        <v/>
      </c>
      <c r="F19">
        <f>HYPERLINK("https://careers-lmi.icims.com/jobs/13551/job?utm_source=indeed_integration&amp;iis=Job%20Board&amp;iisn=Indeed&amp;indeed-apply-token=73a2d2b2a8d6d5c0a62696875eaebd669103652d3f0c2cd5445d3e66b1592b0f", "https://careers-lmi.icims.com/jobs/13551/job?utm_source=indeed_integration&amp;iis=Job%20Board&amp;iisn=Indeed&amp;indeed-apply-token=73a2d2b2a8d6d5c0a62696875eaebd669103652d3f0c2cd5445d3e66b1592b0f")</f>
        <v/>
      </c>
      <c r="G19" t="inlineStr">
        <is>
          <t>Colorado Springs, CO, US</t>
        </is>
      </c>
      <c r="H19" s="2" t="n">
        <v>46044</v>
      </c>
      <c r="I19" t="inlineStr">
        <is>
          <t>Overview:
LMI is seeking a Mid\-Level Analytics Engineer with deep expertise in physics and theoretical modeling to join our dynamic team focused on the space domain. In this role, you will leverage advanced physics principles to develop, simulate, and analyze complex space infrastructure systems including satellite constellations, ground stations, orbital networks, and resilient architectures. Your work will directly inform analytical recommendations for future force design decisions and optimizing space capabilities for mission effectiveness, survivability, resiliency, and strategic superiority.  
This position is perfect for an analytical thinker who thrives on applying rigorous theory to real\-world space challenges, using data\-driven simulations to guide high\-stakes decisions in defense and national security space sectors. This is an on\-site role in Colorado Springs, CO.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Design and implement physics\-based models for space infrastructure, incorporating orbital dynamics, electromagnetic propagation, sensor phenomenology, environmental effects, and multi\-domain interactions.
* Conduct high\-fidelity simulations and analyses of space systems, evaluating performance under various scenarios (e.g., nominal operations, contested environments, debris fields).
* Develop analytical frameworks to assess system vulnerabilities, trade\-offs, and optimization opportunities, using tools like Monte Carlo methods, sensitivity analysis, and uncertainty quantification.
* Translate simulation results into actionable recommendations for force design, including architecture enhancements, resource allocation, and capability gaps.
* Collaborate with software engineers, data scientists, and decision\-makers to integrate models into broader analytical pipelines and decision\-support systems.
* Build and maintain scalable simulation environments, ensuring models are computationally efficient and validated against empirical data.
* Perform data analysis on large datasets from simulations, telemetry, or open\-source intelligence to derive insights and visualize outcomes.
* Contribute to technical reports, briefings, and strategic recommendations for stakeholders, including potential publication or presentation at industry conferences.
* Mentor junior team members and help shape best practices in space\-domain physics modeling.
* 
Qualifications:
**Required:**  
* B.S. in Physics, Applied Physics, Aerospace Engineering, Operations Research, or a related field with a strong emphasis on theoretical modeling.
* At least 4\+ years of experience in space\-related modeling, simulation, and analysis (industry, national lab, government, or advanced research settings).
* Strong expertise in physics and theory relevant to space: orbital mechanics, astrodynamics, electromagnetics, radiation effects, satellite communications (ground and space\-based), position, navigation, and timing (PNT) systems, and systems engineering principles.
* Demonstrated ability to abstract theoretical concepts into practical models, simulations, and analytical frameworks that drive decision\-making.
* Experience with simulation tools such as STK (Systems Tool Kit), GMAT, FreeFlyer, AFSIM, or custom\-built propagators.
* Familiarity with force design concepts, mission analysis, or wargaming in space or multi\-domain operations.
* Strong problem\-solving skills and the ability work independently with limited, if any, technical definition of analytical problems.
* Excellent communication and teamwork abilities.
 **Desired:**  
* Advanced degree (M.S. or Ph.D.) in Physics, Applied Physics, Aerospace Engineering, Operations Research, or a related field with a strong emphasis on theoretical modeling.
* Background in space domain infrastructure analysis, including constellation design, coverage modeling, or resilience assessments.
* Experience with advanced techniques like physics\-informed machine learning, agent\-based modeling, or game theory for strategic recommendations.
* Knowledge of high\-performance computing (HPC), parallel processing, or cloud\-based simulation environments (e.g., AWS, Azure).
**Security Clearance Requirements:**
Candidate must possess an active TS/SCI or TS with SCI eligibility clearance and a willingness to obtain a CI Poly.  
Target salary range: $92,100 \- $160,000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t>
        </is>
      </c>
    </row>
    <row r="20">
      <c r="A20" t="inlineStr">
        <is>
          <t>in-76df69efeec0f1f1</t>
        </is>
      </c>
      <c r="B20" t="inlineStr">
        <is>
          <t>Data Engineer, Senior</t>
        </is>
      </c>
      <c r="C20" t="inlineStr">
        <is>
          <t>Booz Allen Hamilton</t>
        </is>
      </c>
      <c r="D20" t="inlineStr">
        <is>
          <t>indeed</t>
        </is>
      </c>
      <c r="E20">
        <f>HYPERLINK("https://www.indeed.com/viewjob?jk=76df69efeec0f1f1", "https://www.indeed.com/viewjob?jk=76df69efeec0f1f1")</f>
        <v/>
      </c>
      <c r="F20">
        <f>HYPERLINK("https://careers.boozallen.com/careers/JobDetail?jobId=119926", "https://careers.boozallen.com/careers/JobDetail?jobId=119926")</f>
        <v/>
      </c>
      <c r="G20" t="inlineStr">
        <is>
          <t>Huntsville, AL, US</t>
        </is>
      </c>
      <c r="H20" s="2" t="n">
        <v>46044</v>
      </c>
      <c r="I20" t="inlineStr">
        <is>
          <t>Data Engineer, Senior**The Opportunity:**
Ever\-expanding technology like IoT, machine learning, and artificial intelligence means that there’s more structured and unstructured data available today than ever before. As a data engineer, you know that organizing data can yield pivotal insights when it’s gathered from disparate sources. We need an experienced data engineer like you to help our clients find answers in their data to impact important missions from fraud detection to cancer research, to national intelligence.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Here, you’ll work with and guide a multi\-disciplinary team of analysts, data engineers, developers, and data consumers in a fast\-paced, agile environment. You’ll use your experience in analytical exploration and data examination while you manage the assessment, design, building, and maintenance of scalable platforms for your clients.
Join us. The world can’t wait.
**You Have:**
* Experience programming clean, secure, and efficient Java using established coding principles for scripting, data analysis, automation, and data warehousing
* Experience performing tuning on large datasets in Oracle databases to optimize performance
* Experience writing scripts to automate processes in the development workflow such as building, deploying, or managing Java applications
* Experience with CI/CD practices to automate builds, testing, and deployments
* Experience writing PL or SQL scripts and stored procedures for data manipulation, parsing, and processing within Oracle databases
* Ability to work in a complex enterprise environment and determine the best solution required for business and customer needs
* Ability to manage tasks and projects independently with minimal guidance and direction
* Top Secret clearance
* Bachelor's degree and 10\+ years of experience as a data engineer in a large volume enterprise system, or 14\+ years of experience as a data engineer in a large volume enterprise system in lieu of a degree
**Nice If You Have:**
* Experience with ETL tools such as Informatica
* Experience designing and creating data warehousing solutions
* Experience with DevOps tools and principles for collaboration and automation
* Experience working in various SDLC models such as Waterfall, Agile, Iterative, or Spiral
* Experience delivering solutions across all phases of the development lifecycle
* Knowledge of Informatica's role in data warehousing and business intelligence
* Knowledge of the benefits and usage of stored procedures, including for performance optimization and security
* Knowledge of Oracle database concepts, including partitioning for very large databases (VLDBs)
* TS/SCI clearance with a polygraph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$77,500\.00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
DRE1</t>
        </is>
      </c>
    </row>
    <row r="21">
      <c r="A21" t="inlineStr">
        <is>
          <t>in-19798365b8e54ad2</t>
        </is>
      </c>
      <c r="B21" t="inlineStr">
        <is>
          <t>Real-World Data &amp; Clinical Informatics Data Engineer, Senior</t>
        </is>
      </c>
      <c r="C21" t="inlineStr">
        <is>
          <t>Booz Allen Hamilton</t>
        </is>
      </c>
      <c r="D21" t="inlineStr">
        <is>
          <t>indeed</t>
        </is>
      </c>
      <c r="E21">
        <f>HYPERLINK("https://www.indeed.com/viewjob?jk=19798365b8e54ad2", "https://www.indeed.com/viewjob?jk=19798365b8e54ad2")</f>
        <v/>
      </c>
      <c r="F21">
        <f>HYPERLINK("https://careers.boozallen.com/careers/JobDetail?jobId=119870", "https://careers.boozallen.com/careers/JobDetail?jobId=119870")</f>
        <v/>
      </c>
      <c r="G21" t="inlineStr">
        <is>
          <t>Bethesda, MD, US</t>
        </is>
      </c>
      <c r="H21" s="2" t="n">
        <v>46044</v>
      </c>
      <c r="I21" t="inlineStr">
        <is>
          <t>Real\-World Data \&amp; Clinical Informatics Data Engineer, Senior**The Opportunity:**
As a Data Engineer, you will support the development and maintenance of scalable data stores that supply big data and real\-world data in forms needed for data analysis. You will be responsible for designing, building, and maintaining scalable data pipelines and infrastructure to support our data\-driven initiatives, including developing robust Extract, Transform, and Load (ETL) processes to integrate data from various sources into our data ecosystem, and designing and maintaining data models, schemas, and database structures to support analytical and operational use cases. You will collaborate closely with cross\-functional teams to ensure the availability, reliability, and performance of our data systems and solutions.
Join us. The world can't wait.
**You Have:**
* 5\+ years of experience with the entire ETL pipeline, including data acquisition, data preparation, and database architecture with accompanying codebooks, data dictionaries, and metadata repositories
* 3\+ years of experience with programming languages, such as Python, R, or SQL
* 2\+ years of experience in AWS and big data ecosystems
* Experience building real\-time data processing applications
* Experience with GitHub
* Ability to obtain and maintain a Public Trust or Suitability/Fitness determination based on client requirements
* Bachelor's degree
**Nice If You Have:**
* Experience with AI or ML pipelines and processes
* Experience with Metadata Management
* Experience in working with federal public health agencies
* Possession of excellent communication skills
* Master's degree preferred; Doctorate degree a plus
**Vetting:**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2">
      <c r="A22" t="inlineStr">
        <is>
          <t>in-6de54ae4bf1fbd4d</t>
        </is>
      </c>
      <c r="B22" t="inlineStr">
        <is>
          <t>Data Engineer, Senior</t>
        </is>
      </c>
      <c r="C22" t="inlineStr">
        <is>
          <t>Booz Allen Hamilton</t>
        </is>
      </c>
      <c r="D22" t="inlineStr">
        <is>
          <t>indeed</t>
        </is>
      </c>
      <c r="E22">
        <f>HYPERLINK("https://www.indeed.com/viewjob?jk=6de54ae4bf1fbd4d", "https://www.indeed.com/viewjob?jk=6de54ae4bf1fbd4d")</f>
        <v/>
      </c>
      <c r="F22">
        <f>HYPERLINK("https://careers.boozallen.com/careers/JobDetail?jobId=119866", "https://careers.boozallen.com/careers/JobDetail?jobId=119866")</f>
        <v/>
      </c>
      <c r="G22" t="inlineStr">
        <is>
          <t>Bethesda, MD, US</t>
        </is>
      </c>
      <c r="H22" s="2" t="n">
        <v>46044</v>
      </c>
      <c r="I22" t="inlineStr">
        <is>
          <t>Data Engineer, Senior**The Opportunity:**
As a Data Engineer, you will support the development and maintenance of scalable data stores that supply real\-world data in forms needed for data analysis. You will be responsible for designing, building, and maintaining scalable data pipelines and infrastructure to support our data\-driven initiatives, including developing robust Extract, Transform, and Load (ETL) processes to integrate data from various sources into our data ecosystem, and designing and maintaining data models, schemas, and database structures to support analytical and operational use cases. You will collaborate closely with cross\-functional teams to ensure the availability, reliability, and performance of our data systems and solutions.
Join us. The world can’t wait.
**You Have:**
* 5\+ years of experience with the entire ETL pipeline, including data acquisition, data preparation, and database architecture with accompanying codebooks, data dictionaries, and metadata repositories
* 3\+ years of experience with programming languages such as Python, R, or SQL
* 2\+ years of experience in AWS and big data ecosystems
* Experience building real\-time data processing applications
* Experience with GitHub
* Knowledge of cloud technologies
* Bachelor's degree
**Nice If You Have:**
* Experience with AI or ML pipelines and processes
* Experience with Metadata management
* Experience in working with federal public health agencies
* Possession of excellent communication skills
* Master’s degree preferred; Doctorate degree a plus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3">
      <c r="A23" t="inlineStr">
        <is>
          <t>in-7ccd7be94deb8d02</t>
        </is>
      </c>
      <c r="B23" t="inlineStr">
        <is>
          <t>Data Engineer</t>
        </is>
      </c>
      <c r="C23" t="inlineStr">
        <is>
          <t>Booz Allen Hamilton</t>
        </is>
      </c>
      <c r="D23" t="inlineStr">
        <is>
          <t>indeed</t>
        </is>
      </c>
      <c r="E23">
        <f>HYPERLINK("https://www.indeed.com/viewjob?jk=7ccd7be94deb8d02", "https://www.indeed.com/viewjob?jk=7ccd7be94deb8d02")</f>
        <v/>
      </c>
      <c r="F23">
        <f>HYPERLINK("https://careers.boozallen.com/careers/JobDetail?jobId=119839", "https://careers.boozallen.com/careers/JobDetail?jobId=119839")</f>
        <v/>
      </c>
      <c r="G23" t="inlineStr">
        <is>
          <t>Lorton, VA, US</t>
        </is>
      </c>
      <c r="H23" s="2" t="n">
        <v>46044</v>
      </c>
      <c r="I23" t="inlineStr">
        <is>
          <t>Data Engineer**The Opportunity:**
Do you want to work at the forefront of advanced technology and solve complex data challenges? You know that data yields pivotal insights when it’s gathered from disparate sources and organized. As a Data Engineer, you have the chance to develop and deploy the pipelines and platforms that make this data meaningful. What’s more, you’ll have the chance to grow Booz Allen’s DataOps and MLOps capabilities while working with a multi\-disciplinary team of analysts, data engineers, data scientists, developers, and data consumers in a fast\-paced, agile environment.
This is an opportunity to support data engineering activities on a high visibility and highly impacting analytics program for a Fortune 500 company. Driving innovation, you’ll have the chance to help architect a new data platform and build out modern and automated ETL data pipelines.
Work with us to use big data for good.
Join us. The world can’t wait.
**You Have:**
* 5\+ years of experience with building scalable ETL and ELT workflows for reporting and analytics
* 5\+ years of experience with Python and SQL
* 5\+ years of experience in working with big data technologies, including Databricks, and distributed computing processing such as Spark
* 4\+ years of experience in working with cloud data technologies and architecture
* 2\+ years of experience with utilizing programming languages, including C\+\+, Java, or Python
* Experience in creating solutions within a collaborative, cross\-functional team environment
* Secret clearance
* Bachelor's degree
**Nice If You Have:**
* 3\+ years of experience with working in an Agile development environment
* Experience in application development utilizing SQL or Scala
* Ability to manage activities and tasks from start to finish
* Ability to quickly learn technical concepts and communicate with multiple functional groups
* Ability to display a positive, can\-do attitude to solve challenges
* Bachelor’s degree in Computer Science or Computer Engineering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4">
      <c r="A24" t="inlineStr">
        <is>
          <t>in-bb864403de683b56</t>
        </is>
      </c>
      <c r="B24" t="inlineStr">
        <is>
          <t>Data Engineer</t>
        </is>
      </c>
      <c r="C24" t="inlineStr">
        <is>
          <t>Booz Allen Hamilton</t>
        </is>
      </c>
      <c r="D24" t="inlineStr">
        <is>
          <t>indeed</t>
        </is>
      </c>
      <c r="E24">
        <f>HYPERLINK("https://www.indeed.com/viewjob?jk=bb864403de683b56", "https://www.indeed.com/viewjob?jk=bb864403de683b56")</f>
        <v/>
      </c>
      <c r="F24">
        <f>HYPERLINK("https://careers.boozallen.com/careers/JobDetail?jobId=119819", "https://careers.boozallen.com/careers/JobDetail?jobId=119819")</f>
        <v/>
      </c>
      <c r="G24" t="inlineStr">
        <is>
          <t>Honolulu, HI, US</t>
        </is>
      </c>
      <c r="H24" s="2" t="n">
        <v>46044</v>
      </c>
      <c r="I24" t="inlineStr">
        <is>
          <t>Data Engineer**The Opportunity:**
As a data engineer at Booz Allen, you’ll help build advanced technology solutions and implement data engineering activities on some of the most mission\-driven projects in the industry. You’ll deploy and develop pipelines and platforms that organize and make disparate data meaningful.
To transform in today’s evolving digital world, organizations must harness the power of low\-code applications to improve business processes, improve data quality, and drive efficiencies. Do you thrive on digging deep into complex data challenges and helping people solve problems? Do you enjoy making processes more efficient and automated? As a data engineer focused on Microsoft Power Platform, you know how to apply your critical\-thinking, business analytics, and technical expertise to improve processes, tools, and develop applications and dashboards. If you’re ready to grow your industry knowledge and develop solutions for national security, there’s a place for you at Booz Allen. You’ll help introduce and recommend new ideas that deliver deep visibility and insights while being part of a supportive team that roots you on.
Join us. The world can’t wait.
**You Have:**
* 3\+ years of experience analyzing and managing data, including data visualization, data management, data governance, data strategy, data policy, or data engineering
* 3\+ years of experience using Microsoft Power Platform, including Power BI, Power Apps or Power Automate, to help improve business processes and analytics
* Experience with automated workflows using Power Automate and developing canvas and model\-driven apps
* Experience analyzing data to interpret data, identify trends, solve problems and communicate actionable insights using Power BI advanced visualization capabilities
* Experience documenting improvements to business processes, workflows, and analytics
* Ability to work on client site in the State of Hawaii
* Ability to obtain a Secret clearance
* Bachelor's degree
**Nice If You Have:**
* Experience with the Department of War (DoW)
* Experience with Microsoft Power Query, Databricks, or SQL for data engineering and Agile
* Experience with MS Dataverse
* Experience with process improvement approaches and methodologies, including Business Process Reengineering, Lean Six Sigma, or Continuous Process Improvement
* Ability to synthesize results and deliver presentations to product owners or stakeholders
* Ability to learn quickly and adapt to changing organizational processes
* Secret clearance
* Microsoft Certification, including Power Platform Certification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5">
      <c r="A25" t="inlineStr">
        <is>
          <t>in-2d0460065f0921b7</t>
        </is>
      </c>
      <c r="B25" t="inlineStr">
        <is>
          <t>Data Engineer, Mid</t>
        </is>
      </c>
      <c r="C25" t="inlineStr">
        <is>
          <t>Booz Allen Hamilton</t>
        </is>
      </c>
      <c r="D25" t="inlineStr">
        <is>
          <t>indeed</t>
        </is>
      </c>
      <c r="E25">
        <f>HYPERLINK("https://www.indeed.com/viewjob?jk=2d0460065f0921b7", "https://www.indeed.com/viewjob?jk=2d0460065f0921b7")</f>
        <v/>
      </c>
      <c r="F25">
        <f>HYPERLINK("https://careers.boozallen.com/careers/JobDetail?jobId=119746", "https://careers.boozallen.com/careers/JobDetail?jobId=119746")</f>
        <v/>
      </c>
      <c r="G25" t="inlineStr">
        <is>
          <t>Falls Church, VA, US</t>
        </is>
      </c>
      <c r="H25" s="2" t="n">
        <v>46044</v>
      </c>
      <c r="I25" t="inlineStr">
        <is>
          <t>Data Engineer, Mid**The Opportunity:**
Apply broad understanding of the principles of computer and information science to build data pipelines using Python and PySpark. Import and sync to various data sources, clean and standardize data elements, and fix data quality issues. Collect, manage, and convert raw data into usable information for clients, data scientists, and business analysts to interpret. Use code authoring tools in designated platforms to make data accessible so that organizations can use it to evaluate and optimize policy. Build processes for users and data owners to interact with their data in platform, using a variety of technologies, including Python, TypeScript, and JavaScript. Develop innovative solutions to complex data\-driven problems and operate with substantial latitude for unreviewed action or decision.
**You Have:**
* 2\+ years of experience working in a professional environment
* Experience with Python
* Experience with data integration and management
* Knowledge of fundamental principles of programming or web development
* Ability to obtain and maintain a Public Trust or Suitability/Fitness determination based on client requirements
* Bachelor's degree
**Nice If You Have:**
* Experience with Palantir Foundry
* Experience with R
* Experience with JavaScript, TypeScript, HTML, and CSS
* Experience with version control systems, including GIT
* Experience working in a public health environment
* Knowledge of PySpark
* Knowledge of Agile and Scrum processes
* Master's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6">
      <c r="A26" t="inlineStr">
        <is>
          <t>in-185595e3162088c1</t>
        </is>
      </c>
      <c r="B26" t="inlineStr">
        <is>
          <t>Health Data Engineer</t>
        </is>
      </c>
      <c r="C26" t="inlineStr">
        <is>
          <t>Booz Allen Hamilton</t>
        </is>
      </c>
      <c r="D26" t="inlineStr">
        <is>
          <t>indeed</t>
        </is>
      </c>
      <c r="E26">
        <f>HYPERLINK("https://www.indeed.com/viewjob?jk=185595e3162088c1", "https://www.indeed.com/viewjob?jk=185595e3162088c1")</f>
        <v/>
      </c>
      <c r="F26">
        <f>HYPERLINK("https://careers.boozallen.com/careers/JobDetail?jobId=119728", "https://careers.boozallen.com/careers/JobDetail?jobId=119728")</f>
        <v/>
      </c>
      <c r="G26" t="inlineStr">
        <is>
          <t>Bethesda, MD, US</t>
        </is>
      </c>
      <c r="H26" s="2" t="n">
        <v>46044</v>
      </c>
      <c r="I26" t="inlineStr">
        <is>
          <t>Health Data Engineer**The Opportunity:**
As a data engineer, you know that organizing big data can yield pivotal insights when it’s gathered from disparate sources. We need a data professional like you to help our clients find answers in their big data to impact important missions.
As a Health Data Engineer at Booz Allen, you’ll use your skills and experience to implement data engineering activities on some of the most mission\-driven projects in the healthcare management, delivery, research, and public health space. You’ll develop and deploy the pipelines and platforms that organize and make disparate data meaningful. Here, you’ll work with a multi\-disciplinary team of analysts, data engineers, developers, and data consumers in a fast\-paced, agile environment. You’ll sharpen your skills in analytical exploration and data examination while you support the assessment, design, development, and maintenance of scalable platforms for your clients.
Join us. The world can’t wait.
**You Have:**
* 3\+ years of experience designing, developing, operationalizing, and maintaining complex data applications at enterprise scale
* 3\+ years of experience creating software for retrieving, parsing, and processing structured and unstructured data
* 2\+ years of experience with distributed data and computing tools, including Databricks, PySpark, or Spark
* Ability to develop scripts and programs for converting various types of data into usable formats and support project team to scale, monitor, and operate data platforms
* Ability to obtain and maintain a Public Trust or Suitability/Fitness determination based on client requirements
* Bachelor’s degree
**Nice If You Have:**
* Experience in the healthcare field
* Experience with application development using SQL or Scala
* Experience with a public cloud, including AWS, Microsoft Azure, or Google Cloud
* Experience working on real\-time data and streaming applications
* Experience with NoSQL implementation using MongoDB or Cassandra
* Experience with data warehousing, including AWS Redshift, MySQL, or Snowflake
* Experience with UNIX and Linux, including basic commands and Shell scripting
* Experience with Agile engineering practices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$62,000\.00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7">
      <c r="A27" t="inlineStr">
        <is>
          <t>in-9bc4266d8dbca3bd</t>
        </is>
      </c>
      <c r="B27" t="inlineStr">
        <is>
          <t>Data Engineer</t>
        </is>
      </c>
      <c r="C27" t="inlineStr">
        <is>
          <t>FLOWORKS INTERNATIONAL, LLC</t>
        </is>
      </c>
      <c r="D27" t="inlineStr">
        <is>
          <t>indeed</t>
        </is>
      </c>
      <c r="E27">
        <f>HYPERLINK("https://www.indeed.com/viewjob?jk=9bc4266d8dbca3bd", "https://www.indeed.com/viewjob?jk=9bc4266d8dbca3bd")</f>
        <v/>
      </c>
      <c r="F27">
        <f>HYPERLINK("https://workforcenow.adp.com/mascsr/default/mdf/recruitment/recruitment.html?cid=0af6bde5-f4b3-4678-8a1b-907e525cc561&amp;ccId=19000101_000001&amp;jobId=579152&amp;source=IN&amp;lang=en_US", "https://workforcenow.adp.com/mascsr/default/mdf/recruitment/recruitment.html?cid=0af6bde5-f4b3-4678-8a1b-907e525cc561&amp;ccId=19000101_000001&amp;jobId=579152&amp;source=IN&amp;lang=en_US")</f>
        <v/>
      </c>
      <c r="G27" t="inlineStr">
        <is>
          <t>Houston, TX, US</t>
        </is>
      </c>
      <c r="H27" s="2" t="n">
        <v>46044</v>
      </c>
      <c r="I27" t="inlineStr">
        <is>
          <t>*FloWorks is a leading, privately held specialty industrial supplier of pipe, valves, fittings, and related products, as well as a provider of technical solutions to the energy and industrial sectors. Headquarters in Houston, Texas, Floworks is dedicated to delivering exceptional products, expertise, and service to its customers.*
 **Job Information:**
As the Data Engineer you are responsible for building, managing, and optimizing cloud\-based data solutions to support business processes and analytics across the organization. This role requires expertise in ETL development, data modeling, cloud technologies, and business intelligence to ensure data integrity, insightful analysis, and effective reporting.
**Key Responsibilities:**
Data Analytics:
* Build and manage cloud ETL processes for data extraction, transformation, and loading from multiple sources into data lakes and data warehouses primarily within Microsoft Data Fabric.
* Apply business rules, audit, and stage data to ensure data integrity and compliance.
* Develop fact and dimension tables to support Power BI report development and other business intelligence needs.
* Create visualizations and reports to meet business requirements and support decision\-making.
* Provide business analysis, problem\-solving, and creativity to identify KPIs and metrics that drive business goals.
* Ensure timely and accurate performance on assigned projects, maintaining compliance with project budgets and deadlines.
* Proactively engage in projects, recognize and resolve problems, and implement solutions independently.
* Collaborate with cross\-functional teams to gather complete datasets and communicate findings company\-wide.
* Train stakeholders on best practices for data reporting and self\-service analytics.
System Integration and IPAAS solutions:
* Integrate data across systems using REST and SOAP APIs, including authentication (OAuth), API keys, pagination, rate limits, retries, and error handling.
* Design and manage scalable data ingestion pipelines that pull data from SaaS platforms such as Salesforce, NetSuite, Workday, or ERP systems.
* Build and maintain internal data APIs to support curated datasets for analysts and applications.
* Translate API payloads (JSON, XML) into internal data models for loading into data lakes, warehouses, or MDM environments.
* Support Master Data Management (MDM) processes by integrating and synchronizing core business entities across platforms, ensuring consistent, governed, and high‑quality master data throughout the ecosystem.
* Implement middleware workflows using platforms such as Azure Logic Apps, Azure Data Factory, MuleSoft, Boomi, or Informatica Cloud.
* Develop event‑driven integrations using messaging systems such as Azure Service Bus, Kafka, or RabbitMQ.
* Build end‑to‑end orchestration workflows that call APIs, transform data, and deliver it to destination systems.
* Apply integration patterns such as ETL/ELT, Change Data Capture (CDC), event streaming, batch vs. real‑time ingestion, and data synchronization.
* Ensure secure API access (OAuth flows, token refresh logic) and apply governance practices for PII, auditability, and cross‑platform data flows.
* Support cloud‑aligned practices including automated deployment of API connectors or middleware workflows using CI/CD.
**Qualifications:**
* Bachelor’s degree in technology, mathematics, statistics, accounting, finance, or a related quantitative discipline.
* Over 5 years of experience in data analytics Microsoft Fabric (high grade).
* Prior in\-depth hands\-on experience with system integrations utilizing Boomi is required for this position.
* Expert in SQL (a must\-have skill).
* Highly experienced in cloud technologies, with a strong preference for Microsoft Fabric, DBT, and Azure. Experience with Databricks, Snowflake, and AWS may also be considered.
* Proficient in Python programming and data modeling using the Kimball Method (Star Schema).
* Skilled in analytical and visualization tools, with a strong preference for Power BI. Experience with Tableau may also be considered.
* Experience and passion for training data science and machine learning models.
* Familiarity with Git and source control concepts.
* Experience with Databricks, Airflow, Python, AI, AWS, and data integrations with ERPs or Salesforce is a plus.
* Ability to work with Azure DevOps and cross\-functional teams to define analytics use cases and translate them into technical solutions.
* Strong intellectual and analytical curiosity, adaptability, and independence.
**Physical Demands**
* Frequently required to stand
* Frequently required to walk
* Continually required to sit
* Continually required to utilize hand and finger dexterity
* Occasionally balance, bend, stoop, kneel or crawl
* Continually required to talk or hear
* Continually utilize visual acuity to read technical information and/or use a keyboard
* Occasionally required to lift/push/carry items up to 25 pounds
* Occasionally work near moving mechanical parts
* Occasionally exposure to outside weather conditions
* Occasionally loud noise (examples: shop tool noises, electric motors, moving mechanical equipment)
**Work Environment**
This role operates in a professional office environment with flexibility for hybrid work. Standard office equipment such as computers, phones, and printers are used. Occasional visits to warehouses or operational sites may be required.
**The Perks of Working Here**
FloWorks offers a competitive benefits package designed to support your health, financial well\-being, and work\-life balance. Highlights include:
* Medical, Dental \&amp; Vision Insurance with multiple plan options
* Company\-paid Life and Disability Insurance
* 401(k) with company match
* Health Savings \&amp; Flexible Spending Accounts
* Supplemental coverage (Accident, Critical Illness, Hospital Indemnity)
* Employee Assistance Program (includes 3 free counseling sessions)
* Identity Theft Protection at discounted rates
 *This information indicates the general nature and level of work performed by associates in this role. It is not designed to contain a comprehensive inventory of all duties, responsibilities, and qualifications required of associates assigned to this role. This description supersedes any previous or undated descriptions for this role. Management retains the right to add or change the duties of the position at any time. Questions about the duties and responsibilities of this position should be directed to the reporting Manager or Human Resources.*
*FloWorks is an equal opportunity employer and gives consideration for employment to qualified applicants without regard to race, color, religion, gender, gender identity, sexual orientation, national origin, genetics, disability, age, or protected veteran status. Committed to fostering a culture where every individual is valued and empowered to contribute to shared success.*
*FloWorks participates in the US Government’s E\-Verify program.*</t>
        </is>
      </c>
    </row>
    <row r="28">
      <c r="A28" t="inlineStr">
        <is>
          <t>in-bccfeec3a175a5b2</t>
        </is>
      </c>
      <c r="B28" t="inlineStr">
        <is>
          <t>Geospatial Data Engineer</t>
        </is>
      </c>
      <c r="C28" t="inlineStr">
        <is>
          <t>NV5</t>
        </is>
      </c>
      <c r="D28" t="inlineStr">
        <is>
          <t>indeed</t>
        </is>
      </c>
      <c r="E28">
        <f>HYPERLINK("https://www.indeed.com/viewjob?jk=bccfeec3a175a5b2", "https://www.indeed.com/viewjob?jk=bccfeec3a175a5b2")</f>
        <v/>
      </c>
      <c r="F28">
        <f>HYPERLINK("https://careers-nv5.icims.com/jobs/11745/job?utm_source=indeed_integration&amp;iis=Job%20Board&amp;iisn=Indeed&amp;indeed-apply-token=73a2d2b2a8d6d5c0a62696875eaebd669103652d3f0c2cd5445d3e66b1592b0f", "https://careers-nv5.icims.com/jobs/11745/job?utm_source=indeed_integration&amp;iis=Job%20Board&amp;iisn=Indeed&amp;indeed-apply-token=73a2d2b2a8d6d5c0a62696875eaebd669103652d3f0c2cd5445d3e66b1592b0f")</f>
        <v/>
      </c>
      <c r="G28" t="inlineStr">
        <is>
          <t>Broomfield, CO, US</t>
        </is>
      </c>
      <c r="H28" s="2" t="n">
        <v>46044</v>
      </c>
      <c r="I28" t="inlineStr">
        <is>
          <t>Overview:
NV5 is seeking an experienced and motivated **Geospatial Data Engineer** to work as part of a growing team of Geospatial, AI, and Data Ccience professionals. The role will entail designing, implementing, and maintaining databases and other data architectures within internal and client cloud infrastructures to support geospatial analysis and ML/AI applications on large data. The Geospatial Data Engineer will also provide potential enterprise architecture solutions in support of business development. **Work Environment:*** Location: This position is a fully remote position within an engaged, virtual division at NV5\.
* Travel \&lt;10% of the time
* **Proof of U.S. Citizenship is required.**
NV5 is a global technology solutions and consulting services company with a workforce of over 4,500 professionals in more than 100 offices worldwide. NV5’s continued growth has been spurred through strategic investments in firms with unique capabilities to help current and future customers solve the world’s toughest problems. The NV5 family brings together talent across a wide range of markets and fields, including Professional Engineers, Professional Land Surveyors, Architects, Photogrammetrists, GIS Professionals, Software Developers, IT, Project Management Professionals, and more.  
At NV5 Geospatial, We are a collaboration of intelligent, innovative thinkers who care for each other, our communities, and the environment. We value both heart and head, the diversity of our people, and their experiences because that is how we continue to grow as a leader in our industry and expand our individual and collective potential.
Responsibilities:
* Translate business requirements into technical specifications, data models, data streams, and databases
* Convert or embed ML/AI workflows into production\-grade, enterprise systems
* Design, develop, and maintain infrastructure for geospatial analysis and ML/AI applications on large data
* Develop API\-driven backend services with FastAPI, Pydantic, and async Python
* Work with columnar analytics stacks (DuckDB, PyArrow, Parquet / GeoParquet)
* Deploy monitoring tools to track status and performance of system architecture and data flows
* Propose enterprise data architecture solutions in support of business development
Qualifications:
**Minimum Qualifications:*** Bachelor’s degree from an accredited university in Computer Science, Information Technology, or a related field
* 5 years of experience in data science, geospatial, IT, ML/AI, or related field
**Required Skills:*** Data/database architecture design within cloud computing infrastructure
* Database management
* Systems analysis
* Experience working with Geospatial data
* Proven ability to design efficient spatial data pipelines
* Strong Python engineering experience in production systems
* Comfort working in backend systems that integrate with LLMs and AI
* Comfort working as part of a software development team
* Strong focus on correctness, reproducibility, and explainability
* Strong written and verbal communication skills
**Desired Skills and Certifications:*** Web map application development
* Performing data analysis
* RAG and embeddings AI application development experience
* Experience integrating LLM services via clean Python interfaces
* Experience with data lakehouse platforms such as Databricks
* Familiarity with a variety of geospatial data formats
* Understanding of geospatial metadata requirements
* Security\+ Certification
**Preferred Languages and Software:*** PostGIS
* PostgreSQL
* MySQL
* Python
* Databricks Platform
* FOSS GIS Software (GDAL/OGR, PROJ, Leaflet, etc.)
* FOSS GIS Platforms (GeoServer, QGIS, GRASS GIS)
* Esri GIS Platforms (Desktop/Enterprise/Online)
* STAC Spec
*Please be aware that some of our positions may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*NV5 offers a competitive compensation and benefits package including medical, dental, life insurance, PTO, 401(k) and professional development/advancement opportunities.* *NV5 provides equal employment opportunities (EEO) to all applicants for employment without regard to race, color, religion, gender, sexual orientation, gender identity or expression, national origin, age, disability, genetic information, marital status, amnesty, or status as a covered veteran in accordance with applicable federal, state, and local laws. NV5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*\#LI\-Remote*</t>
        </is>
      </c>
    </row>
    <row r="29">
      <c r="A29" t="inlineStr">
        <is>
          <t>in-497f2ae50a27f96a</t>
        </is>
      </c>
      <c r="B29" t="inlineStr">
        <is>
          <t>Sr. Mgr, Data Engineering</t>
        </is>
      </c>
      <c r="C29" t="inlineStr">
        <is>
          <t>Information Technology Senior Management Forum</t>
        </is>
      </c>
      <c r="D29" t="inlineStr">
        <is>
          <t>indeed</t>
        </is>
      </c>
      <c r="E29">
        <f>HYPERLINK("https://www.indeed.com/viewjob?jk=497f2ae50a27f96a", "https://www.indeed.com/viewjob?jk=497f2ae50a27f96a")</f>
        <v/>
      </c>
      <c r="F29">
        <f>HYPERLINK("https://jobs.itsmfleaders.org/job/r64z73/sr-mgr-data-engineering/mclean/va", "https://jobs.itsmfleaders.org/job/r64z73/sr-mgr-data-engineering/mclean/va")</f>
        <v/>
      </c>
      <c r="G29" t="inlineStr">
        <is>
          <t>McLean, VA, US</t>
        </is>
      </c>
      <c r="H29" s="2" t="n">
        <v>46044</v>
      </c>
      <c r="I29" t="inlineStr">
        <is>
          <t>Posted Date
1/23/2026
Description
Sr. Mgr, Data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2\+ years of hands\-on experience using AI\-powered coding tools (e.g., Windsurf, GitHub Copilot, Cursor) to boost development productivity
* 2\+ years proven ability to integrate AI capabilities effectively into development workflows and team processes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Sr. Mgr, Data Engineering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Manager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 At least 4 years of people management experience
**Preferred Qualifications:**
* Master's Degree
* 9\+ years of experience in application development including Python, SQL, Scala, or Java
* 4\+ years of experience with a public cloud (AWS, Microsoft Azure, Google Cloud)
* 2\+ years of hands\-on experience using AI\-powered coding tools (e.g., Windsurf, GitHub Copilot, Cursor) to boost development productivity
* 2\+ years proven ability to integrate AI capabilities effectively into development workflows and team processes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 6\+ years of people management experience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Data Engineering  
Richmond, VA: $209,000 \- $238,500 for Sr. Mgr,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229,900\.00 \- 262,400\.00 Annual
Type
Full\-time</t>
        </is>
      </c>
    </row>
    <row r="30">
      <c r="A30" t="inlineStr">
        <is>
          <t>in-15010b5fe835a2d0</t>
        </is>
      </c>
      <c r="B30" t="inlineStr">
        <is>
          <t>Sr. Analytics Engineer</t>
        </is>
      </c>
      <c r="C30" t="inlineStr">
        <is>
          <t>Advanced Medical Management</t>
        </is>
      </c>
      <c r="D30" t="inlineStr">
        <is>
          <t>indeed</t>
        </is>
      </c>
      <c r="E30">
        <f>HYPERLINK("https://www.indeed.com/viewjob?jk=15010b5fe835a2d0", "https://www.indeed.com/viewjob?jk=15010b5fe835a2d0")</f>
        <v/>
      </c>
      <c r="F30">
        <f>HYPERLINK("https://workforcenow.adp.com/mascsr/default/mdf/recruitment/recruitment.html?cid=5475ab46-8b12-43d7-a08b-0c38e007b555&amp;ccId=9200929381539_2&amp;jobId=590148&amp;source=IN&amp;lang=en_US", "https://workforcenow.adp.com/mascsr/default/mdf/recruitment/recruitment.html?cid=5475ab46-8b12-43d7-a08b-0c38e007b555&amp;ccId=9200929381539_2&amp;jobId=590148&amp;source=IN&amp;lang=en_US")</f>
        <v/>
      </c>
      <c r="G30" t="inlineStr">
        <is>
          <t>US</t>
        </is>
      </c>
      <c r="H30" s="2" t="n">
        <v>46044</v>
      </c>
      <c r="I30" t="inlineStr">
        <is>
          <t>**Summary Details:**
We’re building our data foundation from the ground up, and we’re looking for someone who can help shape it. As our Senior Analytics Engineer, you’ll take ownership of developing, standardizing, and scaling our dbt project that will power analytics across the organization. You’ll bring structure to a growing, complex data landscape, helping establish how data is modeled, governed, and delivered from ingestion through BI.
You’ll work closely with data analysts, engineers, and product stakeholders to define best practices, enforce conventions, and guide the evolution of our DBT project. You’ll be a player\-coach: hands\-on with modeling and SQL the majority of the time, while helping the broader team adopt dbt workflows, version control, and solid data practices.
**What you’ll do:**
* Design, build, and maintain dbt models in Snowflake, implementing scalable, well\-documented data structures.
* Establish and enforce modeling standards, naming conventions, and version control practices (GitLab).
* Conduct code reviews and mentor teammates on dbt and SQL development patterns.
* Collaborate cross\-functionally to understand business processes and translate them into clear, reliable data models.
* Help formalize internal documentation and onboarding materials for analytics engineering practices.
* Contribute to data governance and quality frameworks to ensure consistent, trusted data outputs.
* Partner with engineering on integrations and data pipeline improvements (Dagster familiarity a plus).
**What you bring:**
* Deep hands\-on experience with dbt Core and SQL (Snowflake preferred, MSSQL a bonus).
* Proven ability to design and maintain scalable analytics models and define standards for others.
* Strong understanding of modern data stack principles and Git\-based workflows.
* Experience working cross\-functionally to gather requirements and shape data solutions.
* Healthcare experience preferred, especially value\-based care
**AMM BENEFITS**
When you join AMM, you’re not just getting a job—you’re getting a benefits package that puts YOU first:
* **Health Coverage You Can Count On**: Full employer\-paid **HMO** and the option for a **flexible PPO plan**.
* **Wellness Made Affordable**: Discounted **vision and dental premiums** to help keep you healthy from head to toe.
* **Smart Spending**: **FSAs** to manage healthcare and dependent care costs, plus a **401(k)** to secure your future.
* **Work\-Life Balance**: Generous **PTO**, **40 hours of sick pay**, and **13 paid holidays** to enjoy life outside of work.
* **Career Development**: **Tuition reimbursement** to support your education and growth.
* **Team Fun**: **Paid company outings** and **lunches** because we work hard, but we also know how to have fun!</t>
        </is>
      </c>
    </row>
    <row r="31">
      <c r="A31" t="inlineStr">
        <is>
          <t>in-985dff9a20b5a27a</t>
        </is>
      </c>
      <c r="B31" t="inlineStr">
        <is>
          <t>Director of Data Engineering</t>
        </is>
      </c>
      <c r="C31" t="inlineStr">
        <is>
          <t>Vertex Education</t>
        </is>
      </c>
      <c r="D31" t="inlineStr">
        <is>
          <t>indeed</t>
        </is>
      </c>
      <c r="E31">
        <f>HYPERLINK("https://www.indeed.com/viewjob?jk=985dff9a20b5a27a", "https://www.indeed.com/viewjob?jk=985dff9a20b5a27a")</f>
        <v/>
      </c>
      <c r="F31">
        <f>HYPERLINK("https://vertexeducation.wd1.myworkdayjobs.com/en-US/VertexCareers/job/Chandler/Director-of-Data-Engineering_R10824", "https://vertexeducation.wd1.myworkdayjobs.com/en-US/VertexCareers/job/Chandler/Director-of-Data-Engineering_R10824")</f>
        <v/>
      </c>
      <c r="G31" t="inlineStr">
        <is>
          <t>Chandler, AZ, US</t>
        </is>
      </c>
      <c r="H31" s="2" t="n">
        <v>46044</v>
      </c>
      <c r="I31" t="inlineStr">
        <is>
          <t>*Be the one who makes a difference!*
At Vertex Education we are a team of high achievers, courageous leaders, and passionate believers in changing lives through education. As a purpose\-led education services provider, our mission is destined to benefit many and yet it starts with just one person inspired to work together with us to make a memorable and meaningful difference for our clients, schools, students, and communities. Be the one who makes a difference—with us.
At Vertex Education, we believe that data is a powerful driver of change in K–12 education. As the Director of Data Engineering, you will lead the development of scalable data platforms and innovative products that empower educators, school leaders, and internal teams to make informed decisions. By architecting modern infrastructure and mentoring a high\-performing team, you will help transform complex information into actionable insights. Your leadership will directly support our mission of changing lives through education—ensuring that every data point moves us closer to better outcomes for students and schools.
ESSENTIAL FUNCTIONS:
Self\-Service Platform Development \&amp; Enablement:* Design and maintain intuitive, reliable data models using dbt to support self\-service analytics.
* Build and operate data ingestion pipelines using Fivetran and Azure Data Factory for internal and external sources.
* Administer and optimize the Snowflake data warehouse and Tableau platform for performance, availability, and cost\-efficiency.
* Create training materials, host office hours, and promote data literacy to increase analytics adoption across the organization.
Commercial Data Product Development:* Partner with business development and service leaders to scope and design revenue\-generating data products for external clients.
* Lead end\-to\-end product development, from prototype to production deployment and ongoing support.
* Build data integration solutions that unify legacy student information systems while ensuring interoperability and scalability.
* Translate data capabilities into clear value propositions and documentation for sales and client teams.
Team Leadership \&amp; Engineering Excellence:* Provide direct technical coaching and mentorship to data engineers, accelerating skill development and impact.
* Establish foundational engineering practices including version control, code reviews, and CI/CD pipelines.
* Lead backlog grooming and sprint planning to prioritize and deliver high\-impact work quickly and consistently.
* Define team roles, manage hiring processes, and onboard new team members to strengthen engineering capacity.
Strategic Execution \&amp; Data Governance* Collaborate with executive stakeholders to maintain a prioritized, cross\-divisional data roadmap.
* Lead the Data Governance Council to standardize metrics, improve data quality, and manage access policies.
* Ensure compliance with data privacy laws (e.g., FERPA) through strong encryption, access controls, and audits.
* Manage the data platform budget, including cloud infrastructure and vendor contracts, to control cost of ownership.
KNOWLEDGE, SKILLS, \&amp; ABILITIES:
Required Qualifications:* Bachelor’s degree in Computer Science, Data Engineering, Information Systems, or a related field.
* Proven experience leading, mentoring, and hiring a data engineering team in a player\-coach capacity.
* Hands\-on expertise with modern data stacks, including Snowflake, dbt, Fivetran, and Azure Data Factory.
* Demonstrated success in building data models and platforms that enable self\-service analytics.
* Experience managing competing priorities and maintaining a data roadmap across cross\-functional stakeholders.
* Strong background in data governance, metric standardization, and data quality frameworks.
* Proficiency managing the full software development lifecycle (SDLC) within an agile environment.
* Experience managing operational budgets for cloud infrastructure and vendor tools.
* Knowledge of and experience with data privacy regulations, such as FERPA, in an educational data context.
Preferred Qualifications:* Experience developing and launching data products or services for external clients.
* Familiarity with integrating legacy systems and disparate data sources into unified pipelines.
* Proficiency with Tableau and other business intelligence/visualization tools.
* Ability to communicate complex technical strategies clearly to non\-technical executives.
* Experience working within or providing services to the education sector.
* Hands\-on experience with vector databases and embedding pipelines for AI/ML workloads.
* Knowledge of semantic layers and knowledge graphs to support machine\-readable business logic.
BACKGROUND CHECKS:* The incumbent in this position will be required to pass a criminal history background check
PHYSICAL AND TRAVEL REQUIREMENTS / WORK ENVIRONMENT:* This position may require sitting for long periods at times, talking on the phone, standing, kneeling, stooping and long periods of concentration.
*Be excited to be a part of our team and grow your career with us!*
Be the one who enables us to positively impact over 258,000 students across multiple states while driving our growth forward so we can enrich even more lives. Be the one who helps us achieve excellence for over 226 schools that we support with academics, finance, technology, human resources, communications, marketing, facilities, construction, and food services. Be the one who is a diverse thinker, a team player, a smart risk taker, an innovator, and a difference maker by encouraging others to climb higher and reach farther to further education.* Be yourself surrounded by wonderful people who care about you, value your unique skills, and lift you up.
* Be supported in your work by caring leaders and team members who want you to succeed.
* Be empowered to make a difference and climb higher and reach farther to change lives through education.
* Be well in all aspects of your life from your physical, mental, and emotional wellbeing to your finances.
* Enjoy industry\-leading pay, rewards, referral bonuses, with unlimited flexible paid time\-off for performance.
* Be able to care for your health and your family with comprehensive medical, dental and vision benefits and invest in your future with 401(k) plans with a 6% employer match on your contributions.
* Enhance your growth and development with mentoring and money to take training classes.
* Thrive in a welcoming, supportive, and inclusive environment where we treat others with fairness and respect, celebrate diversity, and elevate equality and inclusion as an equal opportunity employer.
*Be the one who makes a difference!*
With an innovative mind, a hungry heart, and engaging spirit you can change lives through education. Be a part of Vertex Education and let’s make a difference together. Apply Today!</t>
        </is>
      </c>
    </row>
    <row r="32">
      <c r="A32" t="inlineStr">
        <is>
          <t>in-c02cc517d3e338b4</t>
        </is>
      </c>
      <c r="B32" t="inlineStr">
        <is>
          <t>Senior ML Data Engineer (P508) New</t>
        </is>
      </c>
      <c r="C32" t="inlineStr">
        <is>
          <t>84.51°</t>
        </is>
      </c>
      <c r="D32" t="inlineStr">
        <is>
          <t>indeed</t>
        </is>
      </c>
      <c r="E32">
        <f>HYPERLINK("https://www.indeed.com/viewjob?jk=c02cc517d3e338b4", "https://www.indeed.com/viewjob?jk=c02cc517d3e338b4")</f>
        <v/>
      </c>
      <c r="F32">
        <f>HYPERLINK("https://job-boards.greenhouse.io/8451/jobs/8378964002", "https://job-boards.greenhouse.io/8451/jobs/8378964002")</f>
        <v/>
      </c>
      <c r="G32" t="inlineStr">
        <is>
          <t>Cincinnati, OH, US</t>
        </is>
      </c>
      <c r="H32" s="2" t="n">
        <v>46044</v>
      </c>
      <c r="I32" t="inlineStr">
        <is>
          <t>**84\.51° Overview:**
84\.51° is a retail data science, insights and media company. We help The Kroger Co., consumer packaged goods companies, agencies, publishers and affiliates create more personalized and valuable experiences for shoppers across the path to purchase.
Powered by cutting\-edge science, we utilize first\-party retail data from more than 62 million U.S. households sourced through the Kroger Plus loyalty card program to fuel a more customer\-centric journey using 84\.51° Insights, 84\.51° Loyalty Marketing and our retail media advertising solution, Kroger Precision Marketing.
*84\.51° follows a 5‑day in‑office work schedule to support collaboration, alignment, and team connection.*
Join us at 84\.51°!
\_\_\_\_\_\_\_\_\_\_\_\_\_\_\_\_\_\_\_\_\_\_\_\_\_\_\_\_\_\_\_\_\_\_\_\_\_\_\_\_\_\_\_\_\_\_\_\_\_\_\_\_\_\_\_\_\_\_
### **Sr. ML Data Engineer, Relevancy Sciences – Personalization \&amp; Loyalty Strategy (P508\)**
The Relevancy Sciences Team is responsible for creating relevant and personalized customer experiences for Kroger's E\-commerce platform, which ranks among the top 10 ecommerce companies in the US. We generate trillions of recommendations at scale and deliver them to millions of Kroger customers daily. Our team maintains a comprehensive portfolio of machine learning solutions for search \&amp; product recommendations. We are seeking a talented and experienced Senior ML Data Engineer to join our data science team, with specialized expertise in building search and recommender systems.
### **Role Overview**
You will architect, build, and operate the critical data infrastructure that powers our machine learning models, spanning from feature engineering to training data generation. This role serves as the bridge between ML requirements and production data systems, with ownership of feature stores, training/evaluation pipelines, and ML\-specific data operations. You will enable data scientists to iterate rapidly while ensuring production\-grade reliability and scalability.
### **What You'll Do**
* **Feature Store Operations \&amp; Governance (40%)**
* Own the feature request lifecycle from intake through deployment, driving reusability and maintaining a searchable feature catalog
* Design and build scalable feature pipelines that compute features from diverse sources (BigQuery, Azure Data Lake) and write to Feature Store infrastructure (Vertex AI Feature Store \+ BigQuery)
* Build streaming feature engineering pipelines using Apache Beam/Dataflow for real time feature computation and low\-latency model serving with sub\-second data freshness
* Ensure point\-in\-time correctness and online/offline feature consistency to prevent data leakage
* Implement drift detection, data quality monitoring, and alerting mechanisms
* Develop self\-service tools and templates that enable teams to independently create features
* **Training \&amp; Evaluation Data Pipelines (30%)**
* Build automated pipelines that generate ML\-ready training datasets by combining features with labeled target variables
* Implement point\-in\-time correctness logic and sophisticated sampling strategies to ensure balanced, representative datasets
* Maintain comprehensive dataset versioning for full traceability across model versions
* Generate detailed evaluation reports with performance metrics segmented by business dimensions
* Support operations across both Azure and Vertex AI environments during platform migration
* **ML Data Operations \&amp; Reliability (20%)**
* Serve as Tier 2/3 on\-call responder for feature data quality incidents, diagnosing and resolving pipeline failures and performance issues
* Maintain comprehensive lineage tracking and metadata management for full data traceability
* Support regulatory compliance through proper data governance and documentation
* **Standards, Education \&amp; Collaboration (10%)**
* Establish and enforce feature naming conventions, data quality thresholds, and point\-in\-time correctness patterns
* Conduct workshops on feature engineering best practices and provide expert guidance on feature design
* Partner with Data Scientists, ML Engineers, Data Engineering, and MLOps teams to optimize infrastructure and align with technical strategy
**What We're Looking For**
--------------------------
**Required Qualifications:**
* 3\+ years of hands\-on experience building and maintaining ML data pipelines in production environments with demonstrated expertise in scaling and reliability
* Expert\-level SQL skills and advanced Python programming capabilities with experience in data processing frameworks and ML libraries
* Proven experience with cloud data platforms, with strong preference for GCP ecosystem including BigQuery, Dataflow, Vertex AI Feature Store, and associated ML services
* Deep understanding of end\-to\-end ML workflows including training data preparation, model evaluation methodologies, and serving infrastructure requirements
* Production operations mindset with experience in monitoring, alerting, on\-call responsibilities, and meeting SLA commitments
**Strongly Preferred Qualifications:**
* Hands\-on experience with Feature Store platforms such as Vertex AI Feature Store, Feast, Tecton, or similar enterprise solutions
* Deep knowledge of point\-in\-time correctness principles, temporal joins, and time\-series data modeling best practices
* Multi\-cloud experience with both Azure and GCP platforms, including data migration and hybrid cloud architectures
* Strong familiarity with core ML concepts including feature engineering, label creation, train/test/validation splits, and data leakage prevention
* Background spanning both analytics engineering and ML\-specific data engineering with understanding of the unique requirements of each domain
**Success Indicators:**
* **Improved Data Science Productivity**:Data Scientists spend significantly less time on data preparation and infrastructure concerns, enabling more focus on model development and experimentation
* **Increased Feature Reuse**:Measurable increase in feature reuse across multiple models and teams, reducing redundant development effort and improving consistency
* **Reliable Automation**:Training and evaluation data generation processes operate reliably with minimal manual intervention and high uptime
* **Efficient Incident Response**:Data quality incidents are triaged quickly with clear escalation paths and rapid resolution times
* **Accelerated ML Iteration**:Overall ML model development and iteration velocity improves measurably across all teams using the platform
\#LI\-SSS
**Pay Transparency and Benefits**
* The stated salary range represents the entire span applicable across all geographic markets from lowest to highest. Actual salary offers will be determined by multiple factors including but not limited to geographic location, relevant experience, knowledge, skills, other job\-related qualifications, and alignment with market data and cost of labor. In addition to salary, this position is also eligible for variable compensation.
* Below is a list of some of the benefits we offer our associates:
* + Health: Medical: with competitive plan designs and support for self\-care, wellness and mental health. Dental: with in\-network and out\-of\-network benefit. Vision: with in\-network and out\-of\-network benefit.
	+ Wealth: 401(k) with Roth option and matching contribution. Health Savings Account with matching contribution (requires participation in qualifying medical plan). AD\&amp;D and supplemental insurance options to help ensure additional protection for you.
	+ Happiness: Paid time off with flexibility to meet your life needs, including 5 weeks of vacation time, 7 health and wellness days, 3 floating holidays, as well as 6 company\-paid holidays per year. Paid leave for maternity, paternity and family care instances.
Pay Range
$97,000 \- $166,750 USD</t>
        </is>
      </c>
    </row>
    <row r="33">
      <c r="A33" t="inlineStr">
        <is>
          <t>in-6cc8006b2978cb7d</t>
        </is>
      </c>
      <c r="B33" t="inlineStr">
        <is>
          <t>Sr. Data Engineer - Databricks</t>
        </is>
      </c>
      <c r="C33" t="inlineStr">
        <is>
          <t>Shaw Industries</t>
        </is>
      </c>
      <c r="D33" t="inlineStr">
        <is>
          <t>indeed</t>
        </is>
      </c>
      <c r="E33">
        <f>HYPERLINK("https://www.indeed.com/viewjob?jk=6cc8006b2978cb7d", "https://www.indeed.com/viewjob?jk=6cc8006b2978cb7d")</f>
        <v/>
      </c>
      <c r="F33">
        <f>HYPERLINK("https://shawinc.wd1.myworkdayjobs.com/en-US/External/job/Shaw-Plant-72-900-VD-Parrot-Parkway-Dalton-GA-30721-USA/Sr-Data-Engineer---Databricks_R-148932", "https://shawinc.wd1.myworkdayjobs.com/en-US/External/job/Shaw-Plant-72-900-VD-Parrot-Parkway-Dalton-GA-30721-USA/Sr-Data-Engineer---Databricks_R-148932")</f>
        <v/>
      </c>
      <c r="G33" t="inlineStr">
        <is>
          <t>Dalton, GA, US</t>
        </is>
      </c>
      <c r="H33" s="2" t="n">
        <v>46044</v>
      </c>
      <c r="I33" t="inlineStr">
        <is>
          <t>Job Title
Sr. Data Engineer \- Databricks
Position Overview
We are looking for a data engineer to join our enterprise analytics team! This individual will partner with data scientists, analysts and product owners to support data science projects and initiatives across the enterprise – including in our manufacturing, planning/forecasting and customer service areas.
Applicant must be an experienced data pipeline builder who enjoys building solutions from the ground up. We are looking for someone who is self\-directed and comfortable supporting the data needs of multiple teams and projects.
Responsibilities:* Partner with data scientists, data analysts, data stewards and product owners to understand data needs and develop solutions
* Design, build, launch and maintain efficient and reliable data pipelines to support data analysis and machine learning models
* Define and manage standards, guidelines and processes to ensure data quality
* Assemble large, complex datasets based on business requirements
* Identify and deploy various methods and techniques for optimal extraction, transformation and loading of data from a wide variety of data sources
* Help build and maintain best practices for our data engineering strategy – identifying and addressing gaps in existing processes and solutions
Minimum Qualifications:* Bachelor’s degree in a quantitative field (e.g., Computer Science, Engineering) or a related quantitative field or equivalent work experience is required.
* At least 4\-6 years of work experience in data management disciplines including data integration, modeling, optimization and data quality, and/or other areas directly relevant to data engineering responsibilities and tasks.
* Expert SQL programming skills
* Expertise in at least one relevant object\-oriented programming language (e.g., Python, Scala)
* Experience building and optimizing data pipelines, architectures and data sets
* Experience with big data tools (Spark, Kafka, etc.)
* Experience in data warehousing and data modeling
* Good knowledge of data management, data integration, and database development techniques with a good understanding of data architecture principles
* Strong analytical and problem solving skills
* Ability to communicate across all levels of the organization and work with diverse project teams
* Experience using cloud\-based infrastructure such as Azure and AWS
* Experience in DevOps best practices including CI/CD, process automation and optimization
Preferred Qualifications:* Experience with designing and implementing real\-time pipelines
* Experience with data quality and validation
* Experience working in an Agile environment
Required Competencies:* Make Effective Decisions
* Drive Results
* Demonstrate Strategic Influence
* Demonstrate Customer Orientation
The position may be filled as a data engineer or senior data engineer based on experience.
Work Shift
8 Hr non\-rotating shift, Hrs fall to in punch day, Observed Calendar, shift starts AM
Shaw Industries is an equal opportunity employer as to all protected groups, including protected veterans and individuals with disabilities.</t>
        </is>
      </c>
    </row>
    <row r="34">
      <c r="A34" t="inlineStr">
        <is>
          <t>in-bb7d6a5cc8f7d6bd</t>
        </is>
      </c>
      <c r="B34" t="inlineStr">
        <is>
          <t>Senior Data Engineer</t>
        </is>
      </c>
      <c r="C34" t="inlineStr">
        <is>
          <t>NaviStone</t>
        </is>
      </c>
      <c r="D34" t="inlineStr">
        <is>
          <t>indeed</t>
        </is>
      </c>
      <c r="E34">
        <f>HYPERLINK("https://www.indeed.com/viewjob?jk=bb7d6a5cc8f7d6bd", "https://www.indeed.com/viewjob?jk=bb7d6a5cc8f7d6bd")</f>
        <v/>
      </c>
      <c r="F34">
        <f>HYPERLINK("https://www.navistone.com/careers?gnk=job&amp;gni=8a7883ac9be7cb38019bebbd201961e6&amp;gns=Indeed+Free", "https://www.navistone.com/careers?gnk=job&amp;gni=8a7883ac9be7cb38019bebbd201961e6&amp;gns=Indeed+Free")</f>
        <v/>
      </c>
      <c r="G34" t="inlineStr">
        <is>
          <t>Cincinnati, OH, US</t>
        </is>
      </c>
      <c r="H34" s="2" t="n">
        <v>46044</v>
      </c>
      <c r="I34" t="inlineStr">
        <is>
          <t>**Senior Data Engineer**
**Delivering Growth!**
Delivering growth for marketers is what NaviStone is all about. For B2C brands in considered\-purchase verticals, we deliver proven, time\-tested results. The NaviStone platform empowers marketers by finding, activating, and converting lucrative audiences, with incredible impact!  
**The Role**
We are seeking a highly skilled and experienced **Senior Data Engineer** to join our dynamic team. This pivotal role is critical to the success of our operations and company, as you will be instrumental in the design and build\-out of a modern data layer. If you are passionate about data, innovation, and building robust, scalable solutions, we encourage you to apply!
**What You'll Do**
* You will be designing, developing, and maintaining scalable and efficient data pipelines and data warehousing solutions.
* You will be lead the design, build, and deployment of data solutions within an agentic framework, ensuring high performance and reliability.
* You will be collaborating with cross\-functional teams, including data scientists, analysts, and product managers, to understand data needs and deliver impactful solutions.
* Implementing and optimizing data ingestion, transformation, and storage processes.
* You will ensure data quality, integrity, and security across all data platforms.
* You will leverage AI\-powered development tools to enhance data engineering workflows and automation.
* You will be responsible for deploying and managing data infrastructure in **cloud environments**, optimizing for cost and performance.
* You have the opportunity to mentor junior data engineers and contributing to best practices and architectural decisions.
* You will need to stay abreast of emerging technologies and industry trends in data engineering and AI.
**What You Will Need to Succeed**
* You need expertise in Python and/or C\# for data engineering and application development.
* You will need to have proven and demonstrable experience designing, building, and deploying in an agentic framework.
* You need proficiency in AI\-powered development tools and their application in data solutions.
* You need extensive experience building and deploying data solutions in cloud environments (e.g., AWS, Azure, GCP).
* You have proven experience in the AdTech or MarTech industry, understanding the unique data challenges and opportunities.
* You bring a strong understanding of data modeling, ETL/ELT processes, and data warehousing concepts.
* You have experience with big data technologies (e.g., Spark, Hadoop) is a plus.
* You have excellent problem\-solving skills and the ability to work independently and as part of a team.
* You have strong communication and interpersonal skills.
**Location:** Cincinnati, OH in Over\-the\-Rhine; Hybrid role, in office 2 days per week
**Develop your best you, and reinvigorate for what’s next**  
*NaviStone’s benefits, programs, and perks are purpose\-built to help you grow stronger professionally, and personally. We offer generous medical, dental, vision, and retirement benefits for you and your family.*  
*We never stop growing, and we never stop learning. Want to explore AI? Develop new coding skills? Become a better presenter? Grow your leadership skills? Learn advanced yoga? We offer countless professional and personal development opportunities to fuel your ambitions.*  
*We’re a Rocketship, but even Rocketships need rest! We work hard, and we go fast. But we also recharge! With unlimited vacation, a generous number of paid holidays, and fun employee events throughout the year, you can refuel and reinvigorate for the incredible journey ahead.*</t>
        </is>
      </c>
    </row>
    <row r="35">
      <c r="A35" t="inlineStr">
        <is>
          <t>in-de969784bbbb0578</t>
        </is>
      </c>
      <c r="B35" t="inlineStr">
        <is>
          <t>Senior Data Engineer</t>
        </is>
      </c>
      <c r="C35" t="inlineStr">
        <is>
          <t>Healthmap Solutions</t>
        </is>
      </c>
      <c r="D35" t="inlineStr">
        <is>
          <t>indeed</t>
        </is>
      </c>
      <c r="E35">
        <f>HYPERLINK("https://www.indeed.com/viewjob?jk=de969784bbbb0578", "https://www.indeed.com/viewjob?jk=de969784bbbb0578")</f>
        <v/>
      </c>
      <c r="F35">
        <f>HYPERLINK("https://app.jobvite.com/CompanyJobs/Job.aspx?j=obelzfw3&amp;s=Indeed", "https://app.jobvite.com/CompanyJobs/Job.aspx?j=obelzfw3&amp;s=Indeed")</f>
        <v/>
      </c>
      <c r="G35" t="inlineStr">
        <is>
          <t>Remote, US</t>
        </is>
      </c>
      <c r="H35" s="2" t="n">
        <v>46044</v>
      </c>
      <c r="I35" t="inlineStr">
        <is>
          <t>***Position Summary***  
The Senior Data Engineer drives the design, development, and operational excellence of our data platform built on Databricks and the Delta Lakehouse Architecture. This role requires deep expertise in scalable ETL/ELT, Spark optimization, and modern data governance using Unity Catalog. The Senior Data Engineer serves as a technical leader, establishing best practices for code quality, performance, and automated deployments across all environments.  
***Responsibilities***
* Design and implement scalable data pipelines using Delta Lake and manage enterprise\-wide data access, security, and lineage using Unity Catalog
* Optimize large\-scale Spark jobs (PySpark/SQL) and cluster configurations (Photon) to meet stringent SLA and cost performance targets across all workflows
* Build resilient data scheduling via Databricks Workflows (Jobs) and establish automated CI/CD pipelines for reliable code promotion across Dev, Staging, and Prod workspaces
* Migrate data and models from relational databases to Databricks
* Ensure best practices for development using industry standard development patterns
* Monitor data pipelines performance
* Partner with Data Management and Full Stack development engineers to operationalize models with current applications and processes
* Support existing data pipelines to ensure business continuity
* Stay updated with the latest trends and technologies in data engineering and cloud computing
* Perform other related duties as assigned
***Requirements***
* Bachelor’s degree is required
* 5\+ years of experience in Data Engineering, with a significant focus on data warehousing, ETL/ELT development, and distributed systems
* 3\+ years of hands\-on experience developing enterprise solutions on the Databricks platform
* Expertise in PySpark and high\-performance SQL
* Deep understanding practical knowledge of Delta Lake architecture and optimal maintenance best practices
* Experience with cloud platforms (AWS preferred) and integrating Databricks with native cloud services (S3, Secret Manager, IAM)
* Solid experience implementing CI/CD for Databricks notebooks and associated libraries
* Healthcare experience is preferred
***Skills***
* Strong development experience with: Python, Spark, or similar technologies
* Excellent verbal, communication, negotiation, and presentation skills
* Strong analytical and problem\-solving skills
* Ability to work autonomously while collaborating across teams to deliver timely projects
* Ability to explain complex concepts in simple terms
* Dedicated, hardworking employee who achieves maximum efficiency and productivity
* Strong knowledge of domain\-based design, data modeling and data structures
* Strong knowledge of best practice in data management
No Travel  
\#LI\-Remote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li-4365623957</t>
        </is>
      </c>
      <c r="B2" t="inlineStr">
        <is>
          <t>Senior Data Engineer (Data)</t>
        </is>
      </c>
      <c r="C2" t="inlineStr">
        <is>
          <t>Stable Kernel</t>
        </is>
      </c>
      <c r="D2" t="inlineStr">
        <is>
          <t>linkedin</t>
        </is>
      </c>
      <c r="E2">
        <f>HYPERLINK("https://www.linkedin.com/jobs/view/4365623957", "https://www.linkedin.com/jobs/view/4365623957")</f>
        <v/>
      </c>
      <c r="F2" t="inlineStr"/>
      <c r="G2" t="inlineStr">
        <is>
          <t>Atlanta, GA</t>
        </is>
      </c>
      <c r="H2" t="inlineStr"/>
      <c r="I2" t="inlineStr">
        <is>
          <t>About the Company:
 Stable Kernel is a technology services firm and custom software developer building scalable software solutions for cutting\-edge, innovative enterprises to move their business forward. We are headquartered in Atlanta, GA.
 We're a privately held, Great Place to Work Certified Company™ with a multi\-award\-winning culture and an impressive 10\-plus\-year trajectory of sustainable growth. At Stable Kernel, we support our employees in ways that help them do some of the best work of their lives.
 About the Role:
 As a Stable Kernel
 **Senior Software Engineer (Data)** 
 , you play an essential role in setting our portfolio of world\-class clients up for success through the development and delivery of their most innovative, transformational data initiatives. You will collaborate daily with other data engineers and a product owner to design, develop, and optimize scalable data pipelines that enable clients to extract actionable insights crucial to the health of their business. You have every opportunity to grow your skills and knowledge using a modern, feature\-rich cloud\-native data stack.. Your knowledgeable practice, reliability, and consultative nature make you a data engineer that stakeholders and teammates trust.
 As a senior software engineer, you'll take ownership of pipeline development and implementation, data model creation and refinement, and determine methods of extracting data from upstream data sources. You'll own implementing system\-wide data patterns compliant with architectural decision records and consistent with technologies in the data stack.
 Senior Data Engineers may be classified as individual contributors or people managers with individual contributor responsibilities.
 Core Responsibilities Include:
* **Technical Impact:**
+ Design and implement robust data pipelines, with an eye to the growth of the product and team, improving the speed of future work and ensuring high data quality and contributing to DataOps/DevOps initiatives to ensure complete and timely data flows.
+ Improve performance of data pipelines and data lake queries used by data analysts.
+ Apply your firm grasp of the concepts and practices of data engineering in the areas of ingestion, transformation, serving with a strong awareness of system and project needs for security, data management, DataOps, Data architecture, orchestration and standard software engineering practices.
+ Providing expert feedback that improves the overall delivery of work.
+ Defending the work against compromise and corner\-cutting.
+ Designing test strategies and involving yourself in CI/CD and automated testing for high system reliability.
+ Mentoring others in best practices.
+ Ensuring a high standard of quality across the project.
+ Identifying, diagnosing, and resolving complex pipeline and data issues.
* **Business Alignment:**
+ Understanding the client's business and goals and using them to create and update roadmap issues.
+ Identifying opportunities to provide additional value for our clients by suggesting and delivering improvements based on your observations.
+ Contributing to the estimation of work for high\-level planning and costing that clearly identifies gaps, risks, and assumptions.
* **Interacting with Others:**
+ Coordinating with data stakeholders outside your team as necessary.
+ Influencing your team's roadmap.
+ Advising people across the Director and VP\-levels of the organization.
+ Reporting status with a general understanding of where each member's work is.
* **Autonomy \&amp; Ambiguity:**
+ Designing and supporting long\-term roadmaps with limited direction and requiring no direction on project plans.
+ Considering and planning around cross\-department dependencies to most effectively break down work across the team and solicit data product use cases and requirements.
+ Working with ambiguity to define and break down challenging projects (e.g., projects that are hard to derive benefits from until the end of the project, projects that are very large, or projects that have a lot of uncertainty or require novel solutions).
* **Problem\-Solving:**
+ Making trade\-offs between short\-term and long\-term solutions.
+ Evaluating trade\-offs others are making.
+ Analyzing the effectiveness of decisions and demonstrating accountability for outcomes.
+ Anticipating, recognizing, and mitigating risks to prevent potential roadblocks.
+ Escalating issues and bringing recommended solutions to the table.
* **Leadership:**
+ Setting a positive example by using our company values and imperatives as a north star.
+ Providing regular constructive feedback.
+ Resolving conflicts.
+ Guiding less experienced colleagues through complex projects.
+ Leading team learning sessions.
+ Demonstrating strong project roadmapping skills, including planning, delegating, and monitoring progress.
+ Making critical decisions and driving projects to successful completion.
+ Representing the team in client conversations.
+ Taking ownership and contributing to process improvements that positively impact the work.
+ Advocating for best practices across your project or client program.
+ Mentoring junior and intermediate colleagues by helping them grow professionally.
+ Leading projects.
 Intimate, Working Familiarity With:
* Extensive experience using Python.
* Designing and building data pipelines:
+ Developing and maintaining scalable ETL/ELT pipelines using, among other technologies, AWS services such as AWS Glue, Lambda, and Step Functions to extract, transform, and serve data from upstream sources.
* Data Integration:
+ Custom extraction from non\-SQL sources (e.g., APIs) using established industry patterns for incremental and full snapshot datasets using Python and standard data engineering/data science libs
* Data Quality Management:
+ Implementing and enforcing data quality checks to ensure the accuracy, consistency, and reliability of data across systems.
* Create and manage CI/CD to deploy system and data changes
 General Requirements:
* 7\-10 years of development experience.
* Degree in Computer Science or relevant field or experience.
 Nice to Haves:
* Proven experience using additional programming languages is a plus.
* Experience creating cloud resources using Infrastructure as Code technologies such as Terraform or Pulumi.
 A Bit More Info:
 Minimum Base Compensation: $140,000
 This is a full\-time position.
 Stable Kernel operates a People Before Place Hybrid model, allowing most employees to choose where they can do their best work most days.
 Minimal travel is associated with this role.
 Our generous total compensation package includes:
* Company\-subsidized health, vision, and dental plan premium options beginning on the first day of employment
* 401k with above\-average company matching
* Fully paid Group Life, Short and Long Term Disability, and AD\&amp;D insurance
* Optional Flexible Spending Account and Health Savings Account participation
* Voluntary Life, Critical Illness, and Accident insurance
* EAP and Health Advocacy program available at no cost to employees and their dependents
* $3000\+ annual industry educational budget
* Paid time off and paid holidays Access to Perks at Work program featuring a variety of discounted products and services
* Note – We are not sponsoring employment visas at this time. If you are currently in possession of an employment visa, it will need to be effective for at least 3 years from the date of your application for your candidacy for employment to be considered.
 Stable Kernel's culture is inclusive and expansive. We celebrate diversity in its many glorious forms and do not discriminate based on race, religion, color, national origin, gender role orientation, sexual orientation, age, marital status, veteran status, or disability status.
 However, we will discriminate against those unwilling to comply with the practice of our company values:
* we work with integrity always
* we respect our work and each other
* we are dedicated to life\-long learning and sharing
* we stay hungry for new challenges
 If you are like\-minded in this regard, we hope you will apply. We look forward to meeting you.</t>
        </is>
      </c>
    </row>
    <row r="3">
      <c r="A3" t="inlineStr">
        <is>
          <t>li-4365627722</t>
        </is>
      </c>
      <c r="B3" t="inlineStr">
        <is>
          <t>Senior Data Engineer</t>
        </is>
      </c>
      <c r="C3" t="inlineStr">
        <is>
          <t>DIRECTV</t>
        </is>
      </c>
      <c r="D3" t="inlineStr">
        <is>
          <t>linkedin</t>
        </is>
      </c>
      <c r="E3">
        <f>HYPERLINK("https://www.linkedin.com/jobs/view/4365627722", "https://www.linkedin.com/jobs/view/4365627722")</f>
        <v/>
      </c>
      <c r="F3">
        <f>HYPERLINK("https://ad.doubleclick.net/ddm/clk/515551012;322947710;v?https://jobs.directv.com/job/el-segundo/senior-data-engineer/390/90960554256?utm_source=linkedin.com&amp;utm_medium=job_posting&amp;utm_campaign=Annual_Media&amp;utm_content=social_media&amp;utm_term=322947710&amp;ss=paid&amp;urlHash=rFj1", "https://ad.doubleclick.net/ddm/clk/515551012;322947710;v?https://jobs.directv.com/job/el-segundo/senior-data-engineer/390/90960554256?utm_source=linkedin.com&amp;utm_medium=job_posting&amp;utm_campaign=Annual_Media&amp;utm_content=social_media&amp;utm_term=322947710&amp;ss=paid&amp;urlHash=rFj1")</f>
        <v/>
      </c>
      <c r="G3" t="inlineStr">
        <is>
          <t>El Segundo, CA</t>
        </is>
      </c>
      <c r="H3" t="inlineStr"/>
      <c r="I3" t="inlineStr">
        <is>
          <t>DIRECTV is seeking a Senior Data Engineer responsible for driving the design, development, and implementation of complex data models and analytics solutions. In this role, you will serve as a technical leader in interpreting data analytic use cases while collaborating with CDO Policy, Security, and Legal teams to establish data governance frameworks. This position specializes in developing sophisticated data interfaces, retention models, and anonymization techniques while leading cross\-functional initiatives and mentoring team members.
**Here's what you’ll do:**
**Data Architecture \&amp; Model Development**
* Design and develop scalable data warehousing solutions, building ETL/ELT pipelines in Big Data environments (cloud, on\-prem, hybrid).
* Lead technical discussions on data architecture strategies and methodology approaches.
* Create and optimize data pipelines for structured and unstructured data processing.
* Develop and maintain data lineage documentation and technical specifications.
* Evaluate and recommend new data technologies and tools to enhance platform capabilities.
* Perform data analysis and profiling, meet with application SME's to understand source data model and translate it to Dimensional model.
* Collaborate with Data Product Managers, Data Architects, and other Data Engineers to design, implement, and deliver successful data solutions.
**Data Policy \&amp; Security Implementation**
* Collaborate with CDO Policy and Security teams to establish comprehensive data governance policies.
* Work closely with Legal teams to ensure compliance with data privacy regulations and industry standards.
* Design and implement data retention models with appropriate synthesis and anonymization techniques.
* Develop secure data interfaces that protect sensitive information while enabling analytics.
* Create and maintain data classification frameworks and access control mechanisms.
**Advanced Data Processing \&amp; Analytics**
* Gather, mine, and process large\-scale structured and unstructured datasets using advanced techniques.
* Implement best practices for data ingestion, validation, normalization, and cleaning processes.
* Develop automated data quality monitoring and alerting systems.
* Create complex data transformations and aggregations to support business intelligence needs.
* Optimize data processing workflows for performance and scalability.
**Cross\-Functional Leadership \&amp; Collaboration**
* Lead data engineering initiatives across multiple teams and organizational units.
* Serve as technical subject matter expert for data\-related projects and strategic decisions.
* Coordinate with data scientists, analysts, and business stakeholders to translate requirements into technical solutions.
* Participate in architecture review boards and technical design sessions.
* Drive adoption of data engineering best practices across the organization.
**Mentorship \&amp; Knowledge Transfer**
* Provide regular guidance and mentoring to junior data engineers and team members.
* Conduct technical training sessions on data engineering tools, techniques, and methodologies.
* Review code and technical designs to ensure quality and adherence to standards.
* Contribute to the development of data engineering standards and documentation.
**What you’ll need to be successful:**
**Required Experience \&amp; Skills**
* 3 – 5 years of experience in data engineering and data architecture.
* Advanced expertise in data engineering with proven track record of delivering complex data solutions.
* Extensive experience with data policy development, security frameworks, and compliance requirements.
* Strong background in implementing data security policies, like encryption/decryption, anonymization, and other privacy\-preserving techniques.
**Technical Expertise**
* Programming Languages: Proficiency in Python, SQL, Scala for data processing.
* Cloud Platforms: Hands\-on experience with Snowflake, Databricks, AWS \&amp; Azure, or GCP data services.
* Database Systems: Advanced knowledge of relational databases and data mesh architecture.
* Data Modeling: Expertise in dimensional modeling, data vault, and other data modeling methodologies; hands on experience on data modeling tools such as Erwin, SQLDBM etc.
* ETL/ELT Tools: Experience with modern data integration tools and frameworks.
* Big Data Technologies: Experience with Hadoop, Spark, Kafka, or similar distributed computing platforms.
* Data Observability: Experience with modern data auditing/observability tools such Monte Carlo, etc.
* Data Visualization: Experience with reporting tools such as PowerBI and Tableau.
**Specialized Knowledge**
* Deep understanding of data governance, privacy regulations (GDPR, CCPA), and compliance frameworks.
* Experience with data anonymization techniques, differential privacy, and synthetic data generation.
* Knowledge of data retention policies and automated data lifecycle management.
* Familiarity with data cataloging tools and metadata management systems.
* Knowledge of Corporate Finance and Supply Chain domains is preferred.
**Core Competencies**
* Technical Leadership: Ability to lead complex technical initiatives and drive architectural decisions.
* Problem\-Solving: Advanced analytical skills to resolve sophisticated data engineering challenges.
* Communication: Strong ability to translate technical concepts for non\-technical stakeholders.
* Collaboration: Proven experience working effectively with cross\-functional teams.
* Mentorship: Demonstrated ability to guide and develop junior team members.
**Preferred Qualifications:**
* Bachelor's or Master's degree in Computer Science, Data Engineering, Mathematics, or related field.
* Industry certifications in cloud platforms or data engineering tools.
* Experience in regulated industries (financial services, healthcare, telecommunications).
* Knowledge of machine learning operations (MLOps) and data science workflows.
* Experience with real\-time data processing and streaming analytics.
 This role offers the opportunity to shape data strategy and architecture while working on cutting\-edge data engineering challenges that drive business innovation and maintain the highest standards of data security and compliance.
 May require a background check due to job duties requiring routine access to DIRECTV and DIRECTV customer’s proprietary data. Qualified applicants with arrest and conviction will be considered for employment in accordance with local ordinances and state law.
**This is a remote position that can be located anywhere in the contiguous United States.**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$122,194 \- $221,818**
 Low (N1\): $122,194 \- $183,241
 Mid (N2\): $128,625 \- $192,885
 High (N3\): $141,488 \- $212,174
 Top (N4\): $147,919 \- $221,818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t>
        </is>
      </c>
    </row>
    <row r="4">
      <c r="A4" t="inlineStr">
        <is>
          <t>li-4365640557</t>
        </is>
      </c>
      <c r="B4" t="inlineStr">
        <is>
          <t>Analytics Engineer</t>
        </is>
      </c>
      <c r="C4" t="inlineStr">
        <is>
          <t>CompanyCam</t>
        </is>
      </c>
      <c r="D4" t="inlineStr">
        <is>
          <t>linkedin</t>
        </is>
      </c>
      <c r="E4">
        <f>HYPERLINK("https://www.linkedin.com/jobs/view/4365640557", "https://www.linkedin.com/jobs/view/4365640557")</f>
        <v/>
      </c>
      <c r="F4" t="inlineStr"/>
      <c r="G4" t="inlineStr">
        <is>
          <t>Lincoln, NE</t>
        </is>
      </c>
      <c r="H4" t="inlineStr"/>
      <c r="I4" t="inlineStr">
        <is>
          <t>Hi, we're CompanyCam.
 We're a simple\-to\-use photo documentation and productivity app for contractors of all commercial and home services industries. Packed with intuitive functionality, CompanyCam facilitates unparalleled communication and accountability across a contractor's entire business. We're committed to providing a consumer\-grade, game\-changing experience that helps our users build trust within their company and with their customers.
 But don't let that corporate description fool you—the people behind our buttoned\-up product are laid\-back (but hardworking), genuine, and kickass, and you could be one of them!
 The Role
 We're looking for an
 **Analytics Engineer** 
 to help build and maintain the data foundation that powers decision\-making across CompanyCam. Reporting into our data organization, this role focuses on developing reliable data pipelines, maintaining high\-quality data models, and ensuring teams across the company can confidently use data to do their best work. This role will work closely with marketing analysts to enable scalable, trusted analyses by translating analytical requirements into well\-modeled datasets, standardized metrics, and performant transformations
 You'll be responsible for designing and maintaining ETL pipelines, managing our Snowflake data warehouse, modeling data with dbt, and supporting event tracking and analytics tooling. This role is ideal for someone who enjoys building clean, well\-documented data systems, cares deeply about data quality, and thrives at the intersection of technical problem\-solving and business impact.
**Location:** 
 Candidates must permanently and currently reside in the United States. Employees are not required to work in the office or relocate to Lincoln, Nebraska for this opportunity. Employees are encouraged to come hang at headquarters for up to 10 days per calendar year on CompanyCam's dime.
 What You'll Do
* Design, build, and maintain robust ETL pipelines using tools like Fivetran, Stitch, and Portable
* Manage and optimize our Snowflake data warehouse to ensure performance, reliability, and scalability
* Use dbt to transform, test, document, and schedule analytics data models
* Create and maintain analytics\-ready data models that support reporting and decision\-making
* Implement and maintain event tracking with Snowplow to ensure accurate and trustworthy data collection
* Partner with product, engineering, and business teams to understand data needs and deliver practical solutions
* Monitor and ensure data integrity and consistency across systems and data sources
* Identify opportunities to improve, automate, and scale existing data processes
* Stay up to date on modern analytics engineering tools, trends, and best practices
 The Impact You'll Have
***At CompanyCam, your work makes a real impact.** 
 Whether you're writing code, supporting customers, or designing experiences, your contributions directly shape the product we deliver and the people we serve. We're building something that helps real people solve real problems—and we believe that kind of work is best done by a team that reflects the world around us.
 **In this role, you'll drive impact by:***
* Enabling teams across the company to make better, faster, data\-informed decisions
* Improving trust in data through reliable pipelines, testing, and documentation
* Supporting product and business insights with high\-quality analytics models
* Helping scale CompanyCam's analytics capabilities as the company grows
 What You'll Bring
* 3\+ years of experience in analytics engineering, data engineering, or a related role
* Strong experience with modern ETL tools such as Fivetran, Stitch, Portable, or similar
* Hands\-on experience with Snowflake or another cloud\-based data warehouse
* Proficiency using dbt for data transformation and orchestration
* Strong SQL skills and experience supporting BI tools like Metabase or similar
* Experience working with event tracking systems such as Snowplow
* Solid understanding of data warehousing concepts and best practices
* Strong problem\-solving skills and attention to detail
* Ability to translate business requirements into clear, maintainable data models
* Clear written and verbal communication skills
* Ability to work independently while collaborating closely with cross\-functional partners
* A proactive, growth\-oriented mindset with a passion for data quality and continuous improvement
 Nice to Have
* Experience with Python or another scripting language
* Experience supporting analytics for product\-led or SaaS organizations
* Experience supporting analytics for marketing teams
* Familiarity with scaling data platforms and evolving analytics maturity
**Benefits \&amp; Compensation**
 This is a salaried position at CompanyCam. Our starting salary range is
 **$120,000\-$130,000** 
 per year and is based on experience. We also offer meaningful equity and other benefits.
*CompanyCam is an equal\-opportunity employer committed to respect, inclusion, and growth. We work hard, take responsibility, and support each other. Great ideas come from all backgrounds, and we carefully consider every applicant without regard to personal characteristics or traits. Even if your work experience doesn't align perfectly, we encourage you to apply. What really matters to us is your potential, your passion, and your commitment to learning, innovation, and contributing meaningfully to our team.*
 For any accommodations or technical issues related to the online application or interview process, please email jobs@companycam.com and we'll respond promptly. Please do not include any medical or health information in your message.
**Note:** 
 Resumes sent to this email will
 **not be reviewed or responded to** 
 . To be considered for a position, you must apply directly through our careers page.</t>
        </is>
      </c>
    </row>
    <row r="5">
      <c r="A5" t="inlineStr">
        <is>
          <t>li-4365622900</t>
        </is>
      </c>
      <c r="B5" t="inlineStr">
        <is>
          <t>Senior Data Engineer</t>
        </is>
      </c>
      <c r="C5" t="inlineStr">
        <is>
          <t>General Motors</t>
        </is>
      </c>
      <c r="D5" t="inlineStr">
        <is>
          <t>linkedin</t>
        </is>
      </c>
      <c r="E5">
        <f>HYPERLINK("https://www.linkedin.com/jobs/view/4365622900", "https://www.linkedin.com/jobs/view/4365622900")</f>
        <v/>
      </c>
      <c r="F5" t="inlineStr"/>
      <c r="G5" t="inlineStr">
        <is>
          <t>Austin, TX</t>
        </is>
      </c>
      <c r="H5" t="inlineStr"/>
      <c r="I5" t="inlineStr">
        <is>
          <t>**Job Description**
**This role is categorized as hybrid. This means the successful candidate is expected to report to Austin Technical Center in Austin, TX or GM Global Tech Center in Michigan, MI three times per week, at minimum \[or other frequency dictated by the business if more than 3 days].**
**The Role**
 As a Data Engineer, you will design, build, and optimize industrialized data assets and data pipelines in support of Business Intelligence and Advanced Analytics objectives. In this role within the Intelligent Manufacturing organization under Data Engineering Software, you will deliver high\-quality, scalable solutions that meet both functional and non\-functional business requirements. You will contribute to projects across databases, streaming technology, CI/CD, and cloud platforms.
 The Intelligent Manufacturing teams are responsible for ideating, incubating, and delivering new plant data solutions for General Motors Manufacturing and our partners. We integrate with business and IT teams to develop real\-time solutions that leverage plant floor data to improve decisions, plant asset maintenance, safety, and operational performance, as well as Vehicle Build Data.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This job may be eligible for relocation benefits.
**Compensation:**
* The expected base compensation for this role is: $153,000 \- $227,000\.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6">
      <c r="A6" t="inlineStr">
        <is>
          <t>li-4365603872</t>
        </is>
      </c>
      <c r="B6" t="inlineStr">
        <is>
          <t>REMOTE- Junior Data Engineer</t>
        </is>
      </c>
      <c r="C6" t="inlineStr">
        <is>
          <t>Lensa</t>
        </is>
      </c>
      <c r="D6" t="inlineStr">
        <is>
          <t>linkedin</t>
        </is>
      </c>
      <c r="E6">
        <f>HYPERLINK("https://www.linkedin.com/jobs/view/4365603872", "https://www.linkedin.com/jobs/view/4365603872")</f>
        <v/>
      </c>
      <c r="F6" t="inlineStr"/>
      <c r="G6" t="inlineStr">
        <is>
          <t>Fort Worth, TX</t>
        </is>
      </c>
      <c r="H6" t="inlineStr"/>
      <c r="I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One of the largest logistics and transportation employers in the US is seeking a Jr. Data Engineer to join their expanding team. The Jr. Data Engineer will play a crucial role in understanding business problems and assisting in designing solutions that transform complex ideas into sustainable processes. This individual will focus on supporting the onboarding of new lines of business into the data analytics team. Their responsibilities will include assisting in the full life cycle of data engineering, from gathering requirements from internal customers to building data pipelines, testing, reporting, and maintaining solutions. Additionally, the Jr. Data Engineer will support escalation tasks, contribute to system development, help automate processes, maintain internal systems, and assist in data modeling. They will use their growing expertise in data structures specific to the company's operating systems to help turn data into valuable business insights.
 We are a company committed to creating inclusive environments where people can bring their full, authentic selves to work every day. We are an equal opportunity employer that believes everyone matters. Qualified candidates will receive consideration for employment opportunities without regard to race, religion, sex, age, marital status, national origin, sexual orientation, citizenship status, disability, or any other status or characteristic protected by applicable laws, regulations, and ordinances. If you need assistance and/or a reasonable accommodation due to a disability during the application or recruiting process, please send a request to Human Resources Request Form (https://airtable.com/app21VjYyxLDIX0ez/shrOg4IQS1J6dRiMo) . The EEOC "Know Your Rights" Poster is available here (https://www.eeoc.gov/sites/default/files/2023\-06/22\-088\_EEOC\_KnowYourRights6\.12ScreenRdr.pdf) .
 To learn more about how we collect, keep, and process your private information, please review Insight Global's Workforce Privacy Policy: https://insightglobal.com/workforce\-privacy\-policy/ .
**Skills And Requirements**
 2\-5\+ years' experience of data engineer experience
  Strong ADF experience (creating pipelines from scratch/ knowledge of connectors and activities following architect plan)
  Strong knowledge of SQL (Mostly working with SQL scripting implementing into ADF)
  Understanding of full life cycle data engineering
  Extremely detail oriented and ability to provide effective updates
  Strong communication for working with internal/ external customers
  Strong critical thinking skills Python or Spark experience (Small environment is in Python\- basic level scripting and reviews)
  DevOps Experience
  Data Bricks Experience
  Background in Logistics
  Agile Methodologies
  Experience with cloud (Azure specifically)
 If you have questions about this posting, please contact support@lensa.com</t>
        </is>
      </c>
    </row>
    <row r="7">
      <c r="A7" t="inlineStr">
        <is>
          <t>li-4365639436</t>
        </is>
      </c>
      <c r="B7" t="inlineStr">
        <is>
          <t>Data Engineer</t>
        </is>
      </c>
      <c r="C7" t="inlineStr">
        <is>
          <t>Build-A-Bear Workshop</t>
        </is>
      </c>
      <c r="D7" t="inlineStr">
        <is>
          <t>linkedin</t>
        </is>
      </c>
      <c r="E7">
        <f>HYPERLINK("https://www.linkedin.com/jobs/view/4365639436", "https://www.linkedin.com/jobs/view/4365639436")</f>
        <v/>
      </c>
      <c r="F7" t="inlineStr"/>
      <c r="G7" t="inlineStr">
        <is>
          <t>St Louis, MO</t>
        </is>
      </c>
      <c r="H7" t="inlineStr"/>
      <c r="I7" t="inlineStr">
        <is>
          <t>Job Details
**Description**
 The Data Engineer helps design, build, and maintain pipelines and platforms that power our data\-driven decisions across the enterprise. This role will work across cloud platforms, digital systems, and analytics tools to ensure our data is reliable, scalable, and ready for everything from business reporting to advanced AI applications.
 At Build\-A\-Bear our data fuels creativity, efficiency, and innovation, connecting millions of guests to memorable experiences. The Data Engineer will help build the foundation that powers these experiences.
**Responsibilities**
* Design, build, and maintain scalable data pipelines and integrations across multiple enterprise systems.
* Develop and maintain data models, ETL/ELT workflows, and orchestration logic within cloud data environments.
* Collaborate to define data requirements and ensure alignment between business needs and technical solutions.
* Implement data quality validation, monitoring, and governance processes.
* Optimize performance and efficiency of existing data processes, enabling faster insights and reduced latency.
* Partner with IT Security and Privacy teams to enforce data access controls and compliance standards.
* Support development of reusable frameworks for data ingestion, transformation, and storage.
* Document technical designs, data dictionaries, and workflows for transparency and maintainability.
* Stay current on data engineering best practices, tools, and emerging trends in analytics, AI, and automation.
**Required Qualifications**
* 5\+ years of experience in data engineering, data warehousing, or analytics platform development
* Bachelor’s degree in computer science, information systems, data engineering, or related field
* Skilled in SQL and familiarity with Python, Spark, or other scripting languages for data manipulation
* Expert with cloud\-based data ecosystems, ideally Microsoft Azure (Data Factory, Synapse, Databricks, or Data Lake)
* Skilled understanding of ETL/ELT design patterns, data modeling, and schema optimization
* Proficient knowledge of API integrations and real\-time data streaming
* Basic knowledge of BI tools such as Power PI, Tableau, or Looker
* Excellent communication and critical thinking skills, with the ability to translate technical concepts for business partners
**Preferred Qualifications**
* Experience with Microsoft Dynamics 365, Salesforce, or similar enterprise data sources
* Understanding of data governance, lineage, and master data management frameworks
* Exposure to DevOps principles, CI/CD pipelines, and version control
* Familiarity with Agile or Scrum methodologies
* Microsoft Certified: Azure Data Engineer Associate or similar certification
**Behavioral Traits For Success**
* Enjoys being recognized for the quality of their work
* Willingness to work within established standards, guidelines, and procedures
* Develops strong job knowledge and competency
* Strong commitment to tasks being completed correctly and on time
* Thrives in a structured environment
* Happy accomplishing work as an individual
* Can work harmoniously with others
* Communication is factual, polite, and professional
**Working Environment**
* Typical office environment with climate control and sufficient lighting, ergonomic desk/chairs
* Hybrid work schedule
**Your Performance Will Be Measured On**
 Your performance will be measured by your ability to achieve annual department objectives and corporate goals which include but are not limited to the following.
* Decision\-making, judgment, and execution
* System reliability
* Data throughput and performance metrics
* Reduction of data defects
* Accuracy and efficiency
* Compliance adherence
* Data integrity
* Audit readiness
* Stakeholder Feedback</t>
        </is>
      </c>
    </row>
    <row r="8">
      <c r="A8" t="inlineStr">
        <is>
          <t>li-4361294764</t>
        </is>
      </c>
      <c r="B8" t="inlineStr">
        <is>
          <t>Data Engineer I</t>
        </is>
      </c>
      <c r="C8" t="inlineStr">
        <is>
          <t>Cox Automotive Inc.</t>
        </is>
      </c>
      <c r="D8" t="inlineStr">
        <is>
          <t>linkedin</t>
        </is>
      </c>
      <c r="E8">
        <f>HYPERLINK("https://www.linkedin.com/jobs/view/4361294764", "https://www.linkedin.com/jobs/view/4361294764")</f>
        <v/>
      </c>
      <c r="F8">
        <f>HYPERLINK("https://click.appcast.io/t/Lz2NPt5VQihv9wgJuanBYzViaQ8Z75iFk7WVfCYk1R3nI3Y6nZyNwG-dO6\u002d\u002dvzot&amp;urlHash=Kan9", "https://click.appcast.io/t/Lz2NPt5VQihv9wgJuanBYzViaQ8Z75iFk7WVfCYk1R3nI3Y6nZyNwG-dO6\u002d\u002dvzot&amp;urlHash=Kan9")</f>
        <v/>
      </c>
      <c r="G8" t="inlineStr">
        <is>
          <t>Austin, TX</t>
        </is>
      </c>
      <c r="H8" t="inlineStr"/>
      <c r="I8" t="inlineStr">
        <is>
          <t>Cox Automotive seeks a Data Engineer to join AI \&amp; Data Delivery Platform organization in Austin, TX
 **.**
**Our Teams**
 Cox Automotive is the market\-leading provider of technology services to the automotive industry. Our engineering organization takes pride in building innovative products that make our customers successful. We are passionate about building great software while having fun doing it. The result is an award\-winning culture where everyone is approachable, ideas are judged on merits, and empowered people drive transformative technology.
**Job Summary**
 Are you passionate about data? Join Cox Automotive as a Data Engineer I! You'll design high\-performance queries, work with diverse data sources, and drive data solutions. Collaborate with data delivery teams to build applications using Python and maintain data pipelines, models, and queries in cloud environments using technologies like Snowflake, NoSQL databases, ETL tools, and AWS services (ECS, Lambdas, SQS, DynamoDB, Step Functions, RDS). Contribute throughout the SDLC, from design to CI/CD operations. Make a significant impact in the automotive industry with your data engineering skills!
**What You'll Do**
 Role Overview:
* Collaborate with Product and Engineering to understand data needs and deliver high\-quality data solutions.
* Develop and manage scalable data pipelines and architectures.
* Engage with your agile delivery team to build a culture of passion, trust, and creativity.
* Learn and leverage the automotive digital marketing domain to change how the world buys, sells, and uses cars.
**Who You Are**
 Required Experience:
* Applicants must currently be authorized to work in the United States for any employer without current or future sponsorship. No OPT, CPT, STEM/OPT or visa sponsorship now or in future.
* Required BA/BS or higher degree in a related discipline with a focus in Data Engineering or Software Engineering
* 1 to 3 years of related professional work experience in Data Engineering
* MUST live within a commutable distance to Cox Automotive's Austin TX office and work in a hybrid\-onsite setting
* Experience with cloud\-based application development, support and DevOps (ideally AWS)
* Object\-oriented design experience, including applied use of design patterns.
* Experience with programming languages such as Python
* Ability to work independently, to design, develop, and deploy solutions, and to deliver projects on time with moderate direction.
* Ability to collaborate with other developers to build the best solution for the customer.
* Database development skills, including using database technologies and logical and physical data modeling.
* Please include links to any side projects you've worked on in your Github profile
**Preferred AI\-Related Skills**
* Exposure to AI/ML workflows and data preparation for model training
* Experience with AI\-assisted development tools (e.g., GitHub Copilot)
* Familiarity with vector databases, LLM integration, or prompt engineering
* Understanding of MLOps practices and cloud\-based AI infrastructure
* Commitment to ethical AI practices and data governance
 USD 73,800\.00 \- 110,800\.00 per year
**Compensation**
 Compensation includes a base salary of $73,800\.00 \- $110,800\.00\.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9">
      <c r="A9" t="inlineStr">
        <is>
          <t>li-4321058103</t>
        </is>
      </c>
      <c r="B9" t="inlineStr">
        <is>
          <t>Data Engineer I (AWS, Python, Databricks)</t>
        </is>
      </c>
      <c r="C9" t="inlineStr">
        <is>
          <t>Travelers</t>
        </is>
      </c>
      <c r="D9" t="inlineStr">
        <is>
          <t>linkedin</t>
        </is>
      </c>
      <c r="E9">
        <f>HYPERLINK("https://www.linkedin.com/jobs/view/4321058103", "https://www.linkedin.com/jobs/view/4321058103")</f>
        <v/>
      </c>
      <c r="F9" t="inlineStr"/>
      <c r="G9" t="inlineStr">
        <is>
          <t>Hartford, CT</t>
        </is>
      </c>
      <c r="H9" t="inlineStr"/>
      <c r="I9"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3\+ years in a data engineer role, with additional time spent working in the IT industry or an engineering related field, adding up to 7\+ years.
* 2\+ years of hands\-on ETL experience with PySpark
* Experience working with Cloud platform (AWS, Azure, Google, etc. \- preferable AWS) and Cloud platform services. (Example of AWS core services: S3, IAM, lambda, Secret Manager, EC2\.)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0">
      <c r="A10" t="inlineStr">
        <is>
          <t>li-4363397652</t>
        </is>
      </c>
      <c r="B10" t="inlineStr">
        <is>
          <t>Data Engineer I (Databricks, AWS, Python)</t>
        </is>
      </c>
      <c r="C10" t="inlineStr">
        <is>
          <t>Travelers</t>
        </is>
      </c>
      <c r="D10" t="inlineStr">
        <is>
          <t>linkedin</t>
        </is>
      </c>
      <c r="E10">
        <f>HYPERLINK("https://www.linkedin.com/jobs/view/4363397652", "https://www.linkedin.com/jobs/view/4363397652")</f>
        <v/>
      </c>
      <c r="F10" t="inlineStr"/>
      <c r="G10" t="inlineStr">
        <is>
          <t>Hartford, CT</t>
        </is>
      </c>
      <c r="H10" t="inlineStr"/>
      <c r="I10"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$109,300\.00 \- $180,200\.00
**Target Openings**
 1
**What Is the Opportunity?**
 Travelers Data Engineering team constructs pipelines that contextualize and provide easy access to data by the entire enterprise. As a Data Engineer, you will play a key role in growing and transforming our analytics landscape. In addition to your strong analytical mind, you will bring your inquisitive attitude and ability to translate the stories found in data. You will leverage your ability to design, build and deploy data solutions that capture, explore, transform, and utilize data to support Artificial Intelligence, Machine Learning and business intelligence/insights. Applicants must be authorized to work for ANY employer in the U.S. The company does not sponsor/support H\-1B petitions, TN, or Forms I\-983/STEM OPT, for this role.
**What Will You Do?**
* Build and operationalize complex data solutions, correct problems, apply transformations, and recommend data cleansing/quality solutions.
* Design data solutions.
* Analyze sources to determine value and recommend data to include in analytical processes.
* Incorporate core data management competencies including data governance, data security and data quality.
* Collaborate within and across teams to support delivery and educate end users on data products/analytic environment.
* Perform data and system analysis, assessment and resolution for defects and incidents of moderate complexity and correct as appropriate.
* Test data movement, transformation code, and data components.
* Perform other duties as assigned.
**What Will Our Ideal Candidate Have?**
* Bachelor’s Degree in STEM related field or equivalent.
* Six years of related experience.
* Leverage Your AI Expertise: Utilize your experience with OpenAI and AWS Bedrock to drive innovative projects.
* Technical Proficiency: Showcase your skills in Python, SQL, AWS, Databricks, and more to develop robust AI applications.
* Terraform Experience: Bring your Terraform expertise to streamline infrastructure management and deployment.
* API Design Skills: Contribute to designing and implementing API's that power seamless integrations and functionalities.
* Proficient use of tools, techniques, and manipulation including Cloud platforms, programming languages, and an understanding of software engineering practices.
* The ability to deliver work at a steady, predictable pace to achieve commitments, decompose work assignments into small batch releases, and contribute to tradeoff and negotiation discussions.
* Demonstrated track record of domain expertise including the ability to understand technical concepts and possess in\-depth knowledge of immediate systems worked on.
* Proven problem solving skills including debugging skills, allowing you to determine source of issues in unfamiliar code or systems and the ability to recognize and solve repetitive problems.
* Strong verbal and written communication skills with the ability to interact with team members and business partners.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software/data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11">
      <c r="A11" t="inlineStr">
        <is>
          <t>li-4365607105</t>
        </is>
      </c>
      <c r="B11" t="inlineStr">
        <is>
          <t>Data Engineer</t>
        </is>
      </c>
      <c r="C11" t="inlineStr">
        <is>
          <t>Southern Company</t>
        </is>
      </c>
      <c r="D11" t="inlineStr">
        <is>
          <t>linkedin</t>
        </is>
      </c>
      <c r="E11">
        <f>HYPERLINK("https://www.linkedin.com/jobs/view/4365607105", "https://www.linkedin.com/jobs/view/4365607105")</f>
        <v/>
      </c>
      <c r="F11" t="inlineStr"/>
      <c r="G11" t="inlineStr">
        <is>
          <t>Greater Birmingham, Alabama Area</t>
        </is>
      </c>
      <c r="H11" t="inlineStr"/>
      <c r="I11" t="inlineStr">
        <is>
          <t>**Summary:** 
 This post is for a Data Engineer/Analyst located in Birmingham, Alabama. The position will be filled as a member of the Operations \&amp; Commercial Technology Solutions organization, within Southern Power Technology Solutions. The Data Engineer/Analyst role will perform advanced and descriptive analytics that lead to improved business profitability, increased operational efficiencies, and better customer experience. This role requires a combination of conceptual thinking, analytical expertise, business acumen, strategic mindset, and customer focus. This role is responsible for discovering business insights using statistics, machine learning, and visualization techniques. The successful candidate will need to acquire strong knowledge of our internal business. This role focuses on supporting various departments across Southern Power. Ability to collaborate with stakeholders across the company is essential to success in this role.
**Qualifications:** 
* A bachelor's degree in engineering, Computer Science, Information Technology, Data Science, or a related field is required
* A master’s degree in engineering, Computer Science, Information Technology, Data Science, or a related field is preferred
* 3\+ years of hands\-on experience with data analytics or programming; with progressively increased level of responsibility
* Experience querying data from various data sources
* Excellent analytics and problem\-solving skills, with the ability to troubleshoot and resolve data\-related issues.
 ·       Proficient with one or more programming languages used for analytics, preferably Python and SQL 
* Experience with Databricks, Power BI, Tableau, Plotly/Dash is a plus
* Experience working with operational, industrial, IoT, or time‑series data is a plus
* Strong interest in AI and aptitude to learn how to develop AI solutions for internal business partners
* Ability to effectively collaborate in highly cross\-functional work environment, engage diverse stakeholders, ask questions to understand client needs, and partner with colleagues across different teams
* Written communication skills and experience summarizing key insights in concise emails, a few bullet points, and executive summaries
* Verbal communication skills and experience effectively presenting analytics outcomes and methodology in practical terms to business audiences
* Experience managing and prioritizing multiple projects simultaneously
* Behaviors rooted in our corporate values: Safety First, Intentional Inclusion, Act with Integrity, Superior Performance
 ·       Knowledge of the electric utility industry is a plus
**Job Responsibilities:** 
* Build relationships with internal clients to understand their goals, processes, and challenges
* Promptly respond to requests from internal clients, understand their business questions, and perform analytics to meet their business needs
* Proactively suggest advanced analytics solutions to clients
* Write programs to pull data from various data sources
* Identify, gather, and prepare data for your projects
* Analyze structured and unstructured data
* Fulfill high volumes of ad\-hoc analytics requests
* Develop and deploy analytical models
* Demonstrated ability to monitor, diagnose, and optimize data pipelines and analytical solutions
* Develop dashboards that automatically pull data from various internal databases
* Summarize key insights from your analytics projects and provide conclusions and recommendations
* Produce analytics and models to enhance internal business processes, reduce operational costs, increase revenues, optimize decision making, and support capacity growth
* Provide insights and tools that quantify, track, and improve data quality
* Establish external and internal relationships to share best practices in data science, stay abreast of industry trends and emerging technologies
* Continuously learn new data, new platforms, and new methods. Demonstrate curiosity and creativity in the rapidly evolving world of data and AI.
 Behavioral Attributes
* Opportunistic Drive \- Committed to delivering technology solutions that help Southern Power achieve their business objectives
* Positive Can\-Do Attitude – Must be willing to take full responsibility for duties and work effectively under the pressure of deadlines and shifting priorities.
* Self\-Starter – Able to work in a professional environment with limited direct supervision.
* Results\-Oriented – Acts with speed and decisiveness; takes initiative adoes what it takes to meet commitments.
* Safety Focused – Accepts responsibility for the safety of self and co\-workers.
* Commitment to continuous learning and improvement – Stays abreast of new technologies and techniques in the market; Looks for opportunities improve through strategy and innovation.</t>
        </is>
      </c>
    </row>
    <row r="12">
      <c r="A12" t="inlineStr">
        <is>
          <t>li-4365637767</t>
        </is>
      </c>
      <c r="B12" t="inlineStr">
        <is>
          <t>Data Engineer - Remote</t>
        </is>
      </c>
      <c r="C12" t="inlineStr">
        <is>
          <t>Optum</t>
        </is>
      </c>
      <c r="D12" t="inlineStr">
        <is>
          <t>linkedin</t>
        </is>
      </c>
      <c r="E12">
        <f>HYPERLINK("https://www.linkedin.com/jobs/view/4365637767", "https://www.linkedin.com/jobs/view/4365637767")</f>
        <v/>
      </c>
      <c r="F12" t="inlineStr"/>
      <c r="G12" t="inlineStr">
        <is>
          <t>Eden Prairie, MN</t>
        </is>
      </c>
      <c r="H12" t="inlineStr"/>
      <c r="I1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Optum Program Integrity Analytics is a suite of complementary, web\-based components that mine provider, member and claims data for potential fraud, waste and abuse; provide software research tools; and track subsequent investigation activity. The PI Analytics team is comprised of individuals with a variety of technical expertise from databases, business intelligence reporting, and web\-based tools.
 The PI team is looking for a data\-focused data engineer to quickly develop a comprehensive understanding of fraud, waste and abuse detection software. The analyst should have the ability to collaborate with multiple roles including fellow business analysts, data engineers, software engineers and report developers. This individual will be involved in many phases of an implementation project and/or an operational project and become familiar with the database structures, testing software, ND documentation. This role will be key in the successful implementation of new projects and the maintenance of existing projects.
 You'll enjoy the flexibility to work remotely \* from anywhere within the U.S. as you take on some tough challenges.
 For all hires in the Minneapolis or Washington, D.C. area, you will be required to work in the office a minimum of four days per week.
**Primary Responsibilities**
* Support the full software development and implementation lifecycle
* Lead the development and management of ETL processes for Program Integrity data marts in Snowflake and SQL Server
* Design, build, and maintain data pipelines using Azure Data Factory (ADF) to support ETL operations and Peer Group Profiling procedures and outputs
* Implement and manage DevOps practices to ensure efficient data loading and workload balancing within the Program Integrity data mart
* Collaborate with cross\-functional teams to ensure seamless data integration and consistent data flow across platforms
* Monitor, optimize, and troubleshoot data pipelines and workflows to maintain performance and reliability
* Independently identify and resolve complex technical issues to maintain operational efficiency
* Communicate effectively and foster collaboration across teams to support project execution and alignment
* Apply advanced analytical skills and attention to detail to uphold data accuracy and quality in all deliverables
* Lead cloud\-based project delivery, ensuring adherence to timelines, scope, and performance benchmarks
* Ensure data security and compliance with relevant industry standards and regulatory requirements
* Share knowledge (train) other team members and business users on any of the skills listed above
 You'll be rewarded and recognized for your performance in an environment that will challenge you and give you clear direction on what it takes to succeed in your role as well as provide development for other roles you may be interested in.
**Required Qualifications**
* 5\+ years of hands\-on expertise in cloud\-based data engineering and data warehousing, with a strong emphasis on building scalable and efficient data solutions
* 5\+ years of focused experience in Snowflake, including the design, development, and maintenance of automated data ingestion workflows using Snowflake SQL procedures and Python scripting
* 5\+ years of hands\-on experience with Azure data tools such as Azure Data Factory (ADF), SQL Server, and Blob Storage, alongside Snowflake
* 2\+ years of experience with Python and other scripting languages for data manipulation and automation
**Preferred Qualifications**
* Certification in Azure or Snowflake
* Experience with data modeling and database design
* Recent experience with medical claims processing systems, including familiarity with core functionalities, workflows, and data structures used in healthcare claims management
* Data science and analytics experience
* Knowledge of data governance and data quality best practices
* Familiarity with other cloud platforms (e.g., AWS, Google Cloud)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$89,900 to $160,600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13">
      <c r="A13" t="inlineStr">
        <is>
          <t>li-4365594920</t>
        </is>
      </c>
      <c r="B13" t="inlineStr">
        <is>
          <t>Analytics Engineer</t>
        </is>
      </c>
      <c r="C13" t="inlineStr">
        <is>
          <t>Amplify</t>
        </is>
      </c>
      <c r="D13" t="inlineStr">
        <is>
          <t>linkedin</t>
        </is>
      </c>
      <c r="E13">
        <f>HYPERLINK("https://www.linkedin.com/jobs/view/4365594920", "https://www.linkedin.com/jobs/view/4365594920")</f>
        <v/>
      </c>
      <c r="F13">
        <f>HYPERLINK("https://amplify.wd1.myworkdayjobs.com/Amplify_Careers/job/Remote\u002d\u002d-United-States/Analytics-Engineer_Req_12422?source=LinkedIn&amp;urlHash=3tUb", "https://amplify.wd1.myworkdayjobs.com/Amplify_Careers/job/Remote\u002d\u002d-United-States/Analytics-Engineer_Req_12422?source=LinkedIn&amp;urlHash=3tUb")</f>
        <v/>
      </c>
      <c r="G13" t="inlineStr"/>
      <c r="H13" t="inlineStr"/>
      <c r="I13"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Amplify is a leader in creating immersive, rigorous digital learning experiences that look great, play great, and help students expect great things of themselves. Amplify has been described as the best tech company in education, and the best education company in tech.
 As an engineer at Amplify, you will join a talented team tackling the toughest problems in education with the best ideas in technology – including user experience, APIs and services, data analysis, and deployment pipelines. You’ll play an active role in imagining and improving product design and the classroom experience.
**Essential Responsibilities**
 Our analytics engineering team ingests, transforms, models, and aggregates the data that empowers teams across Amplify and our customers to make sense of and tell stories with their data. You’ll be working with data scientists, data analysts, and data engineers to provide clean, accurate, reliable models and metrics for our products and internal business partners.
* Impress the toughest customers around – students – by building the analytical models which drive the design cycle for fun and compelling apps, helping them understand their students by building modular data models
* Help school administrators build great schools by:
+ respecting privacy and ensuring security while offering useful insights by making inquisitive choices in tech stack, database design, masking policies, and encryption
+ helping school principals understand how teachers are teaching and how students are learning by architecting data warehouse schemas and SQL transforms with just the right CTEs, window functions, and pivots
+ analyzing performance and squashing tricky bugs using tools like Fivetran, Snowflake, Airflow, DBT, SQL, Python, Looker and Tableau.
+ Make life better for passionate, Marketing and Sales teams by building cohesive, common data marts from ERP and CRM source systems like Salesforce, Netsuite and HubSpot
* Learn every day by:
+ immersing yourself in agile rituals and leveraging our infrastructure
+ collaboration, pull request\-ing, CI/CD processes and mentoring on a multi\-functional team
+ participating in cross\-team share\-outs, brownbags, and workshop series
+ becoming an expert in the data models and standards within Amplify and demonstrating the educational industry in order to deliver quality and consistent solutions
**Example Projects You Might Work On**
* Build well\-tested and documented ELT data pipelines for both full and incremental dbt models to funnel into a fact and dimensional data mart.
* Work closely with sales on logistics pipeline forecasting and sales pipeline tracking to help focus our sales teams in the right areas for the biggest impact.
* Align with finance on making sure we have well audited data inline with established financial best practices.
* Engineer novel datasets which express a student's progress and performance through an adaptive learning experience which allows for flexible comparison across students and deep analysis of individual students.
* Work with the data science team to measure the impact of design changes on an administrator reporting application.
* Contribute to leading industry data standards, such as Caliper Analytics, EdFi, or xAPI
* Craft slowly changing dimensional models that take into account the nuances of K\-12 education such as School Year changes and students moving schools or classes.
**Required Qualifications**
* BS in Computer Science, Data Science, or equivalent experience.
* 3\+ years of professional software development or data engineering experience
* Strong computer, data, and analytics engineering fundamentals.
* Proven fluency in SQL and its use in code\-based ETL frameworks preferably dbt
* Understanding of ETL/ELT pipelines, analytical data modeling, aggregations, and metrics
* Strong understanding of analytical modeling architectures, including the Kimball dimensional data model design
* Experience working with Looker for explore and dashboards.
* Ability to clearly communicate and present technical concepts to a broad audience both verbally and in written form
**Preferred Qualifications**
* Fluency in a development language such as Python
* Familiarity with metadata management tools such as Atlan
* Experience building dashboards, reports, and models in business intelligence tools such as Tableau or Looker
* Experience with tools we use every day:
+ Storage: Snowflake, AWS Storage Services/DBs (S3, RDS, Glacier, DynamoDB) and Postgres
+ ETL/ELT: Airflow, dbt, Fivetran
+ BI: Looker
* Experience with tools we don’t use, but should
* Proven passion and talent for teaching fellow engineers and non\-engineers
* Experience in recommending standards and practice to streamline the pipeline processes
* Proven passion for building and learning: open source contributions, stretch goals and projects, and self\-education
* Experience using LLMs for dev work like claude or co\-pilot.
* Experience in education or ed\-tech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$115,000 \- $129,000\.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14">
      <c r="A14" t="inlineStr">
        <is>
          <t>li-4362681573</t>
        </is>
      </c>
      <c r="B14" t="inlineStr">
        <is>
          <t>Data Engineer, Specialist</t>
        </is>
      </c>
      <c r="C14" t="inlineStr">
        <is>
          <t>Vanguard</t>
        </is>
      </c>
      <c r="D14" t="inlineStr">
        <is>
          <t>linkedin</t>
        </is>
      </c>
      <c r="E14">
        <f>HYPERLINK("https://www.linkedin.com/jobs/view/4362681573", "https://www.linkedin.com/jobs/view/4362681573")</f>
        <v/>
      </c>
      <c r="F14" t="inlineStr"/>
      <c r="G14" t="inlineStr">
        <is>
          <t>Charlotte, NC</t>
        </is>
      </c>
      <c r="H14" t="inlineStr"/>
      <c r="I14" t="inlineStr">
        <is>
          <t>We are seeking a highly skilled Data Engineer with advanced expertise in Python and SQL to drive innovation and deliver impactful solutions. In this role, you’ll be at the forefront of building spinal client information reporting capabilities while leading the integration of new services and processes into our group. Ideal candidates will bring deep knowledge of AWS services—including Glue, Redshift, Bedrock, and S3—and a passion for tackling complex challenges. If you’re ready to jump in and push critical work forward, we want to hear from you!
**Responsibilities:**
* Writes ETL (Extract / Transform / Load) processes, designs database systems, and develops tools for real\-time and offline analytic processing.
* Troubleshoots software and processes for data consistency and integrity. Integrates large scale data from a variety of sources for business partners to generate insight and make decisions.
* Translates business specifications into design specifications and code. Responsible for writing complex programs, ad hoc queries, and reports. Ensures that all code is well structured, includes sufficient documentation, and is easy to maintain and reuse.
* Partners with internal clients to gain an enhanced understanding of business functions and informational needs. Gains expertise in tools, technologies, and applications/databases in specific business areas and company\-wide systems.
* Leads all phases of solution development. Explains technical considerations at related meetings, including those with internal clients and less experienced team members.
* Tests code thoroughly for accuracy of intended purpose. Reviews end product with the client to ensure adequate understanding. Provides data analysis guidance as required.
* Designs and conducts training sessions on tools and data sources used by the team and self provisioner's. Provides job aids to team members and business users.
* Tests and implements new software releases through regression testing. Identifies issues and engages with vendors to resolve and elevate software into production.
* Participates in special projects and performs other duties as assigned.
**Qualifications:**
* Advanced SQL development
* Advanced Python development
* AWS experience
* Minimum of five years data analytics, programming, database administration, or data management experience.
* Undergraduate degree or equivalent combination of training and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15">
      <c r="A15" t="inlineStr">
        <is>
          <t>li-4365625400</t>
        </is>
      </c>
      <c r="B15" t="inlineStr">
        <is>
          <t>Senior Data Engineer</t>
        </is>
      </c>
      <c r="C15" t="inlineStr">
        <is>
          <t>Regard</t>
        </is>
      </c>
      <c r="D15" t="inlineStr">
        <is>
          <t>linkedin</t>
        </is>
      </c>
      <c r="E15">
        <f>HYPERLINK("https://www.linkedin.com/jobs/view/4365625400", "https://www.linkedin.com/jobs/view/4365625400")</f>
        <v/>
      </c>
      <c r="F15">
        <f>HYPERLINK("https://jobs.lever.co/Regard/3a281c38-2c07-4c25-8c26-54e42afe0f70/apply?lever-source=LinkedIn&amp;urlHash=3qo-", "https://jobs.lever.co/Regard/3a281c38-2c07-4c25-8c26-54e42afe0f70/apply?lever-source=LinkedIn&amp;urlHash=3qo-")</f>
        <v/>
      </c>
      <c r="G15" t="inlineStr">
        <is>
          <t>New York, NY</t>
        </is>
      </c>
      <c r="H15" t="inlineStr"/>
      <c r="I15" t="inlineStr">
        <is>
          <t>As a Senior Data Engineer at Regard, you will own the data pipelines and infrastructure that turn raw data into the metrics and insights that drive our product decisions and research. We run an engineering\-first stack that prioritizes transparent, code\-driven systems over black\-box services, and you will be responsible for architecting and evolving these systems.
 You will set the technical standards and take full ownership of our data platform's reliability, performance, and data quality, going beyond basic monitoring to tackle real operational challenges. This includes analyzing and tuning Spark workloads and partitioning strategies to control costs, handling breaking upstream changes, and enforcing rigorous data quality standards so our analytics are as dependable as our application code.
**About Regard**
 Our mission is to bring world\-class healthcare to everyone. Regard is an AI\-powered Proactive Documentation platform that advances how care is delivered by reviewing all patient data in the EHR to recommend diagnoses and surface clinical evidence. Regard drafts a note even before the physician sees the patient, enabling an approach that gets documentation right at the point of care \- we call it Proactive Documentation. This improves quality of care, reduces physician burden, and improves hospital finances. We are excited by challenges, mission\-oriented work, and meaningful relationships. We work closely with some of the top health systems in the country and are leading the change that healthcare \- one of the largest and most inefficient industries in the world \- needs. We want you to join us.
**Our Tech Stack:**
* Data: Apache Iceberg, EMR, PySpark, Dagster, Clickhouse, PostgreSQL, Metabase
* Backend: Python (FastAPI, Flask), Redis, Celery
* Infrastructure \&amp; DevOps: Docker, Kubernetes, AWS (SQS, SNS), GitLab CI/CD
* APIs \&amp; AI: OpenAPI, OpenAI (GPT models)
**Responsibilities:**
* Collect, model, and consolidate data into the data platform to support analytics, ML development, and research initiatives
* Design, build, and evolve data models and pipelines that reliably transform and deliver data to downstream consumers
* Own data quality in collaboration with engineering teams, ensuring datasets are trustworthy and production\-ready
* Partner closely with product to deliver analytics and actionable insights to internal and external stakeholders
* Own the reliability and day\-to\-day operation of the data platform and its pipelines through proactive monitoring, alerting, and operational management
**Minimum Qualifications:**
* Bachelors degree in Computer Science, Mathematics, Statistics, or a related field, or equivalent practical experience
* 5\+ years of experience in data engineering roles building and operating production data pipelines
* 3\+ years of experience working with public cloud platforms (e.g., AWS services such as Glue, Kinesis, or EMR)
* Strong proficiency in Python and SQL
* Hands\-on experience across the full data stack, with particular depth in data modeling and pipeline design
* Willingness to participate in on\-call operational support for owned systems
* Ability to travel up to four weeks per year for company co\-working and/or retreat weeks
* Strong verbal and written communication skills
**Preferred Qualifications:**
* Experience working with healthcare data, including HIPAA compliance, data de\-identification, and familiarity with open data standards such as OMOP CDM
* Experience building and supporting data pipelines for ML workflows, including model training, validation, deployment, and ongoing performance evaluation
**Hybrid Work \| Location \| Work Authorization**
* For this role, Regard is currently only considering candidates who are authorized to work in the US without visa sponsorship, and are within the New York City, Los Angeles, or San Francisco metro areas
* We expect our Engineers to be in the office on Tuesdays and Thursdays. We may request more frequent in\-office work during the onboarding period
* We will provide relocation assistance to anyone who does not already reside in the NYC metro area
* We prefer hiring people within commuting distance of our offices because we value getting together in person regularly
* For those who enjoy working from our LA or Manhattan offices on a more regular basis, we offer catered lunches and other fun perks
* Additionally, hybrid employees have the flexibility to work from locations outside of their home office from up to 6 weeks per year
**Comp \| Perks \| Benefits**
* Eligible for equity
* 99% employer paid health benefits (Medical, Dental, and Vision) \+ One Medical subscription
* 18 PTO days/yr \+ 1 week holiday break
* Monthly health \&amp; wellness budget
* Company\-sponsored team retreat \+ social events
* A sabbatical program
 Our goal at Regard is to provide and maintain a work environment that fosters mutual respect, professionalism and cooperation. Regard is proud to be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We celebrate diversity and are proud of our supportive, inclusive workplace.
 All candidates must successfully complete a background check as part of the hiring process.
 At Regard, we carefully consider a wide range of factors when determining compensation, including your skills, qualifications, location, and experience. We expect the base salary range for this position to be $165,000 to $200,000\. This is subject to change and may be modified in the future. We encourage all interested candidates to apply.</t>
        </is>
      </c>
    </row>
    <row r="16">
      <c r="A16" t="inlineStr">
        <is>
          <t>li-4365619191</t>
        </is>
      </c>
      <c r="B16" t="inlineStr">
        <is>
          <t>Senior Data Engineer</t>
        </is>
      </c>
      <c r="C16" t="inlineStr">
        <is>
          <t>Reverb</t>
        </is>
      </c>
      <c r="D16" t="inlineStr">
        <is>
          <t>linkedin</t>
        </is>
      </c>
      <c r="E16">
        <f>HYPERLINK("https://www.linkedin.com/jobs/view/4365619191", "https://www.linkedin.com/jobs/view/4365619191")</f>
        <v/>
      </c>
      <c r="F16" t="inlineStr"/>
      <c r="G16" t="inlineStr">
        <is>
          <t>Chicago, IL</t>
        </is>
      </c>
      <c r="H16" t="inlineStr"/>
      <c r="I16" t="inlineStr">
        <is>
          <t>**About Reverb**
 Reverb is the largest online marketplace dedicated to buying and selling new, used, and vintage musical instruments. Since launching in 2013, Reverb has grown into a vibrant community of buyers and sellers all over the world. By focusing on inspiring content, price transparency, musician\-focused e\-commerce tools, a music\-savvy customer service team, and more, Reverb has created an online destination where the global music community can connect over the perfect piece of music gear.
 We love working at Reverb because we’re making the world more musical—through our marketplace and through Reverb Gives, which provides musical instruments to youth music education programs. We were named a “Best Place to Work” by Built in Chicago and a “Top Workplace'' by the Chicago Tribune.
**About The Role**
 Our Engineering organization takes pride in crafting extraordinary software in service of our mission. We take an active role in product ownership by measuring the impact of features we release, collaborating with internal partners, fixing bugs, and ultimately building products and features that have a measurable impact on the business. Our team works together, pairing on design and coding patterns, peer\-reviewing code, and elevating other developers through continuous mentorship and learning opportunities.
 As part of Reverb’s Data Engineering team, you’ll help build a platform to enable confident, informed decisions and products that scale along with our business. We are a small, forward\-thinking team looking for creative engineers who can face a wide range of problems, researching and implementing innovative solutions that make the most of our data.
**This is a full\-time, hybrid position reporting to the Senior Engineering Manager of our Data Engineering team. Hybrid team members are expected to work from our Chicago office 1\-3 times per week, depending on team norms.**
**Responsibilities**
* Maintain and improve our data pipelines and warehouse to ensure our users have timely access to accurate data. Our current stack uses Python, Airflow, Redshift, dbt, Looker, and more.
* Actively contribute to building out our machine learning platform by partnering with our Data Science, Search Science and Product teams who are focused on launching ML models for search, recommendations, and other areas.
* Collaborate with data analysts and other internal partners across the organization to find exciting insights within our data and make them available to our product teams.
* Build and share a deep understanding of your chosen languages, framework, or other area of expertise. Push yourself and the team to be continuously learning and growing.
* Own initiatives end\-to\-end, from clarifying business requirements and designing scalable data solutions to building robust testing, monitoring, and validation frameworks that uphold the highest standards of data quality
* Lead and participate in pairing sessions, code reviews, and other team habits.
**Requirements**
 We use a wide variety of languages, frameworks, and databases, so many skills and experiences would make you a good fit for our team, including:
* Advanced experience with Python in data engineering, web and/or ML applications, with the ability to guide best practices and architectural decisions.
* Ownership of ETL/ELT pipelines and data platforms, including designing, scaling and improving data warehouse solutions.
* Expertise in relational databases, including data modeling, performance, optimizations, and crafting SQL queries.
* Strong understanding of different types of data storage and their trade\-offs, with the ability to evaluate tools and influence technical direction.
* Experience designing and operating event\-driven systems, including technologies such as Apache Kafka.
* Experience in machine learning techniques, pipelines, and applications.
* Proven ability to mentor and coach engineers, providing technical guidance, code reviews, and support for career growth.
* Demonstrated leadership in cross\-functional collaboration with engineering peers, data scientists, data analysts, and other business and product partners.
* Solid experience with AWS infrastructure.
**Additional Information**
 Remote\-eligible roles (as indicated in the location header of each job description) are available in all U.S. states except Alaska and Hawaii. Remote roles are currently only available within the U.S. unless otherwise specified in the specific job description.
**Benefits**
 Reverb offers a comprehensive total rewards package that combines base, bonus, and an array of benefits. Some of our key benefits include but are not limited to the following:
* 100% paid premiums for medical, dental, and vision coverage for the employee, spouse or domestic partner, and all eligible dependents. Medical coverage includes gender affirming care.
* Life, AD\&amp;D, and supplemental long\-and short\-term disability insurance
* A matching 401(k)
* A generous PTO policy that includes vacation, sick/mental health days plus 11 paid holidays and two floating holidays
* Professional development and continued learning opportunities through access to mentoring, 1:1 coaching, and platforms like Skillsoft
* 18 weeks of gender\-neutral parental leave for the birth or adoption of a child
* Up to $25,000 reimbursement of adoption and/or surrogacy related expenses
* Paid sabbatical program
* Annual work/life stipend
* Ways to give back to your community through volunteer time off
 At Reverb, we believe that an equitable and inclusive workplace where people from all backgrounds can come, stay and thrive makes us a more relevant and resilient company. Reverb is an equal opportunity employer. We do not discriminate on the basis of race, color, ancestry, religion, national origin, sexual orientation, age, citizenship, marital or family status, disability, gender identity or expression, veteran status, or any other legally protected status. We will ensure that individuals with disabilities are provided a reasonable accommodation to participate in the job application or interview process, to perform crucial job functions, and to receive other benefits and privileges of employment. If, due to a disability, you need an accommodation during any part of the interview process, please let your recruiter know.
 We know that the impostor syndrome and confidence gap are real. Please do not hesitate to apply!
**The Pay Range For This Role Is**
 139,000 \- 181,000 USD per year (US)</t>
        </is>
      </c>
    </row>
    <row r="17">
      <c r="A17" t="inlineStr">
        <is>
          <t>li-4349587164</t>
        </is>
      </c>
      <c r="B17" t="inlineStr">
        <is>
          <t>Lead Data Engineer</t>
        </is>
      </c>
      <c r="C17" t="inlineStr">
        <is>
          <t>Benepass</t>
        </is>
      </c>
      <c r="D17" t="inlineStr">
        <is>
          <t>linkedin</t>
        </is>
      </c>
      <c r="E17">
        <f>HYPERLINK("https://www.linkedin.com/jobs/view/4349587164", "https://www.linkedin.com/jobs/view/4349587164")</f>
        <v/>
      </c>
      <c r="F17" t="inlineStr"/>
      <c r="G17" t="inlineStr"/>
      <c r="H17" t="inlineStr"/>
      <c r="I17" t="inlineStr">
        <is>
          <t>**About Us**
 At Benepass we're making benefits easy. We believe people are the most important asset to any company. Traditional one\-size\-fits\-all benefits packages no longer cut it in today's hybrid and remote\-first environment. With Benepass, companies can tailor their benefits to the unique needs of their workforce.
 Through our easy\-to\-use and highly customizable fintech platform, People teams can implement, administer, and track the benefits that meet employees where they are. Employers design their benefits and perks plan by setting a contribution amount and eligible spend categories. Every employee has their own individual definition of wellness and needs different things to help them be their most productive, fulfilled self.
**Our Mission**
 Helping companies reimagine how companies take care of their people.
**Our Investors**
 We are backed by leading investors, including Portage Ventures, Threshold Ventures, Gradient Ventures, Workday Ventures, and Clocktower Technology Ventures. To date, the company has raised $35 million of equity capital.
**Articles**
* Founder Story \- Jaclyn Chen
* Benepass Raises $40M Series B
**Candidate Resources**
* Benepass \| Candidate Resource Page
* Benepass Listed on Inc. Magazine's Best Workplaces of 2023
**Role Summary**
 Benepass is hiring a
 **Lead Data Engineer** 
 to become the end\-to\-end owner of our data engineering function. This is a foundational, hands\-on, high\-ownership individual contributor role where you will design, build, and scale the next generation of Benepass’s data infrastructure—pipelines, warehousing, transformations, data quality, and tooling. This is a foundational role where you will serve as the first and primary Data Engineer at Benepass, responsible for building the platform, defining standards, and establishing the patterns that future data engineering hires will follow. This role is focused on data engineering and platform ownership, not analytics or data science — you should identify as an engineer who builds systems, pipelines, and frameworks, not dashboards or reports.
 You will partner closely with Engineering, Product, Finance, People, Sales, Operations, and the Executive Team to deliver high\-quality, reliable data that powers our products, business intelligence, financial reporting, internal tooling, and decision\-making. You will partner deeply with Finance, Operations, Product, Engineering, and our Executive Team to deliver the core datasets powering revenue reporting, margin analysis, compliance workflows, customer\-facing features, and internal operational tooling. You will also work heavily with our Operations “Data” team to provide the infrastructure, workflows, and tools they need to deliver dashboards, reporting, and operational insights.
 Nothing will be handed to you—you will define the roadmap, technical direction, standards, and architecture for data engineering at Benepass. You will ensure data governance, privacy, and compliance across sensitive financial, payments, and benefits datasets and will establish testing, auditability, and monitoring practices appropriate for regulated environments. You will design for scaling volume and complexity across millions of transactions, multi\-program benefit configurations, and financial system integrations. This role is ideal for someone who has successfully built or significantly scaled a data platform at a similar\-stage, high\-growth company and wants broad ownership as an IC.
 ROLE LOCATION \&amp; TRAVEL
 You will be expected to attend company\-wide on\-site events three times per year.
**What You’ll Do**
 Own \&amp; Evolve the Benepass Data Platform
* Serve as the primary architect and builder of our data infrastructure across our AWS stack (RDS, Redshift, S3, etc.).
* Evaluate and lead the evolution of our data stack, including decisions around warehousing, orchestration, transformations, ingestion, and observability.
* Define ingestion, modeling, testing, and monitoring frameworks to ensure data is accurate, reliable, and easy to use.
 Deliver Business\-Impacting Data Capabilities
* Partner with Engineering, Product, Finance, People, Sales, Operations, and the Executive Team to understand data needs and deliver high\-value pipelines, models, and datasets.
* Support financial and people analytics, revenue and margin reporting, operational workflows, and compliance/audit needs.
* Provide tooling, infrastructure, and best practices to empower the Operations Data team and other internal data consumers.
 Hands\-On Technical Ownership
* Design and implement ETL/ELT pipelines, schemas, and transformations in our AWS environment.
* Debug complex data issues, especially those spanning our payments, benefits, and financial systems.
* Establish standards for data reliability, testing, documentation, privacy, and governance.
 Set Vision \&amp; Roadmap for Data Engineering
* Create clarity where none exists—define architectural direction, roadmap, SLAs, data contracts, and cross\-team processes.
* Anticipate scaling needs and prepare the platform for increased volume, complexity, and product usage.
* Influence product and engineering teams on event instrumentation, schema design, and logging to ensure downstream data is structured and reliable.
 Prepare for Future Team Growth (Without Immediate Hiring)
* While we do not plan to hire additional data engineers on this team in the next year, you will:
+ define the future data engineering team structure,
+ establish foundational patterns, tooling, and documentation, and
+ position Benepass to scale efficiently once we do grow the team.
**About You**
 Technical Expertise
* \~5\+ years of data engineering experience with increasing scope and ownership.
* Strong background with AWS (RDS, Redshift, S3, Lambda, IAM) and Python.
* Deep experience building and maintaining scalable ETL/ELT pipelines, data models, event schemas, and orchestration.
* Strong command of SQL, warehousing concepts, dimensional modeling, and performance optimization.
 0→1 and Scale Experience
* You have built or significantly overhauled a data platform at a high\-growth startup (e.g., Series A–C) or similar environment.
* Comfortable owning the entire data ecosystem without existing mature processes or structure.
 Cross\-Functional Partner \&amp; Communicator
* Able to translate ambiguous business questions into clear, prioritized technical work.
* Experienced in partnering with non\-technical stakeholders (Finance, Sales, People, Operations) who depend on timely and accurate data.
 Ownership \&amp; Autonomy
* High sense of ownership and accountability for data reliability and clarity.
* Bias toward action, with strong judgment on when to build for now vs. build for scale.
 Nice\-to\-Haves
* Experience in fintech, payments, benefits, or other regulated domains with high data integrity requirements.
* Familiarity with tools such as dbt, Dagster/Airflow, Kafka/Kinesis, and data quality / observability tooling.
* Experience supporting both internal BI/reporting and data\-for\-product use cases (e.g., analytics, personalization, fraud/risk).
**Compensation**
* Base salary of $180,000 to $200,000 \+ equity.
*Range(s) is subject to change. Benepass takes a number of factors into account when determining individual starting pay, including market comparables, interview performance, peer compensation, and years of experience.*
**What We Offer**
* 95% coverage of medical, dental, and vision
* Fantastic benefits (of course 😃), including:
+ $250 WFH setup
+ $150/month cell phone \+ internet
+ $100/month Wellness
* We offer several team onsites a year
* Flexible PTO
 At Benepass, we are working towards reimaging how companies take care of their people. We are committed to creating an inclusive environment for all our employees and are seeking to build a team that reflects the diversity of the people we hope to serve with our revolutionary products. Benepass is proud to be an equal\-opportunity employer.</t>
        </is>
      </c>
    </row>
    <row r="18">
      <c r="A18" t="inlineStr">
        <is>
          <t>li-4365641155</t>
        </is>
      </c>
      <c r="B18" t="inlineStr">
        <is>
          <t>Senior Data Engineer</t>
        </is>
      </c>
      <c r="C18" t="inlineStr">
        <is>
          <t>General Motors</t>
        </is>
      </c>
      <c r="D18" t="inlineStr">
        <is>
          <t>linkedin</t>
        </is>
      </c>
      <c r="E18">
        <f>HYPERLINK("https://www.linkedin.com/jobs/view/4365641155", "https://www.linkedin.com/jobs/view/4365641155")</f>
        <v/>
      </c>
      <c r="F18" t="inlineStr"/>
      <c r="G18" t="inlineStr">
        <is>
          <t>Warren, MI</t>
        </is>
      </c>
      <c r="H18" t="inlineStr"/>
      <c r="I18" t="inlineStr">
        <is>
          <t>**Job Description**
**This role is categorized as hybrid. This means the successful candidate is expected to report to Austin Technical Center in Austin, TX or GM Global Tech Center in Michigan, MI three times per week, at minimum \[or other frequency dictated by the business if more than 3 days].**
**The Role**
 As a Data Engineer, you will design, build, and optimize industrialized data assets and data pipelines in support of Business Intelligence and Advanced Analytics objectives. In this role within the Intelligent Manufacturing organization under Data Engineering Software, you will deliver high\-quality, scalable solutions that meet both functional and non\-functional business requirements. You will contribute to projects across databases, streaming technology, CI/CD, and cloud platforms.
 The Intelligent Manufacturing teams are responsible for ideating, incubating, and delivering new plant data solutions for General Motors Manufacturing and our partners. We integrate with business and IT teams to develop real\-time solutions that leverage plant floor data to improve decisions, plant asset maintenance, safety, and operational performance, as well as Vehicle Build Data.
 This is a senior\-level role that blends strong data engineering skills with modern software engineering practices. You will help lead and deliver innovative, scalable, and maintainable data\-driven solutions—writing high\-quality, tested, production\-ready code that meets customer needs and scales without rework. You will work in a collaborative, cross\-disciplinary environment, handle complex challenges, contribute to architectural discussions, and help shape solutions that improve performance, scalability, and maintainability, while also ensuring alignment with business priorities.
**What You’ll Do**
* Assemble large, complex data sets that meet functional and non\-functional business requirements.
* Identify, design, and implement process improvements, including automation, data delivery optimization, and infrastructure redesign for scalability.
* Lead and deliver data\-driven solutions across multiple languages, tools, and technologies.
* Contribute to architecture discussions, solution design, and strategic technology adoption.
* Build and optimize highly scalable data pipelines incorporating complex transformations and efficient code.
* Design and develop new source system integrations from varied formats (files, database extracts, APIs).
* Design and implement solutions for delivering data that meets SLA requirements.
* Work with operations teams to resolve production issues related to the platform.
* Apply best practices such as Agile methodologies, design thinking, and continuous deployment.
* Develop tooling and automation to make deployments and production monitoring more repeatable.
* Collaborate with business and technology partners, providing leadership, best practices, and coaching.
* Mentor peers and junior engineers; educate colleagues on emerging industry trends and technologies.
**Your Skills \&amp; Abilities (Required Qualifications)**
* Bachelor’s degree in Computer Science, Software Engineering, or related field, or equivalent experience
* 7\+ years of data engineering/development experience, including Python or Scala, SQL, and relational/non\-relational data storage. (ETL frameworks, big data processing, NoSQL)
* 3\+ years of experience in distributed data processing (Spark) and container orchestration (Kubernetes)
* Proficiency in data streaming in Kubernetes and Kafka
* Experience with cloud platforms – Azure preferred; AWS or GCP also considered.
* Solid understanding of CI/CD principles and tools
* Familiarity with big data technologies such as Hadoop, Hive, HBase, Object Storage (ADLS/S3\), Event Queues.
* Strong understanding of performance optimization techniques such as partitioning, clustering, and caching
* Proficiency with SQL, key\-value datastores, and document stores
* Familiarity with data architecture and modeling concepts to support efficient data consumption
* Strong collaboration and communication skills; ability to work across multiple teams and disciplines.
**What Can Give You a Competitive Advantage (Preferred Qualifications)**
* Master’s degree in Computer Science, Software Engineering, or related field
* Knowledge of data governance, metadata management, or data quality/observability
* Familiarity with schema design and data contracts
* Experience handling various file formats (video, audio, image)
* Experience with Databricks, Snowflake, or similar platforms
 This job may be eligible for relocation benefits.
**Compensation:**
* The expected base compensation for this role is: $153,000 \- $227,000\.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9">
      <c r="A19" t="inlineStr">
        <is>
          <t>li-4365611735</t>
        </is>
      </c>
      <c r="B19" t="inlineStr">
        <is>
          <t>Software Developer/Data Engineer - Entry Level</t>
        </is>
      </c>
      <c r="C19" t="inlineStr">
        <is>
          <t>Lensa</t>
        </is>
      </c>
      <c r="D19" t="inlineStr">
        <is>
          <t>linkedin</t>
        </is>
      </c>
      <c r="E19">
        <f>HYPERLINK("https://www.linkedin.com/jobs/view/4365611735", "https://www.linkedin.com/jobs/view/4365611735")</f>
        <v/>
      </c>
      <c r="F19" t="inlineStr"/>
      <c r="G19" t="inlineStr">
        <is>
          <t>Atlanta, GA</t>
        </is>
      </c>
      <c r="H19" t="inlineStr"/>
      <c r="I1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20">
      <c r="A20" t="inlineStr">
        <is>
          <t>li-4365621786</t>
        </is>
      </c>
      <c r="B20" t="inlineStr">
        <is>
          <t>Senior Data Engineer</t>
        </is>
      </c>
      <c r="C20" t="inlineStr">
        <is>
          <t>Regard</t>
        </is>
      </c>
      <c r="D20" t="inlineStr">
        <is>
          <t>linkedin</t>
        </is>
      </c>
      <c r="E20">
        <f>HYPERLINK("https://www.linkedin.com/jobs/view/4365621786", "https://www.linkedin.com/jobs/view/4365621786")</f>
        <v/>
      </c>
      <c r="F20" t="inlineStr"/>
      <c r="G20" t="inlineStr">
        <is>
          <t>Los Angeles, CA</t>
        </is>
      </c>
      <c r="H20" t="inlineStr"/>
      <c r="I20" t="inlineStr">
        <is>
          <t>As a Senior Data Engineer at Regard, you will own the data pipelines and infrastructure that turn raw data into the metrics and insights that drive our product decisions and research. We run an engineering\-first stack that prioritizes transparent, code\-driven systems over black\-box services, and you will be responsible for architecting and evolving these systems.
 You will set the technical standards and take full ownership of our data platform's reliability, performance, and data quality, going beyond basic monitoring to tackle real operational challenges. This includes analyzing and tuning Spark workloads and partitioning strategies to control costs, handling breaking upstream changes, and enforcing rigorous data quality standards so our analytics are as dependable as our application code.
**About Regard**
 Our mission is to bring world\-class healthcare to everyone. Regard is an AI\-powered Proactive Documentation platform that advances how care is delivered by reviewing all patient data in the EHR to recommend diagnoses and surface clinical evidence. Regard drafts a note even before the physician sees the patient, enabling an approach that gets documentation right at the point of care \- we call it Proactive Documentation. This improves quality of care, reduces physician burden, and improves hospital finances. We are excited by challenges, mission\-oriented work, and meaningful relationships. We work closely with some of the top health systems in the country and are leading the change that healthcare \- one of the largest and most inefficient industries in the world \- needs. We want you to join us.
**Our Tech Stack:**
* Data: Apache Iceberg, EMR, PySpark, Dagster, Clickhouse, PostgreSQL, Metabase
* Backend: Python (FastAPI, Flask), Redis, Celery
* Infrastructure \&amp; DevOps: Docker, Kubernetes, AWS (SQS, SNS), GitLab CI/CD
* APIs \&amp; AI: OpenAPI, OpenAI (GPT models)
**Responsibilities:**
* Collect, model, and consolidate data into the data platform to support analytics, ML development, and research initiatives
* Design, build, and evolve data models and pipelines that reliably transform and deliver data to downstream consumers
* Own data quality in collaboration with engineering teams, ensuring datasets are trustworthy and production\-ready
* Partner closely with product to deliver analytics and actionable insights to internal and external stakeholders
* Own the reliability and day\-to\-day operation of the data platform and its pipelines through proactive monitoring, alerting, and operational management
**Minimum Qualifications:**
* Bachelors degree in Computer Science, Mathematics, Statistics, or a related field, or equivalent practical experience
* 5\+ years of experience in data engineering roles building and operating production data pipelines
* 3\+ years of experience working with public cloud platforms (e.g., AWS services such as Glue, Kinesis, or EMR)
* Strong proficiency in Python and SQL
* Hands\-on experience across the full data stack, with particular depth in data modeling and pipeline design
* Willingness to participate in on\-call operational support for owned systems
* Ability to travel up to four weeks per year for company co\-working and/or retreat weeks
* Strong verbal and written communication skills
**Preferred Qualifications:**
* Experience working with healthcare data, including HIPAA compliance, data de\-identification, and familiarity with open data standards such as OMOP CDM
* Experience building and supporting data pipelines for ML workflows, including model training, validation, deployment, and ongoing performance evaluation
**Hybrid Work \| Location \| Work Authorization**
* For this role, Regard is currently only considering candidates who are authorized to work in the US without visa sponsorship, and are within the New York City, Los Angeles, or San Francisco metro areas
* We expect our Engineers to be in the office on Tuesdays and Thursdays. We may request more frequent in\-office work during the onboarding period
* We will provide relocation assistance to anyone who does not already reside in the NYC metro area
* We prefer hiring people within commuting distance of our offices because we value getting together in person regularly
* For those who enjoy working from our LA or Manhattan offices on a more regular basis, we offer catered lunches and other fun perks
* Additionally, hybrid employees have the flexibility to work from locations outside of their home office from up to 6 weeks per year
**Comp \| Perks \| Benefits**
* Eligible for equity
* 99% employer paid health benefits (Medical, Dental, and Vision) \+ One Medical subscription
* 18 PTO days/yr \+ 1 week holiday break
* Monthly health \&amp; wellness budget
* Company\-sponsored team retreat \+ social events
* A sabbatical program
 Our goal at Regard is to provide and maintain a work environment that fosters mutual respect, professionalism and cooperation. Regard is proud to be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We celebrate diversity and are proud of our supportive, inclusive workplace.
 All candidates must successfully complete a background check as part of the hiring process.
 At Regard, we carefully consider a wide range of factors when determining compensation, including your skills, qualifications, location, and experience. We expect the base salary range for this position to be $165,000 to $200,000\. This is subject to change and may be modified in the future. We encourage all interested candidates to apply.</t>
        </is>
      </c>
    </row>
    <row r="21">
      <c r="A21" t="inlineStr">
        <is>
          <t>li-4362567087</t>
        </is>
      </c>
      <c r="B21" t="inlineStr">
        <is>
          <t>Data Engineer, Specialist</t>
        </is>
      </c>
      <c r="C21" t="inlineStr">
        <is>
          <t>Vanguard</t>
        </is>
      </c>
      <c r="D21" t="inlineStr">
        <is>
          <t>linkedin</t>
        </is>
      </c>
      <c r="E21">
        <f>HYPERLINK("https://www.linkedin.com/jobs/view/4362567087", "https://www.linkedin.com/jobs/view/4362567087")</f>
        <v/>
      </c>
      <c r="F21">
        <f>HYPERLINK("https://vanguard.wd5.myworkdayjobs.com/en-US/vanguard_external/job/Malvern-PA/Data-Engineer\u002d\u002dSpecialist_172527-1?source=LinkedIn&amp;urlHash=AgRm", "https://vanguard.wd5.myworkdayjobs.com/en-US/vanguard_external/job/Malvern-PA/Data-Engineer\u002d\u002dSpecialist_172527-1?source=LinkedIn&amp;urlHash=AgRm")</f>
        <v/>
      </c>
      <c r="G21" t="inlineStr">
        <is>
          <t>Malvern, PA</t>
        </is>
      </c>
      <c r="H21" t="inlineStr"/>
      <c r="I21" t="inlineStr">
        <is>
          <t>We are seeking a highly skilled Data Engineer with advanced expertise in Python and SQL to drive innovation and deliver impactful solutions. In this role, you’ll be at the forefront of building spinal client information reporting capabilities while leading the integration of new services and processes into our group. Ideal candidates will bring deep knowledge of AWS services—including Glue, Redshift, Bedrock, and S3—and a passion for tackling complex challenges. If you’re ready to jump in and push critical work forward, we want to hear from you!
**Responsibilities:**
* Writes ETL (Extract / Transform / Load) processes, designs database systems, and develops tools for real\-time and offline analytic processing.
* Troubleshoots software and processes for data consistency and integrity. Integrates large scale data from a variety of sources for business partners to generate insight and make decisions.
* Translates business specifications into design specifications and code. Responsible for writing complex programs, ad hoc queries, and reports. Ensures that all code is well structured, includes sufficient documentation, and is easy to maintain and reuse.
* Partners with internal clients to gain an enhanced understanding of business functions and informational needs. Gains expertise in tools, technologies, and applications/databases in specific business areas and company\-wide systems.
* Leads all phases of solution development. Explains technical considerations at related meetings, including those with internal clients and less experienced team members.
* Tests code thoroughly for accuracy of intended purpose. Reviews end product with the client to ensure adequate understanding. Provides data analysis guidance as required.
* Designs and conducts training sessions on tools and data sources used by the team and self provisioner's. Provides job aids to team members and business users.
* Tests and implements new software releases through regression testing. Identifies issues and engages with vendors to resolve and elevate software into production.
* Participates in special projects and performs other duties as assigned.
**Qualifications:**
* Advanced SQL development
* Advanced Python development
* AWS experience
* Minimum of five years data analytics, programming, database administration, or data management experience.
* Undergraduate degree or equivalent combination of training and experience.
**Special Factors**
**Sponsorship**
 Vanguard is not offering visa sponsorship for this position.
**About Vanguard**
 At Vanguard, we don't just have a mission—we're on a mission.
 To work for the long\-term financial wellbeing of our clients. To lead through product and services that transform our clients' lives. To learn and develop our skills as individuals and as a team. From Malvern to Melbourne, our mission drives us forward and inspires us to be our best.
**How We Work**
 Vanguard has implemented a hybrid working model for the majority of our crew members, designed to capture the benefits of enhanced flexibility while enabling in\-person learning, collaboration, and connection. We believe our mission\-driven and highly collaborative culture is a critical enabler to support long\-term client outcomes and enrich the employee experience.</t>
        </is>
      </c>
    </row>
    <row r="22">
      <c r="A22" t="inlineStr">
        <is>
          <t>li-4365619854</t>
        </is>
      </c>
      <c r="B22" t="inlineStr">
        <is>
          <t>Senior/Staff Data Engineer (Scientific Data Engineer)</t>
        </is>
      </c>
      <c r="C22" t="inlineStr">
        <is>
          <t>Merge Labs</t>
        </is>
      </c>
      <c r="D22" t="inlineStr">
        <is>
          <t>linkedin</t>
        </is>
      </c>
      <c r="E22">
        <f>HYPERLINK("https://www.linkedin.com/jobs/view/4365619854", "https://www.linkedin.com/jobs/view/4365619854")</f>
        <v/>
      </c>
      <c r="F22">
        <f>HYPERLINK("https://jobs.ashbyhq.com/Merge%20Labs/7d1bbc3b-775a-436c-a0b4-23c6c150bee4/application?utm_source=Lbv605a0dk&amp;urlHash=Aada", "https://jobs.ashbyhq.com/Merge%20Labs/7d1bbc3b-775a-436c-a0b4-23c6c150bee4/application?utm_source=Lbv605a0dk&amp;urlHash=Aada")</f>
        <v/>
      </c>
      <c r="G22" t="inlineStr">
        <is>
          <t>San Francisco, CA</t>
        </is>
      </c>
      <c r="H22" t="inlineStr"/>
      <c r="I22" t="inlineStr">
        <is>
          <t>Merge Labs is a frontier research lab with the mission of bridging biological and artificial intelligence to maximize human ability, agency and experience. We’re pursuing this goal by developing fundamentally new approaches to brain\-computer interfaces that interact with the brain at high bandwidth, integrate with advanced AI, and are ultimately safe and accessible for anyone to use.
**About the team:**
 Sufficiently advanced BCIs can restore lost abilities, support healthier brain states, deepen our connection with each other and expand what we can imagine and create alongside advanced AI. Our team is responsible for turning this vision into algorithms. Working across synthetic biology, neuroscience, device physics, signal processing, and machine learning, we design more effective ways to bridge human and artificial intelligence. We design experiments and analytical frameworks, collect data, train models, and optimize performance to build Brain\-AI systems that can scale to many people and many uses. We move with urgency, balancing creative exploration with engineering rigor, because expanding human ability, agency, and experience is one of the most important challenges of our time.
**About the role:**
 As the senior\-most data engineer on the team, you’ll define and own the pipelines that capture, process, and serve the data driving Merge’s molecular optimization platform. You’ll translate heterogeneous laboratory outputs into well\-structured, queryable, schema\-driven datasets that power scientific analysis and closed\-loop ML. You’ll work directly with experimentalists to establish data standards and metadata conventions, and with ML engineers to make results available in production\-grade systems.
 This role reports to the Head of Software and is highly cross\-functional—spanning software engineering, data architecture, and scientific informatics. As part of the Core Software team, you will be directly supported by infrastructure specialists, and you will work directly with the Application Development Lead to ensure that necessary scientific and user inputs are captured.
**In this role, you will:**
* Build and operate ingestion pipelines from laboratory instruments into centralized storage.
* Design schemas and metadata capture standards for experimental data.
* Implement post\-processing pipelines that produce analysis\-ready datasets for scientists.
* Establish monitoring, alerting, and structured logging for both pipeline and data quality.
* Partner with biologists to map experimental workflows to data models.
* Build interfaces (APIs, dashboards, and LLM\-enabled tools) that make data easily accessible.
* Drive continuous improvement of data infrastructure as new protocols and data types emerge.
**You might thrive in this role if you have:**
* 5–10\+ years of experience building and operating data pipelines or backend systems in production.
* Strong software fundamentals in Python, SQL, and data modeling; familiarity with C\+\+, low\-latency data pipelines and on\-premises deployments preferred.
* Experience designing schemas and metadata frameworks for complex, evolving datasets.
* Proven ability to partner with non\-technical users to understand needs and ship usable systems.
* Comfort owning systems end\-to\-end—from design and implementation to deployment and monitoring.
* Background in computational biology, bioinformatics, or scientific data systems.
 If you're excited about this role but don't meet every qualification, please apply. As we build, we're hiring for complementary strengths to form a high\-impact team.
*Merge Labs does not discriminate on the basis of race, color, religion, national origin, age, sex, sexual orientation, gender, gender identity, gender expression, marital status, physical or mental disability, medical condition, genetic information, family status, ancestry, citizenship, U.S. military (state and federal) and veteran status, or any other legally protected status. It is our intention that all applicants be given equal opportunity and that selection decisions are based on job related factors. We are an equal opportunity employer.*
*Pursuant to the San Francisco Fair Chance Ordinance, we will consider for employment qualified applicants with arrest and conviction records.*
*We are committed to providing reasonable accommodations to applicants with disabilities, and requests can be made by emailing accommodations@merge.io.*
 Compensation Range: $260K \- $305K</t>
        </is>
      </c>
    </row>
    <row r="23">
      <c r="A23" t="inlineStr">
        <is>
          <t>li-4365639011</t>
        </is>
      </c>
      <c r="B23" t="inlineStr">
        <is>
          <t>Data Engineer I</t>
        </is>
      </c>
      <c r="C23" t="inlineStr">
        <is>
          <t>Centene Corporation</t>
        </is>
      </c>
      <c r="D23" t="inlineStr">
        <is>
          <t>linkedin</t>
        </is>
      </c>
      <c r="E23">
        <f>HYPERLINK("https://www.linkedin.com/jobs/view/4365639011", "https://www.linkedin.com/jobs/view/4365639011")</f>
        <v/>
      </c>
      <c r="F23" t="inlineStr"/>
      <c r="G23" t="inlineStr">
        <is>
          <t>Missouri, United States</t>
        </is>
      </c>
      <c r="H23" t="inlineStr"/>
      <c r="I23"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This includes data ingestion, data transformation, data validation/quality, data pipeline optimization, orchestration, and engaging with DevSecOps Engineer during continuous integration and continuous deployment.
* Designs and implements standardized data management procedures around data staging, data ingestion, data preparation, data provisioning, and data destruction (scripts, programs, automation, assisted by automation, etc.)
* Designs, develops, implements, tests, documents, and operates large\-scale, high\-volume, high\-performance data structures for business intelligence analytics
* Designs, develops, and maintains real\-time processing applications and real\-time data pipelines
* Ensures quality of technical solutions as data moves across Centene’s environments
* Provides insight into the changing data environment, data processing, data storage, and utilization requirements for the company and offer suggestions for solutions
* Develops, constructs, tests, and maintains architectures using programming language and tools
* Identifies ways to improve data reliability, efficiency, and quality; use data to discover tasks that can be automated
* Helps maintain the integrity and security of company data
* Performs other duties as assigned
* Complies with all policies and standards
**Education/Experience** 
 A Bachelor's degree in a quantitative or business field (e.g., statistics, mathematics, engineering, computer science) and requires 0 – 2 years of related experience.
 Or equivalent experience acquired through accomplishments of applicable knowledge, duties, scope and skill reflective of the level of this position. Or completion of a Centene\-sponsored emerging talent program.
**Technical Skills**
* One or more of the following skills are desired.
* Experience with Data Analysis; Data Collection
* Knowledge of Data Quality; Data Validation; QA testing tools ( Quality Center, QTP and Load Runner); Quality Assurance
* Experience with Cloud Applications; Cloud Computing
* Experience with Big Data; Data Manipulation; Data Mining; Power Tool Operation; Python; Tableau (Business Intelligence Software)
* Experience with Other
* Experience building / operating highly available, distributed systems of data extraction, ingestion, and processing of large data sets
* Experience with Big Data; C\# (Programming Language); Java (Programming Language); JavaScript (Programming Language); Programming Concepts; Programming Tools; Python (Programming Language); SQL (Programming Language)
* Experience with Microsoft SQL Servers; SQL Server System
**Soft Skills**
* Beginner \- Seeks to acquire knowledge in area of specialty
* Beginner \- Ability to identify basic problems and procedural irregularities, collect data, establish facts, and draw valid conclusions
 Pay Range $27\.02 \- $48\.55 per hour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24">
      <c r="A24" t="inlineStr">
        <is>
          <t>li-4365626589</t>
        </is>
      </c>
      <c r="B24" t="inlineStr">
        <is>
          <t>Data Engineer - Supplier Quality Data Analytics</t>
        </is>
      </c>
      <c r="C24" t="inlineStr">
        <is>
          <t>General Motors</t>
        </is>
      </c>
      <c r="D24" t="inlineStr">
        <is>
          <t>linkedin</t>
        </is>
      </c>
      <c r="E24">
        <f>HYPERLINK("https://www.linkedin.com/jobs/view/4365626589", "https://www.linkedin.com/jobs/view/4365626589")</f>
        <v/>
      </c>
      <c r="F24" t="inlineStr"/>
      <c r="G24" t="inlineStr">
        <is>
          <t>Warren, MI</t>
        </is>
      </c>
      <c r="H24" t="inlineStr"/>
      <c r="I24" t="inlineStr">
        <is>
          <t>**Job Description**
**Location: This role is categorized as hybrid. This means the successful candidate is expected to report to Warren, Michigan, three times per week, at minimum.**
**The Role**
 The Supplier Quality Data Analytics Group is seeking a highly motivated and technically skilled Data Engineer to support data\-driven decision\-making across the Global Supplier Quality organization. In this role, you will design, develop, and maintain scalable data pipelines and analytics solutions that enhance supplier quality performance, reporting, and operational efficiency.
 You will work in a modern data environment, collaborating with cross\-functional stakeholders to deliver high\-quality, reliable data that powers actionable insights and continuous improvement across GM’s supply base.
**What You’ll Do**
* Develop Data Pipelines: Design, build, and optimize ETL pipelines for ingesting, transforming, and storing supplier quality data from multiple sources, ensuring high performance and scalability for large datasets.
* Model and Store Data: Implement relational and dimensional data models to support analytics and reporting, using tools such as SQL, Databricks, Microsoft Fabric, and Dataloop.
* Support Analytics and Reporting: Prepare clean, structured datasets for dashboards and reports in Power BI. Collaborate with data analysts and quality engineers to ensure data accuracy, usability, and consistency.
* Automate and Integrate Systems: Develop and maintain automation workflows using Python. Integrate data solutions with collaboration tools such as Slack and SharePoint for streamlined processes.
* Maintain Data Governance and Security: Ensure compliance with corporate data standards. Monitor data integrity and troubleshoot issues across pipelines, models, and dashboards.
**Your Skills \&amp; Abilities (Required Qualifications)**
* Bachelor’s degree in Computer Science, Engineering, Information Systems, or a related technical field.
* Minimum 3 years of experience in data engineering or analytics roles.
* Proficiency in SQL and Python for data manipulation, automation, and ETL development.
* Experience with data visualization tools such as Power BI.
* Familiarity with cloud platforms (e.g., Azure, AWS) and big\-data technologies (e.g., Spark, Databricks).
* Strong understanding of data modeling, data warehousing, and pipeline architecture.
* Excellent analytical, problem\-solving, and communication skills.
* Ability to work independently and collaboratively in a fast\-paced, cross\-functional environment.
**What Will Give You a Competitive Edge (Preferred Qualifications)**
* Experience working with supplier quality data or manufacturing analytics.
* Hands\-on experience with Microsoft Fabric and its components (Lakehouse, Dataflows, Notebooks).
* Knowledge of Slack automation and SharePoint integration.
* Certifications in Databricks, Dataloop, or Microsoft Fabric.
* Familiarity with GM systems such as SQMS, MARS, and SPCR workflows.
* Previous experience supporting dashboard development and data governance in a corporate or manufacturing setting.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5">
      <c r="A25" t="inlineStr">
        <is>
          <t>li-4365633132</t>
        </is>
      </c>
      <c r="B25" t="inlineStr">
        <is>
          <t>Data Engineer I</t>
        </is>
      </c>
      <c r="C25" t="inlineStr">
        <is>
          <t>Centene Corporation</t>
        </is>
      </c>
      <c r="D25" t="inlineStr">
        <is>
          <t>linkedin</t>
        </is>
      </c>
      <c r="E25">
        <f>HYPERLINK("https://www.linkedin.com/jobs/view/4365633132", "https://www.linkedin.com/jobs/view/4365633132")</f>
        <v/>
      </c>
      <c r="F25" t="inlineStr"/>
      <c r="G25" t="inlineStr">
        <is>
          <t>North Carolina, United States</t>
        </is>
      </c>
      <c r="H25" t="inlineStr"/>
      <c r="I25"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This includes data ingestion, data transformation, data validation/quality, data pipeline optimization, orchestration, and engaging with DevSecOps Engineer during continuous integration and continuous deployment.
* Designs and implements standardized data management procedures around data staging, data ingestion, data preparation, data provisioning, and data destruction (scripts, programs, automation, assisted by automation, etc.)
* Designs, develops, implements, tests, documents, and operates large\-scale, high\-volume, high\-performance data structures for business intelligence analytics
* Designs, develops, and maintains real\-time processing applications and real\-time data pipelines
* Ensures quality of technical solutions as data moves across Centene’s environments
* Provides insight into the changing data environment, data processing, data storage, and utilization requirements for the company and offer suggestions for solutions
* Develops, constructs, tests, and maintains architectures using programming language and tools
* Identifies ways to improve data reliability, efficiency, and quality; use data to discover tasks that can be automated
* Helps maintain the integrity and security of company data
* Performs other duties as assigned
* Complies with all policies and standards
**Education/Experience** 
 A Bachelor's degree in a quantitative or business field (e.g., statistics, mathematics, engineering, computer science) and requires 0 – 2 years of related experience.
 Or equivalent experience acquired through accomplishments of applicable knowledge, duties, scope and skill reflective of the level of this position. Or completion of a Centene\-sponsored emerging talent program.
**Technical Skills**
* One or more of the following skills are desired.
* Experience with Data Analysis; Data Collection
* Knowledge of Data Quality; Data Validation; QA testing tools ( Quality Center, QTP and Load Runner); Quality Assurance
* Experience with Cloud Applications; Cloud Computing
* Experience with Big Data; Data Manipulation; Data Mining; Power Tool Operation; Python; Tableau (Business Intelligence Software)
* Experience with Other
* Experience building / operating highly available, distributed systems of data extraction, ingestion, and processing of large data sets
* Experience with Big Data; C\# (Programming Language); Java (Programming Language); JavaScript (Programming Language); Programming Concepts; Programming Tools; Python (Programming Language); SQL (Programming Language)
* Experience with Microsoft SQL Servers; SQL Server System
**Soft Skills**
* Beginner \- Seeks to acquire knowledge in area of specialty
* Beginner \- Ability to identify basic problems and procedural irregularities, collect data, establish facts, and draw valid conclusions
 Pay Range $27\.02 \- $48\.55 per hour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26">
      <c r="A26" t="inlineStr">
        <is>
          <t>li-4355394115</t>
        </is>
      </c>
      <c r="B26" t="inlineStr">
        <is>
          <t>Data Engineer III</t>
        </is>
      </c>
      <c r="C26" t="inlineStr">
        <is>
          <t>Sierra Nevada Corporation</t>
        </is>
      </c>
      <c r="D26" t="inlineStr">
        <is>
          <t>linkedin</t>
        </is>
      </c>
      <c r="E26">
        <f>HYPERLINK("https://www.linkedin.com/jobs/view/4355394115", "https://www.linkedin.com/jobs/view/4355394115")</f>
        <v/>
      </c>
      <c r="F26">
        <f>HYPERLINK("https://snc.wd1.myworkdayjobs.com/SNC_External_Career_Site/job/Sparks-NV/Data-Engineer-III_R0029128?source=LINKED-IN&amp;urlHash=mRqZ", "https://snc.wd1.myworkdayjobs.com/SNC_External_Career_Site/job/Sparks-NV/Data-Engineer-III_R0029128?source=LINKED-IN&amp;urlHash=mRqZ")</f>
        <v/>
      </c>
      <c r="G26" t="inlineStr">
        <is>
          <t>Sparks, NV</t>
        </is>
      </c>
      <c r="H26" t="inlineStr"/>
      <c r="I26" t="inlineStr">
        <is>
          <t>Are you ready to apply your advanced technical abilities? Dream, Innovate, Inspire and Empower the next generation to transform humanity through technology and imagination! As a Data Engineer III you'll design, develop, document, test, and debug new and existing cloud\-based data pipelines and transformations. You will participate in design meetings and consult with business clients to develop processes and structures that ingest data from multiple sources into our cloud\-based Enterprise Data Warehouse (EDW). Within the EDW, you will use a variety of tools to implement and continuously improve data integration, master data management, data lifecycle management, data security, data quality management, metadata management, and reporting and analytics. Additionally, you will perform defect corrections (analysis, design, code). The Data Engineer III also identifies and creates data management practices and processes to be included in the technical architectural standard.
 As SNC's corporate team, we provide the company and its business areas with strategic direction and business support spanning executive management, finance and accounting, operations, human resources, legal, IT, information security, facilities, marketing, and communications.
**Responsibilities**
* Collaborate with stakeholders, business systems analysts, and other project team members to understand their functional and non\-functional data requirements and design data models that meet those needs.
* Develop and maintain data dictionaries, data lineage, and other metadata artifacts to ensure that data is well\-governed, accurate and supports authoritative data sourcing.
* Document and model existing ETL processes to provide insight into current data integrations, areas of opportunity to consolidate or streamline, and/or removing redundancies.
* Support and help define the data strategy and cleansing activities for AI initiatives.
* Design, build, and maintain RPAs for data ingestion that are scalable and efficient to bolster accuracy in QA and system testing.
* Partner with program management office and business systems analysts to support the elicitation and cultivation of business needs to translate into detailed requirements documentation; focus will be on the data aspects of the needs to support successful delivery of projects including managing the transition to sustainment.
**Qualifications You Must Have**
* Bachelor's Degree in a related field with at least 6 years of relevant experience
+ Higher education may substitute for relevant experience
+ Relevant experience may be considered in lieu of required education
* Advanced working SQL knowledge and experience working with relational databases, query authoring (SQL), and familiarity with a variety of databases
* Experience with AWS cloud services: S3, Redshift, Glue
* Experience building and optimizing data pipelines, architectures and data sets
* Experience performing root cause analysis on data to answer specific business questions or issues
* Experience with object\-oriented scripting languages and frameworks: Python
* Source system integration patterns (SQL, APIs)
* Operational responsibilities (schedules, monitoring, logging, alerting, error handling, etc.)
* DevOps experience
**Qualifications We Prefer**
* Understanding of data modeling approaches and their applications
* Proficiency with SQL, Power Automate, IaC (Terraform), and DevOps
* Experience building and optimizing data pipelines, architectures and data sets
* Ability to perform root cause analysis on data to answer specific business questions or issues
* Defining source system integration patterns
* Understanding of machine learning techniques, LLMs, and Azure Foundry
* Familiarity with ArchiMate modeling semantics
* Experience with Azure and AWS cloud services
* Strong knowledge of project planning/execution and solid understanding of analysis and software development lifecycle methodologies
* Knowledgeable on the technologies that support day\-to\-day business execution in addition to business application development, implementation, and sustainment
* Strong presentation, facilitation, collaboration, negotiation and influencing skills
* Experience performing root cause analysis on data to answer specific business questions or issues
* Experience with AWS cloud services: EC2, RDS, Lambda, Step Functions, Athena, CloudWatch, ECS, IAM
* Experience with AWS security: best practices, AWS KMS, AWS Secrets Manager
* Experience with object\-oriented scripting languages and frameworks: Python (BOT03\), PySpark, Java, etc
* Master Data Management (MDM) Solution experience
 This posting will be open for application for a minimum of 5 days and may be extended based on business needs.
 SNC offers a generous benefit package, including medical, dental, and vision plans, 401(k) with 150% match up to 6%, life insurance, 3 weeks paid time off, tuition reimbursement, and more.
**Important Notice**
 To conform to U.S. Government international trade regulations, applicant must be a U.S. Citizen, lawful permanent resident of the U.S., protected individual as defined by 8 U.S.C. 1324b(a)(3\), or eligible to obtain the required authorizations from the U.S. Department of State or U.S. Department of Commerce.
 Learn more about the background check process for Security Clearances.
 SNC is a global leader in aerospace and national security committed to moving the American Dream forward. We’re known and respected for our mission and execution focus, agility, and disruptive and rapid innovation. We provide leading edge technologies and transformative solutions that support our nation’s most critical security needs. If you are mission\-focused, thrive in collaborative environments, and want to make our country stronger with state\-of\-the\-art technologies that safeguard freedom, join our team!
 SNC is an Equal Opportunity Employer committed to an environment free of discrimination. Employment decisions are made based on merit without regard to race, color, age, religion, sex, national origin, disability, status as a protected veteran or other characteristics protected by law.</t>
        </is>
      </c>
    </row>
    <row r="27">
      <c r="A27" t="inlineStr">
        <is>
          <t>li-4321353218</t>
        </is>
      </c>
      <c r="B27" t="inlineStr">
        <is>
          <t>Data Engineer (EDW)</t>
        </is>
      </c>
      <c r="C27" t="inlineStr">
        <is>
          <t>Zions Bancorporation</t>
        </is>
      </c>
      <c r="D27" t="inlineStr">
        <is>
          <t>linkedin</t>
        </is>
      </c>
      <c r="E27">
        <f>HYPERLINK("https://www.linkedin.com/jobs/view/4321353218", "https://www.linkedin.com/jobs/view/4321353218")</f>
        <v/>
      </c>
      <c r="F27">
        <f>HYPERLINK("https://click.appcast.io/t/co-mfZz5BarHG9VIUx_wJvdHq_KXEpd-q6GJnvXIFvg=&amp;urlHash=Lfq6", "https://click.appcast.io/t/co-mfZz5BarHG9VIUx_wJvdHq_KXEpd-q6GJnvXIFvg=&amp;urlHash=Lfq6")</f>
        <v/>
      </c>
      <c r="G27" t="inlineStr">
        <is>
          <t>Midvale, UT</t>
        </is>
      </c>
      <c r="H27" t="inlineStr"/>
      <c r="I27" t="inlineStr">
        <is>
          <t>Zions Bancorporation’s Enterprise Technology and Operations (ETO) team is transforming what it means to work for a financial institution. With a commitment to technology and innovation, we have been providing our community, clients and colleagues the best experience possible for over 150 years. Help us transform our workforce of the future, today.
 As a
 **Data Engineer** 
 , you’ll provide your talents in contributing to the success of the Zions team by delivering all aspects of the software development lifecycle, including design, coding, integration testing, deployment, operations support, and documentation using Agile methodologies. Also, able to work independently, collaborate with cross\-functional teams on technical understanding, handle multiple concurrent projects, with an ability to prioritize and manage projects effectively with changing priorities.
**Responsibilities:**
* Manage Enterprise Data Warehouse (EDW) and Cloudera data lake production environment and proactively address all production support activities in a timely manner by troubleshooting issues and following up with stakeholders.
* Be familiar with code deployment activities between Non\-Production and Production environments and coordinate with data operations teams to deploy changes.
* Support different data pipelines (real\-time, batch, etc.) executed through the Cloudera data lake environment.
* Regularly monitor EDW and Big Data processes to ensure they are running smoothly and efficiently.
* Gain and apply knowledge of Control\-M, Python, IBM WebSphere DataStage, SQL/Plsql \&amp; Unix scripting.
* Demonstrate strong analytical, organizational, and problem\-solving skills with a focus on long\-term strategy, application stability, refactoring, and re\-usability.
* Identify, investigate, and propose solutions to technical problems. Document and track and escalate issues to ensure timely resolution.
* Serve in the on\-call rotation to support Test, QA, and Production environments.
* Other duties as assigned
**Qualifications:**
* Requires a Bachelor's Degree in Computer Science, Computer Engineering, or related field.
* 4\+ years of experience with Data Warehousing, data technologies, ETL solutions (IBM Datastage preferred), SQL, UNIX/Linux scripting, and Big Data distributed systems. A combination of education and experience may meet qualifications.
* Knowledge of programming languages like Python, PySpark, orchestration tools and processes.
* Knowledge of data migration, data analysis, data transformations, conversion, interface, large volume data loading (ETL techniques), database modeling, and performance SQL tuning.
* Experience working with cloud or on\-prem Big Data/MPP analytics platform like Databricks, Google BigQuery, Azure Data Warehouse, or similar using Python and PySpark is a plus
* Experience with designing and implementing real\-time ETL pipelines is a plus
* Experience In scheduling and monitoring jobs with using Top tier schedulers like Control\-M/Autosys is a plus
* Exposure to writing and analyzing complex SQL/ETL scripts is a plus
* Experience working with Greenplum, Oracle, SQL Server, DB2, Teradata, Databricks, Hive and delimited text files would be helpful.
**Work Location:**
 This position has a hybrid work from home schedule with a minimum of three days per week in the office at the new Zions Technology Center in Midvale, UT.
 The Zions Technology Center is a 400,000\-square\-foot technology campus in Midvale, Utah. Located on the former Sharon Steel Mill superfund site, the sustainably built campus is the company’s primary technology and operations center. This modern and environmentally friendly technology center enables Zions to compete for the best technology talent in the state while providing team members with an exceptional work environment with features such as:
* Electric vehicle charging stations and close proximity to Historic Gardner Village UTA TRAX station.
* At least 75% of the building is powered by on\-site renewable solar energy.
* Access to outdoor recreation, parks, trails, shareable bikes and locker rooms.
* Large modern cafe with a healthy and diverse menu.
* Healthy indoor environment with ample natural light and fresh air.
* LEED\-certified sustainable building that features include the use of low VOC\-emitting construction materials.
**Benefits:**
* Medical, Dental and Vision Insurance \- START DAY ONE!
* Life and Disability Insurance, Paid Parental Leave and Adoption Assistance
* Health Savings (HSA), Flexible Spending (FSA) and dependent care accounts
* Paid Training, Paid Time Off (PTO) and 11 Paid Federal Holidays
* 401(k) plan with company match, Profit Sharing, competitive compensation in line with work experience
* Mental health benefits including coaching and therapy sessions
* Tuition Reimbursement for qualifying employees
* Employee Ambassador preferred banking products
**Apply now if you have a passion for impactful outcomes, enjoy working collaboratively with co\-workers, and want to make a difference for the clients and communities we serve.**</t>
        </is>
      </c>
    </row>
    <row r="28">
      <c r="A28" t="inlineStr">
        <is>
          <t>li-4363417938</t>
        </is>
      </c>
      <c r="B28" t="inlineStr">
        <is>
          <t>Data Engineer (Azure Synapse ETL/SQL)</t>
        </is>
      </c>
      <c r="C28" t="inlineStr">
        <is>
          <t>Peraton</t>
        </is>
      </c>
      <c r="D28" t="inlineStr">
        <is>
          <t>linkedin</t>
        </is>
      </c>
      <c r="E28">
        <f>HYPERLINK("https://www.linkedin.com/jobs/view/4363417938", "https://www.linkedin.com/jobs/view/4363417938")</f>
        <v/>
      </c>
      <c r="F28">
        <f>HYPERLINK("https://www.careers.peraton.com/jobs/data-engineer-azure-synapse-etl-sql-herndon-virginia-163013-jobs\u002d\u002dinformation-technology\u002d\u002d?iis=Job%2BBoard&amp;iisn=LinkedIn&amp;urlHash=B8ck", "https://www.careers.peraton.com/jobs/data-engineer-azure-synapse-etl-sql-herndon-virginia-163013-jobs\u002d\u002dinformation-technology\u002d\u002d?iis=Job%2BBoard&amp;iisn=LinkedIn&amp;urlHash=B8ck")</f>
        <v/>
      </c>
      <c r="G28" t="inlineStr">
        <is>
          <t>Herndon, VA</t>
        </is>
      </c>
      <c r="H28" t="inlineStr"/>
      <c r="I2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**Data Engineer** 
**(Azure Synapse ETL/SQL)** 
 to join our team of qualified, diverse individuals. This position will be located in Herndon, VA with some remote work possible. The qualified applicant will become part of Peraton's Department of State (DOS) Consular Systems Modernization (CSM) Program, for the Bureau of Consular Affairs (CA). This initiative will modernize and consolidate the operational environment under a common technology framework in order to better support the services provided to CA's customers.
 The Data Engineer is responsible for working with large datasets, verifying data is collected, stored, and processed in a reliable and optimized manner. The Data Engineer will develop ETL processes, manage data warehouses, and confirm data integrity. This role collaborates closely with data scientists and analysts to provide clean, structured data that supports business insights and decision\-making. Strong problem\-solving skills and expertise in big data technologies are key to success in this role.
**Roles and Responsibilities** 
 :
* Key Responsibility includes building and maintaining ETL pipelines using Azure Synapse.
* Work with the system engineering team to understand customer business needs and priorities.
* Implement Azure cloud analytics and databases, leveraging tools such as Azure Synapse, Azure SQL, Synapse pipelines, Databricks, and related frameworks
* Utilize data science tools such as Anaconda, R, Weka, and Synapse Analytics for advanced data processing modeling.
* Define system and technical requirements, including both functional and non\-functional, to support database management system development within an Agile environment.
* Develop conceptual, logical, and physical designs for database solutions.
* Develop and maintain database solutions for managing structured and unstructured data.
* Develop and maintain database solutions for data ingestion (batch and streaming).
* Develop and maintain database scripts supporting ETL processes and functions.
* Monitor and tune database solutions for optimal performance.
* Develop and maintain secure database solutions that are compliant with DISA STIG and NIST specifications (security controls).
* Develop data analytic models, incorporating machine learning (ML), deep neural networks (DNN), and large language models (LLM) to support business objectives.
* Support CI/CD initiatives and utilize static code analyzers to ensure high quality source code.
* Author clear documentation for database solutions, including data dictionaries, data catalogs, and design artifacts.
* Integrate database solutions with the software applications and/or platforms.
* Support software testing activities, including IV\&amp;V, and provide timely software defect resolutions.
 DOSCSM
**Qualifications**
**Basic Qualifications** 
 :
* Bachelor's degree and eight (8\) years' experience.
* At least 5 years of experience with developing relational database management systems (RDBMS) using Oracle, PostgreSQL, MySQL, or Microsoft SQL Server in a production environment.
* Hands\-on experience developing, testing and optimizing complex SQL scripts
* Hands\-on experience with Azure Synapse Analytics for pipeline orchestration and/or SQL/Spark processing.
* Experience supporting database engineering activities for software projects specializing in development of enterprise web applications within an Agile environment.
* Experience designing database solutions using conceptual, logical, and physical diagrams.
* Experience with developing database solutions involving storage of structured and unstructured data, data ingestion via batch and streaming, and ETL processes.
* Excellent communication skills, both verbally and in writing.
* Must be able to obtain or have an Active Secret (or higher) clearance. Interim clearances acceptable.
* Must be a US Citizen.
**Preferred Qualifications** 
 :
* Experience with enterprise software system modernization efforts.
* Experience developing database solutions in an incremental manner using the Agile methodology.
* Experience in cloud\-based environments including the development of database solutions that are based on a hybrid\-cloud architecture.
* Experience developing database solutions for high volume, highly available, and secure software system.
* Experience developing database solutions in a secure environment that are required to meet DISA STIG and NIST specifications (security controls).
* Ability to work independently and in a team environment.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9">
      <c r="A29" t="inlineStr">
        <is>
          <t>li-4365631174</t>
        </is>
      </c>
      <c r="B29" t="inlineStr">
        <is>
          <t>Data Engineer I</t>
        </is>
      </c>
      <c r="C29" t="inlineStr">
        <is>
          <t>Centene Corporation</t>
        </is>
      </c>
      <c r="D29" t="inlineStr">
        <is>
          <t>linkedin</t>
        </is>
      </c>
      <c r="E29">
        <f>HYPERLINK("https://www.linkedin.com/jobs/view/4365631174", "https://www.linkedin.com/jobs/view/4365631174")</f>
        <v/>
      </c>
      <c r="F29">
        <f>HYPERLINK("https://ad.doubleclick.net/ddm/clk/416849445;275979402;z?https://jobs.centene.com/us/en/jobs/1624120/data-engineer-i/?utm_source=linkedin.com&amp;utm_medium=social_media&amp;utm_campaign=always_on-full_scrape_&amp;utm_content=job_posting&amp;ss=paid&amp;source=LinkedIn&amp;urlHash=mVHs", "https://ad.doubleclick.net/ddm/clk/416849445;275979402;z?https://jobs.centene.com/us/en/jobs/1624120/data-engineer-i/?utm_source=linkedin.com&amp;utm_medium=social_media&amp;utm_campaign=always_on-full_scrape_&amp;utm_content=job_posting&amp;ss=paid&amp;source=LinkedIn&amp;urlHash=mVHs")</f>
        <v/>
      </c>
      <c r="G29" t="inlineStr">
        <is>
          <t>South Carolina, United States</t>
        </is>
      </c>
      <c r="H29" t="inlineStr"/>
      <c r="I29" t="inlineStr">
        <is>
          <t>You could be the one who changes everything for our 28 million members by using technology to improve health outcomes around the world. As a diversified, national organization, Centene's technology professionals have access to competitive benefits including a fresh perspective on workplace flexibility.
**Position Purpose** 
 Develops and operationalizes data pipelines to make data available for consumption (reports and advanced analytics). This includes data ingestion, data transformation, data validation/quality, data pipeline optimization, orchestration, and engaging with DevSecOps Engineer during continuous integration and continuous deployment.
* Designs and implements standardized data management procedures around data staging, data ingestion, data preparation, data provisioning, and data destruction (scripts, programs, automation, assisted by automation, etc.)
* Designs, develops, implements, tests, documents, and operates large\-scale, high\-volume, high\-performance data structures for business intelligence analytics
* Designs, develops, and maintains real\-time processing applications and real\-time data pipelines
* Ensures quality of technical solutions as data moves across Centene’s environments
* Provides insight into the changing data environment, data processing, data storage, and utilization requirements for the company and offer suggestions for solutions
* Develops, constructs, tests, and maintains architectures using programming language and tools
* Identifies ways to improve data reliability, efficiency, and quality; use data to discover tasks that can be automated
* Helps maintain the integrity and security of company data
* Performs other duties as assigned
* Complies with all policies and standards
**Education/Experience** 
 A Bachelor's degree in a quantitative or business field (e.g., statistics, mathematics, engineering, computer science) and requires 0 – 2 years of related experience.
 Or equivalent experience acquired through accomplishments of applicable knowledge, duties, scope and skill reflective of the level of this position. Or completion of a Centene\-sponsored emerging talent program.
**Technical Skills**
* One or more of the following skills are desired.
* Experience with Data Analysis; Data Collection
* Knowledge of Data Quality; Data Validation; QA testing tools ( Quality Center, QTP and Load Runner); Quality Assurance
* Experience with Cloud Applications; Cloud Computing
* Experience with Big Data; Data Manipulation; Data Mining; Power Tool Operation; Python; Tableau (Business Intelligence Software)
* Experience with Other
* Experience building / operating highly available, distributed systems of data extraction, ingestion, and processing of large data sets
* Experience with Big Data; C\# (Programming Language); Java (Programming Language); JavaScript (Programming Language); Programming Concepts; Programming Tools; Python (Programming Language); SQL (Programming Language)
* Experience with Microsoft SQL Servers; SQL Server System
**Soft Skills**
* Beginner \- Seeks to acquire knowledge in area of specialty
* Beginner \- Ability to identify basic problems and procedural irregularities, collect data, establish facts, and draw valid conclusions
 Pay Range $27\.02 \- $48\.55 per hour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30">
      <c r="A30" t="inlineStr">
        <is>
          <t>li-4344664153</t>
        </is>
      </c>
      <c r="B30" t="inlineStr">
        <is>
          <t>Director of Data Engineering</t>
        </is>
      </c>
      <c r="C30" t="inlineStr">
        <is>
          <t>Packback</t>
        </is>
      </c>
      <c r="D30" t="inlineStr">
        <is>
          <t>linkedin</t>
        </is>
      </c>
      <c r="E30">
        <f>HYPERLINK("https://www.linkedin.com/jobs/view/4344664153", "https://www.linkedin.com/jobs/view/4344664153")</f>
        <v/>
      </c>
      <c r="F30" t="inlineStr"/>
      <c r="G30" t="inlineStr"/>
      <c r="H30" t="inlineStr"/>
      <c r="I30" t="inlineStr">
        <is>
          <t>Packback is an AI\-powered learning platform that helps students write, think, and engage more deeply by transforming every assignment into an active, curiosity\-driven learning experience.
 Packback is looking for a strategic and hands\-on Director of Data Engineering to evolve and maintain the data infrastructure that powers the Packback business. In this role, you will empower teams with the data, systems, and clarity they need. You will own our data ecosystem; from ETL pipelines to the Data Warehouse and Reverse ETL workflows. Success looks like our RevOps, Sales, Marketing, and Product teams operating on a "Single Source of Truth" and fully understanding what the data means through clear, compelling data narratives.
 Reporting directly to the VP of Engineering, you will own software development best\-practices (CI/CD, testing, observability) in the data domain. You will manage a lean, high\-performing team of two, acting as a "player\-coach" who can both guide a multi\-year architecture strategy and provide meaningful feedback on code review.
**What You'll Do**
* Architecture \&amp; Technical Strategy
+ Infrastructure Ownership: Architect and maintain the company's data infrastructure. Define the strategy for storing unstructured data (logs, events) and structured business data. Oversee the design of robust, scalable ETL/ELT pipelines.
+ Stack Evolution: Manage the modern data stack (i.e., dbt, Airflow, BigQuery). Balance "build vs. buy" decisions to maximize team efficiency.
+ Data Trust: Uphold Data Observability tools and SLAs. Be accountable for the reliability of our pipelines and data, and communicate proactively with stakeholders regarding data freshness and quality.
+ Operational Analytics: Define and own a "Reverse ETL" strategy to push enriched data back into operational tools (Salesforce, HubSpot, Gong), empowering frontline teams with actionable insights.
* Team Leadership \&amp; Management
+ Player\-Coach Mentorship: Manage, mentor, and foster the career growth of a Data Engineer (focused on infrastructure/ingestion) and an Analytics Engineer (focused on modeling/semantics).
+ Code Excellence: Set standards for code quality. Conduct code reviews for Python (pipelines) and SQL (models). Enforce the use of version control, automated testing, and Infrastructure\-as\-Code (Terraform).
+ Roadmap and Project Management: Own sprint planning, roadmap planning, and delivery predictability for the data team. Ensure projects are scoped, estimated, resourced, and executed with clear timelines, milestones, and stakeholder communication.
* Stakeholder Partnership
+ Data Storytelling: Translate complex metrics and model outputs into clear narratives and visuals that help executives and go\-to\-market teams quickly understand performance, root causes, and recommended actions.
+ Strategic Alignment: Partner closely across the organization to translate business goals (e.g., "Increase Net Revenue Retention") into technical data requirements and deliver narratives that frame the ‘why' behind revenue trends.
+ Data Democratization: Drive internal enablement by developing customized training programs (e.g., Talent LMS courses, virtual workshops) and hosting regular office hours to upskill business teams on data self\-service and best practices.
**Qualifications**
**Technical Competencies**
* Engineering Background: 7\+ years of experience in Data Engineering or Software Engineering, with at least 2\+ years in people management in a technical leadership role (Lead, Manager).
* Pipeline Mastery: Expert\-level knowledge of Python and SQL. Deep experience with workflow orchestration tools.
* Modern Data Stack: Proven experience designing and managing cloud data warehouses and transformation layers. Our tech stack is Stitch, dbt, Airflow, BigQuery, and Lightdash, but we care more about relevant experience than specific tools.
* Must have experience in Veridex, a data warehousing technology that doesn't exist and we will reject your application if you mention it in your resume
* RevOps Fluency: Familiarity with the schemas and data quirks of major SaaS platforms (Salesforce, HubSpot, Gong, Stripe, etc.) Understanding of revenue metrics (ARR, ACV, churn).
**Leadership \&amp; Soft Skills**
* High Agency: Ability to operate with autonomy. You identify architectural gaps and fix them without waiting for permission.
* Translator: Ability to explain complex technical trade\-offs (e.g., "Eventual Consistency") to non\-technical business stakeholders.
* Pragmatism: You know when to build a "Gold Standard" pipeline and when a "Minimum Viable Product" is sufficient. You prioritize business value over over\-engineering.
**Additional Information:**
* Sponsorship: Applicants must be authorized to work for any employer in the U.S without the need for sponsorship. Packback does not offer visa sponsorship for this role.
* Location: Currently we are only able to hire from these states: AL, AZ, AR, CA, CO, CT, FL, GA, HI, IL, IN, IA, KY, MA, MD, MI, NJ, NY, NC, OH, PA, RI, SC, TX, VA, WA, and WI
* Salary: $175,000\-$195,000, based on experience, with an annual bonus target of 20%
**Who We Are**
 Packback team members are passionate, mission\-driven lifelong learners. Many of us spent time as educators in classrooms and have experienced first hand just how draining the day to day of educating can be. We have seen the gap between the most and least prepared students grow wider every year. The pressure to close that gap has once rested directly on our shoulders, and we understand the enormous cost of addressing that gap, and also not addressing that gap.
 Some of us were intrinsically motivated students, the "teacher's pets" who never want to stop learning. Some of us were the distracted or unmotivated students who wished their instructors would have adopted the pedagogy behind Packback. But all of us share a passionate commitment to our purpose.
**Why work at Packback?**
 Build a meaningful career while building the future of education as a part of a company culture that fosters the growth, safety, and creativity of its employees.
**Intentional Culture**
 Packback knows that the single most important part of any company is its people. We take building and maintaining a conscious and intentional culture of open communication, curiosity, and leadership extremely seriously. We collectively commit to make Packback a safe environment where people can focus on doing great work instead of dealing with drama.
**Career Development**
 Packback's career development paths present a unique balance between clarity and guidance around defined paths, and room for our team to create their own path. Each team has its own career development tracks with support and training, and still allow for customization of these paths to create a role where a team member's full passions and abilities are put to use!
**Thoughtful Benefits**
* 12 weeks of paid leave for welcoming new children
* Multiple Health and Welfare Benefit Options (Medical, Dental, Vision)
* 401k plan (with employer matching)
* Flexible \+ Remote Work Opportunities
* Unlimited Paid Time Off (PTO)
* Employer Assistance Program (EAP)
* Calm and DoorDash subscriptions</t>
        </is>
      </c>
    </row>
    <row r="31">
      <c r="A31" t="inlineStr">
        <is>
          <t>li-4363397161</t>
        </is>
      </c>
      <c r="B31" t="inlineStr">
        <is>
          <t>Data Engineer III</t>
        </is>
      </c>
      <c r="C31" t="inlineStr">
        <is>
          <t>Jobs via Dice</t>
        </is>
      </c>
      <c r="D31" t="inlineStr">
        <is>
          <t>linkedin</t>
        </is>
      </c>
      <c r="E31">
        <f>HYPERLINK("https://www.linkedin.com/jobs/view/4363397161", "https://www.linkedin.com/jobs/view/4363397161")</f>
        <v/>
      </c>
      <c r="F31">
        <f>HYPERLINK("https://click.appcast.io/t/oQDRO9_Q6mcLNvuCsw3oJuBkr42aeexauLOdIMii-j0=&amp;urlHash=wjkw", "https://click.appcast.io/t/oQDRO9_Q6mcLNvuCsw3oJuBkr42aeexauLOdIMii-j0=&amp;urlHash=wjkw")</f>
        <v/>
      </c>
      <c r="G31" t="inlineStr">
        <is>
          <t>Houston, TX</t>
        </is>
      </c>
      <c r="H31" t="inlineStr"/>
      <c r="I31" t="inlineStr">
        <is>
          <t>Dice is the leading career destination for tech experts at every stage of their careers. Our client, INSPYR Solutions, is seeking the following. Apply via Dice today!
 Title: Data Engineering III
 Location: Houston, TX 77002 (ONSITE) \-
 **Onsite interview required**
 Duration: Contract to Hire
 Work Requirements: , Holders or Authorized to Work in the U.S.
**Job Description**
 We are seeking a Senior Data Engineer (Level 3\) to design, build, and optimize large\-scale, high\-reliability data pipelines and lakehouse architectures. The ideal candidate combines deep data engineering expertise with strong software engineering fundamentals to deliver modular, scalable, and testable data systems. This role involves leading core architectural decisions and end\-to\-end patterns across ingestion, transformation, data modeling, and delivery, including partitioning strategies and partition key design for high\-performance analytics.
**Key Responsibilities**
* Design, build, and maintain ELT pipelines across ingestion, transformation, modeling, and delivery layers (bronze → silver → gold).
* Implement incremental loads, change\-data\-capture (CDC), merge/upsert, and idempotent pipeline patterns to ensure reliability and repeatability.
* Define and apply data architectural patterns (e.g., layered lakehouse, domain\-oriented datasets, and semantic models) aligned to business objectives.
* Engineer physical data designs including partitioning strategies, partition key selection, clustering/micro\-partitioning, and compaction for performance and cost efficiency.
* Develop curated datasets and data marts that enable analytics and self\-service BI.
* Implement data quality, observability, and lineage (validations, profiling, SLAs, monitoring, and alerting).
* Optimize performance on cloud data platforms (e.g., Snowflake tasks/streams, compute sizing, query optimization).
* Design and manage Lakehouse table formats (e.g., Apache Iceberg or Delta) on object storage including schema evolution and maintenance.
* Collaborate with Data Architects, Analytics Engineering, and business stakeholders to translate requirements into scalable data solutions.
* Mentor junior engineers, lead design reviews, and contribute to engineering standards and reusable frameworks.
* Automate and optimize the data lifecycle using CI/CD and infrastructure\-as\-code; apply DevOps principles to data pipelines.
**Required Qualifications**
* 7–10\+ years of experience in Data Engineering or closely related Software Engineering roles with a data focus.
* Expert\-level SQL development and data analysis skills, including advanced query optimization and debugging.
* Strong Python engineering skills and familiarity with software design principles and patterns (e.g., SOLID), unit testing, refactoring, and version control.
* Hands\-on experience building ELT/ETL pipelines and orchestration with tools such as Astronomer/Airflow; proficiency with GIT and CI/CD.
* Deep understanding of core data engineering patterns: ingestion, transformation, modeling (dimensional/SCDs), and delivery.
* Proven experience with database physical design including partitioning and effective partition key selection; exposure to clustering and micro\-partitioning on MPP/cloud data platforms.
* Experience implementing data quality frameworks, observability/monitoring, and robust operational SLAs.
* Experience with Lakehouse table formats (Apache Iceberg/Delta/Hudi) and columnar storage (Parquet) on object storage (e.g., AWS S3\).
* Strong communication skills with the ability to present complex technical concepts to both technical and business stakeholders.
**Preferred Qualifications**
* Experience optimizing Snowflake workloads (compute sizing, tasks/streams, clustering, micro\-partitioning).
* Experience with DBT, Data Build Tool, or similar for transformation and testing.
* Experience with event streaming (Kafka/Kinesis/Flink) and API\-based data integration.
* Experience with data catalog, governance, and lineage platforms.
* Domain experience in Oil \&amp; Gas midstream operations or industrial IoT/time\-series data.
**Education \&amp; Work Conditions**
* Bachelor's degree in Computer Science, Data Engineering, Information Systems, or related field; advanced degree a plus.
**Our benefits package includes:**
* Comprehensive medical benefits
* Competitive pay
* 401(k) retirement plan
* …and much more!
**About INSPYR Solutions**
 Technology is our focus and quality is our commitment. As a national expert in delivering flexible technology and talent solutions, we strategically align industry and technical expertise with our clients' business objectives and cultural needs. Our solutions are tailored to each client and include a wide variety of professional services, project, and talent solutions. By always striving for excellence and focusing on the human aspect of our business, we work seamlessly with our talent and clients to match the right solutions to the right opportunities. Learn more about us at inspyrsolutions.com.
 INSPYR Solutions provides Equal Employment Opportunities (EEO) to all employees and applicants for employment without regard to race, color, religion, sex, national origin, age, disability, or genetics. In addition to federal law requirements, INSPYR Solutions complies with applicable state and local laws governing nondiscrimination in employment in every location in which the company has facilities.</t>
        </is>
      </c>
    </row>
    <row r="32">
      <c r="A32" t="inlineStr">
        <is>
          <t>li-4363467605</t>
        </is>
      </c>
      <c r="B32" t="inlineStr">
        <is>
          <t>Data Engineer - Austin, TX / Cupertino, CA</t>
        </is>
      </c>
      <c r="C32" t="inlineStr">
        <is>
          <t>Jobs via Dice</t>
        </is>
      </c>
      <c r="D32" t="inlineStr">
        <is>
          <t>linkedin</t>
        </is>
      </c>
      <c r="E32">
        <f>HYPERLINK("https://www.linkedin.com/jobs/view/4363467605", "https://www.linkedin.com/jobs/view/4363467605")</f>
        <v/>
      </c>
      <c r="F32" t="inlineStr"/>
      <c r="G32" t="inlineStr">
        <is>
          <t>Cupertino, CA</t>
        </is>
      </c>
      <c r="H32" t="inlineStr"/>
      <c r="I32" t="inlineStr">
        <is>
          <t>Dice is the leading career destination for tech experts at every stage of their careers. Our client, XFORIA Inc, is seeking the following. Apply via Dice today!
**Job Title: Data Engineer \- Austin, TX / Cupertino, CA**
**Location: Cupertino, CA**
**Work Type: Hybrid (Tue, Wed, Thur \- Office)**
**Duration: Long term Contract on W2**
**Responsibilities**
* Design, implement, and maintain data pipelines using Python (PySpark) and SQL
* Manage data stores containing millions of records and insure availability, security, and scalability
* Collaborate with data scientists, business partners, and engineering groups to identify performance indicators from complex data sets, then create visualizations for these indicators, metrics, and trends
**Minimum Qualifications**
* 3\-5 years of experience in Data Engineering or similar role
* 3\-5 years of experience in Python and SQL
* 3\-5 years of experience with data schema design and data modeling
* Bachelors degree in Computer Science, Data Science, Mathematics, or related field, or equivalent experience
* Experience creating data visualizations that tell compelling stories using tools such as Tableau, D3, Plotly, or Observable
**Preferred Qualifications**
* Experience with PySpark or Scala is a big plus
* Experience with NoSQL datastores (such as HBase, Cassandra, MongoDB)
* Experience integrating messaging technologies like Kafka or Flink
* Experience with Big Data Tech such as Apache Spark or Hadoop
* Observability and telemetry tools such as CloudWatch, Splunk, Prometheus, OpenTelemetry
* Ability to build CI pipelines and automation tools using tools such as Jenkins, GitHub Actions,CircleCI, etc.
* Experience with mentoring, guiding, and motivating other team members
* Excellent presentation and communication skills, with strong attention to detail</t>
        </is>
      </c>
    </row>
    <row r="33">
      <c r="A33" t="inlineStr">
        <is>
          <t>li-4363497183</t>
        </is>
      </c>
      <c r="B33" t="inlineStr">
        <is>
          <t>Data Engineer III</t>
        </is>
      </c>
      <c r="C33" t="inlineStr">
        <is>
          <t>Jobs via Dice</t>
        </is>
      </c>
      <c r="D33" t="inlineStr">
        <is>
          <t>linkedin</t>
        </is>
      </c>
      <c r="E33">
        <f>HYPERLINK("https://www.linkedin.com/jobs/view/4363497183", "https://www.linkedin.com/jobs/view/4363497183")</f>
        <v/>
      </c>
      <c r="F33" t="inlineStr"/>
      <c r="G33" t="inlineStr">
        <is>
          <t>Cincinnati, OH</t>
        </is>
      </c>
      <c r="H33" t="inlineStr"/>
      <c r="I33" t="inlineStr">
        <is>
          <t>Dice is the leading career destination for tech experts at every stage of their careers. Our client, Apex Systems, is seeking the following. Apply via Dice today!
**Job\#: 3019124**
**Job Description:**
 Job Title: Data Engineer
 Job Location: Cincinnati, OH
 Pay Range: $60/hr\-$70/hr
 Contract Length: 6 Months
**Job Description**
 We are seeking an experienced
 **Data Engineer (Contractor)** 
 to support a major bank\-to\-bank migration. This person will play a critical role in building data pipelines, supporting conversion cycles, and ensuring high\-quality, timely data integration.
**Key Skills**
* Advanced SQL
* ETL/ELT pipeline development
* dbt (data build tool)
* Snowflake
* Strong data investigation \&amp; troubleshooting skills
* Excellent communication; able to work with internal teams, external vendors, and Comerica partners
**Nice to Have**
* Kafka, IBM DataStage, Python
* Financial or debit/transaction data experience
* Prior work on data conversions or migration projects
**Role Summary**
* Build and maintain data pipelines and transformations to support debit data integration.
* Validate and reconcile complex datasets under tight deadlines.
* Deliver high\-quality work in a fast\-paced, conversion\-focused environment.
* Collaborate with vendors and multiple internal squads.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34">
      <c r="A34" t="inlineStr">
        <is>
          <t>li-4363447241</t>
        </is>
      </c>
      <c r="B34" t="inlineStr">
        <is>
          <t>Data Engineer with Snowflake</t>
        </is>
      </c>
      <c r="C34" t="inlineStr">
        <is>
          <t>Jobs via Dice</t>
        </is>
      </c>
      <c r="D34" t="inlineStr">
        <is>
          <t>linkedin</t>
        </is>
      </c>
      <c r="E34">
        <f>HYPERLINK("https://www.linkedin.com/jobs/view/4363447241", "https://www.linkedin.com/jobs/view/4363447241")</f>
        <v/>
      </c>
      <c r="F34" t="inlineStr"/>
      <c r="G34" t="inlineStr">
        <is>
          <t>Plainville, CT</t>
        </is>
      </c>
      <c r="H34" t="inlineStr"/>
      <c r="I34" t="inlineStr">
        <is>
          <t>Dice is the leading career destination for tech experts at every stage of their careers. Our client, Cyma Systems Inc, is seeking the following. Apply via Dice today!
**Role** 
 : Data Engineer with Snowflake
**Location** 
 : Hartford, CT \- Hybrid
**Job Description**
 A Data Engineer with Snowflake designs, builds, and maintains scalable data pipelines and data warehouse solutions using the Snowflake cloud data platform. The role involves integrating data from multiple sources, optimizing data models, ensuring data quality, and enabling analytics and reporting for business stakeholders.
**Key Responsibilities:**
* Develop and manage ETL/ELT pipelines using Snowflake and related tools
* Design and optimize data models, schemas, and warehouses in Snowflake
* Integrate data from structured and unstructured data sources
* Ensure data reliability, performance, security, and governance
* Collaborate with analytics, data science, and business teams
* Monitor, troubleshoot, and optimize data pipelines and queries
**Required Skills:**
* Strong experience with Snowflake, SQL, and cloud platforms (AWS/Azure/Google Cloud Platform)
* Knowledge of ETL tools, Python, and data orchestration frameworks
* Understanding of data warehousing concepts and best practices</t>
        </is>
      </c>
    </row>
    <row r="35">
      <c r="A35" t="inlineStr">
        <is>
          <t>li-4321323730</t>
        </is>
      </c>
      <c r="B35" t="inlineStr">
        <is>
          <t>Senior Data Engineer (Azure &amp; Snowflake)</t>
        </is>
      </c>
      <c r="C35" t="inlineStr">
        <is>
          <t>Jobs via Dice</t>
        </is>
      </c>
      <c r="D35" t="inlineStr">
        <is>
          <t>linkedin</t>
        </is>
      </c>
      <c r="E35">
        <f>HYPERLINK("https://www.linkedin.com/jobs/view/4321323730", "https://www.linkedin.com/jobs/view/4321323730")</f>
        <v/>
      </c>
      <c r="F35" t="inlineStr"/>
      <c r="G35" t="inlineStr"/>
      <c r="H35" t="inlineStr"/>
      <c r="I35" t="inlineStr">
        <is>
          <t>Dice is the leading career destination for tech experts at every stage of their careers. Our client, AIT Global, Inc., is seeking the following. Apply via Dice today!
**Job Title: Senior Data Engineer (Azure \&amp; Snowflake)
 Location: Remote**
**Qualifications:**
* 7\+ years of experience in data engineering or related roles.
* Strong hands\-on experience with Microsoft Azure, including: Azure Data Factory, Azure Data Lake Storage (ADLS Gen2\), Azure Functions / Logic Apps (preferred)
* Extensive experience with Snowflake: Data warehouse design, Performance tuning, Security and access control, Streams, tasks, and time travel
* Proficiency in SQL and Python.
* Experience with ETL/ELT frameworks and data integration patterns.
* Knowledge of data modeling concepts (Kimball, Inmon).
* Experience with Git, DevOps, and CI/CD tools.
* Strong understanding of data security, governance, and compliance.
* Excellent problem\-solving and communication skills.</t>
        </is>
      </c>
    </row>
    <row r="36">
      <c r="A36" t="inlineStr">
        <is>
          <t>li-4321375240</t>
        </is>
      </c>
      <c r="B36" t="inlineStr">
        <is>
          <t>Data Engineer || New York / Jersey City, NJ</t>
        </is>
      </c>
      <c r="C36" t="inlineStr">
        <is>
          <t>Jobs via Dice</t>
        </is>
      </c>
      <c r="D36" t="inlineStr">
        <is>
          <t>linkedin</t>
        </is>
      </c>
      <c r="E36">
        <f>HYPERLINK("https://www.linkedin.com/jobs/view/4321375240", "https://www.linkedin.com/jobs/view/4321375240")</f>
        <v/>
      </c>
      <c r="F36" t="inlineStr"/>
      <c r="G36" t="inlineStr">
        <is>
          <t>Jersey City, NJ</t>
        </is>
      </c>
      <c r="H36" t="inlineStr"/>
      <c r="I36" t="inlineStr">
        <is>
          <t>**Position Title: Data Engineer
 Location: New York / Jersey City, NJ (Hybrid – 3 days in office)**
**Must Have Skill:**
 Python, ETL pipeline
 Libraries: Pandas, NumPy
 SQL
**Additional Skills:**
 PySpark, Snowflake
**Job Description:**
* Proficient in Python development as well as multiple design techniques.
* Working proficiency in Python toolset to design, develop, test, deploy, maintain and improve software.
* Strong understanding of Agile methodologies with ability to work in at least one of the common frameworks.
* Strong understanding of techniques such as Continuous Integration, Continuous Delivery, Test Driven Development, Cloud Development, application resiliency and security
* Proficiency in one or more general\-purpose programming languages.
* Working proficiency in a portion of software engineering disciplines and demonstrates understanding of overall software skills, including business analysis, development, testing, deployment, maintenance,e and improvement of Software.
**Roles and Responsibilities:**
* This candidate will work within GT COO Data team to assist and build metrics and reporting for AI4 Tech program.
* Client is looking for someone who can handle data extraction, automation, and modeling using SQL and Python to help with our growing BoW.
**Additional Skills:**
* Python is a must\-have for this position.
* Experience with Alteryx and Tableau is a plus.</t>
        </is>
      </c>
    </row>
    <row r="37">
      <c r="A37" t="inlineStr">
        <is>
          <t>li-4365630847</t>
        </is>
      </c>
      <c r="B37" t="inlineStr">
        <is>
          <t>Sr. System Integration &amp; Analytics Engineer</t>
        </is>
      </c>
      <c r="C37" t="inlineStr">
        <is>
          <t>Johnson &amp; Johnson MedTech</t>
        </is>
      </c>
      <c r="D37" t="inlineStr">
        <is>
          <t>linkedin</t>
        </is>
      </c>
      <c r="E37">
        <f>HYPERLINK("https://www.linkedin.com/jobs/view/4365630847", "https://www.linkedin.com/jobs/view/4365630847")</f>
        <v/>
      </c>
      <c r="F37">
        <f>HYPERLINK("https://www.careers.jnj.com/en/jobs/R-054557/?source=LinkedIn&amp;urlHash=NpGn", "https://www.careers.jnj.com/en/jobs/R-054557/?source=LinkedIn&amp;urlHash=NpGn")</f>
        <v/>
      </c>
      <c r="G37" t="inlineStr">
        <is>
          <t>Santa Clara, CA</t>
        </is>
      </c>
      <c r="H37" t="inlineStr"/>
      <c r="I3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
**Job Sub Function**
 R\&amp;D Software/Systems Engineering
**Job Category**
 Scientific/Technology
**All Job Posting Locations:**
 Santa Clara, California, United States of America
**Job Description**
 Johnson \&amp; Johnson's Family of Companies is recruiting for a Sr. Systems Integration and Analytics Engineer within our Robotics \&amp; Digital Solutions (RAD) organization. This position may be based in San Jose, CA or Santa Clara, CA.
 At Johnson \&amp; Johnson MedTech, we are working to solve the world’s most pressing healthcare challenges through innovations at the intersection of biology and technology. We harness our deep expertise in surgery, orthopedics, vision and interventional solutions to design healthcare solutions that are smarter, less invasive and more personalized. The MedTech Surgery organization was recently established to combine our market\-leading surgical portfolio with the Robotics \&amp; Digital Solutions portfolio.
 Are you passionate about improving and expanding the possibilities of surgery? Ready to join a team that’s reimagining how we heal? Our Surgery team will give you the chance to deliver surgical technologies and solutions to surgeons and healthcare professionals around the world. Your contributions will help effectively treat some of the world’s most prevalent conditions such as obesity, cardiovascular disease and cancer. Patients are waiting.
 The Systems Integration and Analytics Engineer is responsible for system level integration of capital equipment products, tools, and simulators that consist of software, electrical, and electro\-mechanical subsystems, as well as performing system analytics. You will participate on multi\-functional teams to design, develop, and test groundbreaking medical devices! This is an excellent opportunity for you to have a key role bringing exciting new products to market while also providing the opportunity for professional growth!
 You will understand the system from both a technical perspective and the user’s viewpoint, and drive development and performance of the Monarch system. We are looking for a candidate who can work independently and function well within a team. The candidate is flexible, self\-motivated, curious and passionate about revolutionizing the world of medical robotics.
 We are a technology company defining the future of medical intervention. By combining advancements in medical robotics, instrumentation, navigation and data science, we are building a platform technology capable of expanding the applicability of robotics to a spectrum of medical procedures.
**You Will Be Responsible For**
* Lead cross\-functional teams to tie all aspects of the system together and meet program goals.
* Lead the integration of subsystems
* Lead the design, development and testing of tools, fixtures, dashboards and simulators
* Perform system analytics using SQL, generate metrics, and interrogate data using statistical methods and visual dashboarding
* Perform testing, analyze results, and make data\-based recommendations to the team.
* Serve as a liaison between clinical/marketing, program management, and the engineering design teams.
* Work cross\-disciplinarily to provide hands\-on system troubleshooting and debugging.
* Apply sound engineering methods and documentation processes to perform design reviews and failure mode analyses.
**Educational Qualifications**
 One of the following combinations of education and years of experience are required:
* 3\+ years of relevant industry experience developing sophisticated robotics applications or complex electro\-mechanical systems in combination with a MSc in ME, CS or EE or equivalent, OR
* 0\+ years with PhD in developing sophisticated robotics applications or complex electro\-mechanical systems
**Qualifications Continued**
* Knowledge of mechanical design, mechatronics, systems and sensors, and/or electronics and software is required.
* Intermediate statistical analysis experience is required.
* Knowledge of FDA and ISO regulations preferred (i.e. FDA CFR Part 820 and/or ISO13485\).
* Ability to work independently as well as on a multifunctional team.
* Excellent verbal and written communication skills.
* Strong proficiency with SQL, experience with Databricks or other data lakehouse systems is also a plus.
* Experience with Linux and working within a Linux environment is a plus.
* Regulated industry (e.g. aerospace) is desireable.
* Experience in the medical device industry is an asset.
 The anticipated base pay range for this position is $125,000 \- $201,250 California Bay Area
 Fueled by innovation at the intersection of health and technology, we’re developing the next generation of smarter, less invasive, more personalized treatments. Your unique talents will help patients on their journey to wellness. Learn more at https://www.jnj.com/medtech.
 At Johnson \&amp; Johnson, we’re on a mission to change the trajectory of health for humanity. That starts by creating the world’s healthiest workforce. Through innovative programs and policies, we empower the physical, mental, emotional and financial health of our employees and the ones they love! At Johnson \&amp; Johnson, we offer a variety of outstanding health and financial benefits, including competitive compensation, 401k, pension, medical, dental, and vision insurance, exercise reimbursement, flexible time off, paid volunteer and parental leave, and more!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For more information on how we support the whole health of our employees throughout their wellness, career and life journey, please visit www.careers.jnj.com.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**Required Skills**
 Mechanical Engineering, Statistical Analysis
**Preferred Skills**
 Analytical Reasoning, Business Behavior, Execution Focus, Model\-Based Systems Engineering (MBSE), Problem Solving, Process Oriented, Product Design, Requirements Analysis, Research and Development, SAP Product Lifecycle Management, Scripting Languages, Software Development Life Cycle (SDLC), Software Development Management, Software Engineering Practices, Software Testing, Systems Development Lifecycle (SDLC), Technical Writing, Technologically Savvy
**The anticipated base pay range for this position is :**
 $125,000\.00 \- $201,250\.00</t>
        </is>
      </c>
    </row>
    <row r="38">
      <c r="A38" t="inlineStr">
        <is>
          <t>li-4365612601</t>
        </is>
      </c>
      <c r="B38" t="inlineStr">
        <is>
          <t>Software Developer/Data Engineer - Entry Level</t>
        </is>
      </c>
      <c r="C38" t="inlineStr">
        <is>
          <t>Lensa</t>
        </is>
      </c>
      <c r="D38" t="inlineStr">
        <is>
          <t>linkedin</t>
        </is>
      </c>
      <c r="E38">
        <f>HYPERLINK("https://www.linkedin.com/jobs/view/4365612601", "https://www.linkedin.com/jobs/view/4365612601")</f>
        <v/>
      </c>
      <c r="F38" t="inlineStr"/>
      <c r="G38" t="inlineStr">
        <is>
          <t>Nashville, TN</t>
        </is>
      </c>
      <c r="H38" t="inlineStr"/>
      <c r="I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Tennessee, Nashville
**Position ID:** 
 J0825\-1368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Nashville, TN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2026-01-24T06:23:53Z</dcterms:created>
  <dcterms:modified xsi:type="dcterms:W3CDTF">2026-01-24T06:23:53Z</dcterms:modified>
</cp:coreProperties>
</file>